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6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7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11A-BULISA-HOIMA\MCC\"/>
    </mc:Choice>
  </mc:AlternateContent>
  <xr:revisionPtr revIDLastSave="0" documentId="13_ncr:1_{9DFC948B-910C-4BBE-B09E-C693F5BEB674}" xr6:coauthVersionLast="45" xr6:coauthVersionMax="45" xr10:uidLastSave="{00000000-0000-0000-0000-000000000000}"/>
  <bookViews>
    <workbookView xWindow="-120" yWindow="-120" windowWidth="20730" windowHeight="11160" tabRatio="915" firstSheet="13" activeTab="16" xr2:uid="{00000000-000D-0000-FFFF-FFFF00000000}"/>
  </bookViews>
  <sheets>
    <sheet name="25.10 BULIISA-HOIMA" sheetId="93" r:id="rId1"/>
    <sheet name="25.10 HOIMA-BULIISA" sheetId="94" r:id="rId2"/>
    <sheet name="26.10 BULIISA-HOIMA-24h" sheetId="101" r:id="rId3"/>
    <sheet name="26.10 HOIMA-BULIISA-24h" sheetId="105" r:id="rId4"/>
    <sheet name="27.10 BULIISA-HOIMA" sheetId="95" r:id="rId5"/>
    <sheet name="27.10 HOIMA-BULIISA" sheetId="96" r:id="rId6"/>
    <sheet name="28.10 BULIISA-HOIMA-24h" sheetId="109" r:id="rId7"/>
    <sheet name="28.10 HOIMA-BULIISA-24h" sheetId="110" r:id="rId8"/>
    <sheet name="29.10 BULIISA-HOIMA" sheetId="98" r:id="rId9"/>
    <sheet name="29.10 HOIMA-BULIISA" sheetId="97" r:id="rId10"/>
    <sheet name="30.10 BULIISA-HOIMA" sheetId="99" r:id="rId11"/>
    <sheet name="30.10 HOIMA-BULIISA" sheetId="100" r:id="rId12"/>
    <sheet name="31.10 BULIISA-HOIMA" sheetId="103" r:id="rId13"/>
    <sheet name="31.10 HOIMA-BULIISA" sheetId="104" r:id="rId14"/>
    <sheet name="Avg Week Buliisa-Hoima" sheetId="107" r:id="rId15"/>
    <sheet name="Avg Week Hoima-Buliisa" sheetId="108" r:id="rId16"/>
    <sheet name="Avg Week Buliisa-Hoima-2Dir" sheetId="111" r:id="rId17"/>
  </sheets>
  <definedNames>
    <definedName name="_xlnm.Print_Area" localSheetId="0">'25.10 BULIISA-HOIMA'!$A$1:$AF$60</definedName>
    <definedName name="_xlnm.Print_Area" localSheetId="1">'25.10 HOIMA-BULIISA'!$A$1:$AF$60</definedName>
    <definedName name="_xlnm.Print_Area" localSheetId="2">'26.10 BULIISA-HOIMA-24h'!$A$1:$AF$108</definedName>
    <definedName name="_xlnm.Print_Area" localSheetId="3">'26.10 HOIMA-BULIISA-24h'!$A$1:$AF$108</definedName>
    <definedName name="_xlnm.Print_Area" localSheetId="4">'27.10 BULIISA-HOIMA'!$A$1:$AF$60</definedName>
    <definedName name="_xlnm.Print_Area" localSheetId="5">'27.10 HOIMA-BULIISA'!$A$1:$AF$60</definedName>
    <definedName name="_xlnm.Print_Area" localSheetId="6">'28.10 BULIISA-HOIMA-24h'!$A$1:$AF$108</definedName>
    <definedName name="_xlnm.Print_Area" localSheetId="7">'28.10 HOIMA-BULIISA-24h'!$A$1:$AF$108</definedName>
    <definedName name="_xlnm.Print_Area" localSheetId="8">'29.10 BULIISA-HOIMA'!$A$1:$AF$60</definedName>
    <definedName name="_xlnm.Print_Area" localSheetId="9">'29.10 HOIMA-BULIISA'!$A$1:$AF$60</definedName>
    <definedName name="_xlnm.Print_Area" localSheetId="10">'30.10 BULIISA-HOIMA'!$A$1:$AF$60</definedName>
    <definedName name="_xlnm.Print_Area" localSheetId="11">'30.10 HOIMA-BULIISA'!$A$1:$AF$60</definedName>
    <definedName name="_xlnm.Print_Area" localSheetId="12">'31.10 BULIISA-HOIMA'!$A$1:$AF$60</definedName>
    <definedName name="_xlnm.Print_Area" localSheetId="13">'31.10 HOIMA-BULIISA'!$A$1:$AF$60</definedName>
    <definedName name="_xlnm.Print_Area" localSheetId="14">'Avg Week Buliisa-Hoima'!$A$1:$AF$108</definedName>
    <definedName name="_xlnm.Print_Area" localSheetId="16">'Avg Week Buliisa-Hoima-2Dir'!$A$1:$AF$108</definedName>
    <definedName name="_xlnm.Print_Area" localSheetId="15">'Avg Week Hoima-Buliisa'!$A$1:$AF$108</definedName>
    <definedName name="_xlnm.Print_Titles" localSheetId="0">'25.10 BULIISA-HOIMA'!$1:$8</definedName>
    <definedName name="_xlnm.Print_Titles" localSheetId="1">'25.10 HOIMA-BULIISA'!$1:$8</definedName>
    <definedName name="_xlnm.Print_Titles" localSheetId="2">'26.10 BULIISA-HOIMA-24h'!$1:$8</definedName>
    <definedName name="_xlnm.Print_Titles" localSheetId="3">'26.10 HOIMA-BULIISA-24h'!$1:$8</definedName>
    <definedName name="_xlnm.Print_Titles" localSheetId="4">'27.10 BULIISA-HOIMA'!$1:$8</definedName>
    <definedName name="_xlnm.Print_Titles" localSheetId="5">'27.10 HOIMA-BULIISA'!$1:$8</definedName>
    <definedName name="_xlnm.Print_Titles" localSheetId="6">'28.10 BULIISA-HOIMA-24h'!$1:$8</definedName>
    <definedName name="_xlnm.Print_Titles" localSheetId="7">'28.10 HOIMA-BULIISA-24h'!$1:$8</definedName>
    <definedName name="_xlnm.Print_Titles" localSheetId="8">'29.10 BULIISA-HOIMA'!$1:$8</definedName>
    <definedName name="_xlnm.Print_Titles" localSheetId="9">'29.10 HOIMA-BULIISA'!$1:$8</definedName>
    <definedName name="_xlnm.Print_Titles" localSheetId="10">'30.10 BULIISA-HOIMA'!$1:$8</definedName>
    <definedName name="_xlnm.Print_Titles" localSheetId="11">'30.10 HOIMA-BULIISA'!$1:$8</definedName>
    <definedName name="_xlnm.Print_Titles" localSheetId="12">'31.10 BULIISA-HOIMA'!$1:$8</definedName>
    <definedName name="_xlnm.Print_Titles" localSheetId="13">'31.10 HOIMA-BULIISA'!$1:$8</definedName>
    <definedName name="_xlnm.Print_Titles" localSheetId="14">'Avg Week Buliisa-Hoima'!$1:$8</definedName>
    <definedName name="_xlnm.Print_Titles" localSheetId="16">'Avg Week Buliisa-Hoima-2Dir'!$1:$8</definedName>
    <definedName name="_xlnm.Print_Titles" localSheetId="15">'Avg Week Hoima-Buliisa'!$1:$8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3" i="108" l="1"/>
  <c r="AC24" i="107"/>
  <c r="I60" i="111"/>
  <c r="K61" i="111"/>
  <c r="E65" i="111"/>
  <c r="K69" i="111"/>
  <c r="D71" i="111"/>
  <c r="D74" i="111"/>
  <c r="M74" i="111"/>
  <c r="N76" i="111"/>
  <c r="L77" i="111"/>
  <c r="M79" i="111"/>
  <c r="K80" i="111"/>
  <c r="L82" i="111"/>
  <c r="J83" i="111"/>
  <c r="K85" i="111"/>
  <c r="I86" i="111"/>
  <c r="J88" i="111"/>
  <c r="H89" i="111"/>
  <c r="I91" i="111"/>
  <c r="G92" i="111"/>
  <c r="H94" i="111"/>
  <c r="F95" i="111"/>
  <c r="G97" i="111"/>
  <c r="E98" i="111"/>
  <c r="F100" i="111"/>
  <c r="D101" i="111"/>
  <c r="E103" i="111"/>
  <c r="N103" i="111"/>
  <c r="K105" i="111"/>
  <c r="C71" i="111"/>
  <c r="C82" i="111"/>
  <c r="C90" i="111"/>
  <c r="C98" i="111"/>
  <c r="D58" i="108"/>
  <c r="E58" i="108"/>
  <c r="F58" i="108"/>
  <c r="G58" i="108"/>
  <c r="H58" i="108"/>
  <c r="I58" i="108"/>
  <c r="J58" i="108"/>
  <c r="K58" i="108"/>
  <c r="L58" i="108"/>
  <c r="M58" i="108"/>
  <c r="N58" i="108"/>
  <c r="AD22" i="108" s="1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Z23" i="108" s="1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V24" i="108" s="1"/>
  <c r="G66" i="108"/>
  <c r="H66" i="108"/>
  <c r="I66" i="108"/>
  <c r="J66" i="108"/>
  <c r="K66" i="108"/>
  <c r="L66" i="108"/>
  <c r="M66" i="108"/>
  <c r="N66" i="108"/>
  <c r="AD24" i="108" s="1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Z25" i="108" s="1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V26" i="108" s="1"/>
  <c r="G74" i="108"/>
  <c r="H74" i="108"/>
  <c r="I74" i="108"/>
  <c r="J74" i="108"/>
  <c r="K74" i="108"/>
  <c r="L74" i="108"/>
  <c r="M74" i="108"/>
  <c r="N74" i="108"/>
  <c r="AD26" i="108" s="1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Z27" i="108" s="1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H82" i="108"/>
  <c r="I82" i="108"/>
  <c r="J82" i="108"/>
  <c r="K82" i="108"/>
  <c r="L82" i="108"/>
  <c r="M82" i="108"/>
  <c r="N82" i="108"/>
  <c r="AD28" i="108" s="1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Z29" i="108" s="1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O88" i="108" s="1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V30" i="108" s="1"/>
  <c r="G90" i="108"/>
  <c r="H90" i="108"/>
  <c r="I90" i="108"/>
  <c r="J90" i="108"/>
  <c r="K90" i="108"/>
  <c r="L90" i="108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Z31" i="108" s="1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V32" i="108" s="1"/>
  <c r="G98" i="108"/>
  <c r="H98" i="108"/>
  <c r="I98" i="108"/>
  <c r="J98" i="108"/>
  <c r="K98" i="108"/>
  <c r="L98" i="108"/>
  <c r="M98" i="108"/>
  <c r="N98" i="108"/>
  <c r="AD32" i="108" s="1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Z33" i="108" s="1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P78" i="108" s="1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D59" i="111" s="1"/>
  <c r="E59" i="107"/>
  <c r="E59" i="111" s="1"/>
  <c r="F59" i="107"/>
  <c r="G59" i="107"/>
  <c r="G59" i="111" s="1"/>
  <c r="H59" i="107"/>
  <c r="H59" i="111" s="1"/>
  <c r="I59" i="107"/>
  <c r="I59" i="111" s="1"/>
  <c r="J59" i="107"/>
  <c r="J59" i="111" s="1"/>
  <c r="K59" i="107"/>
  <c r="L59" i="107"/>
  <c r="L59" i="111" s="1"/>
  <c r="M59" i="107"/>
  <c r="M59" i="111" s="1"/>
  <c r="N59" i="107"/>
  <c r="N59" i="111" s="1"/>
  <c r="D60" i="107"/>
  <c r="D60" i="111" s="1"/>
  <c r="E60" i="107"/>
  <c r="F60" i="107"/>
  <c r="F60" i="111" s="1"/>
  <c r="G60" i="107"/>
  <c r="G60" i="111" s="1"/>
  <c r="H60" i="107"/>
  <c r="I60" i="107"/>
  <c r="J60" i="107"/>
  <c r="J60" i="111" s="1"/>
  <c r="K60" i="107"/>
  <c r="K60" i="111" s="1"/>
  <c r="L60" i="107"/>
  <c r="L60" i="111" s="1"/>
  <c r="M60" i="107"/>
  <c r="N60" i="107"/>
  <c r="N60" i="111" s="1"/>
  <c r="D61" i="107"/>
  <c r="D61" i="111" s="1"/>
  <c r="E61" i="107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L61" i="107"/>
  <c r="L61" i="111" s="1"/>
  <c r="M61" i="107"/>
  <c r="N61" i="107"/>
  <c r="N61" i="111" s="1"/>
  <c r="D62" i="107"/>
  <c r="E62" i="107"/>
  <c r="F62" i="107"/>
  <c r="G62" i="107"/>
  <c r="H62" i="107"/>
  <c r="I62" i="107"/>
  <c r="J62" i="107"/>
  <c r="K62" i="107"/>
  <c r="L62" i="107"/>
  <c r="M62" i="107"/>
  <c r="N62" i="107"/>
  <c r="N62" i="111" s="1"/>
  <c r="D63" i="107"/>
  <c r="E63" i="107"/>
  <c r="E63" i="111" s="1"/>
  <c r="F63" i="107"/>
  <c r="F63" i="111" s="1"/>
  <c r="G63" i="107"/>
  <c r="H63" i="107"/>
  <c r="H63" i="111" s="1"/>
  <c r="I63" i="107"/>
  <c r="I63" i="111" s="1"/>
  <c r="J63" i="107"/>
  <c r="J63" i="111" s="1"/>
  <c r="K63" i="107"/>
  <c r="K63" i="111" s="1"/>
  <c r="L63" i="107"/>
  <c r="M63" i="107"/>
  <c r="M63" i="111" s="1"/>
  <c r="N63" i="107"/>
  <c r="N63" i="111" s="1"/>
  <c r="D64" i="107"/>
  <c r="E64" i="107"/>
  <c r="E64" i="111" s="1"/>
  <c r="F64" i="107"/>
  <c r="F64" i="111" s="1"/>
  <c r="G64" i="107"/>
  <c r="G64" i="111" s="1"/>
  <c r="H64" i="107"/>
  <c r="H64" i="111" s="1"/>
  <c r="I64" i="107"/>
  <c r="J64" i="107"/>
  <c r="J64" i="111" s="1"/>
  <c r="K64" i="107"/>
  <c r="K64" i="111" s="1"/>
  <c r="L64" i="107"/>
  <c r="M64" i="107"/>
  <c r="M64" i="111" s="1"/>
  <c r="N64" i="107"/>
  <c r="N64" i="111" s="1"/>
  <c r="D65" i="107"/>
  <c r="D65" i="111" s="1"/>
  <c r="E65" i="107"/>
  <c r="F65" i="107"/>
  <c r="F65" i="111" s="1"/>
  <c r="G65" i="107"/>
  <c r="G65" i="111" s="1"/>
  <c r="H65" i="107"/>
  <c r="H65" i="111" s="1"/>
  <c r="I65" i="107"/>
  <c r="J65" i="107"/>
  <c r="J65" i="111" s="1"/>
  <c r="K65" i="107"/>
  <c r="K65" i="111" s="1"/>
  <c r="L65" i="107"/>
  <c r="L65" i="111" s="1"/>
  <c r="M65" i="107"/>
  <c r="M65" i="111" s="1"/>
  <c r="N65" i="107"/>
  <c r="D66" i="107"/>
  <c r="E66" i="107"/>
  <c r="F66" i="107"/>
  <c r="G66" i="107"/>
  <c r="G66" i="111" s="1"/>
  <c r="H66" i="107"/>
  <c r="I66" i="107"/>
  <c r="J66" i="107"/>
  <c r="K66" i="107"/>
  <c r="L66" i="107"/>
  <c r="M66" i="107"/>
  <c r="M66" i="111" s="1"/>
  <c r="N66" i="107"/>
  <c r="AD24" i="107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L67" i="107"/>
  <c r="L67" i="111" s="1"/>
  <c r="M67" i="107"/>
  <c r="M67" i="111" s="1"/>
  <c r="N67" i="107"/>
  <c r="N67" i="111" s="1"/>
  <c r="D68" i="107"/>
  <c r="D68" i="111" s="1"/>
  <c r="E68" i="107"/>
  <c r="F68" i="107"/>
  <c r="F68" i="111" s="1"/>
  <c r="G68" i="107"/>
  <c r="G68" i="111" s="1"/>
  <c r="H68" i="107"/>
  <c r="I68" i="107"/>
  <c r="I68" i="111" s="1"/>
  <c r="J68" i="107"/>
  <c r="J68" i="111" s="1"/>
  <c r="K68" i="107"/>
  <c r="K68" i="111" s="1"/>
  <c r="L68" i="107"/>
  <c r="L68" i="111" s="1"/>
  <c r="M68" i="107"/>
  <c r="N68" i="107"/>
  <c r="N68" i="111" s="1"/>
  <c r="D69" i="107"/>
  <c r="D69" i="111" s="1"/>
  <c r="E69" i="107"/>
  <c r="F69" i="107"/>
  <c r="F69" i="111" s="1"/>
  <c r="G69" i="107"/>
  <c r="G69" i="111" s="1"/>
  <c r="H69" i="107"/>
  <c r="H69" i="111" s="1"/>
  <c r="I69" i="107"/>
  <c r="I69" i="111" s="1"/>
  <c r="J69" i="107"/>
  <c r="K69" i="107"/>
  <c r="L69" i="107"/>
  <c r="L69" i="111" s="1"/>
  <c r="M69" i="107"/>
  <c r="N69" i="107"/>
  <c r="N69" i="111" s="1"/>
  <c r="D70" i="107"/>
  <c r="E70" i="107"/>
  <c r="F70" i="107"/>
  <c r="G70" i="107"/>
  <c r="H70" i="107"/>
  <c r="I70" i="107"/>
  <c r="J70" i="107"/>
  <c r="K70" i="107"/>
  <c r="L70" i="107"/>
  <c r="M70" i="107"/>
  <c r="N70" i="107"/>
  <c r="N70" i="111" s="1"/>
  <c r="D71" i="107"/>
  <c r="E71" i="107"/>
  <c r="E71" i="111" s="1"/>
  <c r="F71" i="107"/>
  <c r="F71" i="111" s="1"/>
  <c r="G71" i="107"/>
  <c r="H71" i="107"/>
  <c r="H71" i="111" s="1"/>
  <c r="I71" i="107"/>
  <c r="I71" i="111" s="1"/>
  <c r="J71" i="107"/>
  <c r="J71" i="111" s="1"/>
  <c r="K71" i="107"/>
  <c r="K71" i="111" s="1"/>
  <c r="L71" i="107"/>
  <c r="M71" i="107"/>
  <c r="M71" i="111" s="1"/>
  <c r="N71" i="107"/>
  <c r="N71" i="111" s="1"/>
  <c r="D72" i="107"/>
  <c r="E72" i="107"/>
  <c r="E72" i="111" s="1"/>
  <c r="F72" i="107"/>
  <c r="F72" i="111" s="1"/>
  <c r="G72" i="107"/>
  <c r="G72" i="111" s="1"/>
  <c r="H72" i="107"/>
  <c r="H72" i="111" s="1"/>
  <c r="I72" i="107"/>
  <c r="J72" i="107"/>
  <c r="J72" i="111" s="1"/>
  <c r="K72" i="107"/>
  <c r="K72" i="111" s="1"/>
  <c r="L72" i="107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J73" i="107"/>
  <c r="J73" i="111" s="1"/>
  <c r="K73" i="107"/>
  <c r="K73" i="111" s="1"/>
  <c r="L73" i="107"/>
  <c r="L73" i="111" s="1"/>
  <c r="M73" i="107"/>
  <c r="M73" i="111" s="1"/>
  <c r="N73" i="107"/>
  <c r="D74" i="107"/>
  <c r="E74" i="107"/>
  <c r="E74" i="111" s="1"/>
  <c r="F74" i="107"/>
  <c r="G74" i="107"/>
  <c r="H74" i="107"/>
  <c r="I74" i="107"/>
  <c r="J74" i="107"/>
  <c r="K74" i="107"/>
  <c r="L74" i="107"/>
  <c r="L74" i="111" s="1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I75" i="107"/>
  <c r="I75" i="111" s="1"/>
  <c r="J75" i="107"/>
  <c r="J75" i="111" s="1"/>
  <c r="K75" i="107"/>
  <c r="L75" i="107"/>
  <c r="L75" i="111" s="1"/>
  <c r="M75" i="107"/>
  <c r="M75" i="111" s="1"/>
  <c r="N75" i="107"/>
  <c r="N75" i="111" s="1"/>
  <c r="D76" i="107"/>
  <c r="D76" i="111" s="1"/>
  <c r="E76" i="107"/>
  <c r="F76" i="107"/>
  <c r="F76" i="111" s="1"/>
  <c r="G76" i="107"/>
  <c r="G76" i="111" s="1"/>
  <c r="H76" i="107"/>
  <c r="I76" i="107"/>
  <c r="I76" i="111" s="1"/>
  <c r="J76" i="107"/>
  <c r="J76" i="111" s="1"/>
  <c r="K76" i="107"/>
  <c r="K76" i="111" s="1"/>
  <c r="L76" i="107"/>
  <c r="L76" i="111" s="1"/>
  <c r="M76" i="107"/>
  <c r="N76" i="107"/>
  <c r="D77" i="107"/>
  <c r="D77" i="111" s="1"/>
  <c r="E77" i="107"/>
  <c r="F77" i="107"/>
  <c r="F77" i="111" s="1"/>
  <c r="G77" i="107"/>
  <c r="G77" i="111" s="1"/>
  <c r="H77" i="107"/>
  <c r="H77" i="111" s="1"/>
  <c r="I77" i="107"/>
  <c r="I77" i="111" s="1"/>
  <c r="J77" i="107"/>
  <c r="K77" i="107"/>
  <c r="K77" i="111" s="1"/>
  <c r="L77" i="107"/>
  <c r="M77" i="107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E79" i="111" s="1"/>
  <c r="F79" i="107"/>
  <c r="F79" i="111" s="1"/>
  <c r="G79" i="107"/>
  <c r="H79" i="107"/>
  <c r="H79" i="111" s="1"/>
  <c r="I79" i="107"/>
  <c r="I79" i="111" s="1"/>
  <c r="J79" i="107"/>
  <c r="J79" i="111" s="1"/>
  <c r="K79" i="107"/>
  <c r="K79" i="111" s="1"/>
  <c r="L79" i="107"/>
  <c r="M79" i="107"/>
  <c r="N79" i="107"/>
  <c r="N79" i="111" s="1"/>
  <c r="D80" i="107"/>
  <c r="E80" i="107"/>
  <c r="E80" i="111" s="1"/>
  <c r="F80" i="107"/>
  <c r="F80" i="111" s="1"/>
  <c r="G80" i="107"/>
  <c r="G80" i="111" s="1"/>
  <c r="H80" i="107"/>
  <c r="H80" i="111" s="1"/>
  <c r="I80" i="107"/>
  <c r="J80" i="107"/>
  <c r="J80" i="111" s="1"/>
  <c r="K80" i="107"/>
  <c r="L80" i="107"/>
  <c r="M80" i="107"/>
  <c r="M80" i="111" s="1"/>
  <c r="N80" i="107"/>
  <c r="N80" i="111" s="1"/>
  <c r="D81" i="107"/>
  <c r="D81" i="111" s="1"/>
  <c r="E81" i="107"/>
  <c r="E81" i="111" s="1"/>
  <c r="F81" i="107"/>
  <c r="G81" i="107"/>
  <c r="G81" i="111" s="1"/>
  <c r="H81" i="107"/>
  <c r="H81" i="111" s="1"/>
  <c r="I81" i="107"/>
  <c r="J81" i="107"/>
  <c r="J81" i="111" s="1"/>
  <c r="K81" i="107"/>
  <c r="K81" i="111" s="1"/>
  <c r="L81" i="107"/>
  <c r="L81" i="111" s="1"/>
  <c r="M81" i="107"/>
  <c r="M81" i="111" s="1"/>
  <c r="N81" i="107"/>
  <c r="D82" i="107"/>
  <c r="E82" i="107"/>
  <c r="E82" i="111" s="1"/>
  <c r="F82" i="107"/>
  <c r="G82" i="107"/>
  <c r="H82" i="107"/>
  <c r="I82" i="107"/>
  <c r="J82" i="107"/>
  <c r="K82" i="107"/>
  <c r="L82" i="107"/>
  <c r="M82" i="107"/>
  <c r="M82" i="111" s="1"/>
  <c r="N82" i="107"/>
  <c r="D83" i="107"/>
  <c r="D83" i="111" s="1"/>
  <c r="E83" i="107"/>
  <c r="E83" i="111" s="1"/>
  <c r="F83" i="107"/>
  <c r="F83" i="111" s="1"/>
  <c r="G83" i="107"/>
  <c r="G83" i="111" s="1"/>
  <c r="H83" i="107"/>
  <c r="I83" i="107"/>
  <c r="I83" i="111" s="1"/>
  <c r="J83" i="107"/>
  <c r="K83" i="107"/>
  <c r="L83" i="107"/>
  <c r="L83" i="111" s="1"/>
  <c r="M83" i="107"/>
  <c r="M83" i="111" s="1"/>
  <c r="N83" i="107"/>
  <c r="N83" i="111" s="1"/>
  <c r="D84" i="107"/>
  <c r="D84" i="111" s="1"/>
  <c r="E84" i="107"/>
  <c r="F84" i="107"/>
  <c r="F84" i="111" s="1"/>
  <c r="G84" i="107"/>
  <c r="G84" i="111" s="1"/>
  <c r="H84" i="107"/>
  <c r="I84" i="107"/>
  <c r="I84" i="111" s="1"/>
  <c r="J84" i="107"/>
  <c r="J84" i="111" s="1"/>
  <c r="K84" i="107"/>
  <c r="K84" i="111" s="1"/>
  <c r="L84" i="107"/>
  <c r="L84" i="111" s="1"/>
  <c r="M84" i="107"/>
  <c r="N84" i="107"/>
  <c r="N84" i="111" s="1"/>
  <c r="D85" i="107"/>
  <c r="D85" i="111" s="1"/>
  <c r="E85" i="107"/>
  <c r="U28" i="107" s="1"/>
  <c r="F85" i="107"/>
  <c r="F85" i="111" s="1"/>
  <c r="G85" i="107"/>
  <c r="G85" i="111" s="1"/>
  <c r="H85" i="107"/>
  <c r="H85" i="111" s="1"/>
  <c r="I85" i="107"/>
  <c r="I85" i="111" s="1"/>
  <c r="J85" i="107"/>
  <c r="K85" i="107"/>
  <c r="L85" i="107"/>
  <c r="L85" i="111" s="1"/>
  <c r="M85" i="107"/>
  <c r="N85" i="107"/>
  <c r="N85" i="111" s="1"/>
  <c r="D86" i="107"/>
  <c r="E86" i="107"/>
  <c r="F86" i="107"/>
  <c r="G86" i="107"/>
  <c r="H86" i="107"/>
  <c r="H86" i="111" s="1"/>
  <c r="I86" i="107"/>
  <c r="J86" i="107"/>
  <c r="K86" i="107"/>
  <c r="L86" i="107"/>
  <c r="M86" i="107"/>
  <c r="N86" i="107"/>
  <c r="D87" i="107"/>
  <c r="E87" i="107"/>
  <c r="E87" i="111" s="1"/>
  <c r="F87" i="107"/>
  <c r="F87" i="111" s="1"/>
  <c r="G87" i="107"/>
  <c r="H87" i="107"/>
  <c r="H87" i="111" s="1"/>
  <c r="I87" i="107"/>
  <c r="I87" i="111" s="1"/>
  <c r="J87" i="107"/>
  <c r="J87" i="111" s="1"/>
  <c r="K87" i="107"/>
  <c r="K87" i="111" s="1"/>
  <c r="L87" i="107"/>
  <c r="M87" i="107"/>
  <c r="M87" i="111" s="1"/>
  <c r="N87" i="107"/>
  <c r="N87" i="111" s="1"/>
  <c r="D88" i="107"/>
  <c r="E88" i="107"/>
  <c r="E88" i="111" s="1"/>
  <c r="F88" i="107"/>
  <c r="F88" i="111" s="1"/>
  <c r="G88" i="107"/>
  <c r="G88" i="111" s="1"/>
  <c r="H88" i="107"/>
  <c r="H88" i="111" s="1"/>
  <c r="I88" i="107"/>
  <c r="J88" i="107"/>
  <c r="K88" i="107"/>
  <c r="K88" i="111" s="1"/>
  <c r="L88" i="107"/>
  <c r="M88" i="107"/>
  <c r="M88" i="111" s="1"/>
  <c r="N88" i="107"/>
  <c r="N88" i="111" s="1"/>
  <c r="D89" i="107"/>
  <c r="D89" i="111" s="1"/>
  <c r="E89" i="107"/>
  <c r="E89" i="111" s="1"/>
  <c r="F89" i="107"/>
  <c r="G89" i="107"/>
  <c r="G89" i="111" s="1"/>
  <c r="H89" i="107"/>
  <c r="I89" i="107"/>
  <c r="J89" i="107"/>
  <c r="J89" i="111" s="1"/>
  <c r="K89" i="107"/>
  <c r="K89" i="111" s="1"/>
  <c r="L89" i="107"/>
  <c r="L89" i="111" s="1"/>
  <c r="M89" i="107"/>
  <c r="M89" i="111" s="1"/>
  <c r="N89" i="107"/>
  <c r="D90" i="107"/>
  <c r="E90" i="107"/>
  <c r="F90" i="107"/>
  <c r="G90" i="107"/>
  <c r="H90" i="107"/>
  <c r="I90" i="107"/>
  <c r="J90" i="107"/>
  <c r="J90" i="111" s="1"/>
  <c r="K90" i="107"/>
  <c r="L90" i="107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I91" i="107"/>
  <c r="J91" i="107"/>
  <c r="J91" i="111" s="1"/>
  <c r="K91" i="107"/>
  <c r="L91" i="107"/>
  <c r="L91" i="111" s="1"/>
  <c r="M91" i="107"/>
  <c r="M91" i="111" s="1"/>
  <c r="N91" i="107"/>
  <c r="N91" i="111" s="1"/>
  <c r="D92" i="107"/>
  <c r="D92" i="111" s="1"/>
  <c r="E92" i="107"/>
  <c r="F92" i="107"/>
  <c r="F92" i="111" s="1"/>
  <c r="G92" i="107"/>
  <c r="H92" i="107"/>
  <c r="I92" i="107"/>
  <c r="I92" i="111" s="1"/>
  <c r="J92" i="107"/>
  <c r="J92" i="111" s="1"/>
  <c r="K92" i="107"/>
  <c r="K92" i="111" s="1"/>
  <c r="L92" i="107"/>
  <c r="L92" i="111" s="1"/>
  <c r="M92" i="107"/>
  <c r="N92" i="107"/>
  <c r="N92" i="111" s="1"/>
  <c r="D93" i="107"/>
  <c r="D93" i="111" s="1"/>
  <c r="E93" i="107"/>
  <c r="F93" i="107"/>
  <c r="F93" i="111" s="1"/>
  <c r="G93" i="107"/>
  <c r="G93" i="111" s="1"/>
  <c r="H93" i="107"/>
  <c r="H93" i="111" s="1"/>
  <c r="I93" i="107"/>
  <c r="I93" i="111" s="1"/>
  <c r="J93" i="107"/>
  <c r="K93" i="107"/>
  <c r="K93" i="111" s="1"/>
  <c r="L93" i="107"/>
  <c r="L93" i="111" s="1"/>
  <c r="M93" i="107"/>
  <c r="N93" i="107"/>
  <c r="N93" i="111" s="1"/>
  <c r="D94" i="107"/>
  <c r="E94" i="107"/>
  <c r="F94" i="107"/>
  <c r="G94" i="107"/>
  <c r="H94" i="107"/>
  <c r="I94" i="107"/>
  <c r="I94" i="111" s="1"/>
  <c r="J94" i="107"/>
  <c r="K94" i="107"/>
  <c r="L94" i="107"/>
  <c r="M94" i="107"/>
  <c r="N94" i="107"/>
  <c r="D95" i="107"/>
  <c r="E95" i="107"/>
  <c r="E95" i="111" s="1"/>
  <c r="F95" i="107"/>
  <c r="G95" i="107"/>
  <c r="H95" i="107"/>
  <c r="H95" i="111" s="1"/>
  <c r="I95" i="107"/>
  <c r="I95" i="111" s="1"/>
  <c r="J95" i="107"/>
  <c r="J95" i="111" s="1"/>
  <c r="K95" i="107"/>
  <c r="K95" i="111" s="1"/>
  <c r="L95" i="107"/>
  <c r="M95" i="107"/>
  <c r="M95" i="111" s="1"/>
  <c r="N95" i="107"/>
  <c r="N95" i="111" s="1"/>
  <c r="D96" i="107"/>
  <c r="E96" i="107"/>
  <c r="E96" i="111" s="1"/>
  <c r="F96" i="107"/>
  <c r="F96" i="111" s="1"/>
  <c r="G96" i="107"/>
  <c r="G96" i="111" s="1"/>
  <c r="H96" i="107"/>
  <c r="H96" i="111" s="1"/>
  <c r="I96" i="107"/>
  <c r="J96" i="107"/>
  <c r="J96" i="111" s="1"/>
  <c r="K96" i="107"/>
  <c r="K96" i="111" s="1"/>
  <c r="L96" i="107"/>
  <c r="M96" i="107"/>
  <c r="M96" i="111" s="1"/>
  <c r="N96" i="107"/>
  <c r="N96" i="111" s="1"/>
  <c r="D97" i="107"/>
  <c r="D97" i="111" s="1"/>
  <c r="E97" i="107"/>
  <c r="E97" i="111" s="1"/>
  <c r="F97" i="107"/>
  <c r="G97" i="107"/>
  <c r="H97" i="107"/>
  <c r="H97" i="111" s="1"/>
  <c r="I97" i="107"/>
  <c r="J97" i="107"/>
  <c r="J97" i="111" s="1"/>
  <c r="K97" i="107"/>
  <c r="K97" i="111" s="1"/>
  <c r="L97" i="107"/>
  <c r="L97" i="111" s="1"/>
  <c r="M97" i="107"/>
  <c r="M97" i="111" s="1"/>
  <c r="N97" i="107"/>
  <c r="D98" i="107"/>
  <c r="D98" i="111" s="1"/>
  <c r="E98" i="107"/>
  <c r="F98" i="107"/>
  <c r="G98" i="107"/>
  <c r="H98" i="107"/>
  <c r="I98" i="107"/>
  <c r="J98" i="107"/>
  <c r="K98" i="107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I99" i="107"/>
  <c r="I99" i="111" s="1"/>
  <c r="J99" i="107"/>
  <c r="J99" i="111" s="1"/>
  <c r="K99" i="107"/>
  <c r="L99" i="107"/>
  <c r="L99" i="111" s="1"/>
  <c r="M99" i="107"/>
  <c r="M99" i="111" s="1"/>
  <c r="N99" i="107"/>
  <c r="N99" i="111" s="1"/>
  <c r="D100" i="107"/>
  <c r="D100" i="111" s="1"/>
  <c r="E100" i="107"/>
  <c r="F100" i="107"/>
  <c r="G100" i="107"/>
  <c r="G100" i="111" s="1"/>
  <c r="H100" i="107"/>
  <c r="I100" i="107"/>
  <c r="I100" i="111" s="1"/>
  <c r="J100" i="107"/>
  <c r="J100" i="111" s="1"/>
  <c r="K100" i="107"/>
  <c r="K100" i="111" s="1"/>
  <c r="L100" i="107"/>
  <c r="L100" i="111" s="1"/>
  <c r="M100" i="107"/>
  <c r="N100" i="107"/>
  <c r="N100" i="111" s="1"/>
  <c r="D101" i="107"/>
  <c r="E101" i="107"/>
  <c r="F101" i="107"/>
  <c r="F101" i="111" s="1"/>
  <c r="G101" i="107"/>
  <c r="G101" i="111" s="1"/>
  <c r="H101" i="107"/>
  <c r="H101" i="111" s="1"/>
  <c r="I101" i="107"/>
  <c r="I101" i="111" s="1"/>
  <c r="J101" i="107"/>
  <c r="K101" i="107"/>
  <c r="K101" i="111" s="1"/>
  <c r="L101" i="107"/>
  <c r="L101" i="111" s="1"/>
  <c r="M101" i="107"/>
  <c r="N101" i="107"/>
  <c r="N101" i="111" s="1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M103" i="107"/>
  <c r="M103" i="111" s="1"/>
  <c r="N103" i="107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G105" i="107"/>
  <c r="G105" i="111" s="1"/>
  <c r="H105" i="107"/>
  <c r="H105" i="111" s="1"/>
  <c r="I105" i="107"/>
  <c r="I105" i="111" s="1"/>
  <c r="J105" i="107"/>
  <c r="J105" i="111" s="1"/>
  <c r="K105" i="107"/>
  <c r="L105" i="107"/>
  <c r="L105" i="111" s="1"/>
  <c r="M105" i="107"/>
  <c r="M105" i="111" s="1"/>
  <c r="N105" i="107"/>
  <c r="C59" i="107"/>
  <c r="C60" i="107"/>
  <c r="C61" i="107"/>
  <c r="C62" i="107"/>
  <c r="C63" i="107"/>
  <c r="C64" i="107"/>
  <c r="C65" i="107"/>
  <c r="C66" i="107"/>
  <c r="C67" i="107"/>
  <c r="C67" i="111" s="1"/>
  <c r="C68" i="107"/>
  <c r="C68" i="111" s="1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89" i="111" s="1"/>
  <c r="C90" i="107"/>
  <c r="C91" i="107"/>
  <c r="C92" i="107"/>
  <c r="C93" i="107"/>
  <c r="C94" i="107"/>
  <c r="C95" i="107"/>
  <c r="C96" i="107"/>
  <c r="C97" i="107"/>
  <c r="C97" i="111" s="1"/>
  <c r="C98" i="107"/>
  <c r="C99" i="107"/>
  <c r="C100" i="107"/>
  <c r="C101" i="107"/>
  <c r="C102" i="107"/>
  <c r="C103" i="107"/>
  <c r="C104" i="107"/>
  <c r="C105" i="107"/>
  <c r="C105" i="111" s="1"/>
  <c r="C58" i="111"/>
  <c r="C58" i="108"/>
  <c r="C58" i="107"/>
  <c r="O58" i="107" s="1"/>
  <c r="W24" i="111" l="1"/>
  <c r="X29" i="111"/>
  <c r="AB26" i="111"/>
  <c r="T32" i="111"/>
  <c r="P69" i="107"/>
  <c r="O69" i="107"/>
  <c r="C69" i="111"/>
  <c r="P69" i="108"/>
  <c r="O69" i="108"/>
  <c r="P101" i="107"/>
  <c r="O101" i="107"/>
  <c r="C101" i="111"/>
  <c r="P85" i="108"/>
  <c r="O85" i="108"/>
  <c r="AA30" i="107"/>
  <c r="P67" i="108"/>
  <c r="P77" i="107"/>
  <c r="O77" i="107"/>
  <c r="C77" i="111"/>
  <c r="P101" i="108"/>
  <c r="O101" i="108"/>
  <c r="P77" i="108"/>
  <c r="O77" i="108"/>
  <c r="P61" i="108"/>
  <c r="O61" i="108"/>
  <c r="V22" i="108"/>
  <c r="P58" i="108"/>
  <c r="P81" i="107"/>
  <c r="P61" i="107"/>
  <c r="O61" i="107"/>
  <c r="C61" i="111"/>
  <c r="P80" i="107"/>
  <c r="O80" i="107"/>
  <c r="C80" i="111"/>
  <c r="AC33" i="107"/>
  <c r="M102" i="111"/>
  <c r="AC33" i="111" s="1"/>
  <c r="E78" i="111"/>
  <c r="U27" i="111" s="1"/>
  <c r="U27" i="107"/>
  <c r="F59" i="111"/>
  <c r="P59" i="107"/>
  <c r="I58" i="111"/>
  <c r="Y22" i="111" s="1"/>
  <c r="Y22" i="107"/>
  <c r="P85" i="107"/>
  <c r="O85" i="107"/>
  <c r="C85" i="111"/>
  <c r="P93" i="108"/>
  <c r="O93" i="108"/>
  <c r="P104" i="107"/>
  <c r="O104" i="107"/>
  <c r="C104" i="111"/>
  <c r="P88" i="107"/>
  <c r="O88" i="107"/>
  <c r="C88" i="111"/>
  <c r="P64" i="107"/>
  <c r="O64" i="107"/>
  <c r="C64" i="111"/>
  <c r="Y32" i="107"/>
  <c r="I98" i="111"/>
  <c r="Y32" i="111" s="1"/>
  <c r="AC31" i="107"/>
  <c r="M94" i="111"/>
  <c r="AC31" i="111" s="1"/>
  <c r="Y26" i="107"/>
  <c r="I74" i="111"/>
  <c r="Y26" i="111" s="1"/>
  <c r="AC25" i="107"/>
  <c r="M70" i="111"/>
  <c r="AC25" i="111" s="1"/>
  <c r="Y24" i="107"/>
  <c r="I66" i="111"/>
  <c r="Y24" i="111" s="1"/>
  <c r="U23" i="107"/>
  <c r="E62" i="111"/>
  <c r="U23" i="111" s="1"/>
  <c r="P93" i="107"/>
  <c r="O93" i="107"/>
  <c r="C93" i="111"/>
  <c r="P96" i="107"/>
  <c r="O96" i="107"/>
  <c r="C96" i="111"/>
  <c r="P72" i="107"/>
  <c r="O72" i="107"/>
  <c r="C72" i="111"/>
  <c r="U33" i="107"/>
  <c r="E102" i="111"/>
  <c r="U33" i="111" s="1"/>
  <c r="U31" i="107"/>
  <c r="E94" i="111"/>
  <c r="U31" i="111" s="1"/>
  <c r="I90" i="111"/>
  <c r="Y30" i="111" s="1"/>
  <c r="Y30" i="107"/>
  <c r="AC29" i="107"/>
  <c r="M86" i="111"/>
  <c r="AC29" i="111" s="1"/>
  <c r="U29" i="107"/>
  <c r="E86" i="111"/>
  <c r="U29" i="111" s="1"/>
  <c r="Y28" i="107"/>
  <c r="I82" i="111"/>
  <c r="Y28" i="111" s="1"/>
  <c r="AC27" i="107"/>
  <c r="M78" i="111"/>
  <c r="AC27" i="111" s="1"/>
  <c r="U25" i="107"/>
  <c r="E70" i="111"/>
  <c r="U25" i="111" s="1"/>
  <c r="AC23" i="107"/>
  <c r="M62" i="111"/>
  <c r="AC23" i="111" s="1"/>
  <c r="O103" i="107"/>
  <c r="P103" i="107"/>
  <c r="O95" i="107"/>
  <c r="P95" i="107"/>
  <c r="O87" i="107"/>
  <c r="P87" i="107"/>
  <c r="O79" i="107"/>
  <c r="P79" i="107"/>
  <c r="O71" i="107"/>
  <c r="P71" i="107"/>
  <c r="O63" i="107"/>
  <c r="P63" i="107"/>
  <c r="AB33" i="107"/>
  <c r="L102" i="111"/>
  <c r="T33" i="107"/>
  <c r="D102" i="111"/>
  <c r="X32" i="107"/>
  <c r="H98" i="111"/>
  <c r="L94" i="111"/>
  <c r="AB31" i="107"/>
  <c r="T31" i="107"/>
  <c r="D94" i="111"/>
  <c r="X30" i="107"/>
  <c r="H90" i="111"/>
  <c r="AB29" i="107"/>
  <c r="L86" i="111"/>
  <c r="T29" i="107"/>
  <c r="D86" i="111"/>
  <c r="X28" i="107"/>
  <c r="H82" i="111"/>
  <c r="AB27" i="107"/>
  <c r="L78" i="111"/>
  <c r="D78" i="111"/>
  <c r="T27" i="107"/>
  <c r="X26" i="107"/>
  <c r="H74" i="111"/>
  <c r="AB25" i="107"/>
  <c r="L70" i="111"/>
  <c r="D70" i="111"/>
  <c r="T25" i="107"/>
  <c r="X24" i="107"/>
  <c r="H66" i="111"/>
  <c r="L62" i="111"/>
  <c r="AB23" i="107"/>
  <c r="T23" i="107"/>
  <c r="D62" i="111"/>
  <c r="X22" i="107"/>
  <c r="H58" i="111"/>
  <c r="P100" i="108"/>
  <c r="O100" i="108"/>
  <c r="P92" i="108"/>
  <c r="O92" i="108"/>
  <c r="P84" i="108"/>
  <c r="O84" i="108"/>
  <c r="P76" i="108"/>
  <c r="O76" i="108"/>
  <c r="P68" i="108"/>
  <c r="O68" i="108"/>
  <c r="P60" i="108"/>
  <c r="O60" i="108"/>
  <c r="Y33" i="108"/>
  <c r="AC32" i="108"/>
  <c r="U32" i="108"/>
  <c r="Y31" i="108"/>
  <c r="AC30" i="108"/>
  <c r="U30" i="108"/>
  <c r="Y29" i="108"/>
  <c r="AC28" i="108"/>
  <c r="U28" i="108"/>
  <c r="Y27" i="108"/>
  <c r="AC26" i="108"/>
  <c r="U26" i="108"/>
  <c r="Y25" i="108"/>
  <c r="AC24" i="108"/>
  <c r="U24" i="108"/>
  <c r="Y23" i="108"/>
  <c r="AC22" i="108"/>
  <c r="U22" i="108"/>
  <c r="C81" i="111"/>
  <c r="S33" i="107"/>
  <c r="P102" i="107"/>
  <c r="O102" i="107"/>
  <c r="P94" i="107"/>
  <c r="O94" i="107"/>
  <c r="AE31" i="107" s="1"/>
  <c r="S31" i="107"/>
  <c r="S29" i="107"/>
  <c r="P86" i="107"/>
  <c r="O86" i="107"/>
  <c r="P78" i="107"/>
  <c r="AF27" i="107" s="1"/>
  <c r="O78" i="107"/>
  <c r="S27" i="107"/>
  <c r="S25" i="107"/>
  <c r="P70" i="107"/>
  <c r="O70" i="107"/>
  <c r="C70" i="111"/>
  <c r="P62" i="107"/>
  <c r="O62" i="107"/>
  <c r="S23" i="107"/>
  <c r="C62" i="111"/>
  <c r="AA33" i="107"/>
  <c r="K102" i="111"/>
  <c r="AA33" i="111" s="1"/>
  <c r="W32" i="107"/>
  <c r="G98" i="111"/>
  <c r="W32" i="111" s="1"/>
  <c r="K94" i="111"/>
  <c r="AA31" i="111" s="1"/>
  <c r="AA31" i="107"/>
  <c r="W30" i="107"/>
  <c r="G90" i="111"/>
  <c r="W30" i="111" s="1"/>
  <c r="AA29" i="107"/>
  <c r="K86" i="111"/>
  <c r="AA29" i="111" s="1"/>
  <c r="G82" i="111"/>
  <c r="W28" i="111" s="1"/>
  <c r="W28" i="107"/>
  <c r="AA27" i="107"/>
  <c r="K78" i="111"/>
  <c r="AA27" i="111" s="1"/>
  <c r="W26" i="107"/>
  <c r="G74" i="111"/>
  <c r="W26" i="111" s="1"/>
  <c r="AA25" i="107"/>
  <c r="K70" i="111"/>
  <c r="AA25" i="111" s="1"/>
  <c r="W24" i="107"/>
  <c r="AA23" i="107"/>
  <c r="K62" i="111"/>
  <c r="AA23" i="111" s="1"/>
  <c r="W22" i="107"/>
  <c r="G58" i="111"/>
  <c r="W22" i="111" s="1"/>
  <c r="O99" i="108"/>
  <c r="P99" i="108"/>
  <c r="O91" i="108"/>
  <c r="P91" i="108"/>
  <c r="P83" i="108"/>
  <c r="O83" i="108"/>
  <c r="O75" i="108"/>
  <c r="P75" i="108"/>
  <c r="P59" i="108"/>
  <c r="O59" i="108"/>
  <c r="X33" i="108"/>
  <c r="AB32" i="108"/>
  <c r="T32" i="108"/>
  <c r="X31" i="108"/>
  <c r="AB30" i="108"/>
  <c r="T30" i="108"/>
  <c r="X29" i="108"/>
  <c r="AB28" i="108"/>
  <c r="T28" i="108"/>
  <c r="X27" i="108"/>
  <c r="AB26" i="108"/>
  <c r="T26" i="108"/>
  <c r="X25" i="108"/>
  <c r="AB24" i="108"/>
  <c r="T24" i="108"/>
  <c r="X23" i="108"/>
  <c r="AB22" i="108"/>
  <c r="T22" i="108"/>
  <c r="E101" i="111"/>
  <c r="V32" i="107"/>
  <c r="F98" i="111"/>
  <c r="V32" i="111" s="1"/>
  <c r="G95" i="111"/>
  <c r="H92" i="111"/>
  <c r="I89" i="111"/>
  <c r="Z29" i="107"/>
  <c r="J86" i="111"/>
  <c r="Z29" i="111" s="1"/>
  <c r="K83" i="111"/>
  <c r="L80" i="111"/>
  <c r="M77" i="111"/>
  <c r="AD26" i="107"/>
  <c r="N74" i="111"/>
  <c r="AD26" i="111" s="1"/>
  <c r="D72" i="111"/>
  <c r="H68" i="111"/>
  <c r="L64" i="111"/>
  <c r="M61" i="111"/>
  <c r="N58" i="111"/>
  <c r="AD22" i="111" s="1"/>
  <c r="AD22" i="107"/>
  <c r="S32" i="108"/>
  <c r="P98" i="108"/>
  <c r="O98" i="108"/>
  <c r="AE32" i="108" s="1"/>
  <c r="S24" i="108"/>
  <c r="O66" i="108"/>
  <c r="P66" i="108"/>
  <c r="W31" i="108"/>
  <c r="AA30" i="108"/>
  <c r="AA28" i="108"/>
  <c r="AA26" i="108"/>
  <c r="W23" i="108"/>
  <c r="C103" i="111"/>
  <c r="C87" i="111"/>
  <c r="AB28" i="111"/>
  <c r="P100" i="107"/>
  <c r="O100" i="107"/>
  <c r="P92" i="107"/>
  <c r="O92" i="107"/>
  <c r="P84" i="107"/>
  <c r="O84" i="107"/>
  <c r="P76" i="107"/>
  <c r="O76" i="107"/>
  <c r="P68" i="107"/>
  <c r="O68" i="107"/>
  <c r="P60" i="107"/>
  <c r="O60" i="107"/>
  <c r="Y33" i="107"/>
  <c r="AC32" i="107"/>
  <c r="U32" i="107"/>
  <c r="Y31" i="107"/>
  <c r="AC30" i="107"/>
  <c r="U30" i="107"/>
  <c r="Y29" i="107"/>
  <c r="AC28" i="107"/>
  <c r="Y27" i="107"/>
  <c r="AC26" i="107"/>
  <c r="U26" i="107"/>
  <c r="I70" i="111"/>
  <c r="Y25" i="107"/>
  <c r="E66" i="111"/>
  <c r="U24" i="107"/>
  <c r="Y23" i="107"/>
  <c r="I62" i="111"/>
  <c r="AC22" i="107"/>
  <c r="M58" i="111"/>
  <c r="U22" i="107"/>
  <c r="E58" i="111"/>
  <c r="O105" i="108"/>
  <c r="P105" i="108"/>
  <c r="P97" i="108"/>
  <c r="O97" i="108"/>
  <c r="P89" i="108"/>
  <c r="O89" i="108"/>
  <c r="P81" i="108"/>
  <c r="O81" i="108"/>
  <c r="P73" i="108"/>
  <c r="O73" i="108"/>
  <c r="P65" i="108"/>
  <c r="O65" i="108"/>
  <c r="AD33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C102" i="111"/>
  <c r="C94" i="111"/>
  <c r="C86" i="111"/>
  <c r="C78" i="111"/>
  <c r="C63" i="111"/>
  <c r="I102" i="111"/>
  <c r="M90" i="111"/>
  <c r="O67" i="108"/>
  <c r="O81" i="107"/>
  <c r="Z30" i="107"/>
  <c r="M101" i="111"/>
  <c r="AD32" i="107"/>
  <c r="N98" i="111"/>
  <c r="AD32" i="111" s="1"/>
  <c r="D96" i="111"/>
  <c r="E93" i="111"/>
  <c r="V30" i="107"/>
  <c r="F90" i="111"/>
  <c r="V30" i="111" s="1"/>
  <c r="G87" i="111"/>
  <c r="H84" i="111"/>
  <c r="V28" i="107"/>
  <c r="F82" i="111"/>
  <c r="V28" i="111" s="1"/>
  <c r="G79" i="111"/>
  <c r="K75" i="111"/>
  <c r="L72" i="111"/>
  <c r="Z25" i="107"/>
  <c r="J70" i="111"/>
  <c r="Z25" i="111" s="1"/>
  <c r="K67" i="111"/>
  <c r="P67" i="111" s="1"/>
  <c r="I65" i="111"/>
  <c r="Z23" i="107"/>
  <c r="J62" i="111"/>
  <c r="Z23" i="111" s="1"/>
  <c r="K59" i="111"/>
  <c r="S26" i="108"/>
  <c r="O74" i="108"/>
  <c r="AE26" i="108" s="1"/>
  <c r="P74" i="108"/>
  <c r="W27" i="108"/>
  <c r="AA22" i="108"/>
  <c r="T26" i="111"/>
  <c r="P58" i="107"/>
  <c r="AF22" i="107" s="1"/>
  <c r="S22" i="107"/>
  <c r="S22" i="108"/>
  <c r="O58" i="108"/>
  <c r="O99" i="107"/>
  <c r="P99" i="107"/>
  <c r="O91" i="107"/>
  <c r="P91" i="107"/>
  <c r="O83" i="107"/>
  <c r="P83" i="107"/>
  <c r="O75" i="107"/>
  <c r="P75" i="107"/>
  <c r="O67" i="107"/>
  <c r="P67" i="107"/>
  <c r="O59" i="107"/>
  <c r="AE22" i="107" s="1"/>
  <c r="X33" i="107"/>
  <c r="AB32" i="107"/>
  <c r="T32" i="107"/>
  <c r="X31" i="107"/>
  <c r="AB30" i="107"/>
  <c r="T30" i="107"/>
  <c r="X29" i="107"/>
  <c r="AB28" i="107"/>
  <c r="T28" i="107"/>
  <c r="X27" i="107"/>
  <c r="AB26" i="107"/>
  <c r="T26" i="107"/>
  <c r="X25" i="107"/>
  <c r="H70" i="111"/>
  <c r="X25" i="111" s="1"/>
  <c r="AB24" i="107"/>
  <c r="L66" i="111"/>
  <c r="AB24" i="111" s="1"/>
  <c r="T24" i="107"/>
  <c r="D66" i="111"/>
  <c r="T24" i="111" s="1"/>
  <c r="X23" i="107"/>
  <c r="H62" i="111"/>
  <c r="X23" i="111" s="1"/>
  <c r="AB22" i="107"/>
  <c r="L58" i="111"/>
  <c r="AB22" i="111" s="1"/>
  <c r="T22" i="107"/>
  <c r="P104" i="108"/>
  <c r="O104" i="108"/>
  <c r="P96" i="108"/>
  <c r="O96" i="108"/>
  <c r="P88" i="108"/>
  <c r="P80" i="108"/>
  <c r="O80" i="108"/>
  <c r="P72" i="108"/>
  <c r="O72" i="108"/>
  <c r="P64" i="108"/>
  <c r="O64" i="108"/>
  <c r="AC33" i="108"/>
  <c r="U33" i="108"/>
  <c r="Y32" i="108"/>
  <c r="AC31" i="108"/>
  <c r="U31" i="108"/>
  <c r="Y30" i="108"/>
  <c r="AC29" i="108"/>
  <c r="U29" i="108"/>
  <c r="Y28" i="108"/>
  <c r="AC27" i="108"/>
  <c r="U27" i="108"/>
  <c r="Y26" i="108"/>
  <c r="AC25" i="108"/>
  <c r="U25" i="108"/>
  <c r="Y24" i="108"/>
  <c r="AC23" i="108"/>
  <c r="Y22" i="108"/>
  <c r="C76" i="111"/>
  <c r="C60" i="111"/>
  <c r="H102" i="111"/>
  <c r="X33" i="111" s="1"/>
  <c r="L90" i="111"/>
  <c r="AB30" i="111" s="1"/>
  <c r="D82" i="111"/>
  <c r="T28" i="111" s="1"/>
  <c r="H100" i="111"/>
  <c r="I97" i="111"/>
  <c r="Z31" i="107"/>
  <c r="J94" i="111"/>
  <c r="Z31" i="111" s="1"/>
  <c r="K91" i="111"/>
  <c r="L88" i="111"/>
  <c r="M85" i="111"/>
  <c r="AD28" i="107"/>
  <c r="N82" i="111"/>
  <c r="AD28" i="111" s="1"/>
  <c r="D80" i="111"/>
  <c r="E77" i="111"/>
  <c r="V26" i="107"/>
  <c r="F74" i="111"/>
  <c r="V26" i="111" s="1"/>
  <c r="G71" i="111"/>
  <c r="E69" i="111"/>
  <c r="F66" i="111"/>
  <c r="V24" i="111" s="1"/>
  <c r="V24" i="107"/>
  <c r="G63" i="111"/>
  <c r="H60" i="111"/>
  <c r="S28" i="108"/>
  <c r="O82" i="108"/>
  <c r="P82" i="108"/>
  <c r="AF28" i="108" s="1"/>
  <c r="AA24" i="108"/>
  <c r="C95" i="111"/>
  <c r="C79" i="111"/>
  <c r="X31" i="111"/>
  <c r="S32" i="107"/>
  <c r="P98" i="107"/>
  <c r="P90" i="107"/>
  <c r="S30" i="107"/>
  <c r="O90" i="107"/>
  <c r="AE30" i="107" s="1"/>
  <c r="S28" i="107"/>
  <c r="P82" i="107"/>
  <c r="O82" i="107"/>
  <c r="P74" i="107"/>
  <c r="S26" i="107"/>
  <c r="C74" i="111"/>
  <c r="O74" i="107"/>
  <c r="S24" i="107"/>
  <c r="P66" i="107"/>
  <c r="AF24" i="107" s="1"/>
  <c r="O66" i="107"/>
  <c r="AE24" i="107" s="1"/>
  <c r="C66" i="111"/>
  <c r="N105" i="111"/>
  <c r="F105" i="111"/>
  <c r="P105" i="111" s="1"/>
  <c r="I104" i="111"/>
  <c r="L103" i="111"/>
  <c r="D103" i="111"/>
  <c r="W33" i="107"/>
  <c r="G102" i="111"/>
  <c r="W33" i="111" s="1"/>
  <c r="J101" i="111"/>
  <c r="M100" i="111"/>
  <c r="E100" i="111"/>
  <c r="U32" i="111" s="1"/>
  <c r="H99" i="111"/>
  <c r="AA32" i="107"/>
  <c r="K98" i="111"/>
  <c r="AA32" i="111" s="1"/>
  <c r="N97" i="111"/>
  <c r="P97" i="111" s="1"/>
  <c r="F97" i="111"/>
  <c r="I96" i="111"/>
  <c r="Y31" i="111" s="1"/>
  <c r="L95" i="111"/>
  <c r="D95" i="111"/>
  <c r="W31" i="107"/>
  <c r="G94" i="111"/>
  <c r="W31" i="111" s="1"/>
  <c r="J93" i="111"/>
  <c r="Z30" i="111" s="1"/>
  <c r="M92" i="111"/>
  <c r="E92" i="111"/>
  <c r="H91" i="111"/>
  <c r="K90" i="111"/>
  <c r="AA30" i="111" s="1"/>
  <c r="N89" i="111"/>
  <c r="F89" i="111"/>
  <c r="O89" i="111" s="1"/>
  <c r="I88" i="111"/>
  <c r="L87" i="111"/>
  <c r="D87" i="111"/>
  <c r="W29" i="107"/>
  <c r="G86" i="111"/>
  <c r="J85" i="111"/>
  <c r="M84" i="111"/>
  <c r="E84" i="111"/>
  <c r="U28" i="111" s="1"/>
  <c r="H83" i="111"/>
  <c r="AA28" i="107"/>
  <c r="K82" i="111"/>
  <c r="AA28" i="111" s="1"/>
  <c r="N81" i="111"/>
  <c r="F81" i="111"/>
  <c r="I80" i="111"/>
  <c r="L79" i="111"/>
  <c r="D79" i="111"/>
  <c r="W27" i="107"/>
  <c r="G78" i="111"/>
  <c r="W27" i="111" s="1"/>
  <c r="J77" i="111"/>
  <c r="M76" i="111"/>
  <c r="E76" i="111"/>
  <c r="H75" i="111"/>
  <c r="AA26" i="107"/>
  <c r="K74" i="111"/>
  <c r="AA26" i="111" s="1"/>
  <c r="N73" i="111"/>
  <c r="AD25" i="111" s="1"/>
  <c r="I72" i="111"/>
  <c r="L71" i="111"/>
  <c r="W25" i="107"/>
  <c r="G70" i="111"/>
  <c r="J69" i="111"/>
  <c r="M68" i="111"/>
  <c r="E68" i="111"/>
  <c r="O68" i="111" s="1"/>
  <c r="AA24" i="107"/>
  <c r="K66" i="111"/>
  <c r="AA24" i="111" s="1"/>
  <c r="N65" i="111"/>
  <c r="AD23" i="111" s="1"/>
  <c r="I64" i="111"/>
  <c r="L63" i="111"/>
  <c r="D63" i="111"/>
  <c r="W23" i="107"/>
  <c r="G62" i="111"/>
  <c r="W23" i="111" s="1"/>
  <c r="M60" i="111"/>
  <c r="E60" i="111"/>
  <c r="K58" i="111"/>
  <c r="AA22" i="111" s="1"/>
  <c r="AA22" i="107"/>
  <c r="O103" i="108"/>
  <c r="P103" i="108"/>
  <c r="O95" i="108"/>
  <c r="P95" i="108"/>
  <c r="O87" i="108"/>
  <c r="P87" i="108"/>
  <c r="P79" i="108"/>
  <c r="AF27" i="108" s="1"/>
  <c r="P71" i="108"/>
  <c r="O71" i="108"/>
  <c r="P63" i="108"/>
  <c r="O63" i="108"/>
  <c r="AB33" i="108"/>
  <c r="T33" i="108"/>
  <c r="X32" i="108"/>
  <c r="AB31" i="108"/>
  <c r="T31" i="108"/>
  <c r="X30" i="108"/>
  <c r="AB29" i="108"/>
  <c r="T29" i="108"/>
  <c r="X28" i="108"/>
  <c r="AB27" i="108"/>
  <c r="T27" i="108"/>
  <c r="X26" i="108"/>
  <c r="AB25" i="108"/>
  <c r="T25" i="108"/>
  <c r="X24" i="108"/>
  <c r="AB23" i="108"/>
  <c r="T23" i="108"/>
  <c r="X22" i="108"/>
  <c r="C100" i="111"/>
  <c r="C92" i="111"/>
  <c r="C84" i="111"/>
  <c r="C75" i="111"/>
  <c r="C59" i="111"/>
  <c r="S22" i="111" s="1"/>
  <c r="M98" i="111"/>
  <c r="E90" i="111"/>
  <c r="I78" i="111"/>
  <c r="D58" i="111"/>
  <c r="O98" i="107"/>
  <c r="AE32" i="107" s="1"/>
  <c r="Z33" i="107"/>
  <c r="J102" i="111"/>
  <c r="Z33" i="111" s="1"/>
  <c r="K99" i="111"/>
  <c r="L96" i="111"/>
  <c r="M93" i="111"/>
  <c r="AD30" i="107"/>
  <c r="N90" i="111"/>
  <c r="AD30" i="111" s="1"/>
  <c r="D88" i="111"/>
  <c r="E85" i="111"/>
  <c r="I81" i="111"/>
  <c r="Z27" i="107"/>
  <c r="J78" i="111"/>
  <c r="Z27" i="111" s="1"/>
  <c r="H76" i="111"/>
  <c r="I73" i="111"/>
  <c r="M69" i="111"/>
  <c r="N66" i="111"/>
  <c r="AD24" i="111" s="1"/>
  <c r="D64" i="111"/>
  <c r="E61" i="111"/>
  <c r="V22" i="107"/>
  <c r="F58" i="111"/>
  <c r="V22" i="111" s="1"/>
  <c r="P90" i="108"/>
  <c r="AF30" i="108" s="1"/>
  <c r="S30" i="108"/>
  <c r="O90" i="108"/>
  <c r="AE30" i="108" s="1"/>
  <c r="W33" i="108"/>
  <c r="AA32" i="108"/>
  <c r="W29" i="108"/>
  <c r="W25" i="108"/>
  <c r="P105" i="107"/>
  <c r="O97" i="107"/>
  <c r="P97" i="107"/>
  <c r="P89" i="107"/>
  <c r="O89" i="107"/>
  <c r="P73" i="107"/>
  <c r="O73" i="107"/>
  <c r="C73" i="111"/>
  <c r="P65" i="107"/>
  <c r="C65" i="111"/>
  <c r="O65" i="107"/>
  <c r="AD33" i="107"/>
  <c r="N102" i="111"/>
  <c r="AD33" i="111" s="1"/>
  <c r="V33" i="107"/>
  <c r="F102" i="111"/>
  <c r="Z32" i="107"/>
  <c r="J98" i="111"/>
  <c r="Z32" i="111" s="1"/>
  <c r="AD31" i="107"/>
  <c r="N94" i="111"/>
  <c r="V31" i="107"/>
  <c r="F94" i="111"/>
  <c r="V31" i="111" s="1"/>
  <c r="AD29" i="107"/>
  <c r="N86" i="111"/>
  <c r="V29" i="107"/>
  <c r="F86" i="111"/>
  <c r="V29" i="111" s="1"/>
  <c r="Z28" i="107"/>
  <c r="J82" i="111"/>
  <c r="Z28" i="111" s="1"/>
  <c r="AD27" i="107"/>
  <c r="N78" i="111"/>
  <c r="AD27" i="111" s="1"/>
  <c r="V27" i="107"/>
  <c r="F78" i="111"/>
  <c r="V27" i="111" s="1"/>
  <c r="Z26" i="107"/>
  <c r="J74" i="111"/>
  <c r="AD25" i="107"/>
  <c r="V25" i="107"/>
  <c r="F70" i="111"/>
  <c r="V25" i="111" s="1"/>
  <c r="Z24" i="107"/>
  <c r="J66" i="111"/>
  <c r="Z24" i="111" s="1"/>
  <c r="AD23" i="107"/>
  <c r="V23" i="107"/>
  <c r="F62" i="111"/>
  <c r="V23" i="111" s="1"/>
  <c r="J58" i="111"/>
  <c r="Z22" i="111" s="1"/>
  <c r="Z22" i="107"/>
  <c r="S33" i="108"/>
  <c r="P102" i="108"/>
  <c r="O102" i="108"/>
  <c r="S31" i="108"/>
  <c r="P94" i="108"/>
  <c r="O94" i="108"/>
  <c r="AE31" i="108" s="1"/>
  <c r="S29" i="108"/>
  <c r="P86" i="108"/>
  <c r="AF29" i="108" s="1"/>
  <c r="O86" i="108"/>
  <c r="AE29" i="108" s="1"/>
  <c r="S27" i="108"/>
  <c r="O78" i="108"/>
  <c r="AE27" i="108" s="1"/>
  <c r="S25" i="108"/>
  <c r="O70" i="108"/>
  <c r="P70" i="108"/>
  <c r="AF25" i="108" s="1"/>
  <c r="S23" i="108"/>
  <c r="O62" i="108"/>
  <c r="AE23" i="108" s="1"/>
  <c r="P62" i="108"/>
  <c r="AA33" i="108"/>
  <c r="W32" i="108"/>
  <c r="AA31" i="108"/>
  <c r="W30" i="108"/>
  <c r="AA29" i="108"/>
  <c r="W28" i="108"/>
  <c r="AA27" i="108"/>
  <c r="W26" i="108"/>
  <c r="AA25" i="108"/>
  <c r="W24" i="108"/>
  <c r="AA23" i="108"/>
  <c r="W22" i="108"/>
  <c r="C99" i="111"/>
  <c r="C91" i="111"/>
  <c r="C83" i="111"/>
  <c r="S28" i="111" s="1"/>
  <c r="L98" i="111"/>
  <c r="AB32" i="111" s="1"/>
  <c r="D90" i="111"/>
  <c r="T30" i="111" s="1"/>
  <c r="H78" i="111"/>
  <c r="X27" i="111" s="1"/>
  <c r="O79" i="108"/>
  <c r="O105" i="107"/>
  <c r="C3" i="103"/>
  <c r="C3" i="109"/>
  <c r="AC28" i="111" l="1"/>
  <c r="T23" i="111"/>
  <c r="X28" i="111"/>
  <c r="T31" i="111"/>
  <c r="AB33" i="111"/>
  <c r="AC24" i="111"/>
  <c r="AC32" i="111"/>
  <c r="AD29" i="111"/>
  <c r="V33" i="111"/>
  <c r="W25" i="111"/>
  <c r="U26" i="111"/>
  <c r="W29" i="111"/>
  <c r="Y29" i="111"/>
  <c r="AC26" i="111"/>
  <c r="P71" i="111"/>
  <c r="AD31" i="111"/>
  <c r="P95" i="111"/>
  <c r="O95" i="111"/>
  <c r="AF23" i="108"/>
  <c r="P84" i="111"/>
  <c r="O84" i="111"/>
  <c r="AF28" i="107"/>
  <c r="Y33" i="111"/>
  <c r="Y23" i="111"/>
  <c r="O103" i="111"/>
  <c r="P103" i="111"/>
  <c r="AF25" i="107"/>
  <c r="X22" i="111"/>
  <c r="AB27" i="111"/>
  <c r="X30" i="111"/>
  <c r="T33" i="111"/>
  <c r="P68" i="111"/>
  <c r="P89" i="111"/>
  <c r="P79" i="111"/>
  <c r="O79" i="111"/>
  <c r="AF32" i="108"/>
  <c r="S23" i="111"/>
  <c r="O62" i="111"/>
  <c r="P62" i="111"/>
  <c r="P93" i="111"/>
  <c r="O93" i="111"/>
  <c r="P104" i="111"/>
  <c r="O104" i="111"/>
  <c r="P99" i="111"/>
  <c r="O99" i="111"/>
  <c r="Z26" i="111"/>
  <c r="P65" i="111"/>
  <c r="O65" i="111"/>
  <c r="Y27" i="111"/>
  <c r="AE26" i="107"/>
  <c r="S29" i="111"/>
  <c r="O86" i="111"/>
  <c r="P86" i="111"/>
  <c r="U24" i="111"/>
  <c r="AE27" i="107"/>
  <c r="AE33" i="107"/>
  <c r="O71" i="111"/>
  <c r="O105" i="111"/>
  <c r="T25" i="111"/>
  <c r="O97" i="111"/>
  <c r="T22" i="111"/>
  <c r="P58" i="111"/>
  <c r="S27" i="111"/>
  <c r="O78" i="111"/>
  <c r="P78" i="111"/>
  <c r="AF31" i="107"/>
  <c r="AB25" i="111"/>
  <c r="P72" i="111"/>
  <c r="O72" i="111"/>
  <c r="AE25" i="108"/>
  <c r="AF31" i="108"/>
  <c r="U30" i="111"/>
  <c r="O74" i="111"/>
  <c r="S26" i="111"/>
  <c r="P74" i="111"/>
  <c r="AF30" i="107"/>
  <c r="AF26" i="108"/>
  <c r="S31" i="111"/>
  <c r="O94" i="111"/>
  <c r="P94" i="111"/>
  <c r="U22" i="111"/>
  <c r="AE23" i="107"/>
  <c r="AF33" i="107"/>
  <c r="X26" i="111"/>
  <c r="T29" i="111"/>
  <c r="P64" i="111"/>
  <c r="O64" i="111"/>
  <c r="P92" i="111"/>
  <c r="O92" i="111"/>
  <c r="P61" i="111"/>
  <c r="O61" i="111"/>
  <c r="P100" i="111"/>
  <c r="O100" i="111"/>
  <c r="P73" i="111"/>
  <c r="O73" i="111"/>
  <c r="AF32" i="107"/>
  <c r="AE28" i="108"/>
  <c r="P60" i="111"/>
  <c r="O60" i="111"/>
  <c r="AE22" i="108"/>
  <c r="S33" i="111"/>
  <c r="O102" i="111"/>
  <c r="P102" i="111"/>
  <c r="AF23" i="107"/>
  <c r="AE29" i="107"/>
  <c r="AB23" i="111"/>
  <c r="AB31" i="111"/>
  <c r="P90" i="111"/>
  <c r="P96" i="111"/>
  <c r="O96" i="111"/>
  <c r="P98" i="111"/>
  <c r="P80" i="111"/>
  <c r="O80" i="111"/>
  <c r="O67" i="111"/>
  <c r="P69" i="111"/>
  <c r="O69" i="111"/>
  <c r="P81" i="111"/>
  <c r="O81" i="111"/>
  <c r="P85" i="111"/>
  <c r="O85" i="111"/>
  <c r="AE33" i="108"/>
  <c r="P59" i="111"/>
  <c r="O59" i="111"/>
  <c r="AF26" i="107"/>
  <c r="P76" i="111"/>
  <c r="O76" i="111"/>
  <c r="AC22" i="111"/>
  <c r="Y25" i="111"/>
  <c r="AF24" i="108"/>
  <c r="S25" i="111"/>
  <c r="O70" i="111"/>
  <c r="AE25" i="111" s="1"/>
  <c r="P70" i="111"/>
  <c r="AF29" i="107"/>
  <c r="P82" i="111"/>
  <c r="AF28" i="111" s="1"/>
  <c r="X24" i="111"/>
  <c r="AB29" i="111"/>
  <c r="X32" i="111"/>
  <c r="O90" i="111"/>
  <c r="O98" i="111"/>
  <c r="P83" i="111"/>
  <c r="O83" i="111"/>
  <c r="P63" i="111"/>
  <c r="O63" i="111"/>
  <c r="O91" i="111"/>
  <c r="P91" i="111"/>
  <c r="AF33" i="108"/>
  <c r="P75" i="111"/>
  <c r="O75" i="111"/>
  <c r="S24" i="111"/>
  <c r="O66" i="111"/>
  <c r="P66" i="111"/>
  <c r="AE28" i="107"/>
  <c r="O58" i="111"/>
  <c r="AC30" i="111"/>
  <c r="P87" i="111"/>
  <c r="O87" i="111"/>
  <c r="AE24" i="108"/>
  <c r="AE25" i="107"/>
  <c r="O82" i="111"/>
  <c r="T27" i="111"/>
  <c r="S30" i="111"/>
  <c r="S32" i="111"/>
  <c r="P88" i="111"/>
  <c r="O88" i="111"/>
  <c r="AF22" i="108"/>
  <c r="P77" i="111"/>
  <c r="O77" i="111"/>
  <c r="P101" i="111"/>
  <c r="O101" i="111"/>
  <c r="K6" i="94"/>
  <c r="C3" i="94"/>
  <c r="AE28" i="111" l="1"/>
  <c r="AF24" i="111"/>
  <c r="AF32" i="111"/>
  <c r="AF33" i="111"/>
  <c r="AE24" i="111"/>
  <c r="AF22" i="111"/>
  <c r="AE23" i="111"/>
  <c r="AE33" i="111"/>
  <c r="AE22" i="111"/>
  <c r="AE31" i="111"/>
  <c r="AF23" i="111"/>
  <c r="AF29" i="111"/>
  <c r="AF25" i="111"/>
  <c r="AF30" i="111"/>
  <c r="AE29" i="111"/>
  <c r="AE32" i="111"/>
  <c r="AF26" i="111"/>
  <c r="AE30" i="111"/>
  <c r="AE26" i="111"/>
  <c r="AF27" i="111"/>
  <c r="AF31" i="111"/>
  <c r="AE27" i="111"/>
  <c r="K6" i="98"/>
  <c r="K6" i="99" s="1"/>
  <c r="K6" i="100" s="1"/>
  <c r="K6" i="101" s="1"/>
  <c r="K6" i="109" s="1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G5" i="95"/>
  <c r="G5" i="94"/>
  <c r="G6" i="104"/>
  <c r="G6" i="108" s="1"/>
  <c r="G6" i="110"/>
  <c r="G6" i="100"/>
  <c r="G6" i="96"/>
  <c r="G6" i="103"/>
  <c r="G6" i="107" s="1"/>
  <c r="G6" i="101"/>
  <c r="G6" i="99"/>
  <c r="G6" i="95"/>
  <c r="D6" i="104"/>
  <c r="D6" i="108" s="1"/>
  <c r="D6" i="110"/>
  <c r="D6" i="100"/>
  <c r="D6" i="96"/>
  <c r="D6" i="103"/>
  <c r="D6" i="107" s="1"/>
  <c r="D6" i="101"/>
  <c r="D6" i="99"/>
  <c r="D6" i="95"/>
  <c r="D5" i="104"/>
  <c r="D5" i="98"/>
  <c r="D5" i="94"/>
  <c r="K6" i="104" l="1"/>
  <c r="K6" i="108" s="1"/>
  <c r="K6" i="111" s="1"/>
  <c r="K6" i="107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4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U19" i="103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B27" i="97" s="1"/>
  <c r="AA19" i="97"/>
  <c r="Z19" i="97"/>
  <c r="Z27" i="97" s="1"/>
  <c r="Y19" i="97"/>
  <c r="X19" i="97"/>
  <c r="X27" i="97" s="1"/>
  <c r="W19" i="97"/>
  <c r="V19" i="97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27" i="97" l="1"/>
  <c r="AD27" i="97"/>
  <c r="T27" i="99"/>
  <c r="U24" i="103"/>
  <c r="U39" i="109"/>
  <c r="V27" i="103"/>
  <c r="AD27" i="103"/>
  <c r="Z39" i="105"/>
  <c r="AA39" i="105"/>
  <c r="X26" i="98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AD12" i="108" s="1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X19" i="108" s="1"/>
  <c r="J46" i="108"/>
  <c r="Z19" i="108" s="1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X20" i="108" s="1"/>
  <c r="J50" i="108"/>
  <c r="Z20" i="108" s="1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X21" i="108" s="1"/>
  <c r="J54" i="108"/>
  <c r="Z21" i="108" s="1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Y11" i="108" s="1"/>
  <c r="K14" i="108"/>
  <c r="AA11" i="108" s="1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AC14" i="108" s="1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U16" i="108" s="1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S38" i="110" s="1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U18" i="108" s="1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AA18" i="108" s="1"/>
  <c r="M54" i="108"/>
  <c r="M50" i="108"/>
  <c r="M46" i="108"/>
  <c r="AC19" i="108" s="1"/>
  <c r="C42" i="108"/>
  <c r="C34" i="108"/>
  <c r="S16" i="108" s="1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U21" i="108" s="1"/>
  <c r="E50" i="108"/>
  <c r="C46" i="108"/>
  <c r="C38" i="108"/>
  <c r="S17" i="108" s="1"/>
  <c r="C30" i="108"/>
  <c r="S15" i="108" s="1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V11" i="108" s="1"/>
  <c r="J15" i="108"/>
  <c r="N16" i="108"/>
  <c r="F18" i="108"/>
  <c r="V12" i="108" s="1"/>
  <c r="J19" i="108"/>
  <c r="N20" i="108"/>
  <c r="J23" i="108"/>
  <c r="N24" i="108"/>
  <c r="F24" i="108"/>
  <c r="Z13" i="109"/>
  <c r="P12" i="110"/>
  <c r="F16" i="108"/>
  <c r="J17" i="108"/>
  <c r="I54" i="108"/>
  <c r="Y21" i="108" s="1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U13" i="108" s="1"/>
  <c r="G22" i="108"/>
  <c r="W13" i="108" s="1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W21" i="108" s="1"/>
  <c r="C54" i="108"/>
  <c r="K50" i="108"/>
  <c r="AA20" i="108" s="1"/>
  <c r="G50" i="108"/>
  <c r="C50" i="108"/>
  <c r="K46" i="108"/>
  <c r="G46" i="108"/>
  <c r="G38" i="108"/>
  <c r="G30" i="108"/>
  <c r="G26" i="108"/>
  <c r="W14" i="108" s="1"/>
  <c r="F22" i="108"/>
  <c r="H12" i="108"/>
  <c r="L12" i="108"/>
  <c r="D13" i="108"/>
  <c r="H13" i="108"/>
  <c r="L13" i="108"/>
  <c r="D14" i="108"/>
  <c r="H14" i="108"/>
  <c r="L14" i="108"/>
  <c r="AB11" i="108" s="1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X13" i="108" s="1"/>
  <c r="L22" i="108"/>
  <c r="AB13" i="108" s="1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X14" i="108" s="1"/>
  <c r="J26" i="108"/>
  <c r="Z14" i="108" s="1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X15" i="108" s="1"/>
  <c r="J30" i="108"/>
  <c r="Z15" i="108" s="1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X16" i="108" s="1"/>
  <c r="J34" i="108"/>
  <c r="Z16" i="108" s="1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X17" i="108" s="1"/>
  <c r="J38" i="108"/>
  <c r="Z17" i="108" s="1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X18" i="108" s="1"/>
  <c r="J42" i="108"/>
  <c r="Z18" i="108" s="1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W11" i="107" s="1"/>
  <c r="H14" i="107"/>
  <c r="I14" i="107"/>
  <c r="J14" i="107"/>
  <c r="K14" i="107"/>
  <c r="L14" i="107"/>
  <c r="M14" i="107"/>
  <c r="N14" i="107"/>
  <c r="AD11" i="107" s="1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V13" i="107" s="1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T14" i="107" s="1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W15" i="107" s="1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U19" i="107" s="1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AC20" i="107" s="1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W17" i="107" l="1"/>
  <c r="V10" i="108"/>
  <c r="F106" i="108"/>
  <c r="X39" i="108"/>
  <c r="X36" i="108"/>
  <c r="U20" i="107"/>
  <c r="U39" i="107" s="1"/>
  <c r="U18" i="107"/>
  <c r="AC17" i="107"/>
  <c r="U17" i="107"/>
  <c r="AC16" i="107"/>
  <c r="U16" i="107"/>
  <c r="AC15" i="107"/>
  <c r="U15" i="107"/>
  <c r="AC14" i="107"/>
  <c r="U14" i="107"/>
  <c r="AC13" i="107"/>
  <c r="U13" i="107"/>
  <c r="AC12" i="107"/>
  <c r="U12" i="107"/>
  <c r="AC11" i="107"/>
  <c r="U11" i="107"/>
  <c r="Y38" i="105"/>
  <c r="T10" i="108"/>
  <c r="D106" i="108"/>
  <c r="V19" i="108"/>
  <c r="V18" i="108"/>
  <c r="V17" i="108"/>
  <c r="V16" i="108"/>
  <c r="V15" i="108"/>
  <c r="V14" i="108"/>
  <c r="T13" i="108"/>
  <c r="T11" i="108"/>
  <c r="W15" i="108"/>
  <c r="S13" i="108"/>
  <c r="U20" i="108"/>
  <c r="S14" i="108"/>
  <c r="AA16" i="108"/>
  <c r="U19" i="108"/>
  <c r="U14" i="108"/>
  <c r="U38" i="108" s="1"/>
  <c r="W12" i="108"/>
  <c r="W11" i="108"/>
  <c r="AA10" i="108"/>
  <c r="K106" i="108"/>
  <c r="V21" i="108"/>
  <c r="V20" i="108"/>
  <c r="W19" i="107"/>
  <c r="Y14" i="108"/>
  <c r="AC10" i="107"/>
  <c r="M106" i="107"/>
  <c r="AB13" i="107"/>
  <c r="T13" i="107"/>
  <c r="AB12" i="107"/>
  <c r="T12" i="107"/>
  <c r="AB11" i="107"/>
  <c r="T11" i="107"/>
  <c r="X10" i="108"/>
  <c r="H106" i="108"/>
  <c r="T19" i="108"/>
  <c r="T18" i="108"/>
  <c r="T17" i="108"/>
  <c r="T16" i="108"/>
  <c r="T15" i="108"/>
  <c r="T14" i="108"/>
  <c r="W17" i="108"/>
  <c r="Y20" i="108"/>
  <c r="AC17" i="108"/>
  <c r="AC15" i="108"/>
  <c r="U12" i="108"/>
  <c r="U11" i="108"/>
  <c r="Y10" i="108"/>
  <c r="I106" i="108"/>
  <c r="T21" i="108"/>
  <c r="T20" i="108"/>
  <c r="W16" i="107"/>
  <c r="W13" i="107"/>
  <c r="W12" i="107"/>
  <c r="W10" i="107"/>
  <c r="G106" i="107"/>
  <c r="V12" i="107"/>
  <c r="V11" i="107"/>
  <c r="X11" i="108"/>
  <c r="Y19" i="108"/>
  <c r="AC10" i="108"/>
  <c r="M106" i="108"/>
  <c r="AD10" i="107"/>
  <c r="N106" i="107"/>
  <c r="AC21" i="107"/>
  <c r="T21" i="107"/>
  <c r="T18" i="107"/>
  <c r="T15" i="107"/>
  <c r="T10" i="107"/>
  <c r="D106" i="107"/>
  <c r="AA21" i="107"/>
  <c r="S21" i="107"/>
  <c r="AA20" i="107"/>
  <c r="S20" i="107"/>
  <c r="AA19" i="107"/>
  <c r="S19" i="107"/>
  <c r="AA18" i="107"/>
  <c r="S18" i="107"/>
  <c r="AA17" i="107"/>
  <c r="S17" i="107"/>
  <c r="AA16" i="107"/>
  <c r="S16" i="107"/>
  <c r="AA15" i="107"/>
  <c r="S15" i="107"/>
  <c r="AA14" i="107"/>
  <c r="S14" i="107"/>
  <c r="AA13" i="107"/>
  <c r="S13" i="107"/>
  <c r="AA12" i="107"/>
  <c r="S12" i="107"/>
  <c r="AA11" i="107"/>
  <c r="S11" i="107"/>
  <c r="T26" i="103"/>
  <c r="Z26" i="95"/>
  <c r="T36" i="105"/>
  <c r="AB10" i="108"/>
  <c r="L106" i="108"/>
  <c r="AB12" i="108"/>
  <c r="W19" i="108"/>
  <c r="AA21" i="108"/>
  <c r="S18" i="108"/>
  <c r="AA15" i="108"/>
  <c r="AA17" i="108"/>
  <c r="Y15" i="108"/>
  <c r="S12" i="108"/>
  <c r="S11" i="108"/>
  <c r="W10" i="108"/>
  <c r="G106" i="108"/>
  <c r="Z10" i="108"/>
  <c r="J106" i="108"/>
  <c r="AA12" i="108"/>
  <c r="Z39" i="108"/>
  <c r="Z36" i="108"/>
  <c r="Z11" i="108"/>
  <c r="V20" i="107"/>
  <c r="V19" i="107"/>
  <c r="AD17" i="107"/>
  <c r="AD15" i="107"/>
  <c r="AD14" i="107"/>
  <c r="AD13" i="107"/>
  <c r="S21" i="108"/>
  <c r="V10" i="107"/>
  <c r="F106" i="107"/>
  <c r="U10" i="107"/>
  <c r="E106" i="107"/>
  <c r="AB20" i="107"/>
  <c r="T17" i="107"/>
  <c r="AB16" i="107"/>
  <c r="AB15" i="107"/>
  <c r="AA10" i="107"/>
  <c r="K106" i="107"/>
  <c r="Z21" i="107"/>
  <c r="Z20" i="107"/>
  <c r="Z19" i="107"/>
  <c r="Z18" i="107"/>
  <c r="Z17" i="107"/>
  <c r="Z16" i="107"/>
  <c r="Z15" i="107"/>
  <c r="Z14" i="107"/>
  <c r="Z13" i="107"/>
  <c r="Z12" i="107"/>
  <c r="Z11" i="107"/>
  <c r="AF28" i="101"/>
  <c r="S38" i="105"/>
  <c r="S10" i="108"/>
  <c r="C106" i="108"/>
  <c r="X12" i="108"/>
  <c r="AA19" i="108"/>
  <c r="AC13" i="108"/>
  <c r="AC18" i="108"/>
  <c r="Y17" i="108"/>
  <c r="AC16" i="108"/>
  <c r="U15" i="108"/>
  <c r="U10" i="108"/>
  <c r="E106" i="108"/>
  <c r="AD13" i="108"/>
  <c r="X10" i="107"/>
  <c r="H106" i="107"/>
  <c r="W21" i="107"/>
  <c r="W20" i="107"/>
  <c r="W18" i="107"/>
  <c r="W14" i="107"/>
  <c r="V13" i="108"/>
  <c r="V21" i="107"/>
  <c r="AD18" i="107"/>
  <c r="AD16" i="107"/>
  <c r="V15" i="107"/>
  <c r="V14" i="107"/>
  <c r="V38" i="107" s="1"/>
  <c r="AD12" i="107"/>
  <c r="X38" i="108"/>
  <c r="X35" i="108"/>
  <c r="S19" i="108"/>
  <c r="Y12" i="108"/>
  <c r="AC19" i="107"/>
  <c r="AC18" i="107"/>
  <c r="T20" i="107"/>
  <c r="AB19" i="107"/>
  <c r="T16" i="107"/>
  <c r="AB14" i="107"/>
  <c r="Z10" i="107"/>
  <c r="J106" i="107"/>
  <c r="Y21" i="107"/>
  <c r="Y20" i="107"/>
  <c r="Y19" i="107"/>
  <c r="Y18" i="107"/>
  <c r="Y17" i="107"/>
  <c r="Y16" i="107"/>
  <c r="Y15" i="107"/>
  <c r="Y14" i="107"/>
  <c r="Y13" i="107"/>
  <c r="Y12" i="107"/>
  <c r="Y11" i="107"/>
  <c r="X36" i="101"/>
  <c r="U38" i="109"/>
  <c r="AD18" i="108"/>
  <c r="AD17" i="108"/>
  <c r="AD16" i="108"/>
  <c r="AD15" i="108"/>
  <c r="AD14" i="108"/>
  <c r="T12" i="108"/>
  <c r="S20" i="108"/>
  <c r="AA13" i="108"/>
  <c r="AC20" i="108"/>
  <c r="AC36" i="108" s="1"/>
  <c r="AA14" i="108"/>
  <c r="Y18" i="108"/>
  <c r="U17" i="108"/>
  <c r="Y16" i="108"/>
  <c r="AD21" i="108"/>
  <c r="AD20" i="108"/>
  <c r="AD19" i="108"/>
  <c r="Z13" i="108"/>
  <c r="AB26" i="98"/>
  <c r="S10" i="107"/>
  <c r="C106" i="107"/>
  <c r="AD21" i="107"/>
  <c r="AD20" i="107"/>
  <c r="AD19" i="107"/>
  <c r="V18" i="107"/>
  <c r="V17" i="107"/>
  <c r="V16" i="107"/>
  <c r="Z12" i="108"/>
  <c r="U21" i="107"/>
  <c r="AB21" i="107"/>
  <c r="T19" i="107"/>
  <c r="AB18" i="107"/>
  <c r="AB17" i="107"/>
  <c r="AB10" i="107"/>
  <c r="L106" i="107"/>
  <c r="Y10" i="107"/>
  <c r="I106" i="107"/>
  <c r="X21" i="107"/>
  <c r="X20" i="107"/>
  <c r="X19" i="107"/>
  <c r="X18" i="107"/>
  <c r="X17" i="107"/>
  <c r="X16" i="107"/>
  <c r="X15" i="107"/>
  <c r="X14" i="107"/>
  <c r="X13" i="107"/>
  <c r="X12" i="107"/>
  <c r="X11" i="107"/>
  <c r="AF32" i="101"/>
  <c r="AB18" i="108"/>
  <c r="AB17" i="108"/>
  <c r="AB16" i="108"/>
  <c r="AB15" i="108"/>
  <c r="AB14" i="108"/>
  <c r="AB38" i="108" s="1"/>
  <c r="W20" i="108"/>
  <c r="Y13" i="108"/>
  <c r="AD10" i="108"/>
  <c r="N106" i="108"/>
  <c r="AC21" i="108"/>
  <c r="W18" i="108"/>
  <c r="W16" i="108"/>
  <c r="W35" i="108" s="1"/>
  <c r="AC12" i="108"/>
  <c r="AC11" i="108"/>
  <c r="AB21" i="108"/>
  <c r="AB20" i="108"/>
  <c r="AB19" i="108"/>
  <c r="AD11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U21" i="111" s="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AF11" i="108" s="1"/>
  <c r="O41" i="108"/>
  <c r="O33" i="108"/>
  <c r="O25" i="108"/>
  <c r="O23" i="108"/>
  <c r="O19" i="108"/>
  <c r="O15" i="108"/>
  <c r="P50" i="108"/>
  <c r="P42" i="108"/>
  <c r="AF18" i="108" s="1"/>
  <c r="P34" i="108"/>
  <c r="AF16" i="108" s="1"/>
  <c r="O54" i="108"/>
  <c r="O42" i="108"/>
  <c r="O34" i="108"/>
  <c r="AE16" i="108" s="1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AF12" i="107" s="1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AE16" i="107" s="1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AE12" i="107" s="1"/>
  <c r="O16" i="107"/>
  <c r="O14" i="107"/>
  <c r="O12" i="107"/>
  <c r="P26" i="107"/>
  <c r="AF14" i="107" s="1"/>
  <c r="P38" i="107"/>
  <c r="P30" i="107"/>
  <c r="AF15" i="107" s="1"/>
  <c r="P34" i="107"/>
  <c r="AF16" i="107" s="1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T13" i="111" l="1"/>
  <c r="S16" i="111"/>
  <c r="Z15" i="111"/>
  <c r="Z17" i="111"/>
  <c r="Z19" i="111"/>
  <c r="Z21" i="111"/>
  <c r="S11" i="111"/>
  <c r="S13" i="111"/>
  <c r="X14" i="111"/>
  <c r="X16" i="111"/>
  <c r="X18" i="111"/>
  <c r="X20" i="111"/>
  <c r="AB13" i="111"/>
  <c r="Y14" i="111"/>
  <c r="W17" i="111"/>
  <c r="Y19" i="111"/>
  <c r="Y15" i="111"/>
  <c r="Y18" i="111"/>
  <c r="U20" i="111"/>
  <c r="V12" i="111"/>
  <c r="U11" i="111"/>
  <c r="U13" i="111"/>
  <c r="W20" i="111"/>
  <c r="AD14" i="111"/>
  <c r="AD16" i="111"/>
  <c r="AD18" i="111"/>
  <c r="AD20" i="111"/>
  <c r="W12" i="111"/>
  <c r="U14" i="111"/>
  <c r="U16" i="111"/>
  <c r="X11" i="111"/>
  <c r="AD13" i="111"/>
  <c r="AD38" i="111" s="1"/>
  <c r="AB15" i="111"/>
  <c r="AB17" i="111"/>
  <c r="AB19" i="111"/>
  <c r="AB21" i="111"/>
  <c r="U19" i="111"/>
  <c r="W21" i="111"/>
  <c r="AE10" i="107"/>
  <c r="O106" i="107"/>
  <c r="AE13" i="108"/>
  <c r="AA11" i="111"/>
  <c r="X41" i="108"/>
  <c r="X40" i="108"/>
  <c r="X42" i="108" s="1"/>
  <c r="X37" i="108"/>
  <c r="X34" i="108"/>
  <c r="W36" i="107"/>
  <c r="W39" i="107"/>
  <c r="AF10" i="107"/>
  <c r="P106" i="107"/>
  <c r="AE18" i="108"/>
  <c r="AE14" i="108"/>
  <c r="P106" i="108"/>
  <c r="H107" i="108" s="1"/>
  <c r="AF10" i="108"/>
  <c r="AC12" i="111"/>
  <c r="Y17" i="111"/>
  <c r="AA19" i="111"/>
  <c r="AC21" i="111"/>
  <c r="V14" i="111"/>
  <c r="V16" i="111"/>
  <c r="V18" i="111"/>
  <c r="V20" i="111"/>
  <c r="AA15" i="111"/>
  <c r="T15" i="111"/>
  <c r="T17" i="111"/>
  <c r="T19" i="111"/>
  <c r="T21" i="111"/>
  <c r="AA18" i="111"/>
  <c r="AA20" i="111"/>
  <c r="AB10" i="111"/>
  <c r="L106" i="111"/>
  <c r="Y34" i="107"/>
  <c r="Y41" i="107"/>
  <c r="Y37" i="107"/>
  <c r="Y40" i="107"/>
  <c r="S37" i="107"/>
  <c r="S41" i="107"/>
  <c r="S42" i="107" s="1"/>
  <c r="S34" i="107"/>
  <c r="S40" i="107"/>
  <c r="X41" i="107"/>
  <c r="X34" i="107"/>
  <c r="X37" i="107"/>
  <c r="X40" i="107"/>
  <c r="AC39" i="108"/>
  <c r="U36" i="107"/>
  <c r="Y12" i="111"/>
  <c r="AC16" i="111"/>
  <c r="AA13" i="111"/>
  <c r="S10" i="111"/>
  <c r="C106" i="111"/>
  <c r="Z10" i="111"/>
  <c r="J106" i="111"/>
  <c r="Y35" i="107"/>
  <c r="Y38" i="107"/>
  <c r="AC39" i="107"/>
  <c r="AC36" i="107"/>
  <c r="AD38" i="107"/>
  <c r="AD35" i="107"/>
  <c r="AC34" i="107"/>
  <c r="AC41" i="107"/>
  <c r="AC42" i="107" s="1"/>
  <c r="AC40" i="107"/>
  <c r="AC37" i="107"/>
  <c r="U36" i="108"/>
  <c r="U39" i="108"/>
  <c r="AE11" i="107"/>
  <c r="AE21" i="108"/>
  <c r="AE15" i="108"/>
  <c r="S15" i="111"/>
  <c r="AC17" i="111"/>
  <c r="AC19" i="111"/>
  <c r="AB12" i="111"/>
  <c r="Z14" i="111"/>
  <c r="Z16" i="111"/>
  <c r="Z18" i="111"/>
  <c r="Z20" i="111"/>
  <c r="Z39" i="111" s="1"/>
  <c r="S12" i="111"/>
  <c r="S14" i="111"/>
  <c r="V11" i="111"/>
  <c r="X13" i="111"/>
  <c r="X15" i="111"/>
  <c r="X17" i="111"/>
  <c r="X19" i="111"/>
  <c r="X21" i="111"/>
  <c r="S17" i="111"/>
  <c r="AC20" i="111"/>
  <c r="Z41" i="107"/>
  <c r="Z42" i="107" s="1"/>
  <c r="Z37" i="107"/>
  <c r="Z34" i="107"/>
  <c r="Z40" i="107"/>
  <c r="S39" i="108"/>
  <c r="S36" i="108"/>
  <c r="AD38" i="108"/>
  <c r="AD35" i="108"/>
  <c r="Z39" i="107"/>
  <c r="Z36" i="107"/>
  <c r="AB41" i="108"/>
  <c r="AB40" i="108"/>
  <c r="AB42" i="108" s="1"/>
  <c r="AB37" i="108"/>
  <c r="AB34" i="108"/>
  <c r="S38" i="107"/>
  <c r="S35" i="107"/>
  <c r="Y41" i="108"/>
  <c r="Y42" i="108" s="1"/>
  <c r="Y37" i="108"/>
  <c r="Y34" i="108"/>
  <c r="Y40" i="108"/>
  <c r="V10" i="111"/>
  <c r="F106" i="111"/>
  <c r="AB39" i="108"/>
  <c r="AB36" i="108"/>
  <c r="AB41" i="107"/>
  <c r="AB40" i="107"/>
  <c r="AB34" i="107"/>
  <c r="AB37" i="107"/>
  <c r="V38" i="108"/>
  <c r="V35" i="108"/>
  <c r="Z41" i="108"/>
  <c r="Z40" i="108"/>
  <c r="Z37" i="108"/>
  <c r="Z34" i="108"/>
  <c r="AA38" i="107"/>
  <c r="AA35" i="107"/>
  <c r="W37" i="107"/>
  <c r="W41" i="107"/>
  <c r="W42" i="107" s="1"/>
  <c r="W34" i="107"/>
  <c r="W40" i="107"/>
  <c r="AE15" i="107"/>
  <c r="AF18" i="107"/>
  <c r="AF19" i="107"/>
  <c r="AF20" i="107"/>
  <c r="AE21" i="107"/>
  <c r="AF17" i="108"/>
  <c r="S42" i="110"/>
  <c r="K106" i="111"/>
  <c r="AA10" i="111"/>
  <c r="Y11" i="111"/>
  <c r="Y13" i="111"/>
  <c r="AC15" i="111"/>
  <c r="W18" i="111"/>
  <c r="Y20" i="111"/>
  <c r="X10" i="111"/>
  <c r="H106" i="111"/>
  <c r="AA12" i="111"/>
  <c r="AA14" i="111"/>
  <c r="Y16" i="111"/>
  <c r="AD11" i="111"/>
  <c r="AA17" i="111"/>
  <c r="W19" i="111"/>
  <c r="Y21" i="111"/>
  <c r="AD41" i="108"/>
  <c r="AD40" i="108"/>
  <c r="AD42" i="108" s="1"/>
  <c r="AD37" i="108"/>
  <c r="AD34" i="108"/>
  <c r="AD39" i="108"/>
  <c r="AD36" i="108"/>
  <c r="AA35" i="108"/>
  <c r="AA38" i="108"/>
  <c r="U37" i="108"/>
  <c r="U41" i="108"/>
  <c r="U42" i="108" s="1"/>
  <c r="U40" i="108"/>
  <c r="U34" i="108"/>
  <c r="AA39" i="108"/>
  <c r="AA36" i="108"/>
  <c r="Z38" i="107"/>
  <c r="Z35" i="107"/>
  <c r="U34" i="107"/>
  <c r="U41" i="107"/>
  <c r="U42" i="107" s="1"/>
  <c r="U40" i="107"/>
  <c r="U37" i="107"/>
  <c r="V39" i="107"/>
  <c r="V36" i="107"/>
  <c r="W38" i="108"/>
  <c r="U35" i="108"/>
  <c r="AA41" i="108"/>
  <c r="AA34" i="108"/>
  <c r="AA37" i="108"/>
  <c r="AA40" i="108"/>
  <c r="S35" i="108"/>
  <c r="S38" i="108"/>
  <c r="V41" i="108"/>
  <c r="V37" i="108"/>
  <c r="V34" i="108"/>
  <c r="V40" i="108"/>
  <c r="V42" i="108" s="1"/>
  <c r="W10" i="111"/>
  <c r="G106" i="111"/>
  <c r="AE18" i="107"/>
  <c r="AE19" i="107"/>
  <c r="AE20" i="107"/>
  <c r="AF21" i="107"/>
  <c r="AF11" i="107"/>
  <c r="AF20" i="108"/>
  <c r="AF15" i="108"/>
  <c r="AE20" i="108"/>
  <c r="AE39" i="108" s="1"/>
  <c r="AC11" i="111"/>
  <c r="AC13" i="111"/>
  <c r="AC18" i="111"/>
  <c r="AD10" i="111"/>
  <c r="N106" i="111"/>
  <c r="Z11" i="111"/>
  <c r="V13" i="111"/>
  <c r="V15" i="111"/>
  <c r="V17" i="111"/>
  <c r="V19" i="111"/>
  <c r="V21" i="111"/>
  <c r="AC14" i="111"/>
  <c r="AA16" i="111"/>
  <c r="T14" i="111"/>
  <c r="T35" i="111" s="1"/>
  <c r="T16" i="111"/>
  <c r="T18" i="111"/>
  <c r="T20" i="111"/>
  <c r="U10" i="111"/>
  <c r="E106" i="111"/>
  <c r="AA21" i="111"/>
  <c r="Y38" i="108"/>
  <c r="Y35" i="108"/>
  <c r="X39" i="107"/>
  <c r="X36" i="107"/>
  <c r="AD39" i="107"/>
  <c r="AD36" i="107"/>
  <c r="AB39" i="107"/>
  <c r="AB36" i="107"/>
  <c r="T41" i="107"/>
  <c r="T34" i="107"/>
  <c r="T40" i="107"/>
  <c r="T42" i="107" s="1"/>
  <c r="T37" i="107"/>
  <c r="AC34" i="108"/>
  <c r="AC41" i="108"/>
  <c r="AC42" i="108" s="1"/>
  <c r="AC40" i="108"/>
  <c r="AC37" i="108"/>
  <c r="W38" i="107"/>
  <c r="W35" i="107"/>
  <c r="T38" i="107"/>
  <c r="T35" i="107"/>
  <c r="V39" i="108"/>
  <c r="V36" i="108"/>
  <c r="U35" i="107"/>
  <c r="U38" i="107"/>
  <c r="AB35" i="108"/>
  <c r="AE10" i="108"/>
  <c r="O106" i="108"/>
  <c r="H108" i="108" s="1"/>
  <c r="U39" i="111"/>
  <c r="U36" i="111"/>
  <c r="Z38" i="108"/>
  <c r="Z35" i="108"/>
  <c r="AD41" i="107"/>
  <c r="AD42" i="107" s="1"/>
  <c r="AD37" i="107"/>
  <c r="AD34" i="107"/>
  <c r="AD40" i="107"/>
  <c r="AE13" i="107"/>
  <c r="AF21" i="108"/>
  <c r="AF14" i="108"/>
  <c r="AE11" i="108"/>
  <c r="AE17" i="108"/>
  <c r="AF13" i="108"/>
  <c r="Z13" i="111"/>
  <c r="X12" i="111"/>
  <c r="Y10" i="111"/>
  <c r="I106" i="111"/>
  <c r="S18" i="111"/>
  <c r="T39" i="107"/>
  <c r="T36" i="107"/>
  <c r="Y39" i="107"/>
  <c r="Y36" i="107"/>
  <c r="AA37" i="107"/>
  <c r="AA41" i="107"/>
  <c r="AA42" i="107" s="1"/>
  <c r="AA34" i="107"/>
  <c r="AA40" i="107"/>
  <c r="V41" i="107"/>
  <c r="V40" i="107"/>
  <c r="V37" i="107"/>
  <c r="V34" i="107"/>
  <c r="S36" i="107"/>
  <c r="S39" i="107"/>
  <c r="Y36" i="108"/>
  <c r="Y39" i="108"/>
  <c r="T39" i="108"/>
  <c r="T36" i="108"/>
  <c r="AB38" i="107"/>
  <c r="AB35" i="107"/>
  <c r="V35" i="107"/>
  <c r="AC35" i="107"/>
  <c r="AC38" i="107"/>
  <c r="U15" i="111"/>
  <c r="U38" i="111" s="1"/>
  <c r="U17" i="111"/>
  <c r="AC38" i="108"/>
  <c r="AC35" i="108"/>
  <c r="AF17" i="107"/>
  <c r="AE17" i="107"/>
  <c r="AF13" i="107"/>
  <c r="AF12" i="108"/>
  <c r="AE12" i="108"/>
  <c r="AF19" i="108"/>
  <c r="U12" i="111"/>
  <c r="W14" i="111"/>
  <c r="S19" i="111"/>
  <c r="S21" i="111"/>
  <c r="AD15" i="111"/>
  <c r="AD17" i="111"/>
  <c r="AD19" i="111"/>
  <c r="AD21" i="111"/>
  <c r="W11" i="111"/>
  <c r="W13" i="111"/>
  <c r="W15" i="111"/>
  <c r="Z12" i="111"/>
  <c r="AB14" i="111"/>
  <c r="AB35" i="111" s="1"/>
  <c r="AB16" i="111"/>
  <c r="AB18" i="111"/>
  <c r="AB20" i="111"/>
  <c r="AB39" i="111" s="1"/>
  <c r="AC10" i="111"/>
  <c r="M106" i="111"/>
  <c r="U18" i="111"/>
  <c r="S20" i="111"/>
  <c r="T10" i="111"/>
  <c r="D106" i="111"/>
  <c r="X38" i="107"/>
  <c r="X35" i="107"/>
  <c r="S41" i="108"/>
  <c r="S42" i="108" s="1"/>
  <c r="S40" i="108"/>
  <c r="S34" i="108"/>
  <c r="S37" i="108"/>
  <c r="W41" i="108"/>
  <c r="W34" i="108"/>
  <c r="W37" i="108"/>
  <c r="W40" i="108"/>
  <c r="W39" i="108"/>
  <c r="W36" i="108"/>
  <c r="AA36" i="107"/>
  <c r="AA39" i="107"/>
  <c r="T38" i="108"/>
  <c r="T35" i="108"/>
  <c r="T41" i="108"/>
  <c r="T34" i="108"/>
  <c r="T40" i="108"/>
  <c r="T42" i="108" s="1"/>
  <c r="T37" i="108"/>
  <c r="O47" i="111"/>
  <c r="O52" i="111"/>
  <c r="O12" i="111"/>
  <c r="P26" i="111"/>
  <c r="P46" i="111"/>
  <c r="P10" i="111"/>
  <c r="O22" i="111"/>
  <c r="AE13" i="111" s="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AE14" i="111" s="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C107" i="107"/>
  <c r="F107" i="105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S38" i="111" l="1"/>
  <c r="AB38" i="111"/>
  <c r="Y39" i="111"/>
  <c r="U35" i="111"/>
  <c r="AD35" i="111"/>
  <c r="T38" i="111"/>
  <c r="AF41" i="108"/>
  <c r="AF34" i="108"/>
  <c r="AF37" i="108"/>
  <c r="AF40" i="108"/>
  <c r="AF42" i="108" s="1"/>
  <c r="X41" i="111"/>
  <c r="X40" i="111"/>
  <c r="X37" i="111"/>
  <c r="X34" i="111"/>
  <c r="AF11" i="111"/>
  <c r="AF16" i="111"/>
  <c r="V38" i="111"/>
  <c r="V35" i="111"/>
  <c r="AF13" i="111"/>
  <c r="AF19" i="111"/>
  <c r="AD39" i="111"/>
  <c r="AD36" i="111"/>
  <c r="S35" i="111"/>
  <c r="AE34" i="108"/>
  <c r="AE40" i="108"/>
  <c r="AE41" i="108"/>
  <c r="AE42" i="108" s="1"/>
  <c r="AE37" i="108"/>
  <c r="V41" i="111"/>
  <c r="V34" i="111"/>
  <c r="V40" i="111"/>
  <c r="V37" i="111"/>
  <c r="X39" i="111"/>
  <c r="X36" i="111"/>
  <c r="AC34" i="111"/>
  <c r="AC41" i="111"/>
  <c r="AC42" i="111" s="1"/>
  <c r="AC40" i="111"/>
  <c r="AC37" i="111"/>
  <c r="S36" i="111"/>
  <c r="S39" i="111"/>
  <c r="Y34" i="111"/>
  <c r="Y37" i="111"/>
  <c r="Y41" i="111"/>
  <c r="Y40" i="111"/>
  <c r="AB41" i="111"/>
  <c r="AB34" i="111"/>
  <c r="AB40" i="111"/>
  <c r="AB42" i="111" s="1"/>
  <c r="AB37" i="111"/>
  <c r="Z41" i="111"/>
  <c r="Z34" i="111"/>
  <c r="Z37" i="111"/>
  <c r="Z40" i="111"/>
  <c r="AF12" i="111"/>
  <c r="AF18" i="111"/>
  <c r="AE15" i="111"/>
  <c r="AF17" i="111"/>
  <c r="AF14" i="111"/>
  <c r="AF39" i="108"/>
  <c r="AF36" i="108"/>
  <c r="W37" i="111"/>
  <c r="W41" i="111"/>
  <c r="W40" i="111"/>
  <c r="W34" i="111"/>
  <c r="S37" i="111"/>
  <c r="S40" i="111"/>
  <c r="S34" i="111"/>
  <c r="S41" i="111"/>
  <c r="S42" i="111" s="1"/>
  <c r="X42" i="107"/>
  <c r="AF10" i="111"/>
  <c r="P106" i="111"/>
  <c r="N107" i="111" s="1"/>
  <c r="AE10" i="111"/>
  <c r="O106" i="111"/>
  <c r="AF21" i="111"/>
  <c r="W42" i="108"/>
  <c r="T41" i="111"/>
  <c r="T40" i="111"/>
  <c r="T42" i="111" s="1"/>
  <c r="T37" i="111"/>
  <c r="T34" i="111"/>
  <c r="Z36" i="111"/>
  <c r="AE38" i="107"/>
  <c r="AE35" i="107"/>
  <c r="AD41" i="111"/>
  <c r="AD40" i="111"/>
  <c r="AD34" i="111"/>
  <c r="AD37" i="111"/>
  <c r="Y35" i="111"/>
  <c r="Y38" i="111"/>
  <c r="AF39" i="107"/>
  <c r="AF36" i="107"/>
  <c r="AA38" i="111"/>
  <c r="AA35" i="111"/>
  <c r="T39" i="111"/>
  <c r="T36" i="111"/>
  <c r="AE19" i="111"/>
  <c r="AE17" i="111"/>
  <c r="AE21" i="111"/>
  <c r="AE36" i="108"/>
  <c r="V42" i="107"/>
  <c r="AB36" i="111"/>
  <c r="AA42" i="108"/>
  <c r="AB42" i="107"/>
  <c r="X38" i="111"/>
  <c r="X35" i="111"/>
  <c r="Y36" i="111"/>
  <c r="Y42" i="107"/>
  <c r="AA36" i="111"/>
  <c r="AA39" i="111"/>
  <c r="AF41" i="107"/>
  <c r="AF40" i="107"/>
  <c r="AF37" i="107"/>
  <c r="AF34" i="107"/>
  <c r="AE35" i="108"/>
  <c r="AE38" i="108"/>
  <c r="AF20" i="111"/>
  <c r="AF15" i="111"/>
  <c r="AE11" i="111"/>
  <c r="AE16" i="111"/>
  <c r="AF38" i="107"/>
  <c r="AF35" i="107"/>
  <c r="Z38" i="111"/>
  <c r="Z35" i="111"/>
  <c r="U34" i="111"/>
  <c r="U41" i="111"/>
  <c r="U40" i="111"/>
  <c r="U37" i="111"/>
  <c r="V39" i="111"/>
  <c r="V36" i="111"/>
  <c r="AC35" i="111"/>
  <c r="AC38" i="111"/>
  <c r="AE39" i="107"/>
  <c r="AE36" i="107"/>
  <c r="AA37" i="111"/>
  <c r="AA40" i="111"/>
  <c r="AA41" i="111"/>
  <c r="AA34" i="111"/>
  <c r="AC39" i="111"/>
  <c r="AC36" i="111"/>
  <c r="AE18" i="111"/>
  <c r="AE20" i="111"/>
  <c r="W38" i="111"/>
  <c r="W35" i="111"/>
  <c r="AF38" i="108"/>
  <c r="AF35" i="108"/>
  <c r="W36" i="111"/>
  <c r="W39" i="111"/>
  <c r="Z42" i="108"/>
  <c r="AE37" i="107"/>
  <c r="AE34" i="107"/>
  <c r="AE40" i="107"/>
  <c r="AE41" i="107"/>
  <c r="K108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38" i="111" l="1"/>
  <c r="AE37" i="111"/>
  <c r="AE34" i="111"/>
  <c r="AE41" i="111"/>
  <c r="AE40" i="111"/>
  <c r="U42" i="111"/>
  <c r="AF42" i="107"/>
  <c r="AF41" i="111"/>
  <c r="AF37" i="111"/>
  <c r="AF34" i="111"/>
  <c r="AF40" i="111"/>
  <c r="W42" i="111"/>
  <c r="V42" i="111"/>
  <c r="AF39" i="111"/>
  <c r="AF36" i="111"/>
  <c r="X42" i="111"/>
  <c r="AF38" i="111"/>
  <c r="AF35" i="111"/>
  <c r="AE39" i="111"/>
  <c r="AE36" i="111"/>
  <c r="AE35" i="111"/>
  <c r="Y42" i="111"/>
  <c r="Z42" i="111"/>
  <c r="AE42" i="107"/>
  <c r="AA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  <c r="AF42" i="111"/>
</calcChain>
</file>

<file path=xl/sharedStrings.xml><?xml version="1.0" encoding="utf-8"?>
<sst xmlns="http://schemas.openxmlformats.org/spreadsheetml/2006/main" count="2350" uniqueCount="182">
  <si>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</si>
  <si>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</si>
  <si>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</si>
  <si>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</si>
  <si>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</si>
  <si>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</si>
  <si>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</si>
  <si>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</si>
  <si>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</si>
  <si>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</si>
  <si>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</si>
  <si>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</si>
  <si>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</si>
  <si>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</si>
  <si>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</si>
  <si>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</si>
  <si>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</si>
  <si>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</si>
  <si>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</si>
  <si>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</si>
  <si>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</si>
  <si>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</si>
  <si>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</si>
  <si>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</si>
  <si>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</si>
  <si>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</si>
  <si>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</si>
  <si>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</si>
  <si>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</si>
  <si>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</si>
  <si>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</si>
  <si>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</si>
  <si>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</si>
  <si>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</si>
  <si>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</si>
  <si>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</si>
  <si>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</si>
  <si>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</si>
  <si>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</si>
  <si>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</si>
  <si>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</si>
  <si>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</si>
  <si>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</si>
  <si>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</si>
  <si>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</si>
  <si>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</si>
  <si>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</si>
  <si>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</si>
  <si>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</si>
  <si>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</si>
  <si>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</si>
  <si>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</si>
  <si>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</si>
  <si>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</si>
  <si>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</si>
  <si>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</si>
  <si>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</si>
  <si>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</si>
  <si>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</si>
  <si>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</si>
  <si>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</si>
  <si>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</si>
  <si>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</si>
  <si>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</si>
  <si>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</si>
  <si>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</si>
  <si>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</si>
  <si>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</si>
  <si>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</si>
  <si>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</si>
  <si>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</si>
  <si>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</si>
  <si>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</si>
  <si>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</si>
  <si>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</si>
  <si>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</si>
  <si>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</si>
  <si>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</si>
  <si>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</si>
  <si>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</si>
  <si>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</si>
  <si>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</si>
  <si>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</si>
  <si>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</si>
  <si>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</si>
  <si>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</si>
  <si>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</si>
  <si>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</si>
  <si>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</si>
  <si>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</si>
  <si>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</si>
  <si>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</si>
  <si>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</si>
  <si>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</si>
  <si>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</si>
  <si>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</si>
  <si>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</si>
  <si>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</si>
  <si>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</si>
  <si>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</si>
  <si>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</si>
  <si>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</si>
  <si>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</si>
  <si>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</si>
  <si>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</si>
  <si>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</si>
  <si>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</si>
  <si>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</si>
  <si>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</si>
  <si>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</si>
  <si>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</si>
  <si>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</si>
  <si>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</si>
  <si>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</si>
  <si>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</si>
  <si>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</si>
  <si>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</si>
  <si>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</si>
  <si>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</si>
  <si>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</si>
  <si>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</si>
  <si>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</si>
  <si>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</si>
  <si>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</si>
  <si>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</si>
  <si>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</si>
  <si>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</si>
  <si>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</si>
  <si>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</si>
  <si>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</si>
  <si>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</si>
  <si>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</si>
  <si>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</si>
  <si>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</si>
  <si>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</si>
  <si>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</si>
  <si>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</si>
  <si>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</si>
  <si>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</si>
  <si>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</si>
  <si>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</si>
  <si>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</si>
  <si>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</si>
  <si>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</si>
  <si>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</si>
  <si>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</si>
  <si>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</si>
  <si>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</si>
  <si>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</si>
  <si>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</si>
  <si>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</si>
  <si>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</si>
  <si>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</si>
  <si>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</si>
  <si>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</si>
  <si>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</si>
  <si>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</si>
  <si>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</si>
  <si>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</si>
  <si>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</si>
  <si>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</si>
  <si>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</si>
  <si>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</si>
  <si>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Steven Dan</t>
  </si>
  <si>
    <t>*</t>
  </si>
  <si>
    <t>BULIISA</t>
  </si>
  <si>
    <t>HOIMA</t>
  </si>
  <si>
    <t>25.10.19</t>
  </si>
  <si>
    <t>KISIABI</t>
  </si>
  <si>
    <t>LAWRENCE</t>
  </si>
  <si>
    <t>CATHY</t>
  </si>
  <si>
    <t>`1</t>
  </si>
  <si>
    <t>28.10.19</t>
  </si>
  <si>
    <t>FRANK</t>
  </si>
  <si>
    <t>WANDERA</t>
  </si>
  <si>
    <t>29.10.19</t>
  </si>
  <si>
    <t>31.10.19</t>
  </si>
  <si>
    <t>27.10.19</t>
  </si>
  <si>
    <t>30.10.19</t>
  </si>
  <si>
    <t>26.10.19</t>
  </si>
  <si>
    <t>MCC - C4 - STN111A- BULIISA HOIMA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</si>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</sst>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BULIISA-HOIMA'!$AE$9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BULIISA-HOIMA'!$AE$10:$AE$21</c:f>
              <c:numCache>
                <c:formatCode>0</c:formatCode>
                <c:ptCount val="12"/>
                <c:pt idx="0">
                  <c:v>13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5</c:v>
                </c:pt>
                <c:pt idx="9">
                  <c:v>12</c:v>
                </c:pt>
                <c:pt idx="10">
                  <c:v>13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'25.10 BULIISA-HOIMA'!$AF$9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BULIISA-HOIMA'!$AF$10:$AF$21</c:f>
              <c:numCache>
                <c:formatCode>0</c:formatCode>
                <c:ptCount val="12"/>
                <c:pt idx="0">
                  <c:v>27</c:v>
                </c:pt>
                <c:pt idx="1">
                  <c:v>21</c:v>
                </c:pt>
                <c:pt idx="2">
                  <c:v>31</c:v>
                </c:pt>
                <c:pt idx="3">
                  <c:v>26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14</c:v>
                </c:pt>
                <c:pt idx="8">
                  <c:v>15</c:v>
                </c:pt>
                <c:pt idx="9">
                  <c:v>35</c:v>
                </c:pt>
                <c:pt idx="10">
                  <c:v>32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23392"/>
        <c:axId val="204193792"/>
      </c:lineChart>
      <c:catAx>
        <c:axId val="202923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4193792"/>
        <c:crosses val="autoZero"/>
        <c:auto val="1"/>
        <c:lblAlgn val="ctr"/>
        <c:lblOffset val="100"/>
        <c:noMultiLvlLbl val="0"/>
      </c:catAx>
      <c:valAx>
        <c:axId val="204193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BULIISA-HOIMA'!$C$59:$N$59</c:f>
              <c:numCache>
                <c:formatCode>0.0%</c:formatCode>
                <c:ptCount val="12"/>
                <c:pt idx="0">
                  <c:v>5.7971014492753624E-2</c:v>
                </c:pt>
                <c:pt idx="1">
                  <c:v>1.0869565217391304E-2</c:v>
                </c:pt>
                <c:pt idx="2">
                  <c:v>6.5217391304347824E-2</c:v>
                </c:pt>
                <c:pt idx="3">
                  <c:v>0.13043478260869565</c:v>
                </c:pt>
                <c:pt idx="4">
                  <c:v>0</c:v>
                </c:pt>
                <c:pt idx="5">
                  <c:v>0</c:v>
                </c:pt>
                <c:pt idx="6">
                  <c:v>1.8115942028985508E-2</c:v>
                </c:pt>
                <c:pt idx="7">
                  <c:v>2.1739130434782608E-2</c:v>
                </c:pt>
                <c:pt idx="8">
                  <c:v>1.8115942028985508E-2</c:v>
                </c:pt>
                <c:pt idx="9">
                  <c:v>0</c:v>
                </c:pt>
                <c:pt idx="10">
                  <c:v>0.67753623188405798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BULIISA-HOIMA'!$C$60:$N$60</c:f>
              <c:numCache>
                <c:formatCode>0.00%</c:formatCode>
                <c:ptCount val="12"/>
                <c:pt idx="0">
                  <c:v>0.1797752808988764</c:v>
                </c:pt>
                <c:pt idx="1">
                  <c:v>3.3707865168539325E-2</c:v>
                </c:pt>
                <c:pt idx="2">
                  <c:v>0.20224719101123595</c:v>
                </c:pt>
                <c:pt idx="3">
                  <c:v>0.4044943820224719</c:v>
                </c:pt>
                <c:pt idx="4">
                  <c:v>0</c:v>
                </c:pt>
                <c:pt idx="5">
                  <c:v>0</c:v>
                </c:pt>
                <c:pt idx="6">
                  <c:v>5.6179775280898875E-2</c:v>
                </c:pt>
                <c:pt idx="7">
                  <c:v>6.741573033707865E-2</c:v>
                </c:pt>
                <c:pt idx="8">
                  <c:v>5.6179775280898875E-2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HOIMA-BULIISA'!$AE$9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HOIMA-BULIISA'!$AE$10:$AE$21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9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'25.10 HOIMA-BULIISA'!$AF$9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HOIMA-BULIISA'!$AF$10:$AF$21</c:f>
              <c:numCache>
                <c:formatCode>0</c:formatCode>
                <c:ptCount val="12"/>
                <c:pt idx="0">
                  <c:v>23</c:v>
                </c:pt>
                <c:pt idx="1">
                  <c:v>37</c:v>
                </c:pt>
                <c:pt idx="2">
                  <c:v>26</c:v>
                </c:pt>
                <c:pt idx="3">
                  <c:v>22</c:v>
                </c:pt>
                <c:pt idx="4">
                  <c:v>20</c:v>
                </c:pt>
                <c:pt idx="5">
                  <c:v>11</c:v>
                </c:pt>
                <c:pt idx="6">
                  <c:v>22</c:v>
                </c:pt>
                <c:pt idx="7">
                  <c:v>12</c:v>
                </c:pt>
                <c:pt idx="8">
                  <c:v>20</c:v>
                </c:pt>
                <c:pt idx="9">
                  <c:v>17</c:v>
                </c:pt>
                <c:pt idx="10">
                  <c:v>23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5312"/>
        <c:axId val="79727232"/>
      </c:lineChart>
      <c:catAx>
        <c:axId val="79725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27232"/>
        <c:crosses val="autoZero"/>
        <c:auto val="1"/>
        <c:lblAlgn val="ctr"/>
        <c:lblOffset val="100"/>
        <c:noMultiLvlLbl val="0"/>
      </c:catAx>
      <c:valAx>
        <c:axId val="79727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2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HOIMA-BULIISA'!$C$59:$N$59</c:f>
              <c:numCache>
                <c:formatCode>0.0%</c:formatCode>
                <c:ptCount val="12"/>
                <c:pt idx="0">
                  <c:v>0.04</c:v>
                </c:pt>
                <c:pt idx="1">
                  <c:v>8.0000000000000002E-3</c:v>
                </c:pt>
                <c:pt idx="2">
                  <c:v>6.8000000000000005E-2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2.4E-2</c:v>
                </c:pt>
                <c:pt idx="7">
                  <c:v>0.02</c:v>
                </c:pt>
                <c:pt idx="8">
                  <c:v>2.4E-2</c:v>
                </c:pt>
                <c:pt idx="9">
                  <c:v>0</c:v>
                </c:pt>
                <c:pt idx="10">
                  <c:v>0.69599999999999995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HOIMA-BULIISA'!$S$9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HOIMA-BULIISA'!$S$10:$S$21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'25.10 HOIMA-BULIISA'!$T$9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HOIMA-BULIISA'!$T$10:$T$21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'25.10 HOIMA-BULIISA'!$U$9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HOIMA-BULIISA'!$U$10:$U$21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'25.10 HOIMA-BULIISA'!$V$9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HOIMA-BULIISA'!$V$10:$V$21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'25.10 HOIMA-BULIISA'!$W$9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'25.10 HOIMA-BULIISA'!$X$9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'25.10 HOIMA-BULIISA'!$Y$9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'25.10 HOIMA-BULIISA'!$Z$9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'25.10 HOIMA-BULIISA'!$AA$9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'25.10 HOIMA-BULIISA'!$AB$9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'25.10 HOIMA-BULIISA'!$AC$9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HOIMA-BULIISA'!$AC$10:$AC$21</c:f>
              <c:numCache>
                <c:formatCode>0</c:formatCode>
                <c:ptCount val="12"/>
                <c:pt idx="0">
                  <c:v>14</c:v>
                </c:pt>
                <c:pt idx="1">
                  <c:v>26</c:v>
                </c:pt>
                <c:pt idx="2">
                  <c:v>16</c:v>
                </c:pt>
                <c:pt idx="3">
                  <c:v>17</c:v>
                </c:pt>
                <c:pt idx="4">
                  <c:v>15</c:v>
                </c:pt>
                <c:pt idx="5">
                  <c:v>9</c:v>
                </c:pt>
                <c:pt idx="6">
                  <c:v>16</c:v>
                </c:pt>
                <c:pt idx="7">
                  <c:v>7</c:v>
                </c:pt>
                <c:pt idx="8">
                  <c:v>17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'25.10 HOIMA-BULIISA'!$AD$9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HOIMA-BULIISA'!$AD$10:$AD$21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01344"/>
        <c:axId val="79803136"/>
      </c:lineChart>
      <c:catAx>
        <c:axId val="7980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03136"/>
        <c:crosses val="autoZero"/>
        <c:auto val="1"/>
        <c:lblAlgn val="ctr"/>
        <c:lblOffset val="100"/>
        <c:noMultiLvlLbl val="0"/>
      </c:catAx>
      <c:valAx>
        <c:axId val="798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0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HOIMA-BULIISA'!$C$60:$N$60</c:f>
              <c:numCache>
                <c:formatCode>0.00%</c:formatCode>
                <c:ptCount val="12"/>
                <c:pt idx="0">
                  <c:v>0.13157894736842105</c:v>
                </c:pt>
                <c:pt idx="1">
                  <c:v>2.6315789473684209E-2</c:v>
                </c:pt>
                <c:pt idx="2">
                  <c:v>0.22368421052631579</c:v>
                </c:pt>
                <c:pt idx="3">
                  <c:v>0.39473684210526316</c:v>
                </c:pt>
                <c:pt idx="4">
                  <c:v>0</c:v>
                </c:pt>
                <c:pt idx="5">
                  <c:v>0</c:v>
                </c:pt>
                <c:pt idx="6">
                  <c:v>7.8947368421052627E-2</c:v>
                </c:pt>
                <c:pt idx="7">
                  <c:v>6.5789473684210523E-2</c:v>
                </c:pt>
                <c:pt idx="8">
                  <c:v>7.8947368421052627E-2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BULIISA-HOIMA-24h'!$AE$9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BULIISA-HOIMA-24h'!$R$10:$R$33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BULIISA-HOIMA-24h'!$AE$10:$AE$33</c:f>
              <c:numCache>
                <c:formatCode>0</c:formatCode>
                <c:ptCount val="24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8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'26.10 BULIISA-HOIMA-24h'!$AF$9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BULIISA-HOIMA-24h'!$R$10:$R$33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BULIISA-HOIMA-24h'!$AF$10:$AF$33</c:f>
              <c:numCache>
                <c:formatCode>0</c:formatCode>
                <c:ptCount val="24"/>
                <c:pt idx="0">
                  <c:v>29</c:v>
                </c:pt>
                <c:pt idx="1">
                  <c:v>23</c:v>
                </c:pt>
                <c:pt idx="2">
                  <c:v>41</c:v>
                </c:pt>
                <c:pt idx="3">
                  <c:v>31</c:v>
                </c:pt>
                <c:pt idx="4">
                  <c:v>21</c:v>
                </c:pt>
                <c:pt idx="5">
                  <c:v>10</c:v>
                </c:pt>
                <c:pt idx="6">
                  <c:v>17</c:v>
                </c:pt>
                <c:pt idx="7">
                  <c:v>20</c:v>
                </c:pt>
                <c:pt idx="8">
                  <c:v>21</c:v>
                </c:pt>
                <c:pt idx="9">
                  <c:v>24</c:v>
                </c:pt>
                <c:pt idx="10">
                  <c:v>42</c:v>
                </c:pt>
                <c:pt idx="11">
                  <c:v>42</c:v>
                </c:pt>
                <c:pt idx="12">
                  <c:v>17</c:v>
                </c:pt>
                <c:pt idx="13">
                  <c:v>16</c:v>
                </c:pt>
                <c:pt idx="14">
                  <c:v>6</c:v>
                </c:pt>
                <c:pt idx="15">
                  <c:v>7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13728"/>
        <c:axId val="79915648"/>
      </c:lineChart>
      <c:catAx>
        <c:axId val="79913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915648"/>
        <c:crosses val="autoZero"/>
        <c:auto val="1"/>
        <c:lblAlgn val="ctr"/>
        <c:lblOffset val="100"/>
        <c:noMultiLvlLbl val="0"/>
      </c:catAx>
      <c:valAx>
        <c:axId val="799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9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BULIISA-HOIMA-24h'!$C$9:$N$9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BULIISA-HOIMA-24h'!$C$107:$N$107</c:f>
              <c:numCache>
                <c:formatCode>0.0%</c:formatCode>
                <c:ptCount val="12"/>
                <c:pt idx="0">
                  <c:v>1.7902813299232736E-2</c:v>
                </c:pt>
                <c:pt idx="1">
                  <c:v>2.0460358056265986E-2</c:v>
                </c:pt>
                <c:pt idx="2">
                  <c:v>3.5805626598465472E-2</c:v>
                </c:pt>
                <c:pt idx="3">
                  <c:v>0.10230179028132992</c:v>
                </c:pt>
                <c:pt idx="4">
                  <c:v>2.5575447570332483E-3</c:v>
                </c:pt>
                <c:pt idx="5">
                  <c:v>0</c:v>
                </c:pt>
                <c:pt idx="6">
                  <c:v>1.278772378516624E-2</c:v>
                </c:pt>
                <c:pt idx="7">
                  <c:v>5.1150895140664966E-3</c:v>
                </c:pt>
                <c:pt idx="8">
                  <c:v>1.0230179028132993E-2</c:v>
                </c:pt>
                <c:pt idx="9">
                  <c:v>2.5575447570332483E-3</c:v>
                </c:pt>
                <c:pt idx="10">
                  <c:v>0.79028132992327371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BULIISA-HOIMA-24h'!$C$9:$N$9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BULIISA-HOIMA-24h'!$C$108:$N$108</c:f>
              <c:numCache>
                <c:formatCode>0.00%</c:formatCode>
                <c:ptCount val="12"/>
                <c:pt idx="0">
                  <c:v>8.5365853658536592E-2</c:v>
                </c:pt>
                <c:pt idx="1">
                  <c:v>9.7560975609756101E-2</c:v>
                </c:pt>
                <c:pt idx="2">
                  <c:v>0.17073170731707318</c:v>
                </c:pt>
                <c:pt idx="3">
                  <c:v>0.48780487804878048</c:v>
                </c:pt>
                <c:pt idx="4">
                  <c:v>1.2195121951219513E-2</c:v>
                </c:pt>
                <c:pt idx="5">
                  <c:v>0</c:v>
                </c:pt>
                <c:pt idx="6">
                  <c:v>6.097560975609756E-2</c:v>
                </c:pt>
                <c:pt idx="7">
                  <c:v>2.4390243902439025E-2</c:v>
                </c:pt>
                <c:pt idx="8">
                  <c:v>4.878048780487805E-2</c:v>
                </c:pt>
                <c:pt idx="9">
                  <c:v>1.2195121951219513E-2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HOIMA-BULIISA-24h'!$AE$9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HOIMA-BULIISA-24h'!$R$10:$R$33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HOIMA-BULIISA-24h'!$AE$10:$AE$33</c:f>
              <c:numCache>
                <c:formatCode>0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9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'26.10 HOIMA-BULIISA-24h'!$AF$9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HOIMA-BULIISA-24h'!$R$10:$R$33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HOIMA-BULIISA-24h'!$AF$10:$AF$33</c:f>
              <c:numCache>
                <c:formatCode>0</c:formatCode>
                <c:ptCount val="24"/>
                <c:pt idx="0">
                  <c:v>22</c:v>
                </c:pt>
                <c:pt idx="1">
                  <c:v>27</c:v>
                </c:pt>
                <c:pt idx="2">
                  <c:v>40</c:v>
                </c:pt>
                <c:pt idx="3">
                  <c:v>35</c:v>
                </c:pt>
                <c:pt idx="4">
                  <c:v>42</c:v>
                </c:pt>
                <c:pt idx="5">
                  <c:v>38</c:v>
                </c:pt>
                <c:pt idx="6">
                  <c:v>28</c:v>
                </c:pt>
                <c:pt idx="7">
                  <c:v>18</c:v>
                </c:pt>
                <c:pt idx="8">
                  <c:v>25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15</c:v>
                </c:pt>
                <c:pt idx="14">
                  <c:v>14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78176"/>
        <c:axId val="80192640"/>
      </c:lineChart>
      <c:catAx>
        <c:axId val="80178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192640"/>
        <c:crosses val="autoZero"/>
        <c:auto val="1"/>
        <c:lblAlgn val="ctr"/>
        <c:lblOffset val="100"/>
        <c:noMultiLvlLbl val="0"/>
      </c:catAx>
      <c:valAx>
        <c:axId val="80192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1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HOIMA-BULIISA-24h'!$C$9:$N$9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HOIMA-BULIISA-24h'!$C$107:$N$107</c:f>
              <c:numCache>
                <c:formatCode>0.0%</c:formatCode>
                <c:ptCount val="12"/>
                <c:pt idx="0">
                  <c:v>1.4999999999999999E-2</c:v>
                </c:pt>
                <c:pt idx="1">
                  <c:v>1.7500000000000002E-2</c:v>
                </c:pt>
                <c:pt idx="2">
                  <c:v>3.7499999999999999E-2</c:v>
                </c:pt>
                <c:pt idx="3">
                  <c:v>8.2500000000000004E-2</c:v>
                </c:pt>
                <c:pt idx="4">
                  <c:v>5.0000000000000001E-3</c:v>
                </c:pt>
                <c:pt idx="5">
                  <c:v>2.5000000000000001E-3</c:v>
                </c:pt>
                <c:pt idx="6">
                  <c:v>1.4999999999999999E-2</c:v>
                </c:pt>
                <c:pt idx="7">
                  <c:v>1.7500000000000002E-2</c:v>
                </c:pt>
                <c:pt idx="8">
                  <c:v>0.01</c:v>
                </c:pt>
                <c:pt idx="9">
                  <c:v>2.5000000000000001E-3</c:v>
                </c:pt>
                <c:pt idx="10">
                  <c:v>0.79500000000000004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HOIMA-BULIISA-24h'!$C$9:$N$9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HOIMA-BULIISA-24h'!$C$108:$N$108</c:f>
              <c:numCache>
                <c:formatCode>0.00%</c:formatCode>
                <c:ptCount val="12"/>
                <c:pt idx="0">
                  <c:v>7.3170731707317069E-2</c:v>
                </c:pt>
                <c:pt idx="1">
                  <c:v>8.5365853658536592E-2</c:v>
                </c:pt>
                <c:pt idx="2">
                  <c:v>0.18292682926829268</c:v>
                </c:pt>
                <c:pt idx="3">
                  <c:v>0.40243902439024393</c:v>
                </c:pt>
                <c:pt idx="4">
                  <c:v>2.4390243902439025E-2</c:v>
                </c:pt>
                <c:pt idx="5">
                  <c:v>1.2195121951219513E-2</c:v>
                </c:pt>
                <c:pt idx="6">
                  <c:v>7.3170731707317069E-2</c:v>
                </c:pt>
                <c:pt idx="7">
                  <c:v>8.5365853658536592E-2</c:v>
                </c:pt>
                <c:pt idx="8">
                  <c:v>4.878048780487805E-2</c:v>
                </c:pt>
                <c:pt idx="9">
                  <c:v>1.2195121951219513E-2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BULIISA-HOIMA'!$AE$9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BULIISA-HOIMA'!$AE$10:$AE$21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'27.10 BULIISA-HOIMA'!$AF$9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BULIISA-HOIMA'!$AF$10:$AF$21</c:f>
              <c:numCache>
                <c:formatCode>0</c:formatCode>
                <c:ptCount val="12"/>
                <c:pt idx="0">
                  <c:v>22</c:v>
                </c:pt>
                <c:pt idx="1">
                  <c:v>20</c:v>
                </c:pt>
                <c:pt idx="2">
                  <c:v>11</c:v>
                </c:pt>
                <c:pt idx="3">
                  <c:v>19</c:v>
                </c:pt>
                <c:pt idx="4">
                  <c:v>23</c:v>
                </c:pt>
                <c:pt idx="5">
                  <c:v>16</c:v>
                </c:pt>
                <c:pt idx="6">
                  <c:v>17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31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68768"/>
        <c:axId val="80370688"/>
      </c:lineChart>
      <c:catAx>
        <c:axId val="80368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370688"/>
        <c:crosses val="autoZero"/>
        <c:auto val="1"/>
        <c:lblAlgn val="ctr"/>
        <c:lblOffset val="100"/>
        <c:noMultiLvlLbl val="0"/>
      </c:catAx>
      <c:valAx>
        <c:axId val="80370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3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BULIISA-HOIMA'!$C$59:$N$59</c:f>
              <c:numCache>
                <c:formatCode>0.0%</c:formatCode>
                <c:ptCount val="12"/>
                <c:pt idx="0">
                  <c:v>3.8135593220338986E-2</c:v>
                </c:pt>
                <c:pt idx="1">
                  <c:v>4.2372881355932203E-3</c:v>
                </c:pt>
                <c:pt idx="2">
                  <c:v>3.8135593220338986E-2</c:v>
                </c:pt>
                <c:pt idx="3">
                  <c:v>0.11440677966101695</c:v>
                </c:pt>
                <c:pt idx="4">
                  <c:v>0</c:v>
                </c:pt>
                <c:pt idx="5">
                  <c:v>0</c:v>
                </c:pt>
                <c:pt idx="6">
                  <c:v>1.2711864406779662E-2</c:v>
                </c:pt>
                <c:pt idx="7">
                  <c:v>2.5423728813559324E-2</c:v>
                </c:pt>
                <c:pt idx="8">
                  <c:v>8.4745762711864406E-3</c:v>
                </c:pt>
                <c:pt idx="9">
                  <c:v>0</c:v>
                </c:pt>
                <c:pt idx="10">
                  <c:v>0.75847457627118642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BULIISA-HOIMA'!$S$9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BULIISA-HOIMA'!$S$10:$S$21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'27.10 BULIISA-HOIMA'!$T$9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BULIISA-HOIMA'!$T$10:$T$21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'27.10 BULIISA-HOIMA'!$U$9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'27.10 BULIISA-HOIMA'!$V$9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BULIISA-HOIMA'!$V$10:$V$21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'27.10 BULIISA-HOIMA'!$W$9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'27.10 BULIISA-HOIMA'!$X$9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'27.10 BULIISA-HOIMA'!$Y$9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'27.10 BULIISA-HOIMA'!$Z$9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'27.10 BULIISA-HOIMA'!$AA$9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'27.10 BULIISA-HOIMA'!$AB$9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'27.10 BULIISA-HOIMA'!$AC$9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BULIISA-HOIMA'!$AC$10:$AC$21</c:f>
              <c:numCache>
                <c:formatCode>0</c:formatCode>
                <c:ptCount val="12"/>
                <c:pt idx="0">
                  <c:v>15</c:v>
                </c:pt>
                <c:pt idx="1">
                  <c:v>12</c:v>
                </c:pt>
                <c:pt idx="2">
                  <c:v>11</c:v>
                </c:pt>
                <c:pt idx="3">
                  <c:v>17</c:v>
                </c:pt>
                <c:pt idx="4">
                  <c:v>18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26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'27.10 BULIISA-HOIMA'!$AD$9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BULIISA-HOIMA'!$AD$10:$AD$21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20160"/>
        <c:axId val="80642432"/>
      </c:lineChart>
      <c:catAx>
        <c:axId val="8062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42432"/>
        <c:crosses val="autoZero"/>
        <c:auto val="1"/>
        <c:lblAlgn val="ctr"/>
        <c:lblOffset val="100"/>
        <c:noMultiLvlLbl val="0"/>
      </c:catAx>
      <c:valAx>
        <c:axId val="806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BULIISA-HOIMA'!$C$60:$N$60</c:f>
              <c:numCache>
                <c:formatCode>0.00%</c:formatCode>
                <c:ptCount val="12"/>
                <c:pt idx="0">
                  <c:v>0.15789473684210525</c:v>
                </c:pt>
                <c:pt idx="1">
                  <c:v>1.7543859649122806E-2</c:v>
                </c:pt>
                <c:pt idx="2">
                  <c:v>0.15789473684210525</c:v>
                </c:pt>
                <c:pt idx="3">
                  <c:v>0.47368421052631576</c:v>
                </c:pt>
                <c:pt idx="4">
                  <c:v>0</c:v>
                </c:pt>
                <c:pt idx="5">
                  <c:v>0</c:v>
                </c:pt>
                <c:pt idx="6">
                  <c:v>5.2631578947368418E-2</c:v>
                </c:pt>
                <c:pt idx="7">
                  <c:v>0.10526315789473684</c:v>
                </c:pt>
                <c:pt idx="8">
                  <c:v>3.5087719298245612E-2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HOIMA-BULIISA'!$AE$9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HOIMA-BULIISA'!$AE$10:$AE$21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9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'27.10 HOIMA-BULIISA'!$AF$9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HOIMA-BULIISA'!$AF$10:$AF$21</c:f>
              <c:numCache>
                <c:formatCode>0</c:formatCode>
                <c:ptCount val="12"/>
                <c:pt idx="0">
                  <c:v>11</c:v>
                </c:pt>
                <c:pt idx="1">
                  <c:v>21</c:v>
                </c:pt>
                <c:pt idx="2">
                  <c:v>13</c:v>
                </c:pt>
                <c:pt idx="3">
                  <c:v>16</c:v>
                </c:pt>
                <c:pt idx="4">
                  <c:v>19</c:v>
                </c:pt>
                <c:pt idx="5">
                  <c:v>17</c:v>
                </c:pt>
                <c:pt idx="6">
                  <c:v>16</c:v>
                </c:pt>
                <c:pt idx="7">
                  <c:v>22</c:v>
                </c:pt>
                <c:pt idx="8">
                  <c:v>24</c:v>
                </c:pt>
                <c:pt idx="9">
                  <c:v>24</c:v>
                </c:pt>
                <c:pt idx="10">
                  <c:v>20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29824"/>
        <c:axId val="80832000"/>
      </c:lineChart>
      <c:catAx>
        <c:axId val="80829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832000"/>
        <c:crosses val="autoZero"/>
        <c:auto val="1"/>
        <c:lblAlgn val="ctr"/>
        <c:lblOffset val="100"/>
        <c:noMultiLvlLbl val="0"/>
      </c:catAx>
      <c:valAx>
        <c:axId val="80832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8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HOIMA-BULIISA'!$C$59:$N$59</c:f>
              <c:numCache>
                <c:formatCode>0.0%</c:formatCode>
                <c:ptCount val="12"/>
                <c:pt idx="0">
                  <c:v>3.2110091743119268E-2</c:v>
                </c:pt>
                <c:pt idx="1">
                  <c:v>0</c:v>
                </c:pt>
                <c:pt idx="2">
                  <c:v>3.669724770642202E-2</c:v>
                </c:pt>
                <c:pt idx="3">
                  <c:v>0.11467889908256881</c:v>
                </c:pt>
                <c:pt idx="4">
                  <c:v>1.3761467889908258E-2</c:v>
                </c:pt>
                <c:pt idx="5">
                  <c:v>0</c:v>
                </c:pt>
                <c:pt idx="6">
                  <c:v>9.1743119266055051E-3</c:v>
                </c:pt>
                <c:pt idx="7">
                  <c:v>2.2935779816513763E-2</c:v>
                </c:pt>
                <c:pt idx="8">
                  <c:v>9.1743119266055051E-3</c:v>
                </c:pt>
                <c:pt idx="9">
                  <c:v>0</c:v>
                </c:pt>
                <c:pt idx="10">
                  <c:v>0.76146788990825687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HOIMA-BULIISA'!$S$9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HOIMA-BULIISA'!$S$10:$S$21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'27.10 HOIMA-BULIISA'!$T$9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HOIMA-BULIISA'!$T$10:$T$21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'27.10 HOIMA-BULIISA'!$U$9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'27.10 HOIMA-BULIISA'!$V$9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'27.10 HOIMA-BULIISA'!$W$9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'27.10 HOIMA-BULIISA'!$X$9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'27.10 HOIMA-BULIISA'!$Y$9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'27.10 HOIMA-BULIISA'!$Z$9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'27.10 HOIMA-BULIISA'!$AA$9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'27.10 HOIMA-BULIISA'!$AB$9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'27.10 HOIMA-BULIISA'!$AC$9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HOIMA-BULIISA'!$AC$10:$AC$21</c:f>
              <c:numCache>
                <c:formatCode>0</c:formatCode>
                <c:ptCount val="12"/>
                <c:pt idx="0">
                  <c:v>9</c:v>
                </c:pt>
                <c:pt idx="1">
                  <c:v>19</c:v>
                </c:pt>
                <c:pt idx="2">
                  <c:v>10</c:v>
                </c:pt>
                <c:pt idx="3">
                  <c:v>12</c:v>
                </c:pt>
                <c:pt idx="4">
                  <c:v>16</c:v>
                </c:pt>
                <c:pt idx="5">
                  <c:v>14</c:v>
                </c:pt>
                <c:pt idx="6">
                  <c:v>9</c:v>
                </c:pt>
                <c:pt idx="7">
                  <c:v>14</c:v>
                </c:pt>
                <c:pt idx="8">
                  <c:v>19</c:v>
                </c:pt>
                <c:pt idx="9">
                  <c:v>15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'27.10 HOIMA-BULIISA'!$AD$9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HOIMA-BULIISA'!$AD$10:$AD$21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40896"/>
        <c:axId val="81042432"/>
      </c:lineChart>
      <c:catAx>
        <c:axId val="8104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42432"/>
        <c:crosses val="autoZero"/>
        <c:auto val="1"/>
        <c:lblAlgn val="ctr"/>
        <c:lblOffset val="100"/>
        <c:noMultiLvlLbl val="0"/>
      </c:catAx>
      <c:valAx>
        <c:axId val="810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HOIMA-BULIISA'!$C$60:$N$60</c:f>
              <c:numCache>
                <c:formatCode>0.00%</c:formatCode>
                <c:ptCount val="12"/>
                <c:pt idx="0">
                  <c:v>0.13461538461538461</c:v>
                </c:pt>
                <c:pt idx="1">
                  <c:v>0</c:v>
                </c:pt>
                <c:pt idx="2">
                  <c:v>0.15384615384615385</c:v>
                </c:pt>
                <c:pt idx="3">
                  <c:v>0.48076923076923078</c:v>
                </c:pt>
                <c:pt idx="4">
                  <c:v>5.7692307692307696E-2</c:v>
                </c:pt>
                <c:pt idx="5">
                  <c:v>0</c:v>
                </c:pt>
                <c:pt idx="6">
                  <c:v>3.8461538461538464E-2</c:v>
                </c:pt>
                <c:pt idx="7">
                  <c:v>9.6153846153846159E-2</c:v>
                </c:pt>
                <c:pt idx="8">
                  <c:v>3.8461538461538464E-2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BULIISA-HOIMA-24h'!$AE$9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BULIISA-HOIMA-24h'!$R$10:$R$33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BULIISA-HOIMA-24h'!$AE$10:$AE$33</c:f>
              <c:numCache>
                <c:formatCode>0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17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  <c:pt idx="8">
                  <c:v>13</c:v>
                </c:pt>
                <c:pt idx="9">
                  <c:v>13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3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'28.10 BULIISA-HOIMA-24h'!$AF$9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BULIISA-HOIMA-24h'!$R$10:$R$33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BULIISA-HOIMA-24h'!$AF$10:$AF$33</c:f>
              <c:numCache>
                <c:formatCode>0</c:formatCode>
                <c:ptCount val="24"/>
                <c:pt idx="0">
                  <c:v>29</c:v>
                </c:pt>
                <c:pt idx="1">
                  <c:v>19</c:v>
                </c:pt>
                <c:pt idx="2">
                  <c:v>51</c:v>
                </c:pt>
                <c:pt idx="3">
                  <c:v>20</c:v>
                </c:pt>
                <c:pt idx="4">
                  <c:v>17</c:v>
                </c:pt>
                <c:pt idx="5">
                  <c:v>36</c:v>
                </c:pt>
                <c:pt idx="6">
                  <c:v>15</c:v>
                </c:pt>
                <c:pt idx="7">
                  <c:v>15</c:v>
                </c:pt>
                <c:pt idx="8">
                  <c:v>21</c:v>
                </c:pt>
                <c:pt idx="9">
                  <c:v>33</c:v>
                </c:pt>
                <c:pt idx="10">
                  <c:v>27</c:v>
                </c:pt>
                <c:pt idx="11">
                  <c:v>40</c:v>
                </c:pt>
                <c:pt idx="12">
                  <c:v>33</c:v>
                </c:pt>
                <c:pt idx="13">
                  <c:v>13</c:v>
                </c:pt>
                <c:pt idx="14">
                  <c:v>14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5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43136"/>
        <c:axId val="81249408"/>
      </c:lineChart>
      <c:catAx>
        <c:axId val="81243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249408"/>
        <c:crosses val="autoZero"/>
        <c:auto val="1"/>
        <c:lblAlgn val="ctr"/>
        <c:lblOffset val="100"/>
        <c:noMultiLvlLbl val="0"/>
      </c:catAx>
      <c:valAx>
        <c:axId val="81249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24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BULIISA-HOIMA-24h'!$C$9:$N$9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BULIISA-HOIMA-24h'!$C$107:$N$107</c:f>
              <c:numCache>
                <c:formatCode>0.0%</c:formatCode>
                <c:ptCount val="12"/>
                <c:pt idx="0">
                  <c:v>4.1062801932367152E-2</c:v>
                </c:pt>
                <c:pt idx="1">
                  <c:v>4.3478260869565216E-2</c:v>
                </c:pt>
                <c:pt idx="2">
                  <c:v>4.3478260869565216E-2</c:v>
                </c:pt>
                <c:pt idx="3">
                  <c:v>0.14009661835748793</c:v>
                </c:pt>
                <c:pt idx="4">
                  <c:v>0</c:v>
                </c:pt>
                <c:pt idx="5">
                  <c:v>0</c:v>
                </c:pt>
                <c:pt idx="6">
                  <c:v>1.2077294685990338E-2</c:v>
                </c:pt>
                <c:pt idx="7">
                  <c:v>1.4492753623188406E-2</c:v>
                </c:pt>
                <c:pt idx="8">
                  <c:v>9.6618357487922701E-3</c:v>
                </c:pt>
                <c:pt idx="9">
                  <c:v>7.246376811594203E-3</c:v>
                </c:pt>
                <c:pt idx="10">
                  <c:v>0.68840579710144922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BULIISA-HOIMA-24h'!$C$9:$N$9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BULIISA-HOIMA-24h'!$C$108:$N$108</c:f>
              <c:numCache>
                <c:formatCode>0.00%</c:formatCode>
                <c:ptCount val="12"/>
                <c:pt idx="0">
                  <c:v>0.13178294573643412</c:v>
                </c:pt>
                <c:pt idx="1">
                  <c:v>0.13953488372093023</c:v>
                </c:pt>
                <c:pt idx="2">
                  <c:v>0.13953488372093023</c:v>
                </c:pt>
                <c:pt idx="3">
                  <c:v>0.44961240310077522</c:v>
                </c:pt>
                <c:pt idx="4">
                  <c:v>0</c:v>
                </c:pt>
                <c:pt idx="5">
                  <c:v>0</c:v>
                </c:pt>
                <c:pt idx="6">
                  <c:v>3.875968992248062E-2</c:v>
                </c:pt>
                <c:pt idx="7">
                  <c:v>4.6511627906976744E-2</c:v>
                </c:pt>
                <c:pt idx="8">
                  <c:v>3.1007751937984496E-2</c:v>
                </c:pt>
                <c:pt idx="9">
                  <c:v>2.3255813953488372E-2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HOIMA-BULIISA-24h'!$AE$9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HOIMA-BULIISA-24h'!$R$10:$R$33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HOIMA-BULIISA-24h'!$AE$10:$AE$33</c:f>
              <c:numCache>
                <c:formatCode>0</c:formatCode>
                <c:ptCount val="24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10</c:v>
                </c:pt>
                <c:pt idx="6">
                  <c:v>6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11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'28.10 HOIMA-BULIISA-24h'!$AF$9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HOIMA-BULIISA-24h'!$R$10:$R$33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HOIMA-BULIISA-24h'!$AF$10:$AF$33</c:f>
              <c:numCache>
                <c:formatCode>0</c:formatCode>
                <c:ptCount val="24"/>
                <c:pt idx="0">
                  <c:v>32</c:v>
                </c:pt>
                <c:pt idx="1">
                  <c:v>25</c:v>
                </c:pt>
                <c:pt idx="2">
                  <c:v>21</c:v>
                </c:pt>
                <c:pt idx="3">
                  <c:v>38</c:v>
                </c:pt>
                <c:pt idx="4">
                  <c:v>28</c:v>
                </c:pt>
                <c:pt idx="5">
                  <c:v>30</c:v>
                </c:pt>
                <c:pt idx="6">
                  <c:v>23</c:v>
                </c:pt>
                <c:pt idx="7">
                  <c:v>30</c:v>
                </c:pt>
                <c:pt idx="8">
                  <c:v>32</c:v>
                </c:pt>
                <c:pt idx="9">
                  <c:v>32</c:v>
                </c:pt>
                <c:pt idx="10">
                  <c:v>28</c:v>
                </c:pt>
                <c:pt idx="11">
                  <c:v>39</c:v>
                </c:pt>
                <c:pt idx="12">
                  <c:v>25</c:v>
                </c:pt>
                <c:pt idx="13">
                  <c:v>14</c:v>
                </c:pt>
                <c:pt idx="14">
                  <c:v>10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63872"/>
        <c:axId val="94470144"/>
      </c:lineChart>
      <c:catAx>
        <c:axId val="94463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470144"/>
        <c:crosses val="autoZero"/>
        <c:auto val="1"/>
        <c:lblAlgn val="ctr"/>
        <c:lblOffset val="100"/>
        <c:noMultiLvlLbl val="0"/>
      </c:catAx>
      <c:valAx>
        <c:axId val="94470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4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HOIMA-BULIISA-24h'!$C$9:$N$9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HOIMA-BULIISA-24h'!$C$107:$N$107</c:f>
              <c:numCache>
                <c:formatCode>0.0%</c:formatCode>
                <c:ptCount val="12"/>
                <c:pt idx="0">
                  <c:v>4.5454545454545456E-2</c:v>
                </c:pt>
                <c:pt idx="1">
                  <c:v>2.2727272727272728E-2</c:v>
                </c:pt>
                <c:pt idx="2">
                  <c:v>5.6818181818181816E-2</c:v>
                </c:pt>
                <c:pt idx="3">
                  <c:v>0.11363636363636363</c:v>
                </c:pt>
                <c:pt idx="4">
                  <c:v>4.5454545454545452E-3</c:v>
                </c:pt>
                <c:pt idx="5">
                  <c:v>0</c:v>
                </c:pt>
                <c:pt idx="6">
                  <c:v>9.0909090909090905E-3</c:v>
                </c:pt>
                <c:pt idx="7">
                  <c:v>1.1363636363636364E-2</c:v>
                </c:pt>
                <c:pt idx="8">
                  <c:v>1.5909090909090907E-2</c:v>
                </c:pt>
                <c:pt idx="9">
                  <c:v>0</c:v>
                </c:pt>
                <c:pt idx="10">
                  <c:v>0.72045454545454546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HOIMA-BULIISA-24h'!$C$9:$N$9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HOIMA-BULIISA-24h'!$C$108:$N$108</c:f>
              <c:numCache>
                <c:formatCode>0.00%</c:formatCode>
                <c:ptCount val="12"/>
                <c:pt idx="0">
                  <c:v>0.16260162601626016</c:v>
                </c:pt>
                <c:pt idx="1">
                  <c:v>8.1300813008130079E-2</c:v>
                </c:pt>
                <c:pt idx="2">
                  <c:v>0.2032520325203252</c:v>
                </c:pt>
                <c:pt idx="3">
                  <c:v>0.4065040650406504</c:v>
                </c:pt>
                <c:pt idx="4">
                  <c:v>1.6260162601626018E-2</c:v>
                </c:pt>
                <c:pt idx="5">
                  <c:v>0</c:v>
                </c:pt>
                <c:pt idx="6">
                  <c:v>3.2520325203252036E-2</c:v>
                </c:pt>
                <c:pt idx="7">
                  <c:v>4.065040650406504E-2</c:v>
                </c:pt>
                <c:pt idx="8">
                  <c:v>5.6910569105691054E-2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BULIISA-HOIMA'!$AE$9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BULIISA-HOIMA'!$AE$10:$AE$21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8</c:v>
                </c:pt>
                <c:pt idx="9">
                  <c:v>15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'29.10 BULIISA-HOIMA'!$AF$9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BULIISA-HOIMA'!$AF$10:$AF$21</c:f>
              <c:numCache>
                <c:formatCode>0</c:formatCode>
                <c:ptCount val="12"/>
                <c:pt idx="0">
                  <c:v>20</c:v>
                </c:pt>
                <c:pt idx="1">
                  <c:v>26</c:v>
                </c:pt>
                <c:pt idx="2">
                  <c:v>29</c:v>
                </c:pt>
                <c:pt idx="3">
                  <c:v>26</c:v>
                </c:pt>
                <c:pt idx="4">
                  <c:v>17</c:v>
                </c:pt>
                <c:pt idx="5">
                  <c:v>17</c:v>
                </c:pt>
                <c:pt idx="6">
                  <c:v>15</c:v>
                </c:pt>
                <c:pt idx="7">
                  <c:v>18</c:v>
                </c:pt>
                <c:pt idx="8">
                  <c:v>28</c:v>
                </c:pt>
                <c:pt idx="9">
                  <c:v>27</c:v>
                </c:pt>
                <c:pt idx="10">
                  <c:v>17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98240"/>
        <c:axId val="95500160"/>
      </c:lineChart>
      <c:catAx>
        <c:axId val="95498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500160"/>
        <c:crosses val="autoZero"/>
        <c:auto val="1"/>
        <c:lblAlgn val="ctr"/>
        <c:lblOffset val="100"/>
        <c:noMultiLvlLbl val="0"/>
      </c:catAx>
      <c:valAx>
        <c:axId val="95500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4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BULIISA-HOIMA'!$C$59:$N$59</c:f>
              <c:numCache>
                <c:formatCode>0.0%</c:formatCode>
                <c:ptCount val="12"/>
                <c:pt idx="0">
                  <c:v>7.2796934865900387E-2</c:v>
                </c:pt>
                <c:pt idx="1">
                  <c:v>1.9157088122605363E-2</c:v>
                </c:pt>
                <c:pt idx="2">
                  <c:v>9.9616858237547887E-2</c:v>
                </c:pt>
                <c:pt idx="3">
                  <c:v>0.11877394636015326</c:v>
                </c:pt>
                <c:pt idx="4">
                  <c:v>0</c:v>
                </c:pt>
                <c:pt idx="5">
                  <c:v>0</c:v>
                </c:pt>
                <c:pt idx="6">
                  <c:v>1.532567049808429E-2</c:v>
                </c:pt>
                <c:pt idx="7">
                  <c:v>7.6628352490421452E-3</c:v>
                </c:pt>
                <c:pt idx="8">
                  <c:v>1.1494252873563218E-2</c:v>
                </c:pt>
                <c:pt idx="9">
                  <c:v>0</c:v>
                </c:pt>
                <c:pt idx="10">
                  <c:v>0.65517241379310343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BULIISA-HOIMA'!$C$60:$N$60</c:f>
              <c:numCache>
                <c:formatCode>0.00%</c:formatCode>
                <c:ptCount val="12"/>
                <c:pt idx="0">
                  <c:v>0.21111111111111111</c:v>
                </c:pt>
                <c:pt idx="1">
                  <c:v>5.5555555555555552E-2</c:v>
                </c:pt>
                <c:pt idx="2">
                  <c:v>0.28888888888888886</c:v>
                </c:pt>
                <c:pt idx="3">
                  <c:v>0.34444444444444444</c:v>
                </c:pt>
                <c:pt idx="4">
                  <c:v>0</c:v>
                </c:pt>
                <c:pt idx="5">
                  <c:v>0</c:v>
                </c:pt>
                <c:pt idx="6">
                  <c:v>4.4444444444444446E-2</c:v>
                </c:pt>
                <c:pt idx="7">
                  <c:v>2.2222222222222223E-2</c:v>
                </c:pt>
                <c:pt idx="8">
                  <c:v>3.3333333333333333E-2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HOIMA-BULIISA'!$AE$9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HOIMA-BULIISA'!$AE$10:$AE$21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'29.10 HOIMA-BULIISA'!$AF$9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HOIMA-BULIISA'!$AF$10:$AF$21</c:f>
              <c:numCache>
                <c:formatCode>0</c:formatCode>
                <c:ptCount val="12"/>
                <c:pt idx="0">
                  <c:v>22</c:v>
                </c:pt>
                <c:pt idx="1">
                  <c:v>24</c:v>
                </c:pt>
                <c:pt idx="2">
                  <c:v>35</c:v>
                </c:pt>
                <c:pt idx="3">
                  <c:v>27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27</c:v>
                </c:pt>
                <c:pt idx="8">
                  <c:v>19</c:v>
                </c:pt>
                <c:pt idx="9">
                  <c:v>28</c:v>
                </c:pt>
                <c:pt idx="10">
                  <c:v>17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91744"/>
        <c:axId val="95793920"/>
      </c:lineChart>
      <c:catAx>
        <c:axId val="957917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793920"/>
        <c:crosses val="autoZero"/>
        <c:auto val="1"/>
        <c:lblAlgn val="ctr"/>
        <c:lblOffset val="100"/>
        <c:noMultiLvlLbl val="0"/>
      </c:catAx>
      <c:valAx>
        <c:axId val="95793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79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HOIMA-BULIISA'!$C$59:$N$59</c:f>
              <c:numCache>
                <c:formatCode>0.0%</c:formatCode>
                <c:ptCount val="12"/>
                <c:pt idx="0">
                  <c:v>6.0498220640569395E-2</c:v>
                </c:pt>
                <c:pt idx="1">
                  <c:v>1.7793594306049824E-2</c:v>
                </c:pt>
                <c:pt idx="2">
                  <c:v>7.8291814946619215E-2</c:v>
                </c:pt>
                <c:pt idx="3">
                  <c:v>0.11743772241992882</c:v>
                </c:pt>
                <c:pt idx="4">
                  <c:v>0</c:v>
                </c:pt>
                <c:pt idx="5">
                  <c:v>0</c:v>
                </c:pt>
                <c:pt idx="6">
                  <c:v>2.1352313167259787E-2</c:v>
                </c:pt>
                <c:pt idx="7">
                  <c:v>3.5587188612099642E-3</c:v>
                </c:pt>
                <c:pt idx="8">
                  <c:v>7.1174377224199285E-3</c:v>
                </c:pt>
                <c:pt idx="9">
                  <c:v>0</c:v>
                </c:pt>
                <c:pt idx="10">
                  <c:v>0.69395017793594305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HOIMA-BULIISA'!$S$9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HOIMA-BULIISA'!$S$10:$S$21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'29.10 HOIMA-BULIISA'!$T$9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HOIMA-BULIISA'!$T$10:$T$21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'29.10 HOIMA-BULIISA'!$U$9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HOIMA-BULIISA'!$U$10:$U$21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'29.10 HOIMA-BULIISA'!$V$9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HOIMA-BULIISA'!$V$10:$V$21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'29.10 HOIMA-BULIISA'!$W$9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'29.10 HOIMA-BULIISA'!$X$9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'29.10 HOIMA-BULIISA'!$Y$9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HOIMA-BULIISA'!$Y$10:$Y$21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'29.10 HOIMA-BULIISA'!$Z$9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'29.10 HOIMA-BULIISA'!$AA$9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'29.10 HOIMA-BULIISA'!$AB$9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'29.10 HOIMA-BULIISA'!$AC$9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HOIMA-BULIISA'!$AC$10:$AC$21</c:f>
              <c:numCache>
                <c:formatCode>0</c:formatCode>
                <c:ptCount val="12"/>
                <c:pt idx="0">
                  <c:v>12</c:v>
                </c:pt>
                <c:pt idx="1">
                  <c:v>19</c:v>
                </c:pt>
                <c:pt idx="2">
                  <c:v>25</c:v>
                </c:pt>
                <c:pt idx="3">
                  <c:v>17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17</c:v>
                </c:pt>
                <c:pt idx="8">
                  <c:v>14</c:v>
                </c:pt>
                <c:pt idx="9">
                  <c:v>21</c:v>
                </c:pt>
                <c:pt idx="10">
                  <c:v>14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'29.10 HOIMA-BULIISA'!$AD$9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HOIMA-BULIISA'!$AD$10:$AD$21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46880"/>
        <c:axId val="96348416"/>
      </c:lineChart>
      <c:catAx>
        <c:axId val="963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348416"/>
        <c:crosses val="autoZero"/>
        <c:auto val="1"/>
        <c:lblAlgn val="ctr"/>
        <c:lblOffset val="100"/>
        <c:noMultiLvlLbl val="0"/>
      </c:catAx>
      <c:valAx>
        <c:axId val="963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3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HOIMA-BULIISA'!$C$60:$N$60</c:f>
              <c:numCache>
                <c:formatCode>0.00%</c:formatCode>
                <c:ptCount val="12"/>
                <c:pt idx="0">
                  <c:v>0.19767441860465115</c:v>
                </c:pt>
                <c:pt idx="1">
                  <c:v>5.8139534883720929E-2</c:v>
                </c:pt>
                <c:pt idx="2">
                  <c:v>0.2558139534883721</c:v>
                </c:pt>
                <c:pt idx="3">
                  <c:v>0.38372093023255816</c:v>
                </c:pt>
                <c:pt idx="4">
                  <c:v>0</c:v>
                </c:pt>
                <c:pt idx="5">
                  <c:v>0</c:v>
                </c:pt>
                <c:pt idx="6">
                  <c:v>6.9767441860465115E-2</c:v>
                </c:pt>
                <c:pt idx="7">
                  <c:v>1.1627906976744186E-2</c:v>
                </c:pt>
                <c:pt idx="8">
                  <c:v>2.3255813953488372E-2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BULIISA-HOIMA'!$AE$9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BULIISA-HOIMA'!$AE$10:$AE$21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4</c:v>
                </c:pt>
                <c:pt idx="7">
                  <c:v>12</c:v>
                </c:pt>
                <c:pt idx="8">
                  <c:v>13</c:v>
                </c:pt>
                <c:pt idx="9">
                  <c:v>8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'30.10 BULIISA-HOIMA'!$AF$9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BULIISA-HOIMA'!$AF$10:$AF$21</c:f>
              <c:numCache>
                <c:formatCode>0</c:formatCode>
                <c:ptCount val="12"/>
                <c:pt idx="0">
                  <c:v>16</c:v>
                </c:pt>
                <c:pt idx="1">
                  <c:v>22</c:v>
                </c:pt>
                <c:pt idx="2">
                  <c:v>28</c:v>
                </c:pt>
                <c:pt idx="3">
                  <c:v>24</c:v>
                </c:pt>
                <c:pt idx="4">
                  <c:v>18</c:v>
                </c:pt>
                <c:pt idx="5">
                  <c:v>29</c:v>
                </c:pt>
                <c:pt idx="6">
                  <c:v>11</c:v>
                </c:pt>
                <c:pt idx="7">
                  <c:v>20</c:v>
                </c:pt>
                <c:pt idx="8">
                  <c:v>34</c:v>
                </c:pt>
                <c:pt idx="9">
                  <c:v>29</c:v>
                </c:pt>
                <c:pt idx="10">
                  <c:v>25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30976"/>
        <c:axId val="96832896"/>
      </c:lineChart>
      <c:catAx>
        <c:axId val="96830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832896"/>
        <c:crosses val="autoZero"/>
        <c:auto val="1"/>
        <c:lblAlgn val="ctr"/>
        <c:lblOffset val="100"/>
        <c:noMultiLvlLbl val="0"/>
      </c:catAx>
      <c:valAx>
        <c:axId val="96832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8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BULIISA-HOIMA'!$C$59:$N$59</c:f>
              <c:numCache>
                <c:formatCode>0.0%</c:formatCode>
                <c:ptCount val="12"/>
                <c:pt idx="0">
                  <c:v>7.720588235294118E-2</c:v>
                </c:pt>
                <c:pt idx="1">
                  <c:v>1.8382352941176471E-2</c:v>
                </c:pt>
                <c:pt idx="2">
                  <c:v>9.1911764705882359E-2</c:v>
                </c:pt>
                <c:pt idx="3">
                  <c:v>0.125</c:v>
                </c:pt>
                <c:pt idx="4">
                  <c:v>0</c:v>
                </c:pt>
                <c:pt idx="5">
                  <c:v>0</c:v>
                </c:pt>
                <c:pt idx="6">
                  <c:v>2.9411764705882353E-2</c:v>
                </c:pt>
                <c:pt idx="7">
                  <c:v>1.4705882352941176E-2</c:v>
                </c:pt>
                <c:pt idx="8">
                  <c:v>7.3529411764705881E-3</c:v>
                </c:pt>
                <c:pt idx="9">
                  <c:v>1.1029411764705883E-2</c:v>
                </c:pt>
                <c:pt idx="10">
                  <c:v>0.625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BULIISA-HOIMA'!$S$9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BULIISA-HOIMA'!$S$10:$S$21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'30.10 BULIISA-HOIMA'!$T$9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BULIISA-HOIMA'!$T$10:$T$21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'30.10 BULIISA-HOIMA'!$U$9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BULIISA-HOIMA'!$U$10:$U$21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'30.10 BULIISA-HOIMA'!$V$9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'30.10 BULIISA-HOIMA'!$W$9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'30.10 BULIISA-HOIMA'!$X$9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'30.10 BULIISA-HOIMA'!$Y$9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'30.10 BULIISA-HOIMA'!$Z$9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'30.10 BULIISA-HOIMA'!$AA$9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'30.10 BULIISA-HOIMA'!$AB$9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'30.10 BULIISA-HOIMA'!$AC$9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BULIISA-HOIMA'!$AC$10:$AC$21</c:f>
              <c:numCache>
                <c:formatCode>0</c:formatCode>
                <c:ptCount val="12"/>
                <c:pt idx="0">
                  <c:v>9</c:v>
                </c:pt>
                <c:pt idx="1">
                  <c:v>16</c:v>
                </c:pt>
                <c:pt idx="2">
                  <c:v>19</c:v>
                </c:pt>
                <c:pt idx="3">
                  <c:v>15</c:v>
                </c:pt>
                <c:pt idx="4">
                  <c:v>10</c:v>
                </c:pt>
                <c:pt idx="5">
                  <c:v>19</c:v>
                </c:pt>
                <c:pt idx="6">
                  <c:v>7</c:v>
                </c:pt>
                <c:pt idx="7">
                  <c:v>8</c:v>
                </c:pt>
                <c:pt idx="8">
                  <c:v>21</c:v>
                </c:pt>
                <c:pt idx="9">
                  <c:v>21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'30.10 BULIISA-HOIMA'!$AD$9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BULIISA-HOIMA'!$AD$10:$AD$21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71168"/>
        <c:axId val="97293440"/>
      </c:lineChart>
      <c:catAx>
        <c:axId val="9727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293440"/>
        <c:crosses val="autoZero"/>
        <c:auto val="1"/>
        <c:lblAlgn val="ctr"/>
        <c:lblOffset val="100"/>
        <c:noMultiLvlLbl val="0"/>
      </c:catAx>
      <c:valAx>
        <c:axId val="972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2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BULIISA-HOIMA'!$C$60:$N$60</c:f>
              <c:numCache>
                <c:formatCode>0.00%</c:formatCode>
                <c:ptCount val="12"/>
                <c:pt idx="0">
                  <c:v>0.20588235294117646</c:v>
                </c:pt>
                <c:pt idx="1">
                  <c:v>4.9019607843137254E-2</c:v>
                </c:pt>
                <c:pt idx="2">
                  <c:v>0.24509803921568626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7.8431372549019607E-2</c:v>
                </c:pt>
                <c:pt idx="7">
                  <c:v>3.9215686274509803E-2</c:v>
                </c:pt>
                <c:pt idx="8">
                  <c:v>1.9607843137254902E-2</c:v>
                </c:pt>
                <c:pt idx="9">
                  <c:v>2.9411764705882353E-2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HOIMA-BULIISA'!$AE$9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HOIMA-BULIISA'!$AE$10:$AE$21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11</c:v>
                </c:pt>
                <c:pt idx="6">
                  <c:v>7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'30.10 HOIMA-BULIISA'!$AF$9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HOIMA-BULIISA'!$AF$10:$AF$21</c:f>
              <c:numCache>
                <c:formatCode>0</c:formatCode>
                <c:ptCount val="12"/>
                <c:pt idx="0">
                  <c:v>19</c:v>
                </c:pt>
                <c:pt idx="1">
                  <c:v>28</c:v>
                </c:pt>
                <c:pt idx="2">
                  <c:v>28</c:v>
                </c:pt>
                <c:pt idx="3">
                  <c:v>33</c:v>
                </c:pt>
                <c:pt idx="4">
                  <c:v>25</c:v>
                </c:pt>
                <c:pt idx="5">
                  <c:v>26</c:v>
                </c:pt>
                <c:pt idx="6">
                  <c:v>17</c:v>
                </c:pt>
                <c:pt idx="7">
                  <c:v>18</c:v>
                </c:pt>
                <c:pt idx="8">
                  <c:v>26</c:v>
                </c:pt>
                <c:pt idx="9">
                  <c:v>20</c:v>
                </c:pt>
                <c:pt idx="10">
                  <c:v>33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81088"/>
        <c:axId val="97483008"/>
      </c:lineChart>
      <c:catAx>
        <c:axId val="97481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483008"/>
        <c:crosses val="autoZero"/>
        <c:auto val="1"/>
        <c:lblAlgn val="ctr"/>
        <c:lblOffset val="100"/>
        <c:noMultiLvlLbl val="0"/>
      </c:catAx>
      <c:valAx>
        <c:axId val="97483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48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HOIMA-BULIISA'!$C$59:$N$59</c:f>
              <c:numCache>
                <c:formatCode>0.0%</c:formatCode>
                <c:ptCount val="12"/>
                <c:pt idx="0">
                  <c:v>3.6666666666666667E-2</c:v>
                </c:pt>
                <c:pt idx="1">
                  <c:v>2.6666666666666668E-2</c:v>
                </c:pt>
                <c:pt idx="2">
                  <c:v>9.3333333333333338E-2</c:v>
                </c:pt>
                <c:pt idx="3">
                  <c:v>0.12</c:v>
                </c:pt>
                <c:pt idx="4">
                  <c:v>3.3333333333333335E-3</c:v>
                </c:pt>
                <c:pt idx="5">
                  <c:v>3.3333333333333335E-3</c:v>
                </c:pt>
                <c:pt idx="6">
                  <c:v>0.01</c:v>
                </c:pt>
                <c:pt idx="7">
                  <c:v>1.3333333333333334E-2</c:v>
                </c:pt>
                <c:pt idx="8">
                  <c:v>1.3333333333333334E-2</c:v>
                </c:pt>
                <c:pt idx="9">
                  <c:v>3.3333333333333335E-3</c:v>
                </c:pt>
                <c:pt idx="10">
                  <c:v>0.67666666666666664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HOIMA-BULIISA'!$S$9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HOIMA-BULIISA'!$S$10:$S$21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'30.10 HOIMA-BULIISA'!$T$9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HOIMA-BULIISA'!$T$10:$T$21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'30.10 HOIMA-BULIISA'!$U$9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'30.10 HOIMA-BULIISA'!$V$9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HOIMA-BULIISA'!$V$10:$V$21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'30.10 HOIMA-BULIISA'!$W$9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'30.10 HOIMA-BULIISA'!$X$9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'30.10 HOIMA-BULIISA'!$Y$9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'30.10 HOIMA-BULIISA'!$Z$9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'30.10 HOIMA-BULIISA'!$AA$9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'30.10 HOIMA-BULIISA'!$AB$9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'30.10 HOIMA-BULIISA'!$AC$9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HOIMA-BULIISA'!$AC$10:$AC$21</c:f>
              <c:numCache>
                <c:formatCode>0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17</c:v>
                </c:pt>
                <c:pt idx="3">
                  <c:v>24</c:v>
                </c:pt>
                <c:pt idx="4">
                  <c:v>16</c:v>
                </c:pt>
                <c:pt idx="5">
                  <c:v>15</c:v>
                </c:pt>
                <c:pt idx="6">
                  <c:v>10</c:v>
                </c:pt>
                <c:pt idx="7">
                  <c:v>9</c:v>
                </c:pt>
                <c:pt idx="8">
                  <c:v>19</c:v>
                </c:pt>
                <c:pt idx="9">
                  <c:v>14</c:v>
                </c:pt>
                <c:pt idx="10">
                  <c:v>26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'30.10 HOIMA-BULIISA'!$AD$9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HOIMA-BULIISA'!$AD$10:$AD$21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90112"/>
        <c:axId val="119312384"/>
      </c:lineChart>
      <c:catAx>
        <c:axId val="11929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312384"/>
        <c:crosses val="autoZero"/>
        <c:auto val="1"/>
        <c:lblAlgn val="ctr"/>
        <c:lblOffset val="100"/>
        <c:noMultiLvlLbl val="0"/>
      </c:catAx>
      <c:valAx>
        <c:axId val="1193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2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HOIMA-BULIISA'!$C$60:$N$60</c:f>
              <c:numCache>
                <c:formatCode>0.00%</c:formatCode>
                <c:ptCount val="12"/>
                <c:pt idx="0">
                  <c:v>0.1134020618556701</c:v>
                </c:pt>
                <c:pt idx="1">
                  <c:v>8.247422680412371E-2</c:v>
                </c:pt>
                <c:pt idx="2">
                  <c:v>0.28865979381443296</c:v>
                </c:pt>
                <c:pt idx="3">
                  <c:v>0.37113402061855671</c:v>
                </c:pt>
                <c:pt idx="4">
                  <c:v>1.0309278350515464E-2</c:v>
                </c:pt>
                <c:pt idx="5">
                  <c:v>1.0309278350515464E-2</c:v>
                </c:pt>
                <c:pt idx="6">
                  <c:v>3.0927835051546393E-2</c:v>
                </c:pt>
                <c:pt idx="7">
                  <c:v>4.1237113402061855E-2</c:v>
                </c:pt>
                <c:pt idx="8">
                  <c:v>4.1237113402061855E-2</c:v>
                </c:pt>
                <c:pt idx="9">
                  <c:v>1.0309278350515464E-2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BULIISA-HOIMA'!$AE$9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BULIISA-HOIMA'!$AE$10:$AE$21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'31.10 BULIISA-HOIMA'!$AF$9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BULIISA-HOIMA'!$AF$10:$AF$21</c:f>
              <c:numCache>
                <c:formatCode>0</c:formatCode>
                <c:ptCount val="12"/>
                <c:pt idx="0">
                  <c:v>20</c:v>
                </c:pt>
                <c:pt idx="1">
                  <c:v>21</c:v>
                </c:pt>
                <c:pt idx="2">
                  <c:v>30</c:v>
                </c:pt>
                <c:pt idx="3">
                  <c:v>18</c:v>
                </c:pt>
                <c:pt idx="4">
                  <c:v>25</c:v>
                </c:pt>
                <c:pt idx="5">
                  <c:v>19</c:v>
                </c:pt>
                <c:pt idx="6">
                  <c:v>21</c:v>
                </c:pt>
                <c:pt idx="7">
                  <c:v>16</c:v>
                </c:pt>
                <c:pt idx="8">
                  <c:v>30</c:v>
                </c:pt>
                <c:pt idx="9">
                  <c:v>26</c:v>
                </c:pt>
                <c:pt idx="10">
                  <c:v>23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85792"/>
        <c:axId val="119596160"/>
      </c:lineChart>
      <c:catAx>
        <c:axId val="119585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596160"/>
        <c:crosses val="autoZero"/>
        <c:auto val="1"/>
        <c:lblAlgn val="ctr"/>
        <c:lblOffset val="100"/>
        <c:noMultiLvlLbl val="0"/>
      </c:catAx>
      <c:valAx>
        <c:axId val="119596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5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BULIISA-HOIMA'!$C$59:$N$59</c:f>
              <c:numCache>
                <c:formatCode>0.0%</c:formatCode>
                <c:ptCount val="12"/>
                <c:pt idx="0">
                  <c:v>2.6615969581749048E-2</c:v>
                </c:pt>
                <c:pt idx="1">
                  <c:v>2.2813688212927757E-2</c:v>
                </c:pt>
                <c:pt idx="2">
                  <c:v>7.9847908745247151E-2</c:v>
                </c:pt>
                <c:pt idx="3">
                  <c:v>0.11406844106463879</c:v>
                </c:pt>
                <c:pt idx="4">
                  <c:v>0</c:v>
                </c:pt>
                <c:pt idx="5">
                  <c:v>0</c:v>
                </c:pt>
                <c:pt idx="6">
                  <c:v>1.1406844106463879E-2</c:v>
                </c:pt>
                <c:pt idx="7">
                  <c:v>3.0418250950570342E-2</c:v>
                </c:pt>
                <c:pt idx="8">
                  <c:v>1.5209125475285171E-2</c:v>
                </c:pt>
                <c:pt idx="9">
                  <c:v>0</c:v>
                </c:pt>
                <c:pt idx="10">
                  <c:v>0.69961977186311786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BULIISA-HOIMA'!$S$9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BULIISA-HOIMA'!$S$10:$S$21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'31.10 BULIISA-HOIMA'!$T$9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BULIISA-HOIMA'!$R$10:$R$21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BULIISA-HOIMA'!$T$10:$T$21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'31.10 BULIISA-HOIMA'!$U$9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BULIISA-HOIMA'!$U$10:$U$21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'31.10 BULIISA-HOIMA'!$V$9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'31.10 BULIISA-HOIMA'!$W$9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'31.10 BULIISA-HOIMA'!$X$9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'31.10 BULIISA-HOIMA'!$Y$9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'31.10 BULIISA-HOIMA'!$Z$9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'31.10 BULIISA-HOIMA'!$AA$9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'31.10 BULIISA-HOIMA'!$AB$9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'31.10 BULIISA-HOIMA'!$AC$9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BULIISA-HOIMA'!$AC$10:$AC$21</c:f>
              <c:numCache>
                <c:formatCode>0</c:formatCode>
                <c:ptCount val="12"/>
                <c:pt idx="0">
                  <c:v>15</c:v>
                </c:pt>
                <c:pt idx="1">
                  <c:v>16</c:v>
                </c:pt>
                <c:pt idx="2">
                  <c:v>18</c:v>
                </c:pt>
                <c:pt idx="3">
                  <c:v>9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9</c:v>
                </c:pt>
                <c:pt idx="8">
                  <c:v>23</c:v>
                </c:pt>
                <c:pt idx="9">
                  <c:v>20</c:v>
                </c:pt>
                <c:pt idx="10">
                  <c:v>20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'31.10 BULIISA-HOIMA'!$AD$9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BULIISA-HOIMA'!$AD$10:$AD$21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35744"/>
        <c:axId val="193137280"/>
      </c:lineChart>
      <c:catAx>
        <c:axId val="19313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137280"/>
        <c:crosses val="autoZero"/>
        <c:auto val="1"/>
        <c:lblAlgn val="ctr"/>
        <c:lblOffset val="100"/>
        <c:noMultiLvlLbl val="0"/>
      </c:catAx>
      <c:valAx>
        <c:axId val="1931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1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BULIISA-HOIMA'!$C$60:$N$60</c:f>
              <c:numCache>
                <c:formatCode>0.00%</c:formatCode>
                <c:ptCount val="12"/>
                <c:pt idx="0">
                  <c:v>8.8607594936708861E-2</c:v>
                </c:pt>
                <c:pt idx="1">
                  <c:v>7.5949367088607597E-2</c:v>
                </c:pt>
                <c:pt idx="2">
                  <c:v>0.26582278481012656</c:v>
                </c:pt>
                <c:pt idx="3">
                  <c:v>0.379746835443038</c:v>
                </c:pt>
                <c:pt idx="4">
                  <c:v>0</c:v>
                </c:pt>
                <c:pt idx="5">
                  <c:v>0</c:v>
                </c:pt>
                <c:pt idx="6">
                  <c:v>3.7974683544303799E-2</c:v>
                </c:pt>
                <c:pt idx="7">
                  <c:v>0.10126582278481013</c:v>
                </c:pt>
                <c:pt idx="8">
                  <c:v>5.0632911392405063E-2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HOIMA-BULIISA'!$AE$9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HOIMA-BULIISA'!$AE$10:$AE$21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7</c:v>
                </c:pt>
                <c:pt idx="7">
                  <c:v>11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'31.10 HOIMA-BULIISA'!$AF$9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HOIMA-BULIISA'!$AF$10:$AF$21</c:f>
              <c:numCache>
                <c:formatCode>0</c:formatCode>
                <c:ptCount val="12"/>
                <c:pt idx="0">
                  <c:v>15</c:v>
                </c:pt>
                <c:pt idx="1">
                  <c:v>24</c:v>
                </c:pt>
                <c:pt idx="2">
                  <c:v>17</c:v>
                </c:pt>
                <c:pt idx="3">
                  <c:v>24</c:v>
                </c:pt>
                <c:pt idx="4">
                  <c:v>30</c:v>
                </c:pt>
                <c:pt idx="5">
                  <c:v>20</c:v>
                </c:pt>
                <c:pt idx="6">
                  <c:v>30</c:v>
                </c:pt>
                <c:pt idx="7">
                  <c:v>29</c:v>
                </c:pt>
                <c:pt idx="8">
                  <c:v>24</c:v>
                </c:pt>
                <c:pt idx="9">
                  <c:v>22</c:v>
                </c:pt>
                <c:pt idx="10">
                  <c:v>16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79872"/>
        <c:axId val="193286144"/>
      </c:lineChart>
      <c:catAx>
        <c:axId val="193279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286144"/>
        <c:crosses val="autoZero"/>
        <c:auto val="1"/>
        <c:lblAlgn val="ctr"/>
        <c:lblOffset val="100"/>
        <c:noMultiLvlLbl val="0"/>
      </c:catAx>
      <c:valAx>
        <c:axId val="193286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2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HOIMA-BULIISA'!$C$59:$N$59</c:f>
              <c:numCache>
                <c:formatCode>0.0%</c:formatCode>
                <c:ptCount val="12"/>
                <c:pt idx="0">
                  <c:v>1.8315018315018316E-2</c:v>
                </c:pt>
                <c:pt idx="1">
                  <c:v>1.8315018315018316E-2</c:v>
                </c:pt>
                <c:pt idx="2">
                  <c:v>7.3260073260073263E-2</c:v>
                </c:pt>
                <c:pt idx="3">
                  <c:v>0.10256410256410256</c:v>
                </c:pt>
                <c:pt idx="4">
                  <c:v>3.663003663003663E-3</c:v>
                </c:pt>
                <c:pt idx="5">
                  <c:v>0</c:v>
                </c:pt>
                <c:pt idx="6">
                  <c:v>2.564102564102564E-2</c:v>
                </c:pt>
                <c:pt idx="7">
                  <c:v>2.197802197802198E-2</c:v>
                </c:pt>
                <c:pt idx="8">
                  <c:v>1.098901098901099E-2</c:v>
                </c:pt>
                <c:pt idx="9">
                  <c:v>3.663003663003663E-3</c:v>
                </c:pt>
                <c:pt idx="10">
                  <c:v>0.7216117216117216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HOIMA-BULIISA'!$S$9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HOIMA-BULIISA'!$S$10:$S$21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'31.10 HOIMA-BULIISA'!$T$9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HOIMA-BULIISA'!$R$10:$R$21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HOIMA-BULIISA'!$T$10:$T$21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'31.10 HOIMA-BULIISA'!$U$9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'31.10 HOIMA-BULIISA'!$V$9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HOIMA-BULIISA'!$V$10:$V$21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'31.10 HOIMA-BULIISA'!$W$9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'31.10 HOIMA-BULIISA'!$X$9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'31.10 HOIMA-BULIISA'!$Y$9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'31.10 HOIMA-BULIISA'!$Z$9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'31.10 HOIMA-BULIISA'!$AA$9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'31.10 HOIMA-BULIISA'!$AB$9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'31.10 HOIMA-BULIISA'!$AC$9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HOIMA-BULIISA'!$AC$10:$AC$21</c:f>
              <c:numCache>
                <c:formatCode>0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13</c:v>
                </c:pt>
                <c:pt idx="3">
                  <c:v>16</c:v>
                </c:pt>
                <c:pt idx="4">
                  <c:v>19</c:v>
                </c:pt>
                <c:pt idx="5">
                  <c:v>11</c:v>
                </c:pt>
                <c:pt idx="6">
                  <c:v>23</c:v>
                </c:pt>
                <c:pt idx="7">
                  <c:v>18</c:v>
                </c:pt>
                <c:pt idx="8">
                  <c:v>21</c:v>
                </c:pt>
                <c:pt idx="9">
                  <c:v>17</c:v>
                </c:pt>
                <c:pt idx="10">
                  <c:v>14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'31.10 HOIMA-BULIISA'!$AD$9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HOIMA-BULIISA'!$AD$10:$AD$21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35200"/>
        <c:axId val="202036736"/>
      </c:lineChart>
      <c:catAx>
        <c:axId val="20203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036736"/>
        <c:crosses val="autoZero"/>
        <c:auto val="1"/>
        <c:lblAlgn val="ctr"/>
        <c:lblOffset val="100"/>
        <c:noMultiLvlLbl val="0"/>
      </c:catAx>
      <c:valAx>
        <c:axId val="20203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0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HOIMA-BULIISA'!$C$60:$N$60</c:f>
              <c:numCache>
                <c:formatCode>0.00%</c:formatCode>
                <c:ptCount val="12"/>
                <c:pt idx="0">
                  <c:v>6.5789473684210523E-2</c:v>
                </c:pt>
                <c:pt idx="1">
                  <c:v>6.5789473684210523E-2</c:v>
                </c:pt>
                <c:pt idx="2">
                  <c:v>0.26315789473684209</c:v>
                </c:pt>
                <c:pt idx="3">
                  <c:v>0.36842105263157893</c:v>
                </c:pt>
                <c:pt idx="4">
                  <c:v>1.3157894736842105E-2</c:v>
                </c:pt>
                <c:pt idx="5">
                  <c:v>0</c:v>
                </c:pt>
                <c:pt idx="6">
                  <c:v>9.2105263157894732E-2</c:v>
                </c:pt>
                <c:pt idx="7">
                  <c:v>7.8947368421052627E-2</c:v>
                </c:pt>
                <c:pt idx="8">
                  <c:v>3.9473684210526314E-2</c:v>
                </c:pt>
                <c:pt idx="9">
                  <c:v>1.3157894736842105E-2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Buliisa-Hoima'!$AE$9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Buliisa-Hoima'!$R$10:$R$33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Buliisa-Hoima'!$AE$10:$AE$33</c:f>
              <c:numCache>
                <c:formatCode>0</c:formatCode>
                <c:ptCount val="24"/>
                <c:pt idx="0">
                  <c:v>7.2857142857142847</c:v>
                </c:pt>
                <c:pt idx="1">
                  <c:v>6.7142857142857144</c:v>
                </c:pt>
                <c:pt idx="2">
                  <c:v>8.2857142857142847</c:v>
                </c:pt>
                <c:pt idx="3">
                  <c:v>7.2857142857142847</c:v>
                </c:pt>
                <c:pt idx="4">
                  <c:v>5.9999999999999991</c:v>
                </c:pt>
                <c:pt idx="5">
                  <c:v>4.8571428571428568</c:v>
                </c:pt>
                <c:pt idx="6">
                  <c:v>5.9999999999999991</c:v>
                </c:pt>
                <c:pt idx="7">
                  <c:v>6.8571428571428577</c:v>
                </c:pt>
                <c:pt idx="8">
                  <c:v>7.1428571428571423</c:v>
                </c:pt>
                <c:pt idx="9">
                  <c:v>7.2857142857142856</c:v>
                </c:pt>
                <c:pt idx="10">
                  <c:v>6.5714285714285712</c:v>
                </c:pt>
                <c:pt idx="11">
                  <c:v>5.1428571428571423</c:v>
                </c:pt>
                <c:pt idx="12">
                  <c:v>6</c:v>
                </c:pt>
                <c:pt idx="13">
                  <c:v>2.5</c:v>
                </c:pt>
                <c:pt idx="14">
                  <c:v>3</c:v>
                </c:pt>
                <c:pt idx="15">
                  <c:v>0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Buliisa-Hoima'!$AF$9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Buliisa-Hoima'!$R$10:$R$33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Buliisa-Hoima'!$AF$10:$AF$33</c:f>
              <c:numCache>
                <c:formatCode>0</c:formatCode>
                <c:ptCount val="24"/>
                <c:pt idx="0">
                  <c:v>22.571428571428569</c:v>
                </c:pt>
                <c:pt idx="1">
                  <c:v>22.571428571428573</c:v>
                </c:pt>
                <c:pt idx="2">
                  <c:v>30.857142857142854</c:v>
                </c:pt>
                <c:pt idx="3">
                  <c:v>25.714285714285712</c:v>
                </c:pt>
                <c:pt idx="4">
                  <c:v>24.142857142857139</c:v>
                </c:pt>
                <c:pt idx="5">
                  <c:v>21.142857142857142</c:v>
                </c:pt>
                <c:pt idx="6">
                  <c:v>18.285714285714285</c:v>
                </c:pt>
                <c:pt idx="7">
                  <c:v>19.142857142857142</c:v>
                </c:pt>
                <c:pt idx="8">
                  <c:v>23.142857142857142</c:v>
                </c:pt>
                <c:pt idx="9">
                  <c:v>26.142857142857139</c:v>
                </c:pt>
                <c:pt idx="10">
                  <c:v>27</c:v>
                </c:pt>
                <c:pt idx="11">
                  <c:v>22.857142857142858</c:v>
                </c:pt>
                <c:pt idx="12">
                  <c:v>25</c:v>
                </c:pt>
                <c:pt idx="13">
                  <c:v>14.5</c:v>
                </c:pt>
                <c:pt idx="14">
                  <c:v>10</c:v>
                </c:pt>
                <c:pt idx="15">
                  <c:v>7.5</c:v>
                </c:pt>
                <c:pt idx="16">
                  <c:v>1</c:v>
                </c:pt>
                <c:pt idx="17">
                  <c:v>1.5</c:v>
                </c:pt>
                <c:pt idx="18">
                  <c:v>1.5</c:v>
                </c:pt>
                <c:pt idx="19">
                  <c:v>2</c:v>
                </c:pt>
                <c:pt idx="20">
                  <c:v>1.5</c:v>
                </c:pt>
                <c:pt idx="21">
                  <c:v>2.5</c:v>
                </c:pt>
                <c:pt idx="22">
                  <c:v>3</c:v>
                </c:pt>
                <c:pt idx="23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25088"/>
        <c:axId val="202427008"/>
      </c:lineChart>
      <c:catAx>
        <c:axId val="202425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427008"/>
        <c:crosses val="autoZero"/>
        <c:auto val="1"/>
        <c:lblAlgn val="ctr"/>
        <c:lblOffset val="100"/>
        <c:noMultiLvlLbl val="0"/>
      </c:catAx>
      <c:valAx>
        <c:axId val="202427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42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Buliisa-Hoima'!$C$107:$N$107</c:f>
              <c:numCache>
                <c:formatCode>0.0%</c:formatCode>
                <c:ptCount val="12"/>
                <c:pt idx="0">
                  <c:v>3.6295860309986286E-2</c:v>
                </c:pt>
                <c:pt idx="1">
                  <c:v>2.1581322346478325E-2</c:v>
                </c:pt>
                <c:pt idx="2">
                  <c:v>5.1598979792034538E-2</c:v>
                </c:pt>
                <c:pt idx="3">
                  <c:v>0.10535609181871693</c:v>
                </c:pt>
                <c:pt idx="4">
                  <c:v>2.1581322346478325E-3</c:v>
                </c:pt>
                <c:pt idx="5">
                  <c:v>3.9238767902687863E-4</c:v>
                </c:pt>
                <c:pt idx="6">
                  <c:v>1.5499313321561707E-2</c:v>
                </c:pt>
                <c:pt idx="7">
                  <c:v>1.451834412399451E-2</c:v>
                </c:pt>
                <c:pt idx="8">
                  <c:v>8.6325289385913266E-3</c:v>
                </c:pt>
                <c:pt idx="9">
                  <c:v>1.961938395134393E-3</c:v>
                </c:pt>
                <c:pt idx="10">
                  <c:v>0.74200510103982742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039869965677016E-2"/>
          <c:y val="0.16002814333522994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Buliisa-Hoima'!$C$108:$N$108</c:f>
              <c:numCache>
                <c:formatCode>0.00%</c:formatCode>
                <c:ptCount val="12"/>
                <c:pt idx="0">
                  <c:v>0.14068441064638787</c:v>
                </c:pt>
                <c:pt idx="1">
                  <c:v>8.3650190114068435E-2</c:v>
                </c:pt>
                <c:pt idx="2">
                  <c:v>0.19999999999999998</c:v>
                </c:pt>
                <c:pt idx="3">
                  <c:v>0.40836501901140687</c:v>
                </c:pt>
                <c:pt idx="4">
                  <c:v>8.3650190114068438E-3</c:v>
                </c:pt>
                <c:pt idx="5">
                  <c:v>1.520912547528517E-3</c:v>
                </c:pt>
                <c:pt idx="6">
                  <c:v>6.007604562737643E-2</c:v>
                </c:pt>
                <c:pt idx="7">
                  <c:v>5.6273764258555133E-2</c:v>
                </c:pt>
                <c:pt idx="8">
                  <c:v>3.3460076045627368E-2</c:v>
                </c:pt>
                <c:pt idx="9">
                  <c:v>7.6045627376425846E-3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Buliisa-Hoima'!$C$107:$N$107</c:f>
              <c:numCache>
                <c:formatCode>0.0%</c:formatCode>
                <c:ptCount val="12"/>
                <c:pt idx="0">
                  <c:v>3.6295860309986286E-2</c:v>
                </c:pt>
                <c:pt idx="1">
                  <c:v>2.1581322346478325E-2</c:v>
                </c:pt>
                <c:pt idx="2">
                  <c:v>5.1598979792034538E-2</c:v>
                </c:pt>
                <c:pt idx="3">
                  <c:v>0.10535609181871693</c:v>
                </c:pt>
                <c:pt idx="4">
                  <c:v>2.1581322346478325E-3</c:v>
                </c:pt>
                <c:pt idx="5">
                  <c:v>3.9238767902687863E-4</c:v>
                </c:pt>
                <c:pt idx="6">
                  <c:v>1.5499313321561707E-2</c:v>
                </c:pt>
                <c:pt idx="7">
                  <c:v>1.451834412399451E-2</c:v>
                </c:pt>
                <c:pt idx="8">
                  <c:v>8.6325289385913266E-3</c:v>
                </c:pt>
                <c:pt idx="9">
                  <c:v>1.961938395134393E-3</c:v>
                </c:pt>
                <c:pt idx="10">
                  <c:v>0.74200510103982742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039869965677016E-2"/>
          <c:y val="0.16002814333522994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Buliisa-Hoima'!$C$9:$N$9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Buliisa-Hoima'!$C$108:$N$108</c:f>
              <c:numCache>
                <c:formatCode>0.00%</c:formatCode>
                <c:ptCount val="12"/>
                <c:pt idx="0">
                  <c:v>0.14068441064638787</c:v>
                </c:pt>
                <c:pt idx="1">
                  <c:v>8.3650190114068435E-2</c:v>
                </c:pt>
                <c:pt idx="2">
                  <c:v>0.19999999999999998</c:v>
                </c:pt>
                <c:pt idx="3">
                  <c:v>0.40836501901140687</c:v>
                </c:pt>
                <c:pt idx="4">
                  <c:v>8.3650190114068438E-3</c:v>
                </c:pt>
                <c:pt idx="5">
                  <c:v>1.520912547528517E-3</c:v>
                </c:pt>
                <c:pt idx="6">
                  <c:v>6.007604562737643E-2</c:v>
                </c:pt>
                <c:pt idx="7">
                  <c:v>5.6273764258555133E-2</c:v>
                </c:pt>
                <c:pt idx="8">
                  <c:v>3.3460076045627368E-2</c:v>
                </c:pt>
                <c:pt idx="9">
                  <c:v>7.6045627376425846E-3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Hoima-Buliisa'!$AE$9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Hoima-Buliisa'!$R$10:$R$33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Hoima-Buliisa'!$AE$10:$AE$33</c:f>
              <c:numCache>
                <c:formatCode>0</c:formatCode>
                <c:ptCount val="24"/>
                <c:pt idx="0">
                  <c:v>6.4285714285714279</c:v>
                </c:pt>
                <c:pt idx="1">
                  <c:v>7.7142857142857144</c:v>
                </c:pt>
                <c:pt idx="2">
                  <c:v>8.761904761904761</c:v>
                </c:pt>
                <c:pt idx="3">
                  <c:v>7.7142857142857135</c:v>
                </c:pt>
                <c:pt idx="4">
                  <c:v>6.2857142857142847</c:v>
                </c:pt>
                <c:pt idx="5">
                  <c:v>7.2857142857142856</c:v>
                </c:pt>
                <c:pt idx="6">
                  <c:v>6.5714285714285712</c:v>
                </c:pt>
                <c:pt idx="7">
                  <c:v>8</c:v>
                </c:pt>
                <c:pt idx="8">
                  <c:v>7</c:v>
                </c:pt>
                <c:pt idx="9">
                  <c:v>9.5714285714285694</c:v>
                </c:pt>
                <c:pt idx="10">
                  <c:v>5.4285714285714279</c:v>
                </c:pt>
                <c:pt idx="11">
                  <c:v>6.2857142857142856</c:v>
                </c:pt>
                <c:pt idx="12">
                  <c:v>3</c:v>
                </c:pt>
                <c:pt idx="13">
                  <c:v>3.5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0.5</c:v>
                </c:pt>
                <c:pt idx="19">
                  <c:v>0.5</c:v>
                </c:pt>
                <c:pt idx="20">
                  <c:v>1</c:v>
                </c:pt>
                <c:pt idx="21">
                  <c:v>0.5</c:v>
                </c:pt>
                <c:pt idx="22">
                  <c:v>0</c:v>
                </c:pt>
                <c:pt idx="23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Hoima-Buliisa'!$AF$9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Hoima-Buliisa'!$R$10:$R$33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Hoima-Buliisa'!$AF$10:$AF$33</c:f>
              <c:numCache>
                <c:formatCode>0</c:formatCode>
                <c:ptCount val="24"/>
                <c:pt idx="0">
                  <c:v>21.285714285714285</c:v>
                </c:pt>
                <c:pt idx="1">
                  <c:v>25.714285714285715</c:v>
                </c:pt>
                <c:pt idx="2">
                  <c:v>26.61904761904762</c:v>
                </c:pt>
                <c:pt idx="3">
                  <c:v>25.571428571428569</c:v>
                </c:pt>
                <c:pt idx="4">
                  <c:v>22.285714285714285</c:v>
                </c:pt>
                <c:pt idx="5">
                  <c:v>22.428571428571423</c:v>
                </c:pt>
                <c:pt idx="6">
                  <c:v>19.714285714285715</c:v>
                </c:pt>
                <c:pt idx="7">
                  <c:v>20.571428571428573</c:v>
                </c:pt>
                <c:pt idx="8">
                  <c:v>25</c:v>
                </c:pt>
                <c:pt idx="9">
                  <c:v>25</c:v>
                </c:pt>
                <c:pt idx="10">
                  <c:v>23.428571428571427</c:v>
                </c:pt>
                <c:pt idx="11">
                  <c:v>25.857142857142854</c:v>
                </c:pt>
                <c:pt idx="12">
                  <c:v>22.5</c:v>
                </c:pt>
                <c:pt idx="13">
                  <c:v>14.5</c:v>
                </c:pt>
                <c:pt idx="14">
                  <c:v>12</c:v>
                </c:pt>
                <c:pt idx="15">
                  <c:v>6</c:v>
                </c:pt>
                <c:pt idx="16">
                  <c:v>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3.5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33280"/>
        <c:axId val="202868224"/>
      </c:lineChart>
      <c:catAx>
        <c:axId val="202833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868224"/>
        <c:crosses val="autoZero"/>
        <c:auto val="1"/>
        <c:lblAlgn val="ctr"/>
        <c:lblOffset val="100"/>
        <c:noMultiLvlLbl val="0"/>
      </c:catAx>
      <c:valAx>
        <c:axId val="202868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8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Hoima-Buliisa'!$C$107:$N$107</c:f>
              <c:numCache>
                <c:formatCode>0.0%</c:formatCode>
                <c:ptCount val="12"/>
                <c:pt idx="0">
                  <c:v>3.6868821800694625E-2</c:v>
                </c:pt>
                <c:pt idx="1">
                  <c:v>1.9235907026449364E-2</c:v>
                </c:pt>
                <c:pt idx="2">
                  <c:v>5.7908095110873602E-2</c:v>
                </c:pt>
                <c:pt idx="3">
                  <c:v>0.11574939887790539</c:v>
                </c:pt>
                <c:pt idx="4">
                  <c:v>3.8071065989847704E-3</c:v>
                </c:pt>
                <c:pt idx="5">
                  <c:v>4.0074806305102841E-4</c:v>
                </c:pt>
                <c:pt idx="6">
                  <c:v>1.2022441891530853E-2</c:v>
                </c:pt>
                <c:pt idx="7">
                  <c:v>1.803366283729628E-2</c:v>
                </c:pt>
                <c:pt idx="8">
                  <c:v>1.6029922522041135E-2</c:v>
                </c:pt>
                <c:pt idx="9">
                  <c:v>2.0037403152551418E-3</c:v>
                </c:pt>
                <c:pt idx="10">
                  <c:v>0.71794015495591745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01834578394184E-2"/>
          <c:y val="0.15692014022722683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Hoima-Buliisa'!$C$9:$N$9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Hoima-Buliisa'!$C$108:$N$108</c:f>
              <c:numCache>
                <c:formatCode>0.00%</c:formatCode>
                <c:ptCount val="12"/>
                <c:pt idx="0">
                  <c:v>0.13071276343831406</c:v>
                </c:pt>
                <c:pt idx="1">
                  <c:v>6.8197963533033396E-2</c:v>
                </c:pt>
                <c:pt idx="2">
                  <c:v>0.20530428605256928</c:v>
                </c:pt>
                <c:pt idx="3">
                  <c:v>0.41037177362064897</c:v>
                </c:pt>
                <c:pt idx="4">
                  <c:v>1.3497513615912862E-2</c:v>
                </c:pt>
                <c:pt idx="5">
                  <c:v>1.4207909069381959E-3</c:v>
                </c:pt>
                <c:pt idx="6">
                  <c:v>4.2623727208145876E-2</c:v>
                </c:pt>
                <c:pt idx="7">
                  <c:v>6.3935590812218807E-2</c:v>
                </c:pt>
                <c:pt idx="8">
                  <c:v>5.6831636277527832E-2</c:v>
                </c:pt>
                <c:pt idx="9">
                  <c:v>7.103954534690979E-3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Buliisa-Hoima-2Dir'!$C$9:$N$9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Buliisa-Hoima-2Dir'!$C$107:$N$107</c:f>
              <c:numCache>
                <c:formatCode>0.0%</c:formatCode>
                <c:ptCount val="12"/>
                <c:pt idx="0">
                  <c:v>3.6579321283415386E-2</c:v>
                </c:pt>
                <c:pt idx="1">
                  <c:v>2.0420976109440582E-2</c:v>
                </c:pt>
                <c:pt idx="2">
                  <c:v>5.4720285497141738E-2</c:v>
                </c:pt>
                <c:pt idx="3">
                  <c:v>0.11049796781548425</c:v>
                </c:pt>
                <c:pt idx="4">
                  <c:v>2.973928559627268E-3</c:v>
                </c:pt>
                <c:pt idx="5">
                  <c:v>3.9652380795030239E-4</c:v>
                </c:pt>
                <c:pt idx="6">
                  <c:v>1.3779202326273011E-2</c:v>
                </c:pt>
                <c:pt idx="7">
                  <c:v>1.6257476125962397E-2</c:v>
                </c:pt>
                <c:pt idx="8">
                  <c:v>1.2292238046459375E-2</c:v>
                </c:pt>
                <c:pt idx="9">
                  <c:v>1.9826190397515117E-3</c:v>
                </c:pt>
                <c:pt idx="10">
                  <c:v>0.73009946138849435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Buliisa-Hoima-2Dir'!$C$9:$N$9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Buliisa-Hoima-2Dir'!$C$108:$N$108</c:f>
              <c:numCache>
                <c:formatCode>0.00%</c:formatCode>
                <c:ptCount val="12"/>
                <c:pt idx="0">
                  <c:v>0.13552889324191963</c:v>
                </c:pt>
                <c:pt idx="1">
                  <c:v>7.5661116552399613E-2</c:v>
                </c:pt>
                <c:pt idx="2">
                  <c:v>0.20274240940254651</c:v>
                </c:pt>
                <c:pt idx="3">
                  <c:v>0.4094025465230165</c:v>
                </c:pt>
                <c:pt idx="4">
                  <c:v>1.1018609206660136E-2</c:v>
                </c:pt>
                <c:pt idx="5">
                  <c:v>1.4691478942213513E-3</c:v>
                </c:pt>
                <c:pt idx="6">
                  <c:v>5.1052889324191969E-2</c:v>
                </c:pt>
                <c:pt idx="7">
                  <c:v>6.0235063663075399E-2</c:v>
                </c:pt>
                <c:pt idx="8">
                  <c:v>4.5543584720861896E-2</c:v>
                </c:pt>
                <c:pt idx="9">
                  <c:v>7.3457394711067556E-3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Buliisa-Hoima-2Dir'!$AE$9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Buliisa-Hoima-2Dir'!$R$10:$R$33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Buliisa-Hoima-2Dir'!$AE$10:$AE$33</c:f>
              <c:numCache>
                <c:formatCode>0</c:formatCode>
                <c:ptCount val="24"/>
                <c:pt idx="0">
                  <c:v>13.714285714285714</c:v>
                </c:pt>
                <c:pt idx="1">
                  <c:v>14.428571428571429</c:v>
                </c:pt>
                <c:pt idx="2">
                  <c:v>17.047619047619047</c:v>
                </c:pt>
                <c:pt idx="3">
                  <c:v>14.999999999999998</c:v>
                </c:pt>
                <c:pt idx="4">
                  <c:v>12.285714285714285</c:v>
                </c:pt>
                <c:pt idx="5">
                  <c:v>12.142857142857142</c:v>
                </c:pt>
                <c:pt idx="6">
                  <c:v>12.571428571428571</c:v>
                </c:pt>
                <c:pt idx="7">
                  <c:v>14.857142857142858</c:v>
                </c:pt>
                <c:pt idx="8">
                  <c:v>14.142857142857141</c:v>
                </c:pt>
                <c:pt idx="9">
                  <c:v>16.857142857142854</c:v>
                </c:pt>
                <c:pt idx="10">
                  <c:v>12</c:v>
                </c:pt>
                <c:pt idx="11">
                  <c:v>11.428571428571427</c:v>
                </c:pt>
                <c:pt idx="12">
                  <c:v>9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0.5</c:v>
                </c:pt>
                <c:pt idx="17">
                  <c:v>0</c:v>
                </c:pt>
                <c:pt idx="18">
                  <c:v>0.5</c:v>
                </c:pt>
                <c:pt idx="19">
                  <c:v>0.5</c:v>
                </c:pt>
                <c:pt idx="20">
                  <c:v>1</c:v>
                </c:pt>
                <c:pt idx="21">
                  <c:v>0.5</c:v>
                </c:pt>
                <c:pt idx="22">
                  <c:v>0.5</c:v>
                </c:pt>
                <c:pt idx="23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53-4056-A02C-723ADA852222}"/>
            </c:ext>
          </c:extLst>
        </c:ser>
        <c:ser>
          <c:idx val="1"/>
          <c:order val="1"/>
          <c:tx>
            <c:strRef>
              <c:f>'Avg Week Buliisa-Hoima-2Dir'!$AF$9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Buliisa-Hoima-2Dir'!$R$10:$R$33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Buliisa-Hoima-2Dir'!$AF$10:$AF$33</c:f>
              <c:numCache>
                <c:formatCode>0</c:formatCode>
                <c:ptCount val="24"/>
                <c:pt idx="0">
                  <c:v>43.857142857142854</c:v>
                </c:pt>
                <c:pt idx="1">
                  <c:v>48.285714285714285</c:v>
                </c:pt>
                <c:pt idx="2">
                  <c:v>57.476190476190474</c:v>
                </c:pt>
                <c:pt idx="3">
                  <c:v>51.285714285714285</c:v>
                </c:pt>
                <c:pt idx="4">
                  <c:v>46.428571428571431</c:v>
                </c:pt>
                <c:pt idx="5">
                  <c:v>43.571428571428577</c:v>
                </c:pt>
                <c:pt idx="6">
                  <c:v>38</c:v>
                </c:pt>
                <c:pt idx="7">
                  <c:v>39.714285714285715</c:v>
                </c:pt>
                <c:pt idx="8">
                  <c:v>48.142857142857146</c:v>
                </c:pt>
                <c:pt idx="9">
                  <c:v>51.142857142857139</c:v>
                </c:pt>
                <c:pt idx="10">
                  <c:v>50.428571428571431</c:v>
                </c:pt>
                <c:pt idx="11">
                  <c:v>48.714285714285708</c:v>
                </c:pt>
                <c:pt idx="12">
                  <c:v>47.5</c:v>
                </c:pt>
                <c:pt idx="13">
                  <c:v>29</c:v>
                </c:pt>
                <c:pt idx="14">
                  <c:v>22</c:v>
                </c:pt>
                <c:pt idx="15">
                  <c:v>13.5</c:v>
                </c:pt>
                <c:pt idx="16">
                  <c:v>1.5</c:v>
                </c:pt>
                <c:pt idx="17">
                  <c:v>1.5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4.5</c:v>
                </c:pt>
                <c:pt idx="22">
                  <c:v>6.5</c:v>
                </c:pt>
                <c:pt idx="23">
                  <c:v>19.5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53-4056-A02C-723ADA852222}"/>
            </c:ext>
          </c:extLst>
        </c:ser>
        <c:ser>
          <c:idx val="5"/>
          <c:order val="2"/>
          <c:tx>
            <c:strRef>
              <c:f>'Avg Week Buliisa-Hoima-2Dir'!$AC$9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Buliisa-Hoima-2Dir'!$R$10:$R$33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Buliisa-Hoima-2Dir'!$AC$10:$AC$33</c:f>
              <c:numCache>
                <c:formatCode>0</c:formatCode>
                <c:ptCount val="24"/>
                <c:pt idx="0">
                  <c:v>30.142857142857142</c:v>
                </c:pt>
                <c:pt idx="1">
                  <c:v>33.857142857142854</c:v>
                </c:pt>
                <c:pt idx="2">
                  <c:v>40.428571428571431</c:v>
                </c:pt>
                <c:pt idx="3">
                  <c:v>36.285714285714285</c:v>
                </c:pt>
                <c:pt idx="4">
                  <c:v>34.142857142857146</c:v>
                </c:pt>
                <c:pt idx="5">
                  <c:v>31.428571428571431</c:v>
                </c:pt>
                <c:pt idx="6">
                  <c:v>25.428571428571427</c:v>
                </c:pt>
                <c:pt idx="7">
                  <c:v>24.857142857142858</c:v>
                </c:pt>
                <c:pt idx="8">
                  <c:v>34</c:v>
                </c:pt>
                <c:pt idx="9">
                  <c:v>34.285714285714285</c:v>
                </c:pt>
                <c:pt idx="10">
                  <c:v>38.428571428571431</c:v>
                </c:pt>
                <c:pt idx="11">
                  <c:v>37.285714285714285</c:v>
                </c:pt>
                <c:pt idx="12">
                  <c:v>38.5</c:v>
                </c:pt>
                <c:pt idx="13">
                  <c:v>23</c:v>
                </c:pt>
                <c:pt idx="14">
                  <c:v>18</c:v>
                </c:pt>
                <c:pt idx="15">
                  <c:v>10.5</c:v>
                </c:pt>
                <c:pt idx="16">
                  <c:v>1</c:v>
                </c:pt>
                <c:pt idx="17">
                  <c:v>1.5</c:v>
                </c:pt>
                <c:pt idx="18">
                  <c:v>1.5</c:v>
                </c:pt>
                <c:pt idx="19">
                  <c:v>2.5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3-4056-A02C-723ADA852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Buliisa-Hoima-2Dir'!$S$9:$AF$9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Buliisa-Hoima-2Dir'!$S$41:$AF$41</c:f>
              <c:numCache>
                <c:formatCode>0</c:formatCode>
                <c:ptCount val="14"/>
                <c:pt idx="0">
                  <c:v>26.357142857142854</c:v>
                </c:pt>
                <c:pt idx="1">
                  <c:v>14.714285714285715</c:v>
                </c:pt>
                <c:pt idx="2">
                  <c:v>39.428571428571423</c:v>
                </c:pt>
                <c:pt idx="3">
                  <c:v>79.61904761904762</c:v>
                </c:pt>
                <c:pt idx="4">
                  <c:v>2.1428571428571428</c:v>
                </c:pt>
                <c:pt idx="5">
                  <c:v>0.2857142857142857</c:v>
                </c:pt>
                <c:pt idx="6">
                  <c:v>9.928571428571427</c:v>
                </c:pt>
                <c:pt idx="7">
                  <c:v>11.714285714285714</c:v>
                </c:pt>
                <c:pt idx="8">
                  <c:v>8.8571428571428559</c:v>
                </c:pt>
                <c:pt idx="9">
                  <c:v>1.4285714285714284</c:v>
                </c:pt>
                <c:pt idx="10">
                  <c:v>526.07142857142856</c:v>
                </c:pt>
                <c:pt idx="11">
                  <c:v>0</c:v>
                </c:pt>
                <c:pt idx="12">
                  <c:v>194.47619047619045</c:v>
                </c:pt>
                <c:pt idx="13">
                  <c:v>720.54761904761904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5-4C72-9707-5BCC59CF6E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Buliisa-Hoima-2Dir'!$S$9:$AF$9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Buliisa-Hoima-2Dir'!$S$42:$AF$42</c:f>
              <c:numCache>
                <c:formatCode>0.000</c:formatCode>
                <c:ptCount val="14"/>
                <c:pt idx="0">
                  <c:v>1.1047904191616766</c:v>
                </c:pt>
                <c:pt idx="1">
                  <c:v>1.3733333333333333</c:v>
                </c:pt>
                <c:pt idx="2">
                  <c:v>1.0534351145038168</c:v>
                </c:pt>
                <c:pt idx="3">
                  <c:v>1.1951393852751966</c:v>
                </c:pt>
                <c:pt idx="4">
                  <c:v>1.875</c:v>
                </c:pt>
                <c:pt idx="5">
                  <c:v>1</c:v>
                </c:pt>
                <c:pt idx="6">
                  <c:v>1.053030303030303</c:v>
                </c:pt>
                <c:pt idx="7">
                  <c:v>1.3442622950819672</c:v>
                </c:pt>
                <c:pt idx="8">
                  <c:v>1.2916666666666667</c:v>
                </c:pt>
                <c:pt idx="9">
                  <c:v>1</c:v>
                </c:pt>
                <c:pt idx="10">
                  <c:v>1.31330242510699</c:v>
                </c:pt>
                <c:pt idx="11">
                  <c:v>0</c:v>
                </c:pt>
                <c:pt idx="12">
                  <c:v>1.1681922196796339</c:v>
                </c:pt>
                <c:pt idx="13">
                  <c:v>1.2707003694994961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4-4463-B59F-5CECE8CA22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1.xml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4.xml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55.xml"/><Relationship Id="rId2" Type="http://schemas.openxmlformats.org/officeDocument/2006/relationships/image" Target="../media/image1.emf"/><Relationship Id="rId16" Type="http://schemas.openxmlformats.org/officeDocument/2006/relationships/chart" Target="../charts/chart54.xml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5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9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3.xml"/><Relationship Id="rId2" Type="http://schemas.openxmlformats.org/officeDocument/2006/relationships/image" Target="../media/image2.emf"/><Relationship Id="rId16" Type="http://schemas.openxmlformats.org/officeDocument/2006/relationships/chart" Target="../charts/chart62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61.xml"/><Relationship Id="rId10" Type="http://schemas.openxmlformats.org/officeDocument/2006/relationships/image" Target="../media/image17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28</xdr:col>
      <xdr:colOff>15874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22</xdr:col>
      <xdr:colOff>492125</xdr:colOff>
      <xdr:row>58</xdr:row>
      <xdr:rowOff>263525</xdr:rowOff>
    </xdr:from>
    <xdr:to>
      <xdr:col>30</xdr:col>
      <xdr:colOff>15874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142875</xdr:colOff>
      <xdr:row>59</xdr:row>
      <xdr:rowOff>0</xdr:rowOff>
    </xdr:from>
    <xdr:to>
      <xdr:col>22</xdr:col>
      <xdr:colOff>476250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523875</xdr:colOff>
      <xdr:row>58</xdr:row>
      <xdr:rowOff>152400</xdr:rowOff>
    </xdr:from>
    <xdr:to>
      <xdr:col>30</xdr:col>
      <xdr:colOff>47624</xdr:colOff>
      <xdr:row>73</xdr:row>
      <xdr:rowOff>158750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E8526B8-B56C-421E-BB98-B5CD63F39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15875</xdr:colOff>
      <xdr:row>58</xdr:row>
      <xdr:rowOff>142875</xdr:rowOff>
    </xdr:from>
    <xdr:to>
      <xdr:col>22</xdr:col>
      <xdr:colOff>508000</xdr:colOff>
      <xdr:row>73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40EE503-32A2-49A3-8DBD-18B4E6F2C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42</xdr:row>
      <xdr:rowOff>276224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22</xdr:col>
      <xdr:colOff>460375</xdr:colOff>
      <xdr:row>58</xdr:row>
      <xdr:rowOff>41275</xdr:rowOff>
    </xdr:from>
    <xdr:to>
      <xdr:col>30</xdr:col>
      <xdr:colOff>15875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58</xdr:row>
      <xdr:rowOff>47625</xdr:rowOff>
    </xdr:from>
    <xdr:to>
      <xdr:col>22</xdr:col>
      <xdr:colOff>444501</xdr:colOff>
      <xdr:row>74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75</xdr:row>
      <xdr:rowOff>9525</xdr:rowOff>
    </xdr:from>
    <xdr:to>
      <xdr:col>24</xdr:col>
      <xdr:colOff>0</xdr:colOff>
      <xdr:row>91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142875</xdr:colOff>
      <xdr:row>59</xdr:row>
      <xdr:rowOff>15875</xdr:rowOff>
    </xdr:from>
    <xdr:to>
      <xdr:col>23</xdr:col>
      <xdr:colOff>698500</xdr:colOff>
      <xdr:row>75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186414</xdr:colOff>
      <xdr:row>58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58</xdr:row>
      <xdr:rowOff>269875</xdr:rowOff>
    </xdr:from>
    <xdr:to>
      <xdr:col>30</xdr:col>
      <xdr:colOff>698500</xdr:colOff>
      <xdr:row>74</xdr:row>
      <xdr:rowOff>268288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75</xdr:row>
      <xdr:rowOff>0</xdr:rowOff>
    </xdr:from>
    <xdr:to>
      <xdr:col>30</xdr:col>
      <xdr:colOff>698500</xdr:colOff>
      <xdr:row>91</xdr:row>
      <xdr:rowOff>14288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1" t="s">
        <v>96</v>
      </c>
      <c r="C3" s="57" t="s">
        <v>180</v>
      </c>
      <c r="D3" s="57"/>
      <c r="E3" s="57"/>
      <c r="F3" s="57"/>
      <c r="G3" s="57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52" t="s">
        <v>168</v>
      </c>
      <c r="H5" s="53"/>
      <c r="I5" s="14"/>
      <c r="J5" s="2" t="s">
        <v>5</v>
      </c>
      <c r="K5" s="52" t="s">
        <v>170</v>
      </c>
      <c r="L5" s="53"/>
      <c r="M5" s="10"/>
      <c r="N5" s="10"/>
      <c r="O5" s="3"/>
      <c r="P5" s="3"/>
    </row>
    <row r="6" spans="2:32" ht="23.25" customHeight="1" x14ac:dyDescent="0.25">
      <c r="C6" s="2" t="s">
        <v>4</v>
      </c>
      <c r="D6" s="52" t="s">
        <v>165</v>
      </c>
      <c r="E6" s="53"/>
      <c r="F6" s="2" t="s">
        <v>2</v>
      </c>
      <c r="G6" s="52" t="s">
        <v>166</v>
      </c>
      <c r="H6" s="53"/>
      <c r="J6" s="2" t="s">
        <v>21</v>
      </c>
      <c r="K6" s="52" t="s">
        <v>169</v>
      </c>
      <c r="L6" s="5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14</v>
      </c>
      <c r="AD10" s="17">
        <f t="shared" si="2"/>
        <v>0</v>
      </c>
      <c r="AE10" s="31">
        <f t="shared" si="2"/>
        <v>13</v>
      </c>
      <c r="AF10" s="31">
        <f t="shared" si="2"/>
        <v>27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4</v>
      </c>
      <c r="P11" s="15">
        <f t="shared" si="1"/>
        <v>9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2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14</v>
      </c>
      <c r="AD11" s="17">
        <f t="shared" si="3"/>
        <v>0</v>
      </c>
      <c r="AE11" s="31">
        <f t="shared" si="3"/>
        <v>7</v>
      </c>
      <c r="AF11" s="31">
        <f t="shared" si="3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2</v>
      </c>
      <c r="P12" s="15">
        <f t="shared" si="1"/>
        <v>5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2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22</v>
      </c>
      <c r="AD12" s="17">
        <f t="shared" si="4"/>
        <v>0</v>
      </c>
      <c r="AE12" s="31">
        <f t="shared" si="4"/>
        <v>9</v>
      </c>
      <c r="AF12" s="31">
        <f t="shared" si="4"/>
        <v>31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5</v>
      </c>
      <c r="P13" s="15">
        <f t="shared" si="1"/>
        <v>8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0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17</v>
      </c>
      <c r="AD13" s="17">
        <f t="shared" si="5"/>
        <v>0</v>
      </c>
      <c r="AE13" s="31">
        <f t="shared" si="5"/>
        <v>9</v>
      </c>
      <c r="AF13" s="31">
        <f t="shared" si="5"/>
        <v>26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1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15</v>
      </c>
      <c r="AD14" s="17">
        <f t="shared" si="6"/>
        <v>0</v>
      </c>
      <c r="AE14" s="31">
        <f t="shared" si="6"/>
        <v>4</v>
      </c>
      <c r="AF14" s="31">
        <f t="shared" si="6"/>
        <v>19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4</v>
      </c>
      <c r="P15" s="15">
        <f t="shared" si="1"/>
        <v>10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15</v>
      </c>
      <c r="AD15" s="17">
        <f t="shared" si="7"/>
        <v>0</v>
      </c>
      <c r="AE15" s="31">
        <f t="shared" si="7"/>
        <v>3</v>
      </c>
      <c r="AF15" s="31">
        <f t="shared" si="7"/>
        <v>18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1</v>
      </c>
      <c r="P16" s="15">
        <f t="shared" si="1"/>
        <v>4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1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</v>
      </c>
      <c r="AD16" s="17">
        <f t="shared" si="8"/>
        <v>0</v>
      </c>
      <c r="AE16" s="31">
        <f t="shared" si="8"/>
        <v>8</v>
      </c>
      <c r="AF16" s="31">
        <f t="shared" si="8"/>
        <v>17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1</v>
      </c>
      <c r="P17" s="15">
        <f t="shared" si="1"/>
        <v>3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11</v>
      </c>
      <c r="AD17" s="17">
        <f t="shared" si="9"/>
        <v>0</v>
      </c>
      <c r="AE17" s="31">
        <f t="shared" si="9"/>
        <v>3</v>
      </c>
      <c r="AF17" s="31">
        <f t="shared" si="9"/>
        <v>14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1</v>
      </c>
      <c r="P18" s="15">
        <f t="shared" si="1"/>
        <v>8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</v>
      </c>
      <c r="AD18" s="17">
        <f t="shared" si="10"/>
        <v>0</v>
      </c>
      <c r="AE18" s="31">
        <f t="shared" si="10"/>
        <v>5</v>
      </c>
      <c r="AF18" s="31">
        <f t="shared" si="10"/>
        <v>15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4</v>
      </c>
      <c r="P19" s="15">
        <f t="shared" si="1"/>
        <v>12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2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2</v>
      </c>
      <c r="AB19" s="17">
        <f t="shared" si="11"/>
        <v>0</v>
      </c>
      <c r="AC19" s="17">
        <f t="shared" si="11"/>
        <v>23</v>
      </c>
      <c r="AD19" s="17">
        <f t="shared" si="11"/>
        <v>0</v>
      </c>
      <c r="AE19" s="31">
        <f t="shared" si="11"/>
        <v>12</v>
      </c>
      <c r="AF19" s="31">
        <f t="shared" si="11"/>
        <v>35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3</v>
      </c>
      <c r="P20" s="15">
        <f t="shared" si="1"/>
        <v>8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6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19</v>
      </c>
      <c r="AD20" s="17">
        <f t="shared" si="12"/>
        <v>0</v>
      </c>
      <c r="AE20" s="31">
        <f t="shared" si="12"/>
        <v>13</v>
      </c>
      <c r="AF20" s="31">
        <f t="shared" si="12"/>
        <v>32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1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18</v>
      </c>
      <c r="AD21" s="17">
        <f t="shared" si="13"/>
        <v>0</v>
      </c>
      <c r="AE21" s="31">
        <f t="shared" si="13"/>
        <v>3</v>
      </c>
      <c r="AF21" s="31">
        <f t="shared" si="13"/>
        <v>21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2</v>
      </c>
      <c r="P22" s="15">
        <f t="shared" si="1"/>
        <v>9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22</v>
      </c>
      <c r="AD22" s="39">
        <f t="shared" si="14"/>
        <v>0</v>
      </c>
      <c r="AE22" s="40">
        <f t="shared" si="14"/>
        <v>13</v>
      </c>
      <c r="AF22" s="40">
        <f t="shared" si="14"/>
        <v>31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5</v>
      </c>
      <c r="N23" s="50">
        <v>0</v>
      </c>
      <c r="O23" s="15">
        <f t="shared" si="0"/>
        <v>2</v>
      </c>
      <c r="P23" s="15">
        <f t="shared" si="1"/>
        <v>7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2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17</v>
      </c>
      <c r="AD23" s="39">
        <f t="shared" si="15"/>
        <v>0</v>
      </c>
      <c r="AE23" s="40">
        <f t="shared" si="15"/>
        <v>9</v>
      </c>
      <c r="AF23" s="40">
        <f t="shared" si="15"/>
        <v>26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2</v>
      </c>
      <c r="P24" s="15">
        <f t="shared" si="1"/>
        <v>4</v>
      </c>
      <c r="R24" s="38" t="s">
        <v>92</v>
      </c>
      <c r="S24" s="39">
        <f>MAX(S19:S21)</f>
        <v>3</v>
      </c>
      <c r="T24" s="39">
        <f t="shared" ref="T24:AF24" si="16">MAX(T19:T21)</f>
        <v>1</v>
      </c>
      <c r="U24" s="39">
        <f t="shared" si="16"/>
        <v>6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1</v>
      </c>
      <c r="AA24" s="39">
        <f t="shared" si="16"/>
        <v>2</v>
      </c>
      <c r="AB24" s="39">
        <f t="shared" si="16"/>
        <v>0</v>
      </c>
      <c r="AC24" s="39">
        <f t="shared" si="16"/>
        <v>23</v>
      </c>
      <c r="AD24" s="39">
        <f t="shared" si="16"/>
        <v>0</v>
      </c>
      <c r="AE24" s="40">
        <f t="shared" si="16"/>
        <v>13</v>
      </c>
      <c r="AF24" s="40">
        <f t="shared" si="16"/>
        <v>35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3</v>
      </c>
      <c r="P25" s="15">
        <f t="shared" si="1"/>
        <v>6</v>
      </c>
      <c r="R25" s="37" t="s">
        <v>85</v>
      </c>
      <c r="S25" s="35">
        <f t="shared" ref="S25:AF25" si="17">SUM(S10:S12)</f>
        <v>3</v>
      </c>
      <c r="T25" s="16">
        <f t="shared" si="17"/>
        <v>1</v>
      </c>
      <c r="U25" s="16">
        <f t="shared" si="17"/>
        <v>5</v>
      </c>
      <c r="V25" s="16">
        <f t="shared" si="17"/>
        <v>16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3</v>
      </c>
      <c r="AA25" s="16">
        <f t="shared" si="17"/>
        <v>1</v>
      </c>
      <c r="AB25" s="16">
        <f t="shared" si="17"/>
        <v>0</v>
      </c>
      <c r="AC25" s="16">
        <f t="shared" si="17"/>
        <v>50</v>
      </c>
      <c r="AD25" s="16">
        <f t="shared" si="17"/>
        <v>0</v>
      </c>
      <c r="AE25" s="32">
        <f t="shared" si="17"/>
        <v>29</v>
      </c>
      <c r="AF25" s="32">
        <f t="shared" si="17"/>
        <v>79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1</v>
      </c>
      <c r="P26" s="15">
        <f t="shared" si="1"/>
        <v>6</v>
      </c>
      <c r="R26" s="28" t="s">
        <v>86</v>
      </c>
      <c r="S26" s="16">
        <f t="shared" ref="S26:AF26" si="18">SUM(S13:S18)</f>
        <v>9</v>
      </c>
      <c r="T26" s="16">
        <f t="shared" si="18"/>
        <v>1</v>
      </c>
      <c r="U26" s="16">
        <f t="shared" si="18"/>
        <v>5</v>
      </c>
      <c r="V26" s="16">
        <f t="shared" si="18"/>
        <v>11</v>
      </c>
      <c r="W26" s="16">
        <f t="shared" si="18"/>
        <v>0</v>
      </c>
      <c r="X26" s="16">
        <f t="shared" si="18"/>
        <v>0</v>
      </c>
      <c r="Y26" s="16">
        <f t="shared" si="18"/>
        <v>3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77</v>
      </c>
      <c r="AD26" s="16">
        <f t="shared" si="18"/>
        <v>0</v>
      </c>
      <c r="AE26" s="32">
        <f t="shared" si="18"/>
        <v>32</v>
      </c>
      <c r="AF26" s="32">
        <f t="shared" si="18"/>
        <v>109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</v>
      </c>
      <c r="N27" s="50">
        <v>0</v>
      </c>
      <c r="O27" s="15">
        <f t="shared" si="0"/>
        <v>2</v>
      </c>
      <c r="P27" s="15">
        <f t="shared" si="1"/>
        <v>4</v>
      </c>
      <c r="R27" s="29" t="s">
        <v>87</v>
      </c>
      <c r="S27" s="16">
        <f t="shared" ref="S27:AF27" si="19">SUM(S19:S21)</f>
        <v>4</v>
      </c>
      <c r="T27" s="16">
        <f t="shared" si="19"/>
        <v>1</v>
      </c>
      <c r="U27" s="16">
        <f t="shared" si="19"/>
        <v>8</v>
      </c>
      <c r="V27" s="16">
        <f t="shared" si="19"/>
        <v>9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1</v>
      </c>
      <c r="AA27" s="16">
        <f t="shared" si="19"/>
        <v>3</v>
      </c>
      <c r="AB27" s="16">
        <f t="shared" si="19"/>
        <v>0</v>
      </c>
      <c r="AC27" s="16">
        <f t="shared" si="19"/>
        <v>60</v>
      </c>
      <c r="AD27" s="16">
        <f t="shared" si="19"/>
        <v>0</v>
      </c>
      <c r="AE27" s="32">
        <f t="shared" si="19"/>
        <v>28</v>
      </c>
      <c r="AF27" s="32">
        <f t="shared" si="19"/>
        <v>88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0</v>
      </c>
      <c r="P28" s="15">
        <f t="shared" si="1"/>
        <v>4</v>
      </c>
      <c r="R28" s="5" t="s">
        <v>17</v>
      </c>
      <c r="S28" s="16">
        <f t="shared" ref="S28:AF28" si="20">SUM(S10:S21)</f>
        <v>16</v>
      </c>
      <c r="T28" s="16">
        <f t="shared" si="20"/>
        <v>3</v>
      </c>
      <c r="U28" s="16">
        <f t="shared" si="20"/>
        <v>18</v>
      </c>
      <c r="V28" s="16">
        <f t="shared" si="20"/>
        <v>36</v>
      </c>
      <c r="W28" s="16">
        <f t="shared" si="20"/>
        <v>0</v>
      </c>
      <c r="X28" s="16">
        <f t="shared" si="20"/>
        <v>0</v>
      </c>
      <c r="Y28" s="16">
        <f t="shared" si="20"/>
        <v>5</v>
      </c>
      <c r="Z28" s="16">
        <f t="shared" si="20"/>
        <v>6</v>
      </c>
      <c r="AA28" s="16">
        <f t="shared" si="20"/>
        <v>5</v>
      </c>
      <c r="AB28" s="16">
        <f t="shared" si="20"/>
        <v>0</v>
      </c>
      <c r="AC28" s="16">
        <f t="shared" si="20"/>
        <v>187</v>
      </c>
      <c r="AD28" s="16">
        <f t="shared" si="20"/>
        <v>0</v>
      </c>
      <c r="AE28" s="32">
        <f t="shared" si="20"/>
        <v>89</v>
      </c>
      <c r="AF28" s="32">
        <f t="shared" si="20"/>
        <v>276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1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0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2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0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1</v>
      </c>
      <c r="P33" s="15">
        <f t="shared" si="1"/>
        <v>4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3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0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2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3</v>
      </c>
      <c r="P37" s="15">
        <f t="shared" si="1"/>
        <v>4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</v>
      </c>
      <c r="N38" s="50">
        <v>0</v>
      </c>
      <c r="O38" s="15">
        <f t="shared" si="0"/>
        <v>1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0</v>
      </c>
      <c r="P39" s="15">
        <f t="shared" si="1"/>
        <v>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0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1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0</v>
      </c>
      <c r="P43" s="15">
        <f t="shared" si="1"/>
        <v>1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3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1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2</v>
      </c>
      <c r="F46" s="50">
        <v>3</v>
      </c>
      <c r="G46" s="50">
        <v>0</v>
      </c>
      <c r="H46" s="50">
        <v>0</v>
      </c>
      <c r="I46" s="50">
        <v>1</v>
      </c>
      <c r="J46" s="50">
        <v>0</v>
      </c>
      <c r="K46" s="50">
        <v>1</v>
      </c>
      <c r="L46" s="50">
        <v>0</v>
      </c>
      <c r="M46" s="50">
        <v>4</v>
      </c>
      <c r="N46" s="50">
        <v>0</v>
      </c>
      <c r="O46" s="15">
        <f t="shared" si="0"/>
        <v>8</v>
      </c>
      <c r="P46" s="15">
        <f t="shared" si="1"/>
        <v>12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1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0</v>
      </c>
      <c r="P48" s="15">
        <f t="shared" si="1"/>
        <v>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10</v>
      </c>
      <c r="N49" s="50">
        <v>0</v>
      </c>
      <c r="O49" s="15">
        <f t="shared" si="0"/>
        <v>3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3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5</v>
      </c>
      <c r="P50" s="15">
        <f t="shared" si="1"/>
        <v>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5</v>
      </c>
      <c r="N51" s="50">
        <v>0</v>
      </c>
      <c r="O51" s="15">
        <f t="shared" si="0"/>
        <v>1</v>
      </c>
      <c r="P51" s="15">
        <f t="shared" si="1"/>
        <v>6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2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5</v>
      </c>
      <c r="P52" s="15">
        <f t="shared" si="1"/>
        <v>9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2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1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1</v>
      </c>
      <c r="P55" s="15">
        <f t="shared" si="1"/>
        <v>6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0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1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</v>
      </c>
      <c r="D58" s="16">
        <f t="shared" si="21"/>
        <v>3</v>
      </c>
      <c r="E58" s="16">
        <f t="shared" si="21"/>
        <v>18</v>
      </c>
      <c r="F58" s="16">
        <f t="shared" si="21"/>
        <v>36</v>
      </c>
      <c r="G58" s="16">
        <f t="shared" si="21"/>
        <v>0</v>
      </c>
      <c r="H58" s="16">
        <f t="shared" si="21"/>
        <v>0</v>
      </c>
      <c r="I58" s="16">
        <f t="shared" si="21"/>
        <v>5</v>
      </c>
      <c r="J58" s="16">
        <f t="shared" si="21"/>
        <v>6</v>
      </c>
      <c r="K58" s="16">
        <f t="shared" si="21"/>
        <v>5</v>
      </c>
      <c r="L58" s="16">
        <f t="shared" si="21"/>
        <v>0</v>
      </c>
      <c r="M58" s="16">
        <f t="shared" si="21"/>
        <v>187</v>
      </c>
      <c r="N58" s="16">
        <f t="shared" si="21"/>
        <v>0</v>
      </c>
      <c r="O58" s="16">
        <f t="shared" si="21"/>
        <v>89</v>
      </c>
      <c r="P58" s="16">
        <f t="shared" si="21"/>
        <v>276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5.7971014492753624E-2</v>
      </c>
      <c r="D59" s="43">
        <f t="shared" si="22"/>
        <v>1.0869565217391304E-2</v>
      </c>
      <c r="E59" s="43">
        <f t="shared" si="22"/>
        <v>6.5217391304347824E-2</v>
      </c>
      <c r="F59" s="43">
        <f t="shared" si="22"/>
        <v>0.13043478260869565</v>
      </c>
      <c r="G59" s="43">
        <f t="shared" si="22"/>
        <v>0</v>
      </c>
      <c r="H59" s="43">
        <f t="shared" si="22"/>
        <v>0</v>
      </c>
      <c r="I59" s="43">
        <f t="shared" si="22"/>
        <v>1.8115942028985508E-2</v>
      </c>
      <c r="J59" s="43">
        <f t="shared" si="22"/>
        <v>2.1739130434782608E-2</v>
      </c>
      <c r="K59" s="43">
        <f t="shared" si="22"/>
        <v>1.8115942028985508E-2</v>
      </c>
      <c r="L59" s="43">
        <f t="shared" si="22"/>
        <v>0</v>
      </c>
      <c r="M59" s="43">
        <f t="shared" si="22"/>
        <v>0.67753623188405798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0.1797752808988764</v>
      </c>
      <c r="D60" s="44">
        <f t="shared" ref="D60:N60" si="23">D58/$O$58</f>
        <v>3.3707865168539325E-2</v>
      </c>
      <c r="E60" s="44">
        <f t="shared" si="23"/>
        <v>0.20224719101123595</v>
      </c>
      <c r="F60" s="44">
        <f t="shared" si="23"/>
        <v>0.4044943820224719</v>
      </c>
      <c r="G60" s="44">
        <f t="shared" si="23"/>
        <v>0</v>
      </c>
      <c r="H60" s="44">
        <f t="shared" si="23"/>
        <v>0</v>
      </c>
      <c r="I60" s="44">
        <f t="shared" si="23"/>
        <v>5.6179775280898875E-2</v>
      </c>
      <c r="J60" s="44">
        <f t="shared" si="23"/>
        <v>6.741573033707865E-2</v>
      </c>
      <c r="K60" s="44">
        <f t="shared" si="23"/>
        <v>5.6179775280898875E-2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L57" sqref="L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'25.10 BULIISA-HOIMA'!D5</f>
        <v>25.10.19</v>
      </c>
      <c r="E5" s="3"/>
      <c r="F5" s="41" t="s">
        <v>1</v>
      </c>
      <c r="G5" s="58" t="str">
        <f>'25.10 BULIISA-HOIMA'!G5:H5</f>
        <v>KISIABI</v>
      </c>
      <c r="H5" s="59"/>
      <c r="I5" s="14"/>
      <c r="J5" s="2" t="s">
        <v>5</v>
      </c>
      <c r="K5" s="58" t="s">
        <v>169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2" t="s">
        <v>166</v>
      </c>
      <c r="E6" s="53"/>
      <c r="F6" s="2" t="s">
        <v>2</v>
      </c>
      <c r="G6" s="52" t="s">
        <v>165</v>
      </c>
      <c r="H6" s="53"/>
      <c r="J6" s="2" t="s">
        <v>21</v>
      </c>
      <c r="K6" s="58" t="str">
        <f>'25.10 BULIISA-HOIMA'!K6:L6</f>
        <v>LAWRENCE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2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14</v>
      </c>
      <c r="AD10" s="17">
        <f t="shared" si="2"/>
        <v>0</v>
      </c>
      <c r="AE10" s="31">
        <f t="shared" si="2"/>
        <v>9</v>
      </c>
      <c r="AF10" s="31">
        <f t="shared" si="2"/>
        <v>23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3</v>
      </c>
      <c r="P11" s="15">
        <f t="shared" si="1"/>
        <v>7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5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26</v>
      </c>
      <c r="AD11" s="17">
        <f t="shared" si="3"/>
        <v>0</v>
      </c>
      <c r="AE11" s="31">
        <f t="shared" si="3"/>
        <v>11</v>
      </c>
      <c r="AF11" s="31">
        <f t="shared" si="3"/>
        <v>37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3</v>
      </c>
      <c r="P12" s="15">
        <f t="shared" si="1"/>
        <v>9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16</v>
      </c>
      <c r="AD12" s="17">
        <f t="shared" si="4"/>
        <v>0</v>
      </c>
      <c r="AE12" s="31">
        <f t="shared" si="4"/>
        <v>10</v>
      </c>
      <c r="AF12" s="31">
        <f t="shared" si="4"/>
        <v>26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</v>
      </c>
      <c r="P13" s="15">
        <f t="shared" si="1"/>
        <v>2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17</v>
      </c>
      <c r="AD13" s="17">
        <f t="shared" si="5"/>
        <v>0</v>
      </c>
      <c r="AE13" s="31">
        <f t="shared" si="5"/>
        <v>5</v>
      </c>
      <c r="AF13" s="31">
        <f t="shared" si="5"/>
        <v>22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1</v>
      </c>
      <c r="P14" s="15">
        <f t="shared" si="1"/>
        <v>5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15</v>
      </c>
      <c r="AD14" s="17">
        <f t="shared" si="6"/>
        <v>0</v>
      </c>
      <c r="AE14" s="31">
        <f t="shared" si="6"/>
        <v>5</v>
      </c>
      <c r="AF14" s="31">
        <f t="shared" si="6"/>
        <v>20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1</v>
      </c>
      <c r="P15" s="15">
        <f t="shared" si="1"/>
        <v>11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9</v>
      </c>
      <c r="AD15" s="17">
        <f t="shared" si="7"/>
        <v>0</v>
      </c>
      <c r="AE15" s="31">
        <f t="shared" si="7"/>
        <v>2</v>
      </c>
      <c r="AF15" s="31">
        <f t="shared" si="7"/>
        <v>11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8</v>
      </c>
      <c r="N16" s="50">
        <v>0</v>
      </c>
      <c r="O16" s="15">
        <f t="shared" si="0"/>
        <v>5</v>
      </c>
      <c r="P16" s="15">
        <f t="shared" si="1"/>
        <v>13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1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16</v>
      </c>
      <c r="AD16" s="17">
        <f t="shared" si="8"/>
        <v>0</v>
      </c>
      <c r="AE16" s="31">
        <f t="shared" si="8"/>
        <v>6</v>
      </c>
      <c r="AF16" s="31">
        <f t="shared" si="8"/>
        <v>22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4</v>
      </c>
      <c r="P17" s="15">
        <f t="shared" si="1"/>
        <v>8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</v>
      </c>
      <c r="AD17" s="17">
        <f t="shared" si="9"/>
        <v>0</v>
      </c>
      <c r="AE17" s="31">
        <f t="shared" si="9"/>
        <v>5</v>
      </c>
      <c r="AF17" s="31">
        <f t="shared" si="9"/>
        <v>12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3</v>
      </c>
      <c r="P18" s="15">
        <f t="shared" si="1"/>
        <v>8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17</v>
      </c>
      <c r="AD18" s="17">
        <f t="shared" si="10"/>
        <v>0</v>
      </c>
      <c r="AE18" s="31">
        <f t="shared" si="10"/>
        <v>3</v>
      </c>
      <c r="AF18" s="31">
        <f t="shared" si="10"/>
        <v>20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 t="s">
        <v>171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0</v>
      </c>
      <c r="P19" s="15">
        <f t="shared" si="1"/>
        <v>6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8</v>
      </c>
      <c r="AD19" s="17">
        <f t="shared" si="11"/>
        <v>0</v>
      </c>
      <c r="AE19" s="31">
        <f t="shared" si="11"/>
        <v>9</v>
      </c>
      <c r="AF19" s="31">
        <f t="shared" si="11"/>
        <v>17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3</v>
      </c>
      <c r="P20" s="15">
        <f t="shared" si="1"/>
        <v>4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16</v>
      </c>
      <c r="AD20" s="17">
        <f t="shared" si="12"/>
        <v>0</v>
      </c>
      <c r="AE20" s="31">
        <f t="shared" si="12"/>
        <v>7</v>
      </c>
      <c r="AF20" s="31">
        <f t="shared" si="12"/>
        <v>23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4</v>
      </c>
      <c r="N21" s="50">
        <v>0</v>
      </c>
      <c r="O21" s="15">
        <f t="shared" si="0"/>
        <v>4</v>
      </c>
      <c r="P21" s="15">
        <f t="shared" si="1"/>
        <v>8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13</v>
      </c>
      <c r="AD21" s="17">
        <f t="shared" si="13"/>
        <v>0</v>
      </c>
      <c r="AE21" s="31">
        <f t="shared" si="13"/>
        <v>4</v>
      </c>
      <c r="AF21" s="31">
        <f t="shared" si="13"/>
        <v>17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1</v>
      </c>
      <c r="P22" s="15">
        <f t="shared" si="1"/>
        <v>10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5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26</v>
      </c>
      <c r="AD22" s="39">
        <f t="shared" si="14"/>
        <v>0</v>
      </c>
      <c r="AE22" s="40">
        <f t="shared" si="14"/>
        <v>11</v>
      </c>
      <c r="AF22" s="40">
        <f t="shared" si="14"/>
        <v>37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1</v>
      </c>
      <c r="P23" s="15">
        <f t="shared" si="1"/>
        <v>3</v>
      </c>
      <c r="R23" s="38" t="s">
        <v>91</v>
      </c>
      <c r="S23" s="39">
        <f>MAX(S13:S18)</f>
        <v>3</v>
      </c>
      <c r="T23" s="39">
        <f t="shared" ref="T23:AF23" si="15">MAX(T13:T18)</f>
        <v>1</v>
      </c>
      <c r="U23" s="39">
        <f t="shared" si="15"/>
        <v>2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17</v>
      </c>
      <c r="AD23" s="39">
        <f t="shared" si="15"/>
        <v>0</v>
      </c>
      <c r="AE23" s="40">
        <f t="shared" si="15"/>
        <v>6</v>
      </c>
      <c r="AF23" s="40">
        <f t="shared" si="15"/>
        <v>22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0</v>
      </c>
      <c r="P24" s="15">
        <f t="shared" si="1"/>
        <v>2</v>
      </c>
      <c r="R24" s="38" t="s">
        <v>92</v>
      </c>
      <c r="S24" s="39">
        <f>MAX(S19:S21)</f>
        <v>1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16</v>
      </c>
      <c r="AD24" s="39">
        <f t="shared" si="16"/>
        <v>0</v>
      </c>
      <c r="AE24" s="40">
        <f t="shared" si="16"/>
        <v>9</v>
      </c>
      <c r="AF24" s="40">
        <f t="shared" si="16"/>
        <v>23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3</v>
      </c>
      <c r="P25" s="15">
        <f t="shared" si="1"/>
        <v>7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7</v>
      </c>
      <c r="V25" s="16">
        <f t="shared" si="17"/>
        <v>12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2</v>
      </c>
      <c r="AA25" s="16">
        <f t="shared" si="17"/>
        <v>2</v>
      </c>
      <c r="AB25" s="16">
        <f t="shared" si="17"/>
        <v>0</v>
      </c>
      <c r="AC25" s="16">
        <f t="shared" si="17"/>
        <v>56</v>
      </c>
      <c r="AD25" s="16">
        <f t="shared" si="17"/>
        <v>0</v>
      </c>
      <c r="AE25" s="32">
        <f t="shared" si="17"/>
        <v>30</v>
      </c>
      <c r="AF25" s="32">
        <f t="shared" si="17"/>
        <v>86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1</v>
      </c>
      <c r="P26" s="15">
        <f t="shared" si="1"/>
        <v>3</v>
      </c>
      <c r="R26" s="28" t="s">
        <v>86</v>
      </c>
      <c r="S26" s="16">
        <f t="shared" ref="S26:AF26" si="18">SUM(S13:S18)</f>
        <v>4</v>
      </c>
      <c r="T26" s="16">
        <f t="shared" si="18"/>
        <v>1</v>
      </c>
      <c r="U26" s="16">
        <f t="shared" si="18"/>
        <v>7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1</v>
      </c>
      <c r="AA26" s="16">
        <f t="shared" si="18"/>
        <v>1</v>
      </c>
      <c r="AB26" s="16">
        <f t="shared" si="18"/>
        <v>0</v>
      </c>
      <c r="AC26" s="16">
        <f t="shared" si="18"/>
        <v>81</v>
      </c>
      <c r="AD26" s="16">
        <f t="shared" si="18"/>
        <v>0</v>
      </c>
      <c r="AE26" s="32">
        <f t="shared" si="18"/>
        <v>26</v>
      </c>
      <c r="AF26" s="32">
        <f t="shared" si="18"/>
        <v>107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0</v>
      </c>
      <c r="P27" s="15">
        <f t="shared" si="1"/>
        <v>4</v>
      </c>
      <c r="R27" s="29" t="s">
        <v>87</v>
      </c>
      <c r="S27" s="16">
        <f t="shared" ref="S27:AF27" si="19">SUM(S19:S21)</f>
        <v>2</v>
      </c>
      <c r="T27" s="16">
        <f t="shared" si="19"/>
        <v>1</v>
      </c>
      <c r="U27" s="16">
        <f t="shared" si="19"/>
        <v>3</v>
      </c>
      <c r="V27" s="16">
        <f t="shared" si="19"/>
        <v>6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2</v>
      </c>
      <c r="AA27" s="16">
        <f t="shared" si="19"/>
        <v>3</v>
      </c>
      <c r="AB27" s="16">
        <f t="shared" si="19"/>
        <v>0</v>
      </c>
      <c r="AC27" s="16">
        <f t="shared" si="19"/>
        <v>37</v>
      </c>
      <c r="AD27" s="16">
        <f t="shared" si="19"/>
        <v>0</v>
      </c>
      <c r="AE27" s="32">
        <f t="shared" si="19"/>
        <v>20</v>
      </c>
      <c r="AF27" s="32">
        <f t="shared" si="19"/>
        <v>57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2</v>
      </c>
      <c r="P28" s="15">
        <f t="shared" si="1"/>
        <v>5</v>
      </c>
      <c r="R28" s="5" t="s">
        <v>17</v>
      </c>
      <c r="S28" s="16">
        <f t="shared" ref="S28:AF28" si="20">SUM(S10:S21)</f>
        <v>10</v>
      </c>
      <c r="T28" s="16">
        <f t="shared" si="20"/>
        <v>2</v>
      </c>
      <c r="U28" s="16">
        <f t="shared" si="20"/>
        <v>17</v>
      </c>
      <c r="V28" s="16">
        <f t="shared" si="20"/>
        <v>30</v>
      </c>
      <c r="W28" s="16">
        <f t="shared" si="20"/>
        <v>0</v>
      </c>
      <c r="X28" s="16">
        <f t="shared" si="20"/>
        <v>0</v>
      </c>
      <c r="Y28" s="16">
        <f t="shared" si="20"/>
        <v>6</v>
      </c>
      <c r="Z28" s="16">
        <f t="shared" si="20"/>
        <v>5</v>
      </c>
      <c r="AA28" s="16">
        <f t="shared" si="20"/>
        <v>6</v>
      </c>
      <c r="AB28" s="16">
        <f t="shared" si="20"/>
        <v>0</v>
      </c>
      <c r="AC28" s="16">
        <f t="shared" si="20"/>
        <v>174</v>
      </c>
      <c r="AD28" s="16">
        <f t="shared" si="20"/>
        <v>0</v>
      </c>
      <c r="AE28" s="32">
        <f t="shared" si="20"/>
        <v>76</v>
      </c>
      <c r="AF28" s="32">
        <f t="shared" si="20"/>
        <v>250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2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2</v>
      </c>
      <c r="P30" s="15">
        <f t="shared" si="1"/>
        <v>7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0</v>
      </c>
      <c r="P31" s="15">
        <f t="shared" si="1"/>
        <v>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0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0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3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1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2</v>
      </c>
      <c r="P36" s="15">
        <f t="shared" si="1"/>
        <v>7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0</v>
      </c>
      <c r="P37" s="15">
        <f t="shared" si="1"/>
        <v>4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0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1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3</v>
      </c>
      <c r="P41" s="15">
        <f t="shared" si="1"/>
        <v>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1</v>
      </c>
      <c r="P42" s="15">
        <f t="shared" si="1"/>
        <v>5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3</v>
      </c>
      <c r="N43" s="50">
        <v>0</v>
      </c>
      <c r="O43" s="15">
        <f t="shared" si="0"/>
        <v>1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0</v>
      </c>
      <c r="P44" s="15">
        <f t="shared" si="1"/>
        <v>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1</v>
      </c>
      <c r="P45" s="15">
        <f t="shared" si="1"/>
        <v>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1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4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1</v>
      </c>
      <c r="L48" s="50">
        <v>0</v>
      </c>
      <c r="M48" s="50">
        <v>2</v>
      </c>
      <c r="N48" s="50">
        <v>0</v>
      </c>
      <c r="O48" s="15">
        <f t="shared" si="0"/>
        <v>2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1</v>
      </c>
      <c r="L49" s="50">
        <v>0</v>
      </c>
      <c r="M49" s="50">
        <v>2</v>
      </c>
      <c r="N49" s="50">
        <v>0</v>
      </c>
      <c r="O49" s="15">
        <f t="shared" si="0"/>
        <v>2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1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2</v>
      </c>
      <c r="P51" s="15">
        <f t="shared" si="1"/>
        <v>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1</v>
      </c>
      <c r="P52" s="15">
        <f t="shared" si="1"/>
        <v>7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3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0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1</v>
      </c>
      <c r="L55" s="50">
        <v>0</v>
      </c>
      <c r="M55" s="50">
        <v>4</v>
      </c>
      <c r="N55" s="50">
        <v>0</v>
      </c>
      <c r="O55" s="15">
        <f t="shared" si="0"/>
        <v>4</v>
      </c>
      <c r="P55" s="15">
        <f t="shared" si="1"/>
        <v>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0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0</v>
      </c>
      <c r="P57" s="15">
        <f t="shared" si="1"/>
        <v>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</v>
      </c>
      <c r="D58" s="16">
        <f t="shared" si="21"/>
        <v>2</v>
      </c>
      <c r="E58" s="16">
        <f t="shared" si="21"/>
        <v>17</v>
      </c>
      <c r="F58" s="16">
        <f t="shared" si="21"/>
        <v>30</v>
      </c>
      <c r="G58" s="16">
        <f t="shared" si="21"/>
        <v>0</v>
      </c>
      <c r="H58" s="16">
        <f t="shared" si="21"/>
        <v>0</v>
      </c>
      <c r="I58" s="16">
        <f t="shared" si="21"/>
        <v>6</v>
      </c>
      <c r="J58" s="16">
        <f t="shared" si="21"/>
        <v>5</v>
      </c>
      <c r="K58" s="16">
        <f t="shared" si="21"/>
        <v>6</v>
      </c>
      <c r="L58" s="16">
        <f t="shared" si="21"/>
        <v>0</v>
      </c>
      <c r="M58" s="16">
        <f t="shared" si="21"/>
        <v>174</v>
      </c>
      <c r="N58" s="16">
        <f t="shared" si="21"/>
        <v>0</v>
      </c>
      <c r="O58" s="16">
        <f t="shared" si="21"/>
        <v>76</v>
      </c>
      <c r="P58" s="16">
        <f t="shared" si="21"/>
        <v>250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0.04</v>
      </c>
      <c r="D59" s="43">
        <f t="shared" si="22"/>
        <v>8.0000000000000002E-3</v>
      </c>
      <c r="E59" s="43">
        <f t="shared" si="22"/>
        <v>6.8000000000000005E-2</v>
      </c>
      <c r="F59" s="43">
        <f t="shared" si="22"/>
        <v>0.12</v>
      </c>
      <c r="G59" s="43">
        <f t="shared" si="22"/>
        <v>0</v>
      </c>
      <c r="H59" s="43">
        <f t="shared" si="22"/>
        <v>0</v>
      </c>
      <c r="I59" s="43">
        <f t="shared" si="22"/>
        <v>2.4E-2</v>
      </c>
      <c r="J59" s="43">
        <f t="shared" si="22"/>
        <v>0.02</v>
      </c>
      <c r="K59" s="43">
        <f t="shared" si="22"/>
        <v>2.4E-2</v>
      </c>
      <c r="L59" s="43">
        <f t="shared" si="22"/>
        <v>0</v>
      </c>
      <c r="M59" s="43">
        <f t="shared" si="22"/>
        <v>0.69599999999999995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0.13157894736842105</v>
      </c>
      <c r="D60" s="44">
        <f t="shared" ref="D60:N60" si="23">D58/$O$58</f>
        <v>2.6315789473684209E-2</v>
      </c>
      <c r="E60" s="44">
        <f t="shared" si="23"/>
        <v>0.22368421052631579</v>
      </c>
      <c r="F60" s="44">
        <f t="shared" si="23"/>
        <v>0.39473684210526316</v>
      </c>
      <c r="G60" s="44">
        <f t="shared" si="23"/>
        <v>0</v>
      </c>
      <c r="H60" s="44">
        <f t="shared" si="23"/>
        <v>0</v>
      </c>
      <c r="I60" s="44">
        <f t="shared" si="23"/>
        <v>7.8947368421052627E-2</v>
      </c>
      <c r="J60" s="44">
        <f t="shared" si="23"/>
        <v>6.5789473684210523E-2</v>
      </c>
      <c r="K60" s="44">
        <f t="shared" si="23"/>
        <v>7.8947368421052627E-2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74"/>
  <sheetViews>
    <sheetView view="pageBreakPreview" topLeftCell="A40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179</v>
      </c>
      <c r="E5" s="3"/>
      <c r="F5" s="41" t="s">
        <v>1</v>
      </c>
      <c r="G5" s="61" t="str">
        <f>'30.10 HOIMA-BULIISA'!G5:H5</f>
        <v>KISIABI</v>
      </c>
      <c r="H5" s="62"/>
      <c r="I5" s="14"/>
      <c r="J5" s="2" t="s">
        <v>5</v>
      </c>
      <c r="K5" s="61" t="s">
        <v>173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BULIISA-HOIMA'!D6:E6</f>
        <v>BULIISA</v>
      </c>
      <c r="E6" s="62"/>
      <c r="F6" s="2" t="s">
        <v>2</v>
      </c>
      <c r="G6" s="61" t="str">
        <f>'25.10 BULIISA-HOIMA'!G6:H6</f>
        <v>HOIMA</v>
      </c>
      <c r="H6" s="62"/>
      <c r="J6" s="2" t="s">
        <v>21</v>
      </c>
      <c r="K6" s="61" t="str">
        <f>'30.10 HOIMA-BULIISA'!K6:L6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5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5</v>
      </c>
      <c r="AF10" s="31">
        <f t="shared" si="2"/>
        <v>29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2</v>
      </c>
      <c r="P11" s="15">
        <f t="shared" si="1"/>
        <v>9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1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14</v>
      </c>
      <c r="AD11" s="17">
        <f t="shared" si="3"/>
        <v>0</v>
      </c>
      <c r="AE11" s="31">
        <f t="shared" si="3"/>
        <v>9</v>
      </c>
      <c r="AF11" s="31">
        <f t="shared" si="3"/>
        <v>23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0</v>
      </c>
      <c r="P12" s="15">
        <f t="shared" si="1"/>
        <v>7</v>
      </c>
      <c r="R12" s="1" t="s">
        <v>8</v>
      </c>
      <c r="S12" s="17">
        <f t="shared" ref="S12:AF12" si="4">SUM(C18:C21)</f>
        <v>1</v>
      </c>
      <c r="T12" s="17">
        <f t="shared" si="4"/>
        <v>3</v>
      </c>
      <c r="U12" s="17">
        <f t="shared" si="4"/>
        <v>0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31</v>
      </c>
      <c r="AD12" s="17">
        <f t="shared" si="4"/>
        <v>0</v>
      </c>
      <c r="AE12" s="31">
        <f t="shared" si="4"/>
        <v>10</v>
      </c>
      <c r="AF12" s="31">
        <f t="shared" si="4"/>
        <v>41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2</v>
      </c>
      <c r="P13" s="15">
        <f t="shared" si="1"/>
        <v>7</v>
      </c>
      <c r="R13" s="1" t="s">
        <v>9</v>
      </c>
      <c r="S13" s="17">
        <f t="shared" ref="S13:AF13" si="5">SUM(C22:C25)</f>
        <v>0</v>
      </c>
      <c r="T13" s="17">
        <f t="shared" si="5"/>
        <v>2</v>
      </c>
      <c r="U13" s="17">
        <f t="shared" si="5"/>
        <v>1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23</v>
      </c>
      <c r="AD13" s="17">
        <f t="shared" si="5"/>
        <v>0</v>
      </c>
      <c r="AE13" s="31">
        <f t="shared" si="5"/>
        <v>8</v>
      </c>
      <c r="AF13" s="31">
        <f t="shared" si="5"/>
        <v>31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2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17</v>
      </c>
      <c r="AD14" s="17">
        <f t="shared" si="6"/>
        <v>0</v>
      </c>
      <c r="AE14" s="31">
        <f t="shared" si="6"/>
        <v>4</v>
      </c>
      <c r="AF14" s="31">
        <f t="shared" si="6"/>
        <v>21</v>
      </c>
    </row>
    <row r="15" spans="2:32" ht="23.1" customHeight="1" x14ac:dyDescent="0.25">
      <c r="B15" s="45" t="s">
        <v>42</v>
      </c>
      <c r="C15" s="50">
        <v>1</v>
      </c>
      <c r="D15" s="50">
        <v>1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4</v>
      </c>
      <c r="P15" s="15">
        <f t="shared" si="1"/>
        <v>7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9</v>
      </c>
      <c r="AD15" s="17">
        <f t="shared" si="7"/>
        <v>0</v>
      </c>
      <c r="AE15" s="31">
        <f t="shared" si="7"/>
        <v>1</v>
      </c>
      <c r="AF15" s="31">
        <f t="shared" si="7"/>
        <v>10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1</v>
      </c>
      <c r="P16" s="15">
        <f t="shared" si="1"/>
        <v>7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14</v>
      </c>
      <c r="AD16" s="17">
        <f t="shared" si="8"/>
        <v>0</v>
      </c>
      <c r="AE16" s="31">
        <f t="shared" si="8"/>
        <v>3</v>
      </c>
      <c r="AF16" s="31">
        <f t="shared" si="8"/>
        <v>17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2</v>
      </c>
      <c r="P17" s="15">
        <f t="shared" si="1"/>
        <v>5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16</v>
      </c>
      <c r="AD17" s="17">
        <f t="shared" si="9"/>
        <v>0</v>
      </c>
      <c r="AE17" s="31">
        <f t="shared" si="9"/>
        <v>4</v>
      </c>
      <c r="AF17" s="31">
        <f t="shared" si="9"/>
        <v>20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2</v>
      </c>
      <c r="P18" s="15">
        <f t="shared" si="1"/>
        <v>7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15</v>
      </c>
      <c r="AD18" s="17">
        <f t="shared" si="10"/>
        <v>0</v>
      </c>
      <c r="AE18" s="31">
        <f t="shared" si="10"/>
        <v>6</v>
      </c>
      <c r="AF18" s="31">
        <f t="shared" si="10"/>
        <v>21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4</v>
      </c>
      <c r="P19" s="15">
        <f t="shared" si="1"/>
        <v>10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0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18</v>
      </c>
      <c r="AD19" s="17">
        <f t="shared" si="11"/>
        <v>0</v>
      </c>
      <c r="AE19" s="31">
        <f t="shared" si="11"/>
        <v>6</v>
      </c>
      <c r="AF19" s="31">
        <f t="shared" si="11"/>
        <v>24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3</v>
      </c>
      <c r="P20" s="15">
        <f t="shared" si="1"/>
        <v>12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34</v>
      </c>
      <c r="AD20" s="17">
        <f t="shared" si="12"/>
        <v>0</v>
      </c>
      <c r="AE20" s="31">
        <f t="shared" si="12"/>
        <v>8</v>
      </c>
      <c r="AF20" s="31">
        <f t="shared" si="12"/>
        <v>42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1</v>
      </c>
      <c r="P21" s="15">
        <f t="shared" si="1"/>
        <v>12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34</v>
      </c>
      <c r="AD21" s="17">
        <f t="shared" si="13"/>
        <v>0</v>
      </c>
      <c r="AE21" s="31">
        <f t="shared" si="13"/>
        <v>8</v>
      </c>
      <c r="AF21" s="31">
        <f t="shared" si="13"/>
        <v>42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1</v>
      </c>
      <c r="P22" s="15">
        <f t="shared" si="1"/>
        <v>10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15</v>
      </c>
      <c r="AD22" s="34">
        <f t="shared" si="14"/>
        <v>0</v>
      </c>
      <c r="AE22" s="31">
        <f t="shared" si="14"/>
        <v>2</v>
      </c>
      <c r="AF22" s="31">
        <f t="shared" si="14"/>
        <v>17</v>
      </c>
    </row>
    <row r="23" spans="2:32" ht="23.1" customHeight="1" x14ac:dyDescent="0.25">
      <c r="B23" s="45" t="s">
        <v>50</v>
      </c>
      <c r="C23" s="50">
        <v>0</v>
      </c>
      <c r="D23" s="50">
        <v>2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4</v>
      </c>
      <c r="P23" s="15">
        <f t="shared" si="1"/>
        <v>7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1</v>
      </c>
      <c r="W23" s="34">
        <f t="shared" si="15"/>
        <v>1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14</v>
      </c>
      <c r="AD23" s="34">
        <f t="shared" si="15"/>
        <v>0</v>
      </c>
      <c r="AE23" s="31">
        <f t="shared" si="15"/>
        <v>2</v>
      </c>
      <c r="AF23" s="31">
        <f t="shared" si="15"/>
        <v>16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5</v>
      </c>
      <c r="N24" s="50">
        <v>0</v>
      </c>
      <c r="O24" s="15">
        <f t="shared" si="0"/>
        <v>3</v>
      </c>
      <c r="P24" s="15">
        <f t="shared" si="1"/>
        <v>8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</v>
      </c>
      <c r="AD24" s="34">
        <f t="shared" si="16"/>
        <v>0</v>
      </c>
      <c r="AE24" s="31">
        <f t="shared" si="16"/>
        <v>1</v>
      </c>
      <c r="AF24" s="31">
        <f t="shared" si="16"/>
        <v>6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0</v>
      </c>
      <c r="P25" s="15">
        <f t="shared" si="1"/>
        <v>6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0</v>
      </c>
      <c r="AF25" s="31">
        <f t="shared" si="17"/>
        <v>7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0</v>
      </c>
      <c r="P26" s="15">
        <f t="shared" si="1"/>
        <v>8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1</v>
      </c>
      <c r="P27" s="15">
        <f t="shared" si="1"/>
        <v>4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0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5</v>
      </c>
      <c r="N28" s="50">
        <v>0</v>
      </c>
      <c r="O28" s="15">
        <f t="shared" si="0"/>
        <v>2</v>
      </c>
      <c r="P28" s="15">
        <f t="shared" si="1"/>
        <v>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0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0</v>
      </c>
      <c r="AF29" s="31">
        <f t="shared" si="21"/>
        <v>2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2</v>
      </c>
      <c r="N30" s="50">
        <v>0</v>
      </c>
      <c r="O30" s="15">
        <f t="shared" si="0"/>
        <v>1</v>
      </c>
      <c r="P30" s="15">
        <f t="shared" si="1"/>
        <v>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0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0</v>
      </c>
      <c r="P31" s="15">
        <f t="shared" si="1"/>
        <v>5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0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0</v>
      </c>
      <c r="P32" s="15">
        <f t="shared" si="1"/>
        <v>0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1</v>
      </c>
      <c r="AF32" s="31">
        <f t="shared" si="24"/>
        <v>1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0</v>
      </c>
      <c r="P33" s="15">
        <f t="shared" si="1"/>
        <v>2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5</v>
      </c>
      <c r="AD33" s="34">
        <f t="shared" si="25"/>
        <v>0</v>
      </c>
      <c r="AE33" s="31">
        <f t="shared" si="25"/>
        <v>3</v>
      </c>
      <c r="AF33" s="31">
        <f t="shared" si="25"/>
        <v>8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0</v>
      </c>
      <c r="P34" s="15">
        <f t="shared" si="1"/>
        <v>1</v>
      </c>
      <c r="R34" s="38" t="s">
        <v>90</v>
      </c>
      <c r="S34" s="39">
        <f t="shared" ref="S34:AF34" si="26">MAX(S10:S12)</f>
        <v>1</v>
      </c>
      <c r="T34" s="39">
        <f t="shared" si="26"/>
        <v>3</v>
      </c>
      <c r="U34" s="39">
        <f t="shared" si="26"/>
        <v>2</v>
      </c>
      <c r="V34" s="39">
        <f t="shared" si="26"/>
        <v>5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0</v>
      </c>
      <c r="AA34" s="39">
        <f t="shared" si="26"/>
        <v>1</v>
      </c>
      <c r="AB34" s="39">
        <f t="shared" si="26"/>
        <v>0</v>
      </c>
      <c r="AC34" s="39">
        <f t="shared" si="26"/>
        <v>31</v>
      </c>
      <c r="AD34" s="39">
        <f t="shared" si="26"/>
        <v>0</v>
      </c>
      <c r="AE34" s="40">
        <f t="shared" si="26"/>
        <v>10</v>
      </c>
      <c r="AF34" s="40">
        <f t="shared" si="26"/>
        <v>41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2</v>
      </c>
      <c r="P35" s="15">
        <f t="shared" si="1"/>
        <v>10</v>
      </c>
      <c r="R35" s="38" t="s">
        <v>91</v>
      </c>
      <c r="S35" s="39">
        <f t="shared" ref="S35:AF35" si="27">MAX(S13:S18)</f>
        <v>1</v>
      </c>
      <c r="T35" s="39">
        <f t="shared" si="27"/>
        <v>2</v>
      </c>
      <c r="U35" s="39">
        <f t="shared" si="27"/>
        <v>2</v>
      </c>
      <c r="V35" s="39">
        <f t="shared" si="27"/>
        <v>3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1</v>
      </c>
      <c r="AA35" s="39">
        <f t="shared" si="27"/>
        <v>1</v>
      </c>
      <c r="AB35" s="39">
        <f t="shared" si="27"/>
        <v>1</v>
      </c>
      <c r="AC35" s="39">
        <f t="shared" si="27"/>
        <v>23</v>
      </c>
      <c r="AD35" s="39">
        <f t="shared" si="27"/>
        <v>0</v>
      </c>
      <c r="AE35" s="40">
        <f t="shared" si="27"/>
        <v>8</v>
      </c>
      <c r="AF35" s="40">
        <f t="shared" si="27"/>
        <v>31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1</v>
      </c>
      <c r="P36" s="15">
        <f t="shared" si="1"/>
        <v>5</v>
      </c>
      <c r="R36" s="38" t="s">
        <v>92</v>
      </c>
      <c r="S36" s="39">
        <f t="shared" ref="S36:AF36" si="28">MAX(S19:S21)</f>
        <v>1</v>
      </c>
      <c r="T36" s="39">
        <f t="shared" si="28"/>
        <v>1</v>
      </c>
      <c r="U36" s="39">
        <f t="shared" si="28"/>
        <v>1</v>
      </c>
      <c r="V36" s="39">
        <f t="shared" si="28"/>
        <v>5</v>
      </c>
      <c r="W36" s="39">
        <f t="shared" si="28"/>
        <v>0</v>
      </c>
      <c r="X36" s="39">
        <f t="shared" si="28"/>
        <v>0</v>
      </c>
      <c r="Y36" s="39">
        <f t="shared" si="28"/>
        <v>1</v>
      </c>
      <c r="Z36" s="39">
        <f t="shared" si="28"/>
        <v>0</v>
      </c>
      <c r="AA36" s="39">
        <f t="shared" si="28"/>
        <v>1</v>
      </c>
      <c r="AB36" s="39">
        <f t="shared" si="28"/>
        <v>0</v>
      </c>
      <c r="AC36" s="39">
        <f t="shared" si="28"/>
        <v>34</v>
      </c>
      <c r="AD36" s="39">
        <f t="shared" si="28"/>
        <v>0</v>
      </c>
      <c r="AE36" s="40">
        <f t="shared" si="28"/>
        <v>8</v>
      </c>
      <c r="AF36" s="40">
        <f t="shared" si="28"/>
        <v>42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0</v>
      </c>
      <c r="P37" s="15">
        <f t="shared" si="1"/>
        <v>1</v>
      </c>
      <c r="R37" s="37" t="s">
        <v>85</v>
      </c>
      <c r="S37" s="35">
        <f t="shared" ref="S37:AF37" si="29">SUM(S10:S12)</f>
        <v>2</v>
      </c>
      <c r="T37" s="16">
        <f t="shared" si="29"/>
        <v>5</v>
      </c>
      <c r="U37" s="16">
        <f t="shared" si="29"/>
        <v>3</v>
      </c>
      <c r="V37" s="16">
        <f t="shared" si="29"/>
        <v>11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0</v>
      </c>
      <c r="AA37" s="16">
        <f t="shared" si="29"/>
        <v>1</v>
      </c>
      <c r="AB37" s="16">
        <f t="shared" si="29"/>
        <v>0</v>
      </c>
      <c r="AC37" s="16">
        <f t="shared" si="29"/>
        <v>69</v>
      </c>
      <c r="AD37" s="16">
        <f t="shared" si="29"/>
        <v>0</v>
      </c>
      <c r="AE37" s="32">
        <f t="shared" si="29"/>
        <v>24</v>
      </c>
      <c r="AF37" s="32">
        <f t="shared" si="29"/>
        <v>93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1</v>
      </c>
      <c r="P38" s="15">
        <f t="shared" si="1"/>
        <v>5</v>
      </c>
      <c r="R38" s="28" t="s">
        <v>86</v>
      </c>
      <c r="S38" s="16">
        <f t="shared" ref="S38:AF38" si="30">SUM(S13:S18)</f>
        <v>2</v>
      </c>
      <c r="T38" s="16">
        <f t="shared" si="30"/>
        <v>2</v>
      </c>
      <c r="U38" s="16">
        <f t="shared" si="30"/>
        <v>7</v>
      </c>
      <c r="V38" s="16">
        <f t="shared" si="30"/>
        <v>10</v>
      </c>
      <c r="W38" s="16">
        <f t="shared" si="30"/>
        <v>0</v>
      </c>
      <c r="X38" s="16">
        <f t="shared" si="30"/>
        <v>0</v>
      </c>
      <c r="Y38" s="16">
        <f t="shared" si="30"/>
        <v>1</v>
      </c>
      <c r="Z38" s="16">
        <f t="shared" si="30"/>
        <v>1</v>
      </c>
      <c r="AA38" s="16">
        <f t="shared" si="30"/>
        <v>2</v>
      </c>
      <c r="AB38" s="16">
        <f t="shared" si="30"/>
        <v>1</v>
      </c>
      <c r="AC38" s="16">
        <f t="shared" si="30"/>
        <v>94</v>
      </c>
      <c r="AD38" s="16">
        <f t="shared" si="30"/>
        <v>0</v>
      </c>
      <c r="AE38" s="32">
        <f t="shared" si="30"/>
        <v>26</v>
      </c>
      <c r="AF38" s="32">
        <f t="shared" si="30"/>
        <v>120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0</v>
      </c>
      <c r="P39" s="15">
        <f t="shared" si="1"/>
        <v>3</v>
      </c>
      <c r="R39" s="29" t="s">
        <v>87</v>
      </c>
      <c r="S39" s="16">
        <f t="shared" ref="S39:AF39" si="31">SUM(S19:S21)</f>
        <v>3</v>
      </c>
      <c r="T39" s="16">
        <f t="shared" si="31"/>
        <v>1</v>
      </c>
      <c r="U39" s="16">
        <f t="shared" si="31"/>
        <v>2</v>
      </c>
      <c r="V39" s="16">
        <f t="shared" si="31"/>
        <v>13</v>
      </c>
      <c r="W39" s="16">
        <f t="shared" si="31"/>
        <v>0</v>
      </c>
      <c r="X39" s="16">
        <f t="shared" si="31"/>
        <v>0</v>
      </c>
      <c r="Y39" s="16">
        <f t="shared" si="31"/>
        <v>2</v>
      </c>
      <c r="Z39" s="16">
        <f t="shared" si="31"/>
        <v>0</v>
      </c>
      <c r="AA39" s="16">
        <f t="shared" si="31"/>
        <v>1</v>
      </c>
      <c r="AB39" s="16">
        <f t="shared" si="31"/>
        <v>0</v>
      </c>
      <c r="AC39" s="16">
        <f t="shared" si="31"/>
        <v>86</v>
      </c>
      <c r="AD39" s="16">
        <f t="shared" si="31"/>
        <v>0</v>
      </c>
      <c r="AE39" s="32">
        <f t="shared" si="31"/>
        <v>22</v>
      </c>
      <c r="AF39" s="32">
        <f t="shared" si="31"/>
        <v>108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1</v>
      </c>
      <c r="P40" s="15">
        <f t="shared" si="1"/>
        <v>7</v>
      </c>
      <c r="R40" s="5" t="s">
        <v>17</v>
      </c>
      <c r="S40" s="16">
        <f t="shared" ref="S40:AF40" si="32">SUM(S10:S21)</f>
        <v>7</v>
      </c>
      <c r="T40" s="16">
        <f t="shared" si="32"/>
        <v>8</v>
      </c>
      <c r="U40" s="16">
        <f t="shared" si="32"/>
        <v>12</v>
      </c>
      <c r="V40" s="16">
        <f t="shared" si="32"/>
        <v>34</v>
      </c>
      <c r="W40" s="16">
        <f t="shared" si="32"/>
        <v>0</v>
      </c>
      <c r="X40" s="16">
        <f t="shared" si="32"/>
        <v>0</v>
      </c>
      <c r="Y40" s="16">
        <f t="shared" si="32"/>
        <v>5</v>
      </c>
      <c r="Z40" s="16">
        <f t="shared" si="32"/>
        <v>1</v>
      </c>
      <c r="AA40" s="16">
        <f t="shared" si="32"/>
        <v>4</v>
      </c>
      <c r="AB40" s="16">
        <f t="shared" si="32"/>
        <v>1</v>
      </c>
      <c r="AC40" s="16">
        <f t="shared" si="32"/>
        <v>249</v>
      </c>
      <c r="AD40" s="16">
        <f t="shared" si="32"/>
        <v>0</v>
      </c>
      <c r="AE40" s="32">
        <f t="shared" si="32"/>
        <v>72</v>
      </c>
      <c r="AF40" s="32">
        <f t="shared" si="32"/>
        <v>321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2</v>
      </c>
      <c r="P41" s="15">
        <f t="shared" si="1"/>
        <v>5</v>
      </c>
      <c r="R41" s="5" t="s">
        <v>159</v>
      </c>
      <c r="S41" s="16">
        <f>SUM(S10:S33)</f>
        <v>7</v>
      </c>
      <c r="T41" s="16">
        <f t="shared" ref="T41:AF41" si="33">SUM(T10:T33)</f>
        <v>8</v>
      </c>
      <c r="U41" s="16">
        <f t="shared" si="33"/>
        <v>14</v>
      </c>
      <c r="V41" s="16">
        <f t="shared" si="33"/>
        <v>40</v>
      </c>
      <c r="W41" s="16">
        <f t="shared" si="33"/>
        <v>1</v>
      </c>
      <c r="X41" s="16">
        <f t="shared" si="33"/>
        <v>0</v>
      </c>
      <c r="Y41" s="16">
        <f t="shared" si="33"/>
        <v>5</v>
      </c>
      <c r="Z41" s="16">
        <f t="shared" si="33"/>
        <v>2</v>
      </c>
      <c r="AA41" s="16">
        <f t="shared" si="33"/>
        <v>4</v>
      </c>
      <c r="AB41" s="16">
        <f t="shared" si="33"/>
        <v>1</v>
      </c>
      <c r="AC41" s="16">
        <f t="shared" si="33"/>
        <v>309</v>
      </c>
      <c r="AD41" s="16">
        <f t="shared" si="33"/>
        <v>0</v>
      </c>
      <c r="AE41" s="32">
        <f t="shared" si="33"/>
        <v>82</v>
      </c>
      <c r="AF41" s="32">
        <f t="shared" si="33"/>
        <v>391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2</v>
      </c>
      <c r="P42" s="15">
        <f t="shared" si="1"/>
        <v>3</v>
      </c>
      <c r="R42" s="5" t="s">
        <v>160</v>
      </c>
      <c r="S42" s="48">
        <f>S41/S40</f>
        <v>1</v>
      </c>
      <c r="T42" s="48">
        <f t="shared" ref="T42:AF42" si="34">T41/T40</f>
        <v>1</v>
      </c>
      <c r="U42" s="48">
        <f t="shared" si="34"/>
        <v>1.1666666666666667</v>
      </c>
      <c r="V42" s="48">
        <f t="shared" si="34"/>
        <v>1.1764705882352942</v>
      </c>
      <c r="W42" s="48" t="e">
        <f t="shared" si="34"/>
        <v>#DIV/0!</v>
      </c>
      <c r="X42" s="48" t="e">
        <f t="shared" si="34"/>
        <v>#DIV/0!</v>
      </c>
      <c r="Y42" s="48">
        <f t="shared" si="34"/>
        <v>1</v>
      </c>
      <c r="Z42" s="48">
        <f t="shared" si="34"/>
        <v>2</v>
      </c>
      <c r="AA42" s="48">
        <f t="shared" si="34"/>
        <v>1</v>
      </c>
      <c r="AB42" s="48">
        <f t="shared" si="34"/>
        <v>1</v>
      </c>
      <c r="AC42" s="48">
        <f t="shared" si="34"/>
        <v>1.2409638554216869</v>
      </c>
      <c r="AD42" s="48" t="e">
        <f t="shared" si="34"/>
        <v>#DIV/0!</v>
      </c>
      <c r="AE42" s="48">
        <f t="shared" si="34"/>
        <v>1.1388888888888888</v>
      </c>
      <c r="AF42" s="48">
        <f t="shared" si="34"/>
        <v>1.2180685358255452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0</v>
      </c>
      <c r="P43" s="15">
        <f t="shared" si="1"/>
        <v>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2</v>
      </c>
      <c r="P44" s="15">
        <f t="shared" si="1"/>
        <v>4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2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1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3</v>
      </c>
      <c r="P46" s="15">
        <f t="shared" si="1"/>
        <v>9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1</v>
      </c>
      <c r="P47" s="15">
        <f t="shared" si="1"/>
        <v>5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2</v>
      </c>
      <c r="P48" s="15">
        <f t="shared" si="1"/>
        <v>5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0</v>
      </c>
      <c r="P49" s="15">
        <f t="shared" si="1"/>
        <v>5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2</v>
      </c>
      <c r="P50" s="15">
        <f t="shared" si="1"/>
        <v>6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0</v>
      </c>
      <c r="P51" s="15">
        <f t="shared" si="1"/>
        <v>4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3</v>
      </c>
      <c r="P52" s="15">
        <f t="shared" si="1"/>
        <v>8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3</v>
      </c>
      <c r="P53" s="15">
        <f t="shared" si="1"/>
        <v>24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15</v>
      </c>
      <c r="N54" s="50">
        <v>0</v>
      </c>
      <c r="O54" s="15">
        <f t="shared" si="0"/>
        <v>6</v>
      </c>
      <c r="P54" s="15">
        <f t="shared" si="1"/>
        <v>21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11</v>
      </c>
      <c r="N55" s="50">
        <v>0</v>
      </c>
      <c r="O55" s="15">
        <f t="shared" si="0"/>
        <v>1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0</v>
      </c>
      <c r="P57" s="15">
        <f t="shared" si="1"/>
        <v>6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50">
        <v>0</v>
      </c>
      <c r="O58" s="15">
        <f t="shared" ref="O58:O105" si="35">SUM(C58:L58,N58)</f>
        <v>1</v>
      </c>
      <c r="P58" s="15">
        <f t="shared" ref="P58:P105" si="36">SUM(C58:N58)</f>
        <v>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3</v>
      </c>
      <c r="N59" s="50">
        <v>0</v>
      </c>
      <c r="O59" s="15">
        <f t="shared" si="35"/>
        <v>0</v>
      </c>
      <c r="P59" s="15">
        <f t="shared" si="36"/>
        <v>3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6</v>
      </c>
      <c r="N60" s="50">
        <v>0</v>
      </c>
      <c r="O60" s="15">
        <f t="shared" si="35"/>
        <v>1</v>
      </c>
      <c r="P60" s="15">
        <f t="shared" si="36"/>
        <v>7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</v>
      </c>
      <c r="N61" s="50">
        <v>0</v>
      </c>
      <c r="O61" s="15">
        <f t="shared" si="35"/>
        <v>0</v>
      </c>
      <c r="P61" s="15">
        <f t="shared" si="36"/>
        <v>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9</v>
      </c>
      <c r="N62" s="50">
        <v>0</v>
      </c>
      <c r="O62" s="15">
        <f t="shared" si="35"/>
        <v>0</v>
      </c>
      <c r="P62" s="15">
        <f t="shared" si="36"/>
        <v>9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1</v>
      </c>
      <c r="G63" s="50">
        <v>1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35"/>
        <v>2</v>
      </c>
      <c r="P63" s="15">
        <f t="shared" si="36"/>
        <v>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</v>
      </c>
      <c r="N64" s="50">
        <v>0</v>
      </c>
      <c r="O64" s="15">
        <f t="shared" si="35"/>
        <v>0</v>
      </c>
      <c r="P64" s="15">
        <f t="shared" si="36"/>
        <v>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35"/>
        <v>0</v>
      </c>
      <c r="P65" s="15">
        <f t="shared" si="36"/>
        <v>3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</v>
      </c>
      <c r="N66" s="50">
        <v>0</v>
      </c>
      <c r="O66" s="15">
        <f t="shared" si="35"/>
        <v>0</v>
      </c>
      <c r="P66" s="15">
        <f t="shared" si="36"/>
        <v>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35"/>
        <v>1</v>
      </c>
      <c r="P67" s="15">
        <f t="shared" si="36"/>
        <v>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35"/>
        <v>0</v>
      </c>
      <c r="P68" s="15">
        <f t="shared" si="36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35"/>
        <v>0</v>
      </c>
      <c r="P69" s="15">
        <f t="shared" si="36"/>
        <v>3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35"/>
        <v>0</v>
      </c>
      <c r="P70" s="15">
        <f t="shared" si="36"/>
        <v>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35"/>
        <v>0</v>
      </c>
      <c r="P71" s="15">
        <f t="shared" si="36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35"/>
        <v>0</v>
      </c>
      <c r="P72" s="15">
        <f t="shared" si="36"/>
        <v>1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35"/>
        <v>0</v>
      </c>
      <c r="P73" s="15">
        <f t="shared" si="36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si="35"/>
        <v>0</v>
      </c>
      <c r="P74" s="15">
        <f t="shared" si="36"/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0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0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1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0</v>
      </c>
      <c r="P104" s="15">
        <f t="shared" si="36"/>
        <v>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1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</v>
      </c>
      <c r="D106" s="16">
        <f t="shared" ref="D106:P106" si="37">SUM(D10:D105)</f>
        <v>8</v>
      </c>
      <c r="E106" s="16">
        <f t="shared" si="37"/>
        <v>14</v>
      </c>
      <c r="F106" s="16">
        <f t="shared" si="37"/>
        <v>40</v>
      </c>
      <c r="G106" s="16">
        <f t="shared" si="37"/>
        <v>1</v>
      </c>
      <c r="H106" s="16">
        <f t="shared" si="37"/>
        <v>0</v>
      </c>
      <c r="I106" s="16">
        <f t="shared" si="37"/>
        <v>5</v>
      </c>
      <c r="J106" s="16">
        <f t="shared" si="37"/>
        <v>2</v>
      </c>
      <c r="K106" s="16">
        <f t="shared" si="37"/>
        <v>4</v>
      </c>
      <c r="L106" s="16">
        <f t="shared" si="37"/>
        <v>1</v>
      </c>
      <c r="M106" s="16">
        <f t="shared" si="37"/>
        <v>309</v>
      </c>
      <c r="N106" s="16">
        <f t="shared" si="37"/>
        <v>0</v>
      </c>
      <c r="O106" s="16">
        <f t="shared" si="37"/>
        <v>82</v>
      </c>
      <c r="P106" s="16">
        <f t="shared" si="37"/>
        <v>391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1.7902813299232736E-2</v>
      </c>
      <c r="D107" s="43">
        <f t="shared" si="38"/>
        <v>2.0460358056265986E-2</v>
      </c>
      <c r="E107" s="43">
        <f t="shared" si="38"/>
        <v>3.5805626598465472E-2</v>
      </c>
      <c r="F107" s="43">
        <f t="shared" si="38"/>
        <v>0.10230179028132992</v>
      </c>
      <c r="G107" s="43">
        <f t="shared" si="38"/>
        <v>2.5575447570332483E-3</v>
      </c>
      <c r="H107" s="43">
        <f t="shared" si="38"/>
        <v>0</v>
      </c>
      <c r="I107" s="43">
        <f t="shared" si="38"/>
        <v>1.278772378516624E-2</v>
      </c>
      <c r="J107" s="43">
        <f t="shared" si="38"/>
        <v>5.1150895140664966E-3</v>
      </c>
      <c r="K107" s="43">
        <f t="shared" si="38"/>
        <v>1.0230179028132993E-2</v>
      </c>
      <c r="L107" s="43">
        <f t="shared" si="38"/>
        <v>2.5575447570332483E-3</v>
      </c>
      <c r="M107" s="43">
        <f t="shared" si="38"/>
        <v>0.79028132992327371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8.5365853658536592E-2</v>
      </c>
      <c r="D108" s="44">
        <f t="shared" ref="D108:N108" si="39">D106/$O$106</f>
        <v>9.7560975609756101E-2</v>
      </c>
      <c r="E108" s="44">
        <f t="shared" si="39"/>
        <v>0.17073170731707318</v>
      </c>
      <c r="F108" s="44">
        <f t="shared" si="39"/>
        <v>0.48780487804878048</v>
      </c>
      <c r="G108" s="44">
        <f t="shared" si="39"/>
        <v>1.2195121951219513E-2</v>
      </c>
      <c r="H108" s="44">
        <f t="shared" si="39"/>
        <v>0</v>
      </c>
      <c r="I108" s="44">
        <f t="shared" si="39"/>
        <v>6.097560975609756E-2</v>
      </c>
      <c r="J108" s="44">
        <f t="shared" si="39"/>
        <v>2.4390243902439025E-2</v>
      </c>
      <c r="K108" s="44">
        <f t="shared" si="39"/>
        <v>4.878048780487805E-2</v>
      </c>
      <c r="L108" s="44">
        <f t="shared" si="39"/>
        <v>1.2195121951219513E-2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43" zoomScale="60" workbookViewId="0">
      <selection activeCell="D11" sqref="D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179</v>
      </c>
      <c r="E5" s="3"/>
      <c r="F5" s="41" t="s">
        <v>1</v>
      </c>
      <c r="G5" s="61" t="str">
        <f>'28.10 BULIISA-HOIMA-24h'!G5:H5</f>
        <v>KISIABI</v>
      </c>
      <c r="H5" s="62"/>
      <c r="I5" s="14"/>
      <c r="J5" s="2" t="s">
        <v>5</v>
      </c>
      <c r="K5" s="61" t="s">
        <v>174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166</v>
      </c>
      <c r="E6" s="62"/>
      <c r="F6" s="2" t="s">
        <v>2</v>
      </c>
      <c r="G6" s="61" t="s">
        <v>165</v>
      </c>
      <c r="H6" s="62"/>
      <c r="J6" s="2" t="s">
        <v>21</v>
      </c>
      <c r="K6" s="61" t="str">
        <f>'28.10 BULIISA-HOIMA-24h'!K6:L6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6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1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4</v>
      </c>
      <c r="AF10" s="31">
        <f t="shared" si="2"/>
        <v>22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0</v>
      </c>
      <c r="P11" s="15">
        <f t="shared" si="1"/>
        <v>6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20</v>
      </c>
      <c r="AD11" s="17">
        <f t="shared" si="3"/>
        <v>0</v>
      </c>
      <c r="AE11" s="31">
        <f t="shared" si="3"/>
        <v>7</v>
      </c>
      <c r="AF11" s="31">
        <f t="shared" si="3"/>
        <v>27</v>
      </c>
    </row>
    <row r="12" spans="2:32" ht="23.1" customHeight="1" x14ac:dyDescent="0.25">
      <c r="B12" s="45" t="s">
        <v>39</v>
      </c>
      <c r="C12" s="50">
        <v>0</v>
      </c>
      <c r="D12" s="50">
        <v>1</v>
      </c>
      <c r="E12" s="50">
        <v>1</v>
      </c>
      <c r="F12" s="50">
        <v>0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3</v>
      </c>
      <c r="P12" s="15">
        <f t="shared" si="1"/>
        <v>8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1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32</v>
      </c>
      <c r="AD12" s="17">
        <f t="shared" si="4"/>
        <v>0</v>
      </c>
      <c r="AE12" s="31">
        <f t="shared" si="4"/>
        <v>8</v>
      </c>
      <c r="AF12" s="31">
        <f t="shared" si="4"/>
        <v>40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0</v>
      </c>
      <c r="P13" s="15">
        <f t="shared" si="1"/>
        <v>2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1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31</v>
      </c>
      <c r="AD13" s="17">
        <f t="shared" si="5"/>
        <v>0</v>
      </c>
      <c r="AE13" s="31">
        <f t="shared" si="5"/>
        <v>4</v>
      </c>
      <c r="AF13" s="31">
        <f t="shared" si="5"/>
        <v>35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1</v>
      </c>
      <c r="P14" s="15">
        <f t="shared" si="1"/>
        <v>5</v>
      </c>
      <c r="R14" s="1" t="s">
        <v>10</v>
      </c>
      <c r="S14" s="17">
        <f t="shared" ref="S14:AF14" si="6">SUM(C26:C29)</f>
        <v>0</v>
      </c>
      <c r="T14" s="17">
        <f t="shared" si="6"/>
        <v>2</v>
      </c>
      <c r="U14" s="17">
        <f t="shared" si="6"/>
        <v>2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34</v>
      </c>
      <c r="AD14" s="17">
        <f t="shared" si="6"/>
        <v>0</v>
      </c>
      <c r="AE14" s="31">
        <f t="shared" si="6"/>
        <v>8</v>
      </c>
      <c r="AF14" s="31">
        <f t="shared" si="6"/>
        <v>42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3</v>
      </c>
      <c r="P15" s="15">
        <f t="shared" si="1"/>
        <v>4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32</v>
      </c>
      <c r="AD15" s="17">
        <f t="shared" si="7"/>
        <v>0</v>
      </c>
      <c r="AE15" s="31">
        <f t="shared" si="7"/>
        <v>6</v>
      </c>
      <c r="AF15" s="31">
        <f t="shared" si="7"/>
        <v>38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2</v>
      </c>
      <c r="P16" s="15">
        <f t="shared" si="1"/>
        <v>9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19</v>
      </c>
      <c r="AD16" s="17">
        <f t="shared" si="8"/>
        <v>0</v>
      </c>
      <c r="AE16" s="31">
        <f t="shared" si="8"/>
        <v>9</v>
      </c>
      <c r="AF16" s="31">
        <f t="shared" si="8"/>
        <v>28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1</v>
      </c>
      <c r="P17" s="15">
        <f t="shared" si="1"/>
        <v>9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12</v>
      </c>
      <c r="AD17" s="17">
        <f t="shared" si="9"/>
        <v>0</v>
      </c>
      <c r="AE17" s="31">
        <f t="shared" si="9"/>
        <v>6</v>
      </c>
      <c r="AF17" s="31">
        <f t="shared" si="9"/>
        <v>18</v>
      </c>
    </row>
    <row r="18" spans="2:32" ht="23.1" customHeight="1" x14ac:dyDescent="0.25">
      <c r="B18" s="45" t="s">
        <v>45</v>
      </c>
      <c r="C18" s="50">
        <v>0</v>
      </c>
      <c r="D18" s="50">
        <v>2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4</v>
      </c>
      <c r="P18" s="15">
        <f t="shared" si="1"/>
        <v>10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17</v>
      </c>
      <c r="AD18" s="17">
        <f t="shared" si="10"/>
        <v>0</v>
      </c>
      <c r="AE18" s="31">
        <f t="shared" si="10"/>
        <v>8</v>
      </c>
      <c r="AF18" s="31">
        <f t="shared" si="10"/>
        <v>25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1</v>
      </c>
      <c r="M19" s="50">
        <v>8</v>
      </c>
      <c r="N19" s="50">
        <v>0</v>
      </c>
      <c r="O19" s="15">
        <f t="shared" si="0"/>
        <v>2</v>
      </c>
      <c r="P19" s="15">
        <f t="shared" si="1"/>
        <v>10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17</v>
      </c>
      <c r="AD19" s="17">
        <f t="shared" si="11"/>
        <v>0</v>
      </c>
      <c r="AE19" s="31">
        <f t="shared" si="11"/>
        <v>6</v>
      </c>
      <c r="AF19" s="31">
        <f t="shared" si="11"/>
        <v>23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1</v>
      </c>
      <c r="P20" s="15">
        <f t="shared" si="1"/>
        <v>5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2</v>
      </c>
      <c r="AB20" s="17">
        <f t="shared" si="12"/>
        <v>0</v>
      </c>
      <c r="AC20" s="17">
        <f t="shared" si="12"/>
        <v>16</v>
      </c>
      <c r="AD20" s="17">
        <f t="shared" si="12"/>
        <v>0</v>
      </c>
      <c r="AE20" s="31">
        <f t="shared" si="12"/>
        <v>3</v>
      </c>
      <c r="AF20" s="31">
        <f t="shared" si="12"/>
        <v>19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1</v>
      </c>
      <c r="P21" s="15">
        <f t="shared" si="1"/>
        <v>15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17</v>
      </c>
      <c r="AD21" s="17">
        <f t="shared" si="13"/>
        <v>0</v>
      </c>
      <c r="AE21" s="31">
        <f t="shared" si="13"/>
        <v>2</v>
      </c>
      <c r="AF21" s="31">
        <f t="shared" si="13"/>
        <v>19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1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3</v>
      </c>
      <c r="P22" s="15">
        <f t="shared" si="1"/>
        <v>13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17</v>
      </c>
      <c r="AD22" s="34">
        <f t="shared" si="14"/>
        <v>0</v>
      </c>
      <c r="AE22" s="31">
        <f t="shared" si="14"/>
        <v>3</v>
      </c>
      <c r="AF22" s="31">
        <f t="shared" si="14"/>
        <v>20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0</v>
      </c>
      <c r="P23" s="15">
        <f t="shared" si="1"/>
        <v>10</v>
      </c>
      <c r="R23" s="36" t="s">
        <v>147</v>
      </c>
      <c r="S23" s="34">
        <f>SUM(C62:C65)</f>
        <v>1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10</v>
      </c>
      <c r="AD23" s="34">
        <f t="shared" si="15"/>
        <v>0</v>
      </c>
      <c r="AE23" s="31">
        <f t="shared" si="15"/>
        <v>5</v>
      </c>
      <c r="AF23" s="31">
        <f t="shared" si="15"/>
        <v>15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0</v>
      </c>
      <c r="P24" s="15">
        <f t="shared" si="1"/>
        <v>3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13</v>
      </c>
      <c r="AD24" s="34">
        <f t="shared" si="16"/>
        <v>0</v>
      </c>
      <c r="AE24" s="31">
        <f t="shared" si="16"/>
        <v>1</v>
      </c>
      <c r="AF24" s="31">
        <f t="shared" si="16"/>
        <v>14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1</v>
      </c>
      <c r="P25" s="15">
        <f t="shared" si="1"/>
        <v>9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</v>
      </c>
      <c r="AD25" s="34">
        <f t="shared" si="17"/>
        <v>0</v>
      </c>
      <c r="AE25" s="31">
        <f t="shared" si="17"/>
        <v>1</v>
      </c>
      <c r="AF25" s="31">
        <f t="shared" si="17"/>
        <v>3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0</v>
      </c>
      <c r="P26" s="15">
        <f t="shared" si="1"/>
        <v>12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0</v>
      </c>
      <c r="AF26" s="31">
        <f t="shared" si="18"/>
        <v>1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1</v>
      </c>
      <c r="P27" s="15">
        <f t="shared" si="1"/>
        <v>8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2</v>
      </c>
      <c r="P28" s="15">
        <f t="shared" si="1"/>
        <v>10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1</v>
      </c>
      <c r="F29" s="50">
        <v>2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5</v>
      </c>
      <c r="P29" s="15">
        <f t="shared" si="1"/>
        <v>12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0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0</v>
      </c>
      <c r="P30" s="15">
        <f t="shared" si="1"/>
        <v>11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0</v>
      </c>
      <c r="AF30" s="31">
        <f t="shared" si="22"/>
        <v>1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0</v>
      </c>
      <c r="P31" s="15">
        <f t="shared" si="1"/>
        <v>2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0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1</v>
      </c>
      <c r="P32" s="15">
        <f t="shared" si="1"/>
        <v>12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0</v>
      </c>
      <c r="AF32" s="31">
        <f t="shared" si="24"/>
        <v>1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2</v>
      </c>
      <c r="F33" s="50">
        <v>2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5</v>
      </c>
      <c r="P33" s="15">
        <f t="shared" si="1"/>
        <v>13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6</v>
      </c>
      <c r="AD33" s="34">
        <f t="shared" si="25"/>
        <v>0</v>
      </c>
      <c r="AE33" s="31">
        <f t="shared" si="25"/>
        <v>1</v>
      </c>
      <c r="AF33" s="31">
        <f t="shared" si="25"/>
        <v>7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1</v>
      </c>
      <c r="P34" s="15">
        <f t="shared" si="1"/>
        <v>5</v>
      </c>
      <c r="R34" s="38" t="s">
        <v>90</v>
      </c>
      <c r="S34" s="39">
        <f t="shared" ref="S34:AF34" si="26">MAX(S10:S12)</f>
        <v>0</v>
      </c>
      <c r="T34" s="39">
        <f t="shared" si="26"/>
        <v>2</v>
      </c>
      <c r="U34" s="39">
        <f t="shared" si="26"/>
        <v>3</v>
      </c>
      <c r="V34" s="39">
        <f t="shared" si="26"/>
        <v>3</v>
      </c>
      <c r="W34" s="39">
        <f t="shared" si="26"/>
        <v>1</v>
      </c>
      <c r="X34" s="39">
        <f t="shared" si="26"/>
        <v>0</v>
      </c>
      <c r="Y34" s="39">
        <f t="shared" si="26"/>
        <v>1</v>
      </c>
      <c r="Z34" s="39">
        <f t="shared" si="26"/>
        <v>0</v>
      </c>
      <c r="AA34" s="39">
        <f t="shared" si="26"/>
        <v>0</v>
      </c>
      <c r="AB34" s="39">
        <f t="shared" si="26"/>
        <v>1</v>
      </c>
      <c r="AC34" s="39">
        <f t="shared" si="26"/>
        <v>32</v>
      </c>
      <c r="AD34" s="39">
        <f t="shared" si="26"/>
        <v>0</v>
      </c>
      <c r="AE34" s="40">
        <f t="shared" si="26"/>
        <v>8</v>
      </c>
      <c r="AF34" s="40">
        <f t="shared" si="26"/>
        <v>40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1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4</v>
      </c>
      <c r="P35" s="15">
        <f t="shared" si="1"/>
        <v>14</v>
      </c>
      <c r="R35" s="38" t="s">
        <v>91</v>
      </c>
      <c r="S35" s="39">
        <f t="shared" ref="S35:AF35" si="27">MAX(S13:S18)</f>
        <v>2</v>
      </c>
      <c r="T35" s="39">
        <f t="shared" si="27"/>
        <v>2</v>
      </c>
      <c r="U35" s="39">
        <f t="shared" si="27"/>
        <v>2</v>
      </c>
      <c r="V35" s="39">
        <f t="shared" si="27"/>
        <v>5</v>
      </c>
      <c r="W35" s="39">
        <f t="shared" si="27"/>
        <v>1</v>
      </c>
      <c r="X35" s="39">
        <f t="shared" si="27"/>
        <v>1</v>
      </c>
      <c r="Y35" s="39">
        <f t="shared" si="27"/>
        <v>1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34</v>
      </c>
      <c r="AD35" s="39">
        <f t="shared" si="27"/>
        <v>0</v>
      </c>
      <c r="AE35" s="40">
        <f t="shared" si="27"/>
        <v>9</v>
      </c>
      <c r="AF35" s="40">
        <f t="shared" si="27"/>
        <v>42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2</v>
      </c>
      <c r="P36" s="15">
        <f t="shared" si="1"/>
        <v>5</v>
      </c>
      <c r="R36" s="38" t="s">
        <v>92</v>
      </c>
      <c r="S36" s="39">
        <f t="shared" ref="S36:AF36" si="28">MAX(S19:S21)</f>
        <v>0</v>
      </c>
      <c r="T36" s="39">
        <f t="shared" si="28"/>
        <v>0</v>
      </c>
      <c r="U36" s="39">
        <f t="shared" si="28"/>
        <v>1</v>
      </c>
      <c r="V36" s="39">
        <f t="shared" si="28"/>
        <v>4</v>
      </c>
      <c r="W36" s="39">
        <f t="shared" si="28"/>
        <v>0</v>
      </c>
      <c r="X36" s="39">
        <f t="shared" si="28"/>
        <v>0</v>
      </c>
      <c r="Y36" s="39">
        <f t="shared" si="28"/>
        <v>1</v>
      </c>
      <c r="Z36" s="39">
        <f t="shared" si="28"/>
        <v>0</v>
      </c>
      <c r="AA36" s="39">
        <f t="shared" si="28"/>
        <v>2</v>
      </c>
      <c r="AB36" s="39">
        <f t="shared" si="28"/>
        <v>0</v>
      </c>
      <c r="AC36" s="39">
        <f t="shared" si="28"/>
        <v>17</v>
      </c>
      <c r="AD36" s="39">
        <f t="shared" si="28"/>
        <v>0</v>
      </c>
      <c r="AE36" s="40">
        <f t="shared" si="28"/>
        <v>6</v>
      </c>
      <c r="AF36" s="40">
        <f t="shared" si="28"/>
        <v>23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2</v>
      </c>
      <c r="P37" s="15">
        <f t="shared" si="1"/>
        <v>4</v>
      </c>
      <c r="R37" s="37" t="s">
        <v>85</v>
      </c>
      <c r="S37" s="35">
        <f t="shared" ref="S37:AF37" si="29">SUM(S10:S12)</f>
        <v>0</v>
      </c>
      <c r="T37" s="16">
        <f t="shared" si="29"/>
        <v>4</v>
      </c>
      <c r="U37" s="16">
        <f t="shared" si="29"/>
        <v>5</v>
      </c>
      <c r="V37" s="16">
        <f t="shared" si="29"/>
        <v>6</v>
      </c>
      <c r="W37" s="16">
        <f t="shared" si="29"/>
        <v>1</v>
      </c>
      <c r="X37" s="16">
        <f t="shared" si="29"/>
        <v>0</v>
      </c>
      <c r="Y37" s="16">
        <f t="shared" si="29"/>
        <v>2</v>
      </c>
      <c r="Z37" s="16">
        <f t="shared" si="29"/>
        <v>0</v>
      </c>
      <c r="AA37" s="16">
        <f t="shared" si="29"/>
        <v>0</v>
      </c>
      <c r="AB37" s="16">
        <f t="shared" si="29"/>
        <v>1</v>
      </c>
      <c r="AC37" s="16">
        <f t="shared" si="29"/>
        <v>70</v>
      </c>
      <c r="AD37" s="16">
        <f t="shared" si="29"/>
        <v>0</v>
      </c>
      <c r="AE37" s="32">
        <f t="shared" si="29"/>
        <v>19</v>
      </c>
      <c r="AF37" s="32">
        <f t="shared" si="29"/>
        <v>89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1</v>
      </c>
      <c r="P38" s="15">
        <f t="shared" si="1"/>
        <v>4</v>
      </c>
      <c r="R38" s="28" t="s">
        <v>86</v>
      </c>
      <c r="S38" s="16">
        <f t="shared" ref="S38:AF38" si="30">SUM(S13:S18)</f>
        <v>5</v>
      </c>
      <c r="T38" s="16">
        <f t="shared" si="30"/>
        <v>2</v>
      </c>
      <c r="U38" s="16">
        <f t="shared" si="30"/>
        <v>7</v>
      </c>
      <c r="V38" s="16">
        <f t="shared" si="30"/>
        <v>17</v>
      </c>
      <c r="W38" s="16">
        <f t="shared" si="30"/>
        <v>1</v>
      </c>
      <c r="X38" s="16">
        <f t="shared" si="30"/>
        <v>1</v>
      </c>
      <c r="Y38" s="16">
        <f t="shared" si="30"/>
        <v>3</v>
      </c>
      <c r="Z38" s="16">
        <f t="shared" si="30"/>
        <v>4</v>
      </c>
      <c r="AA38" s="16">
        <f t="shared" si="30"/>
        <v>1</v>
      </c>
      <c r="AB38" s="16">
        <f t="shared" si="30"/>
        <v>0</v>
      </c>
      <c r="AC38" s="16">
        <f t="shared" si="30"/>
        <v>145</v>
      </c>
      <c r="AD38" s="16">
        <f t="shared" si="30"/>
        <v>0</v>
      </c>
      <c r="AE38" s="32">
        <f t="shared" si="30"/>
        <v>41</v>
      </c>
      <c r="AF38" s="32">
        <f t="shared" si="30"/>
        <v>186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0</v>
      </c>
      <c r="P39" s="15">
        <f t="shared" si="1"/>
        <v>2</v>
      </c>
      <c r="R39" s="29" t="s">
        <v>87</v>
      </c>
      <c r="S39" s="16">
        <f t="shared" ref="S39:AF39" si="31">SUM(S19:S21)</f>
        <v>0</v>
      </c>
      <c r="T39" s="16">
        <f t="shared" si="31"/>
        <v>0</v>
      </c>
      <c r="U39" s="16">
        <f t="shared" si="31"/>
        <v>2</v>
      </c>
      <c r="V39" s="16">
        <f t="shared" si="31"/>
        <v>6</v>
      </c>
      <c r="W39" s="16">
        <f t="shared" si="31"/>
        <v>0</v>
      </c>
      <c r="X39" s="16">
        <f t="shared" si="31"/>
        <v>0</v>
      </c>
      <c r="Y39" s="16">
        <f t="shared" si="31"/>
        <v>1</v>
      </c>
      <c r="Z39" s="16">
        <f t="shared" si="31"/>
        <v>0</v>
      </c>
      <c r="AA39" s="16">
        <f t="shared" si="31"/>
        <v>2</v>
      </c>
      <c r="AB39" s="16">
        <f t="shared" si="31"/>
        <v>0</v>
      </c>
      <c r="AC39" s="16">
        <f t="shared" si="31"/>
        <v>50</v>
      </c>
      <c r="AD39" s="16">
        <f t="shared" si="31"/>
        <v>0</v>
      </c>
      <c r="AE39" s="32">
        <f t="shared" si="31"/>
        <v>11</v>
      </c>
      <c r="AF39" s="32">
        <f t="shared" si="31"/>
        <v>61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1</v>
      </c>
      <c r="P40" s="15">
        <f t="shared" si="1"/>
        <v>5</v>
      </c>
      <c r="R40" s="5" t="s">
        <v>17</v>
      </c>
      <c r="S40" s="16">
        <f t="shared" ref="S40:AF40" si="32">SUM(S10:S21)</f>
        <v>5</v>
      </c>
      <c r="T40" s="16">
        <f t="shared" si="32"/>
        <v>6</v>
      </c>
      <c r="U40" s="16">
        <f t="shared" si="32"/>
        <v>14</v>
      </c>
      <c r="V40" s="16">
        <f t="shared" si="32"/>
        <v>29</v>
      </c>
      <c r="W40" s="16">
        <f t="shared" si="32"/>
        <v>2</v>
      </c>
      <c r="X40" s="16">
        <f t="shared" si="32"/>
        <v>1</v>
      </c>
      <c r="Y40" s="16">
        <f t="shared" si="32"/>
        <v>6</v>
      </c>
      <c r="Z40" s="16">
        <f t="shared" si="32"/>
        <v>4</v>
      </c>
      <c r="AA40" s="16">
        <f t="shared" si="32"/>
        <v>3</v>
      </c>
      <c r="AB40" s="16">
        <f t="shared" si="32"/>
        <v>1</v>
      </c>
      <c r="AC40" s="16">
        <f t="shared" si="32"/>
        <v>265</v>
      </c>
      <c r="AD40" s="16">
        <f t="shared" si="32"/>
        <v>0</v>
      </c>
      <c r="AE40" s="32">
        <f t="shared" si="32"/>
        <v>71</v>
      </c>
      <c r="AF40" s="32">
        <f t="shared" si="32"/>
        <v>336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4</v>
      </c>
      <c r="P41" s="15">
        <f t="shared" si="1"/>
        <v>7</v>
      </c>
      <c r="R41" s="5" t="s">
        <v>159</v>
      </c>
      <c r="S41" s="16">
        <f>SUM(S10:S33)</f>
        <v>6</v>
      </c>
      <c r="T41" s="16">
        <f t="shared" ref="T41:AF41" si="33">SUM(T10:T33)</f>
        <v>7</v>
      </c>
      <c r="U41" s="16">
        <f t="shared" si="33"/>
        <v>15</v>
      </c>
      <c r="V41" s="16">
        <f t="shared" si="33"/>
        <v>33</v>
      </c>
      <c r="W41" s="16">
        <f t="shared" si="33"/>
        <v>2</v>
      </c>
      <c r="X41" s="16">
        <f t="shared" si="33"/>
        <v>1</v>
      </c>
      <c r="Y41" s="16">
        <f t="shared" si="33"/>
        <v>6</v>
      </c>
      <c r="Z41" s="16">
        <f t="shared" si="33"/>
        <v>7</v>
      </c>
      <c r="AA41" s="16">
        <f t="shared" si="33"/>
        <v>4</v>
      </c>
      <c r="AB41" s="16">
        <f t="shared" si="33"/>
        <v>1</v>
      </c>
      <c r="AC41" s="16">
        <f t="shared" si="33"/>
        <v>318</v>
      </c>
      <c r="AD41" s="16">
        <f t="shared" si="33"/>
        <v>0</v>
      </c>
      <c r="AE41" s="32">
        <f t="shared" si="33"/>
        <v>82</v>
      </c>
      <c r="AF41" s="32">
        <f t="shared" si="33"/>
        <v>400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1</v>
      </c>
      <c r="P42" s="15">
        <f t="shared" si="1"/>
        <v>6</v>
      </c>
      <c r="R42" s="5" t="s">
        <v>160</v>
      </c>
      <c r="S42" s="48">
        <f>S41/S40</f>
        <v>1.2</v>
      </c>
      <c r="T42" s="48">
        <f t="shared" ref="T42:AF42" si="34">T41/T40</f>
        <v>1.1666666666666667</v>
      </c>
      <c r="U42" s="48">
        <f t="shared" si="34"/>
        <v>1.0714285714285714</v>
      </c>
      <c r="V42" s="48">
        <f t="shared" si="34"/>
        <v>1.1379310344827587</v>
      </c>
      <c r="W42" s="48">
        <f t="shared" si="34"/>
        <v>1</v>
      </c>
      <c r="X42" s="48">
        <f t="shared" si="34"/>
        <v>1</v>
      </c>
      <c r="Y42" s="48">
        <f t="shared" si="34"/>
        <v>1</v>
      </c>
      <c r="Z42" s="48">
        <f t="shared" si="34"/>
        <v>1.75</v>
      </c>
      <c r="AA42" s="48">
        <f t="shared" si="34"/>
        <v>1.3333333333333333</v>
      </c>
      <c r="AB42" s="48">
        <f t="shared" si="34"/>
        <v>1</v>
      </c>
      <c r="AC42" s="48">
        <f t="shared" si="34"/>
        <v>1.2</v>
      </c>
      <c r="AD42" s="48" t="e">
        <f t="shared" si="34"/>
        <v>#DIV/0!</v>
      </c>
      <c r="AE42" s="48">
        <f t="shared" si="34"/>
        <v>1.1549295774647887</v>
      </c>
      <c r="AF42" s="48">
        <f t="shared" si="34"/>
        <v>1.1904761904761905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5</v>
      </c>
      <c r="N43" s="50">
        <v>0</v>
      </c>
      <c r="O43" s="15">
        <f t="shared" si="0"/>
        <v>3</v>
      </c>
      <c r="P43" s="15">
        <f t="shared" si="1"/>
        <v>8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1</v>
      </c>
      <c r="P44" s="15">
        <f t="shared" si="1"/>
        <v>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3</v>
      </c>
      <c r="P45" s="15">
        <f t="shared" si="1"/>
        <v>9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0</v>
      </c>
      <c r="P46" s="15">
        <f t="shared" si="1"/>
        <v>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1</v>
      </c>
      <c r="P47" s="15">
        <f t="shared" si="1"/>
        <v>2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3</v>
      </c>
      <c r="P48" s="15">
        <f t="shared" si="1"/>
        <v>8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2</v>
      </c>
      <c r="P49" s="15">
        <f t="shared" si="1"/>
        <v>11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1</v>
      </c>
      <c r="P50" s="15">
        <f t="shared" si="1"/>
        <v>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0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7</v>
      </c>
      <c r="N52" s="50">
        <v>0</v>
      </c>
      <c r="O52" s="15">
        <f t="shared" si="0"/>
        <v>1</v>
      </c>
      <c r="P52" s="15">
        <f t="shared" si="1"/>
        <v>8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5</v>
      </c>
      <c r="N53" s="50">
        <v>0</v>
      </c>
      <c r="O53" s="15">
        <f t="shared" si="0"/>
        <v>1</v>
      </c>
      <c r="P53" s="15">
        <f t="shared" si="1"/>
        <v>6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1</v>
      </c>
      <c r="P54" s="15">
        <f t="shared" si="1"/>
        <v>5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0</v>
      </c>
      <c r="P55" s="15">
        <f t="shared" si="1"/>
        <v>5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0</v>
      </c>
      <c r="P56" s="15">
        <f t="shared" si="1"/>
        <v>5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1</v>
      </c>
      <c r="P57" s="15">
        <f t="shared" si="1"/>
        <v>4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50">
        <v>0</v>
      </c>
      <c r="O58" s="15">
        <f t="shared" si="0"/>
        <v>0</v>
      </c>
      <c r="P58" s="15">
        <f t="shared" si="1"/>
        <v>4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8</v>
      </c>
      <c r="N59" s="50">
        <v>0</v>
      </c>
      <c r="O59" s="15">
        <f t="shared" si="0"/>
        <v>1</v>
      </c>
      <c r="P59" s="15">
        <f t="shared" si="1"/>
        <v>9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4</v>
      </c>
      <c r="N60" s="50">
        <v>0</v>
      </c>
      <c r="O60" s="15">
        <f t="shared" si="0"/>
        <v>1</v>
      </c>
      <c r="P60" s="15">
        <f t="shared" si="1"/>
        <v>5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1</v>
      </c>
      <c r="N61" s="50">
        <v>0</v>
      </c>
      <c r="O61" s="15">
        <f t="shared" si="0"/>
        <v>1</v>
      </c>
      <c r="P61" s="15">
        <f t="shared" si="1"/>
        <v>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1</v>
      </c>
      <c r="N62" s="50">
        <v>0</v>
      </c>
      <c r="O62" s="15">
        <f t="shared" si="0"/>
        <v>2</v>
      </c>
      <c r="P62" s="15">
        <f t="shared" si="1"/>
        <v>3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0"/>
        <v>0</v>
      </c>
      <c r="P63" s="15">
        <f t="shared" si="1"/>
        <v>1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3</v>
      </c>
      <c r="N64" s="50">
        <v>0</v>
      </c>
      <c r="O64" s="15">
        <f t="shared" si="0"/>
        <v>1</v>
      </c>
      <c r="P64" s="15">
        <f t="shared" si="1"/>
        <v>4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0</v>
      </c>
      <c r="M65" s="50">
        <v>5</v>
      </c>
      <c r="N65" s="50">
        <v>0</v>
      </c>
      <c r="O65" s="15">
        <f t="shared" si="0"/>
        <v>2</v>
      </c>
      <c r="P65" s="15">
        <f t="shared" si="1"/>
        <v>7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4</v>
      </c>
      <c r="N66" s="50">
        <v>0</v>
      </c>
      <c r="O66" s="15">
        <f t="shared" si="0"/>
        <v>0</v>
      </c>
      <c r="P66" s="15">
        <f t="shared" si="1"/>
        <v>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1</v>
      </c>
      <c r="P67" s="15">
        <f t="shared" si="1"/>
        <v>3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0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0</v>
      </c>
      <c r="P69" s="15">
        <f t="shared" si="1"/>
        <v>1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1</v>
      </c>
      <c r="P72" s="15">
        <f t="shared" si="1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0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1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</v>
      </c>
      <c r="D106" s="16">
        <f t="shared" ref="D106:P106" si="37">SUM(D10:D105)</f>
        <v>7</v>
      </c>
      <c r="E106" s="16">
        <f t="shared" si="37"/>
        <v>15</v>
      </c>
      <c r="F106" s="16">
        <f t="shared" si="37"/>
        <v>33</v>
      </c>
      <c r="G106" s="16">
        <f t="shared" si="37"/>
        <v>2</v>
      </c>
      <c r="H106" s="16">
        <f t="shared" si="37"/>
        <v>1</v>
      </c>
      <c r="I106" s="16">
        <f t="shared" si="37"/>
        <v>6</v>
      </c>
      <c r="J106" s="16">
        <f t="shared" si="37"/>
        <v>7</v>
      </c>
      <c r="K106" s="16">
        <f t="shared" si="37"/>
        <v>4</v>
      </c>
      <c r="L106" s="16">
        <f t="shared" si="37"/>
        <v>1</v>
      </c>
      <c r="M106" s="16">
        <f t="shared" si="37"/>
        <v>318</v>
      </c>
      <c r="N106" s="16">
        <f t="shared" si="37"/>
        <v>0</v>
      </c>
      <c r="O106" s="16">
        <f t="shared" si="37"/>
        <v>82</v>
      </c>
      <c r="P106" s="16">
        <f t="shared" si="37"/>
        <v>400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1.4999999999999999E-2</v>
      </c>
      <c r="D107" s="43">
        <f t="shared" si="38"/>
        <v>1.7500000000000002E-2</v>
      </c>
      <c r="E107" s="43">
        <f t="shared" si="38"/>
        <v>3.7499999999999999E-2</v>
      </c>
      <c r="F107" s="43">
        <f t="shared" si="38"/>
        <v>8.2500000000000004E-2</v>
      </c>
      <c r="G107" s="43">
        <f t="shared" si="38"/>
        <v>5.0000000000000001E-3</v>
      </c>
      <c r="H107" s="43">
        <f t="shared" si="38"/>
        <v>2.5000000000000001E-3</v>
      </c>
      <c r="I107" s="43">
        <f t="shared" si="38"/>
        <v>1.4999999999999999E-2</v>
      </c>
      <c r="J107" s="43">
        <f t="shared" si="38"/>
        <v>1.7500000000000002E-2</v>
      </c>
      <c r="K107" s="43">
        <f t="shared" si="38"/>
        <v>0.01</v>
      </c>
      <c r="L107" s="43">
        <f t="shared" si="38"/>
        <v>2.5000000000000001E-3</v>
      </c>
      <c r="M107" s="43">
        <f t="shared" si="38"/>
        <v>0.79500000000000004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7.3170731707317069E-2</v>
      </c>
      <c r="D108" s="44">
        <f t="shared" ref="D108:N108" si="39">D106/$O$106</f>
        <v>8.5365853658536592E-2</v>
      </c>
      <c r="E108" s="44">
        <f t="shared" si="39"/>
        <v>0.18292682926829268</v>
      </c>
      <c r="F108" s="44">
        <f t="shared" si="39"/>
        <v>0.40243902439024393</v>
      </c>
      <c r="G108" s="44">
        <f t="shared" si="39"/>
        <v>2.4390243902439025E-2</v>
      </c>
      <c r="H108" s="44">
        <f t="shared" si="39"/>
        <v>1.2195121951219513E-2</v>
      </c>
      <c r="I108" s="44">
        <f t="shared" si="39"/>
        <v>7.3170731707317069E-2</v>
      </c>
      <c r="J108" s="44">
        <f t="shared" si="39"/>
        <v>8.5365853658536592E-2</v>
      </c>
      <c r="K108" s="44">
        <f t="shared" si="39"/>
        <v>4.878048780487805E-2</v>
      </c>
      <c r="L108" s="44">
        <f t="shared" si="39"/>
        <v>1.2195121951219513E-2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K15" sqref="K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1" t="str">
        <f>'25.10 BULIISA-HOIMA'!G5:H5</f>
        <v>KISIABI</v>
      </c>
      <c r="H5" s="62"/>
      <c r="I5" s="14"/>
      <c r="J5" s="2" t="s">
        <v>5</v>
      </c>
      <c r="K5" s="61" t="s">
        <v>170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BULIISA-HOIMA'!D6:E6</f>
        <v>BULIISA</v>
      </c>
      <c r="E6" s="62"/>
      <c r="F6" s="2" t="s">
        <v>2</v>
      </c>
      <c r="G6" s="61" t="str">
        <f>'25.10 BULIISA-HOIMA'!G6:H6</f>
        <v>HOIMA</v>
      </c>
      <c r="H6" s="62"/>
      <c r="J6" s="2" t="s">
        <v>21</v>
      </c>
      <c r="K6" s="61" t="str">
        <f>'25.10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7</v>
      </c>
      <c r="AF10" s="31">
        <f t="shared" si="2"/>
        <v>22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3</v>
      </c>
      <c r="P11" s="15">
        <f t="shared" si="1"/>
        <v>8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12</v>
      </c>
      <c r="AD11" s="17">
        <f t="shared" si="3"/>
        <v>0</v>
      </c>
      <c r="AE11" s="31">
        <f t="shared" si="3"/>
        <v>8</v>
      </c>
      <c r="AF11" s="31">
        <f t="shared" si="3"/>
        <v>20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2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</v>
      </c>
      <c r="AD12" s="17">
        <f t="shared" si="4"/>
        <v>0</v>
      </c>
      <c r="AE12" s="31">
        <f t="shared" si="4"/>
        <v>0</v>
      </c>
      <c r="AF12" s="31">
        <f t="shared" si="4"/>
        <v>11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1</v>
      </c>
      <c r="P13" s="15">
        <f t="shared" si="1"/>
        <v>6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17</v>
      </c>
      <c r="AD13" s="17">
        <f t="shared" si="5"/>
        <v>0</v>
      </c>
      <c r="AE13" s="31">
        <f t="shared" si="5"/>
        <v>2</v>
      </c>
      <c r="AF13" s="31">
        <f t="shared" si="5"/>
        <v>19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3</v>
      </c>
      <c r="P14" s="15">
        <f t="shared" si="1"/>
        <v>6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1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18</v>
      </c>
      <c r="AD14" s="17">
        <f t="shared" si="6"/>
        <v>0</v>
      </c>
      <c r="AE14" s="31">
        <f t="shared" si="6"/>
        <v>5</v>
      </c>
      <c r="AF14" s="31">
        <f t="shared" si="6"/>
        <v>23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1</v>
      </c>
      <c r="P15" s="15">
        <f t="shared" si="1"/>
        <v>1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14</v>
      </c>
      <c r="AD15" s="17">
        <f t="shared" si="7"/>
        <v>0</v>
      </c>
      <c r="AE15" s="31">
        <f t="shared" si="7"/>
        <v>2</v>
      </c>
      <c r="AF15" s="31">
        <f t="shared" si="7"/>
        <v>16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1</v>
      </c>
      <c r="L16" s="50">
        <v>0</v>
      </c>
      <c r="M16" s="50">
        <v>6</v>
      </c>
      <c r="N16" s="50">
        <v>0</v>
      </c>
      <c r="O16" s="15">
        <f t="shared" si="0"/>
        <v>4</v>
      </c>
      <c r="P16" s="15">
        <f t="shared" si="1"/>
        <v>10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13</v>
      </c>
      <c r="AD16" s="17">
        <f t="shared" si="8"/>
        <v>0</v>
      </c>
      <c r="AE16" s="31">
        <f t="shared" si="8"/>
        <v>4</v>
      </c>
      <c r="AF16" s="31">
        <f t="shared" si="8"/>
        <v>17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13</v>
      </c>
      <c r="AD17" s="17">
        <f t="shared" si="9"/>
        <v>0</v>
      </c>
      <c r="AE17" s="31">
        <f t="shared" si="9"/>
        <v>6</v>
      </c>
      <c r="AF17" s="31">
        <f t="shared" si="9"/>
        <v>19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0</v>
      </c>
      <c r="P18" s="15">
        <f t="shared" si="1"/>
        <v>3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12</v>
      </c>
      <c r="AD18" s="17">
        <f t="shared" si="10"/>
        <v>0</v>
      </c>
      <c r="AE18" s="31">
        <f t="shared" si="10"/>
        <v>6</v>
      </c>
      <c r="AF18" s="31">
        <f t="shared" si="10"/>
        <v>18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0</v>
      </c>
      <c r="P19" s="15">
        <f t="shared" si="1"/>
        <v>3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12</v>
      </c>
      <c r="AD19" s="17">
        <f t="shared" si="11"/>
        <v>0</v>
      </c>
      <c r="AE19" s="31">
        <f t="shared" si="11"/>
        <v>6</v>
      </c>
      <c r="AF19" s="31">
        <f t="shared" si="11"/>
        <v>18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0</v>
      </c>
      <c r="P20" s="15">
        <f t="shared" si="1"/>
        <v>2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0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26</v>
      </c>
      <c r="AD20" s="17">
        <f t="shared" si="12"/>
        <v>0</v>
      </c>
      <c r="AE20" s="31">
        <f t="shared" si="12"/>
        <v>5</v>
      </c>
      <c r="AF20" s="31">
        <f t="shared" si="12"/>
        <v>31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0</v>
      </c>
      <c r="P21" s="15">
        <f t="shared" si="1"/>
        <v>3</v>
      </c>
      <c r="R21" s="36" t="s">
        <v>20</v>
      </c>
      <c r="S21" s="34">
        <f t="shared" ref="S21:AF21" si="13">SUM(C54:C57)</f>
        <v>1</v>
      </c>
      <c r="T21" s="17">
        <f t="shared" si="13"/>
        <v>1</v>
      </c>
      <c r="U21" s="17">
        <f t="shared" si="13"/>
        <v>0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16</v>
      </c>
      <c r="AD21" s="17">
        <f t="shared" si="13"/>
        <v>0</v>
      </c>
      <c r="AE21" s="31">
        <f t="shared" si="13"/>
        <v>6</v>
      </c>
      <c r="AF21" s="31">
        <f t="shared" si="13"/>
        <v>22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0</v>
      </c>
      <c r="P22" s="15">
        <f t="shared" si="1"/>
        <v>5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15</v>
      </c>
      <c r="AD22" s="39">
        <f t="shared" si="14"/>
        <v>0</v>
      </c>
      <c r="AE22" s="40">
        <f t="shared" si="14"/>
        <v>8</v>
      </c>
      <c r="AF22" s="40">
        <f t="shared" si="14"/>
        <v>22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1</v>
      </c>
      <c r="P23" s="15">
        <f t="shared" si="1"/>
        <v>5</v>
      </c>
      <c r="R23" s="38" t="s">
        <v>91</v>
      </c>
      <c r="S23" s="39">
        <f>MAX(S13:S18)</f>
        <v>1</v>
      </c>
      <c r="T23" s="39">
        <f t="shared" ref="T23:AF23" si="15">MAX(T13:T18)</f>
        <v>0</v>
      </c>
      <c r="U23" s="39">
        <f t="shared" si="15"/>
        <v>2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18</v>
      </c>
      <c r="AD23" s="39">
        <f t="shared" si="15"/>
        <v>0</v>
      </c>
      <c r="AE23" s="40">
        <f t="shared" si="15"/>
        <v>6</v>
      </c>
      <c r="AF23" s="40">
        <f t="shared" si="15"/>
        <v>23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0</v>
      </c>
      <c r="P24" s="15">
        <f t="shared" si="1"/>
        <v>2</v>
      </c>
      <c r="R24" s="38" t="s">
        <v>92</v>
      </c>
      <c r="S24" s="39">
        <f>MAX(S19:S21)</f>
        <v>1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26</v>
      </c>
      <c r="AD24" s="39">
        <f t="shared" si="16"/>
        <v>0</v>
      </c>
      <c r="AE24" s="40">
        <f t="shared" si="16"/>
        <v>6</v>
      </c>
      <c r="AF24" s="40">
        <f t="shared" si="16"/>
        <v>31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1</v>
      </c>
      <c r="P25" s="15">
        <f t="shared" si="1"/>
        <v>7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2</v>
      </c>
      <c r="V25" s="16">
        <f t="shared" si="17"/>
        <v>5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1</v>
      </c>
      <c r="AA25" s="16">
        <f t="shared" si="17"/>
        <v>2</v>
      </c>
      <c r="AB25" s="16">
        <f t="shared" si="17"/>
        <v>0</v>
      </c>
      <c r="AC25" s="16">
        <f t="shared" si="17"/>
        <v>38</v>
      </c>
      <c r="AD25" s="16">
        <f t="shared" si="17"/>
        <v>0</v>
      </c>
      <c r="AE25" s="32">
        <f t="shared" si="17"/>
        <v>15</v>
      </c>
      <c r="AF25" s="32">
        <f t="shared" si="17"/>
        <v>53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2</v>
      </c>
      <c r="P26" s="15">
        <f t="shared" si="1"/>
        <v>4</v>
      </c>
      <c r="R26" s="28" t="s">
        <v>86</v>
      </c>
      <c r="S26" s="16">
        <f t="shared" ref="S26:AF26" si="18">SUM(S13:S18)</f>
        <v>3</v>
      </c>
      <c r="T26" s="16">
        <f t="shared" si="18"/>
        <v>0</v>
      </c>
      <c r="U26" s="16">
        <f t="shared" si="18"/>
        <v>6</v>
      </c>
      <c r="V26" s="16">
        <f t="shared" si="18"/>
        <v>13</v>
      </c>
      <c r="W26" s="16">
        <f t="shared" si="18"/>
        <v>0</v>
      </c>
      <c r="X26" s="16">
        <f t="shared" si="18"/>
        <v>0</v>
      </c>
      <c r="Y26" s="16">
        <f t="shared" si="18"/>
        <v>1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87</v>
      </c>
      <c r="AD26" s="16">
        <f t="shared" si="18"/>
        <v>0</v>
      </c>
      <c r="AE26" s="32">
        <f t="shared" si="18"/>
        <v>25</v>
      </c>
      <c r="AF26" s="32">
        <f t="shared" si="18"/>
        <v>112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0</v>
      </c>
      <c r="P27" s="15">
        <f t="shared" si="1"/>
        <v>6</v>
      </c>
      <c r="R27" s="29" t="s">
        <v>87</v>
      </c>
      <c r="S27" s="16">
        <f t="shared" ref="S27:AF27" si="19">SUM(S19:S21)</f>
        <v>2</v>
      </c>
      <c r="T27" s="16">
        <f t="shared" si="19"/>
        <v>1</v>
      </c>
      <c r="U27" s="16">
        <f t="shared" si="19"/>
        <v>1</v>
      </c>
      <c r="V27" s="16">
        <f t="shared" si="19"/>
        <v>9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54</v>
      </c>
      <c r="AD27" s="16">
        <f t="shared" si="19"/>
        <v>0</v>
      </c>
      <c r="AE27" s="32">
        <f t="shared" si="19"/>
        <v>17</v>
      </c>
      <c r="AF27" s="32">
        <f t="shared" si="19"/>
        <v>71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2</v>
      </c>
      <c r="P28" s="15">
        <f t="shared" si="1"/>
        <v>8</v>
      </c>
      <c r="R28" s="5" t="s">
        <v>17</v>
      </c>
      <c r="S28" s="16">
        <f t="shared" ref="S28:AF28" si="20">SUM(S10:S21)</f>
        <v>9</v>
      </c>
      <c r="T28" s="16">
        <f t="shared" si="20"/>
        <v>1</v>
      </c>
      <c r="U28" s="16">
        <f t="shared" si="20"/>
        <v>9</v>
      </c>
      <c r="V28" s="16">
        <f t="shared" si="20"/>
        <v>27</v>
      </c>
      <c r="W28" s="16">
        <f t="shared" si="20"/>
        <v>0</v>
      </c>
      <c r="X28" s="16">
        <f t="shared" si="20"/>
        <v>0</v>
      </c>
      <c r="Y28" s="16">
        <f t="shared" si="20"/>
        <v>3</v>
      </c>
      <c r="Z28" s="16">
        <f t="shared" si="20"/>
        <v>6</v>
      </c>
      <c r="AA28" s="16">
        <f t="shared" si="20"/>
        <v>2</v>
      </c>
      <c r="AB28" s="16">
        <f t="shared" si="20"/>
        <v>0</v>
      </c>
      <c r="AC28" s="16">
        <f t="shared" si="20"/>
        <v>179</v>
      </c>
      <c r="AD28" s="16">
        <f t="shared" si="20"/>
        <v>0</v>
      </c>
      <c r="AE28" s="32">
        <f t="shared" si="20"/>
        <v>57</v>
      </c>
      <c r="AF28" s="32">
        <f t="shared" si="20"/>
        <v>236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1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0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2</v>
      </c>
      <c r="P31" s="15">
        <f t="shared" si="1"/>
        <v>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0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0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1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1</v>
      </c>
      <c r="P35" s="15">
        <f t="shared" si="1"/>
        <v>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2</v>
      </c>
      <c r="P36" s="15">
        <f t="shared" si="1"/>
        <v>4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0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1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1</v>
      </c>
      <c r="P39" s="15">
        <f t="shared" si="1"/>
        <v>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0</v>
      </c>
      <c r="P40" s="15">
        <f t="shared" si="1"/>
        <v>4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4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3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2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1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0</v>
      </c>
      <c r="P45" s="15">
        <f t="shared" si="1"/>
        <v>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1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3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0</v>
      </c>
      <c r="P48" s="15">
        <f t="shared" si="1"/>
        <v>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2</v>
      </c>
      <c r="P49" s="15">
        <f t="shared" si="1"/>
        <v>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1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2</v>
      </c>
      <c r="P51" s="15">
        <f t="shared" si="1"/>
        <v>9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2</v>
      </c>
      <c r="P52" s="15">
        <f t="shared" si="1"/>
        <v>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0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1</v>
      </c>
      <c r="P54" s="15">
        <f t="shared" si="1"/>
        <v>4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1</v>
      </c>
      <c r="P55" s="15">
        <f t="shared" si="1"/>
        <v>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</v>
      </c>
      <c r="P56" s="15">
        <f t="shared" si="1"/>
        <v>10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3</v>
      </c>
      <c r="P57" s="15">
        <f t="shared" si="1"/>
        <v>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</v>
      </c>
      <c r="D58" s="16">
        <f t="shared" si="21"/>
        <v>1</v>
      </c>
      <c r="E58" s="16">
        <f t="shared" si="21"/>
        <v>9</v>
      </c>
      <c r="F58" s="16">
        <f t="shared" si="21"/>
        <v>27</v>
      </c>
      <c r="G58" s="16">
        <f t="shared" si="21"/>
        <v>0</v>
      </c>
      <c r="H58" s="16">
        <f t="shared" si="21"/>
        <v>0</v>
      </c>
      <c r="I58" s="16">
        <f t="shared" si="21"/>
        <v>3</v>
      </c>
      <c r="J58" s="16">
        <f t="shared" si="21"/>
        <v>6</v>
      </c>
      <c r="K58" s="16">
        <f t="shared" si="21"/>
        <v>2</v>
      </c>
      <c r="L58" s="16">
        <f t="shared" si="21"/>
        <v>0</v>
      </c>
      <c r="M58" s="16">
        <f t="shared" si="21"/>
        <v>179</v>
      </c>
      <c r="N58" s="16">
        <f t="shared" si="21"/>
        <v>0</v>
      </c>
      <c r="O58" s="16">
        <f t="shared" si="21"/>
        <v>57</v>
      </c>
      <c r="P58" s="16">
        <f t="shared" si="21"/>
        <v>236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3.8135593220338986E-2</v>
      </c>
      <c r="D59" s="43">
        <f t="shared" si="22"/>
        <v>4.2372881355932203E-3</v>
      </c>
      <c r="E59" s="43">
        <f t="shared" si="22"/>
        <v>3.8135593220338986E-2</v>
      </c>
      <c r="F59" s="43">
        <f t="shared" si="22"/>
        <v>0.11440677966101695</v>
      </c>
      <c r="G59" s="43">
        <f t="shared" si="22"/>
        <v>0</v>
      </c>
      <c r="H59" s="43">
        <f t="shared" si="22"/>
        <v>0</v>
      </c>
      <c r="I59" s="43">
        <f t="shared" si="22"/>
        <v>1.2711864406779662E-2</v>
      </c>
      <c r="J59" s="43">
        <f t="shared" si="22"/>
        <v>2.5423728813559324E-2</v>
      </c>
      <c r="K59" s="43">
        <f t="shared" si="22"/>
        <v>8.4745762711864406E-3</v>
      </c>
      <c r="L59" s="43">
        <f t="shared" si="22"/>
        <v>0</v>
      </c>
      <c r="M59" s="43">
        <f t="shared" si="22"/>
        <v>0.75847457627118642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0.15789473684210525</v>
      </c>
      <c r="D60" s="44">
        <f t="shared" ref="D60:N60" si="23">D58/$O$58</f>
        <v>1.7543859649122806E-2</v>
      </c>
      <c r="E60" s="44">
        <f t="shared" si="23"/>
        <v>0.15789473684210525</v>
      </c>
      <c r="F60" s="44">
        <f t="shared" si="23"/>
        <v>0.47368421052631576</v>
      </c>
      <c r="G60" s="44">
        <f t="shared" si="23"/>
        <v>0</v>
      </c>
      <c r="H60" s="44">
        <f t="shared" si="23"/>
        <v>0</v>
      </c>
      <c r="I60" s="44">
        <f t="shared" si="23"/>
        <v>5.2631578947368418E-2</v>
      </c>
      <c r="J60" s="44">
        <f t="shared" si="23"/>
        <v>0.10526315789473684</v>
      </c>
      <c r="K60" s="44">
        <f t="shared" si="23"/>
        <v>3.5087719298245612E-2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E19" sqref="E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1" t="str">
        <f>'25.10 BULIISA-HOIMA'!G5:H5</f>
        <v>KISIABI</v>
      </c>
      <c r="H5" s="62"/>
      <c r="I5" s="14"/>
      <c r="J5" s="2" t="s">
        <v>5</v>
      </c>
      <c r="K5" s="61" t="s">
        <v>169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HOIMA-BULIISA'!D6:E6</f>
        <v>HOIMA</v>
      </c>
      <c r="E6" s="62"/>
      <c r="F6" s="2" t="s">
        <v>2</v>
      </c>
      <c r="G6" s="61" t="str">
        <f>'25.10 HOIMA-BULIISA'!G6:H6</f>
        <v>BULIISA</v>
      </c>
      <c r="H6" s="62"/>
      <c r="J6" s="2" t="s">
        <v>21</v>
      </c>
      <c r="K6" s="61" t="str">
        <f>'25.10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2</v>
      </c>
      <c r="AF10" s="31">
        <f t="shared" si="2"/>
        <v>11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1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19</v>
      </c>
      <c r="AD11" s="17">
        <f t="shared" si="3"/>
        <v>0</v>
      </c>
      <c r="AE11" s="31">
        <f t="shared" si="3"/>
        <v>2</v>
      </c>
      <c r="AF11" s="31">
        <f t="shared" si="3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10</v>
      </c>
      <c r="AD12" s="17">
        <f t="shared" si="4"/>
        <v>0</v>
      </c>
      <c r="AE12" s="31">
        <f t="shared" si="4"/>
        <v>3</v>
      </c>
      <c r="AF12" s="31">
        <f t="shared" si="4"/>
        <v>13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1</v>
      </c>
      <c r="P13" s="15">
        <f t="shared" si="1"/>
        <v>3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</v>
      </c>
      <c r="AD13" s="17">
        <f t="shared" si="5"/>
        <v>0</v>
      </c>
      <c r="AE13" s="31">
        <f t="shared" si="5"/>
        <v>4</v>
      </c>
      <c r="AF13" s="31">
        <f t="shared" si="5"/>
        <v>16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0</v>
      </c>
      <c r="P14" s="15">
        <f t="shared" si="1"/>
        <v>5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16</v>
      </c>
      <c r="AD14" s="17">
        <f t="shared" si="6"/>
        <v>0</v>
      </c>
      <c r="AE14" s="31">
        <f t="shared" si="6"/>
        <v>3</v>
      </c>
      <c r="AF14" s="31">
        <f t="shared" si="6"/>
        <v>19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1</v>
      </c>
      <c r="P15" s="15">
        <f t="shared" si="1"/>
        <v>6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0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14</v>
      </c>
      <c r="AD15" s="17">
        <f t="shared" si="7"/>
        <v>0</v>
      </c>
      <c r="AE15" s="31">
        <f t="shared" si="7"/>
        <v>3</v>
      </c>
      <c r="AF15" s="31">
        <f t="shared" si="7"/>
        <v>17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1</v>
      </c>
      <c r="P16" s="15">
        <f t="shared" si="1"/>
        <v>7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9</v>
      </c>
      <c r="AD16" s="17">
        <f t="shared" si="8"/>
        <v>0</v>
      </c>
      <c r="AE16" s="31">
        <f t="shared" si="8"/>
        <v>7</v>
      </c>
      <c r="AF16" s="31">
        <f t="shared" si="8"/>
        <v>16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3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14</v>
      </c>
      <c r="AD17" s="17">
        <f t="shared" si="9"/>
        <v>0</v>
      </c>
      <c r="AE17" s="31">
        <f t="shared" si="9"/>
        <v>8</v>
      </c>
      <c r="AF17" s="31">
        <f t="shared" si="9"/>
        <v>22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1</v>
      </c>
      <c r="P18" s="15">
        <f t="shared" si="1"/>
        <v>5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19</v>
      </c>
      <c r="AD18" s="17">
        <f t="shared" si="10"/>
        <v>0</v>
      </c>
      <c r="AE18" s="31">
        <f t="shared" si="10"/>
        <v>5</v>
      </c>
      <c r="AF18" s="31">
        <f t="shared" si="10"/>
        <v>24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1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15</v>
      </c>
      <c r="AD19" s="17">
        <f t="shared" si="11"/>
        <v>0</v>
      </c>
      <c r="AE19" s="31">
        <f t="shared" si="11"/>
        <v>9</v>
      </c>
      <c r="AF19" s="31">
        <f t="shared" si="11"/>
        <v>24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0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17</v>
      </c>
      <c r="AD20" s="17">
        <f t="shared" si="12"/>
        <v>0</v>
      </c>
      <c r="AE20" s="31">
        <f t="shared" si="12"/>
        <v>3</v>
      </c>
      <c r="AF20" s="31">
        <f t="shared" si="12"/>
        <v>20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1</v>
      </c>
      <c r="P21" s="15">
        <f t="shared" si="1"/>
        <v>5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12</v>
      </c>
      <c r="AD21" s="17">
        <f t="shared" si="13"/>
        <v>0</v>
      </c>
      <c r="AE21" s="31">
        <f t="shared" si="13"/>
        <v>3</v>
      </c>
      <c r="AF21" s="31">
        <f t="shared" si="13"/>
        <v>15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0</v>
      </c>
      <c r="P22" s="15">
        <f t="shared" si="1"/>
        <v>6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19</v>
      </c>
      <c r="AD22" s="39">
        <f t="shared" si="14"/>
        <v>0</v>
      </c>
      <c r="AE22" s="40">
        <f t="shared" si="14"/>
        <v>3</v>
      </c>
      <c r="AF22" s="40">
        <f t="shared" si="14"/>
        <v>21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0</v>
      </c>
      <c r="P23" s="15">
        <f t="shared" si="1"/>
        <v>2</v>
      </c>
      <c r="R23" s="38" t="s">
        <v>91</v>
      </c>
      <c r="S23" s="39">
        <f>MAX(S13:S18)</f>
        <v>2</v>
      </c>
      <c r="T23" s="39">
        <f t="shared" ref="T23:AF23" si="15">MAX(T13:T18)</f>
        <v>0</v>
      </c>
      <c r="U23" s="39">
        <f t="shared" si="15"/>
        <v>3</v>
      </c>
      <c r="V23" s="39">
        <f t="shared" si="15"/>
        <v>3</v>
      </c>
      <c r="W23" s="39">
        <f t="shared" si="15"/>
        <v>3</v>
      </c>
      <c r="X23" s="39">
        <f t="shared" si="15"/>
        <v>0</v>
      </c>
      <c r="Y23" s="39">
        <f t="shared" si="15"/>
        <v>0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19</v>
      </c>
      <c r="AD23" s="39">
        <f t="shared" si="15"/>
        <v>0</v>
      </c>
      <c r="AE23" s="40">
        <f t="shared" si="15"/>
        <v>8</v>
      </c>
      <c r="AF23" s="40">
        <f t="shared" si="15"/>
        <v>24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3</v>
      </c>
      <c r="P24" s="15">
        <f t="shared" si="1"/>
        <v>6</v>
      </c>
      <c r="R24" s="38" t="s">
        <v>92</v>
      </c>
      <c r="S24" s="39">
        <f>MAX(S19:S21)</f>
        <v>0</v>
      </c>
      <c r="T24" s="39">
        <f t="shared" ref="T24:AF24" si="16">MAX(T19:T21)</f>
        <v>0</v>
      </c>
      <c r="U24" s="39">
        <f t="shared" si="16"/>
        <v>0</v>
      </c>
      <c r="V24" s="39">
        <f t="shared" si="16"/>
        <v>6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2</v>
      </c>
      <c r="AA24" s="39">
        <f t="shared" si="16"/>
        <v>1</v>
      </c>
      <c r="AB24" s="39">
        <f t="shared" si="16"/>
        <v>0</v>
      </c>
      <c r="AC24" s="39">
        <f t="shared" si="16"/>
        <v>17</v>
      </c>
      <c r="AD24" s="39">
        <f t="shared" si="16"/>
        <v>0</v>
      </c>
      <c r="AE24" s="40">
        <f t="shared" si="16"/>
        <v>9</v>
      </c>
      <c r="AF24" s="40">
        <f t="shared" si="16"/>
        <v>24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7" t="s">
        <v>85</v>
      </c>
      <c r="S25" s="35">
        <f t="shared" ref="S25:AF25" si="17">SUM(S10:S12)</f>
        <v>1</v>
      </c>
      <c r="T25" s="16">
        <f t="shared" si="17"/>
        <v>0</v>
      </c>
      <c r="U25" s="16">
        <f t="shared" si="17"/>
        <v>2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38</v>
      </c>
      <c r="AD25" s="16">
        <f t="shared" si="17"/>
        <v>0</v>
      </c>
      <c r="AE25" s="32">
        <f t="shared" si="17"/>
        <v>7</v>
      </c>
      <c r="AF25" s="32">
        <f t="shared" si="17"/>
        <v>45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0</v>
      </c>
      <c r="P26" s="15">
        <f t="shared" si="1"/>
        <v>2</v>
      </c>
      <c r="R26" s="28" t="s">
        <v>86</v>
      </c>
      <c r="S26" s="16">
        <f t="shared" ref="S26:AF26" si="18">SUM(S13:S18)</f>
        <v>6</v>
      </c>
      <c r="T26" s="16">
        <f t="shared" si="18"/>
        <v>0</v>
      </c>
      <c r="U26" s="16">
        <f t="shared" si="18"/>
        <v>6</v>
      </c>
      <c r="V26" s="16">
        <f t="shared" si="18"/>
        <v>12</v>
      </c>
      <c r="W26" s="16">
        <f t="shared" si="18"/>
        <v>3</v>
      </c>
      <c r="X26" s="16">
        <f t="shared" si="18"/>
        <v>0</v>
      </c>
      <c r="Y26" s="16">
        <f t="shared" si="18"/>
        <v>0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84</v>
      </c>
      <c r="AD26" s="16">
        <f t="shared" si="18"/>
        <v>0</v>
      </c>
      <c r="AE26" s="32">
        <f t="shared" si="18"/>
        <v>30</v>
      </c>
      <c r="AF26" s="32">
        <f t="shared" si="18"/>
        <v>114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1</v>
      </c>
      <c r="P27" s="15">
        <f t="shared" si="1"/>
        <v>7</v>
      </c>
      <c r="R27" s="29" t="s">
        <v>87</v>
      </c>
      <c r="S27" s="16">
        <f t="shared" ref="S27:AF27" si="19">SUM(S19:S21)</f>
        <v>0</v>
      </c>
      <c r="T27" s="16">
        <f t="shared" si="19"/>
        <v>0</v>
      </c>
      <c r="U27" s="16">
        <f t="shared" si="19"/>
        <v>0</v>
      </c>
      <c r="V27" s="16">
        <f t="shared" si="19"/>
        <v>10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2</v>
      </c>
      <c r="AA27" s="16">
        <f t="shared" si="19"/>
        <v>1</v>
      </c>
      <c r="AB27" s="16">
        <f t="shared" si="19"/>
        <v>0</v>
      </c>
      <c r="AC27" s="16">
        <f t="shared" si="19"/>
        <v>44</v>
      </c>
      <c r="AD27" s="16">
        <f t="shared" si="19"/>
        <v>0</v>
      </c>
      <c r="AE27" s="32">
        <f t="shared" si="19"/>
        <v>15</v>
      </c>
      <c r="AF27" s="32">
        <f t="shared" si="19"/>
        <v>59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1</v>
      </c>
      <c r="P28" s="15">
        <f t="shared" si="1"/>
        <v>6</v>
      </c>
      <c r="R28" s="5" t="s">
        <v>17</v>
      </c>
      <c r="S28" s="16">
        <f t="shared" ref="S28:AF28" si="20">SUM(S10:S21)</f>
        <v>7</v>
      </c>
      <c r="T28" s="16">
        <f t="shared" si="20"/>
        <v>0</v>
      </c>
      <c r="U28" s="16">
        <f t="shared" si="20"/>
        <v>8</v>
      </c>
      <c r="V28" s="16">
        <f t="shared" si="20"/>
        <v>25</v>
      </c>
      <c r="W28" s="16">
        <f t="shared" si="20"/>
        <v>3</v>
      </c>
      <c r="X28" s="16">
        <f t="shared" si="20"/>
        <v>0</v>
      </c>
      <c r="Y28" s="16">
        <f t="shared" si="20"/>
        <v>2</v>
      </c>
      <c r="Z28" s="16">
        <f t="shared" si="20"/>
        <v>5</v>
      </c>
      <c r="AA28" s="16">
        <f t="shared" si="20"/>
        <v>2</v>
      </c>
      <c r="AB28" s="16">
        <f t="shared" si="20"/>
        <v>0</v>
      </c>
      <c r="AC28" s="16">
        <f t="shared" si="20"/>
        <v>166</v>
      </c>
      <c r="AD28" s="16">
        <f t="shared" si="20"/>
        <v>0</v>
      </c>
      <c r="AE28" s="32">
        <f t="shared" si="20"/>
        <v>52</v>
      </c>
      <c r="AF28" s="32">
        <f t="shared" si="20"/>
        <v>218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1</v>
      </c>
      <c r="P29" s="15">
        <f t="shared" si="1"/>
        <v>4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2</v>
      </c>
      <c r="P30" s="15">
        <f t="shared" si="1"/>
        <v>7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1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0</v>
      </c>
      <c r="P32" s="15">
        <f t="shared" si="1"/>
        <v>3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0</v>
      </c>
      <c r="P33" s="15">
        <f t="shared" si="1"/>
        <v>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2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1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3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4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1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2</v>
      </c>
      <c r="P38" s="15">
        <f t="shared" si="1"/>
        <v>6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2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2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3</v>
      </c>
      <c r="P40" s="15">
        <f t="shared" si="1"/>
        <v>10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1</v>
      </c>
      <c r="P41" s="15">
        <f t="shared" si="1"/>
        <v>3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1</v>
      </c>
      <c r="P42" s="15">
        <f t="shared" si="1"/>
        <v>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3</v>
      </c>
      <c r="N43" s="50">
        <v>0</v>
      </c>
      <c r="O43" s="15">
        <f t="shared" si="0"/>
        <v>1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0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3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4</v>
      </c>
      <c r="N46" s="50">
        <v>0</v>
      </c>
      <c r="O46" s="15">
        <f t="shared" si="0"/>
        <v>3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1</v>
      </c>
      <c r="P47" s="15">
        <f t="shared" si="1"/>
        <v>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3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2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1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1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0</v>
      </c>
      <c r="P52" s="15">
        <f t="shared" si="1"/>
        <v>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1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1</v>
      </c>
      <c r="P54" s="15">
        <f t="shared" si="1"/>
        <v>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1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1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0</v>
      </c>
      <c r="P57" s="15">
        <f t="shared" si="1"/>
        <v>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</v>
      </c>
      <c r="D58" s="16">
        <f t="shared" si="21"/>
        <v>0</v>
      </c>
      <c r="E58" s="16">
        <f t="shared" si="21"/>
        <v>8</v>
      </c>
      <c r="F58" s="16">
        <f t="shared" si="21"/>
        <v>25</v>
      </c>
      <c r="G58" s="16">
        <f t="shared" si="21"/>
        <v>3</v>
      </c>
      <c r="H58" s="16">
        <f t="shared" si="21"/>
        <v>0</v>
      </c>
      <c r="I58" s="16">
        <f t="shared" si="21"/>
        <v>2</v>
      </c>
      <c r="J58" s="16">
        <f t="shared" si="21"/>
        <v>5</v>
      </c>
      <c r="K58" s="16">
        <f t="shared" si="21"/>
        <v>2</v>
      </c>
      <c r="L58" s="16">
        <f t="shared" si="21"/>
        <v>0</v>
      </c>
      <c r="M58" s="16">
        <f t="shared" si="21"/>
        <v>166</v>
      </c>
      <c r="N58" s="16">
        <f t="shared" si="21"/>
        <v>0</v>
      </c>
      <c r="O58" s="16">
        <f t="shared" si="21"/>
        <v>52</v>
      </c>
      <c r="P58" s="16">
        <f t="shared" si="21"/>
        <v>218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3.2110091743119268E-2</v>
      </c>
      <c r="D59" s="43">
        <f t="shared" si="22"/>
        <v>0</v>
      </c>
      <c r="E59" s="43">
        <f t="shared" si="22"/>
        <v>3.669724770642202E-2</v>
      </c>
      <c r="F59" s="43">
        <f t="shared" si="22"/>
        <v>0.11467889908256881</v>
      </c>
      <c r="G59" s="43">
        <f t="shared" si="22"/>
        <v>1.3761467889908258E-2</v>
      </c>
      <c r="H59" s="43">
        <f t="shared" si="22"/>
        <v>0</v>
      </c>
      <c r="I59" s="43">
        <f t="shared" si="22"/>
        <v>9.1743119266055051E-3</v>
      </c>
      <c r="J59" s="43">
        <f t="shared" si="22"/>
        <v>2.2935779816513763E-2</v>
      </c>
      <c r="K59" s="43">
        <f t="shared" si="22"/>
        <v>9.1743119266055051E-3</v>
      </c>
      <c r="L59" s="43">
        <f t="shared" si="22"/>
        <v>0</v>
      </c>
      <c r="M59" s="43">
        <f t="shared" si="22"/>
        <v>0.76146788990825687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0.13461538461538461</v>
      </c>
      <c r="D60" s="44">
        <f t="shared" ref="D60:N60" si="23">D58/$O$58</f>
        <v>0</v>
      </c>
      <c r="E60" s="44">
        <f t="shared" si="23"/>
        <v>0.15384615384615385</v>
      </c>
      <c r="F60" s="44">
        <f t="shared" si="23"/>
        <v>0.48076923076923078</v>
      </c>
      <c r="G60" s="44">
        <f t="shared" si="23"/>
        <v>5.7692307692307696E-2</v>
      </c>
      <c r="H60" s="44">
        <f t="shared" si="23"/>
        <v>0</v>
      </c>
      <c r="I60" s="44">
        <f t="shared" si="23"/>
        <v>3.8461538461538464E-2</v>
      </c>
      <c r="J60" s="44">
        <f t="shared" si="23"/>
        <v>9.6153846153846159E-2</v>
      </c>
      <c r="K60" s="44">
        <f t="shared" si="23"/>
        <v>3.8461538461538464E-2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73" zoomScale="60" workbookViewId="0">
      <selection activeCell="D25" sqref="D2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1" t="str">
        <f>'26.10 BULIISA-HOIMA-24h'!G5:H5</f>
        <v>KISIABI</v>
      </c>
      <c r="H5" s="62"/>
      <c r="I5" s="14"/>
      <c r="J5" s="2" t="s">
        <v>5</v>
      </c>
      <c r="K5" s="61" t="s">
        <v>173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165</v>
      </c>
      <c r="E6" s="62"/>
      <c r="F6" s="2" t="s">
        <v>2</v>
      </c>
      <c r="G6" s="61" t="s">
        <v>166</v>
      </c>
      <c r="H6" s="62"/>
      <c r="J6" s="2" t="s">
        <v>21</v>
      </c>
      <c r="K6" s="61" t="str">
        <f>'26.10 BULIISA-HOIMA-24h'!K6:L6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9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12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21</v>
      </c>
      <c r="AD10" s="17">
        <f t="shared" si="2"/>
        <v>0</v>
      </c>
      <c r="AE10" s="31">
        <f t="shared" si="2"/>
        <v>8</v>
      </c>
      <c r="AF10" s="31">
        <f t="shared" si="2"/>
        <v>29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0</v>
      </c>
      <c r="P11" s="15">
        <f t="shared" si="1"/>
        <v>5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2</v>
      </c>
      <c r="AC11" s="17">
        <f t="shared" si="3"/>
        <v>10</v>
      </c>
      <c r="AD11" s="17">
        <f t="shared" si="3"/>
        <v>0</v>
      </c>
      <c r="AE11" s="31">
        <f t="shared" si="3"/>
        <v>9</v>
      </c>
      <c r="AF11" s="31">
        <f t="shared" si="3"/>
        <v>19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1</v>
      </c>
      <c r="P12" s="15">
        <f t="shared" si="1"/>
        <v>4</v>
      </c>
      <c r="R12" s="1" t="s">
        <v>8</v>
      </c>
      <c r="S12" s="17">
        <f t="shared" ref="S12:AF12" si="4">SUM(C18:C21)</f>
        <v>2</v>
      </c>
      <c r="T12" s="17">
        <f t="shared" si="4"/>
        <v>1</v>
      </c>
      <c r="U12" s="17">
        <f t="shared" si="4"/>
        <v>2</v>
      </c>
      <c r="V12" s="17">
        <f t="shared" si="4"/>
        <v>8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34</v>
      </c>
      <c r="AD12" s="17">
        <f t="shared" si="4"/>
        <v>0</v>
      </c>
      <c r="AE12" s="31">
        <f t="shared" si="4"/>
        <v>17</v>
      </c>
      <c r="AF12" s="31">
        <f t="shared" si="4"/>
        <v>51</v>
      </c>
    </row>
    <row r="13" spans="2:32" ht="23.1" customHeight="1" x14ac:dyDescent="0.25">
      <c r="B13" s="45" t="s">
        <v>40</v>
      </c>
      <c r="C13" s="50">
        <v>0</v>
      </c>
      <c r="D13" s="50">
        <v>2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4</v>
      </c>
      <c r="P13" s="15">
        <f t="shared" si="1"/>
        <v>8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2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12</v>
      </c>
      <c r="AD13" s="17">
        <f t="shared" si="5"/>
        <v>0</v>
      </c>
      <c r="AE13" s="31">
        <f t="shared" si="5"/>
        <v>8</v>
      </c>
      <c r="AF13" s="31">
        <f t="shared" si="5"/>
        <v>20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1</v>
      </c>
      <c r="T14" s="17">
        <f t="shared" si="6"/>
        <v>1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11</v>
      </c>
      <c r="AD14" s="17">
        <f t="shared" si="6"/>
        <v>0</v>
      </c>
      <c r="AE14" s="31">
        <f t="shared" si="6"/>
        <v>6</v>
      </c>
      <c r="AF14" s="31">
        <f t="shared" si="6"/>
        <v>17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3</v>
      </c>
      <c r="P15" s="15">
        <f t="shared" si="1"/>
        <v>8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1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28</v>
      </c>
      <c r="AD15" s="17">
        <f t="shared" si="7"/>
        <v>0</v>
      </c>
      <c r="AE15" s="31">
        <f t="shared" si="7"/>
        <v>8</v>
      </c>
      <c r="AF15" s="31">
        <f t="shared" si="7"/>
        <v>36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2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10</v>
      </c>
      <c r="AD16" s="17">
        <f t="shared" si="8"/>
        <v>0</v>
      </c>
      <c r="AE16" s="31">
        <f t="shared" si="8"/>
        <v>5</v>
      </c>
      <c r="AF16" s="31">
        <f t="shared" si="8"/>
        <v>15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2</v>
      </c>
      <c r="M17" s="50">
        <v>4</v>
      </c>
      <c r="N17" s="50">
        <v>0</v>
      </c>
      <c r="O17" s="15">
        <f t="shared" si="0"/>
        <v>4</v>
      </c>
      <c r="P17" s="15">
        <f t="shared" si="1"/>
        <v>8</v>
      </c>
      <c r="R17" s="1" t="s">
        <v>13</v>
      </c>
      <c r="S17" s="17">
        <f t="shared" ref="S17:AF17" si="9">SUM(C38:C41)</f>
        <v>1</v>
      </c>
      <c r="T17" s="17">
        <f t="shared" si="9"/>
        <v>2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</v>
      </c>
      <c r="AD17" s="17">
        <f t="shared" si="9"/>
        <v>0</v>
      </c>
      <c r="AE17" s="31">
        <f t="shared" si="9"/>
        <v>6</v>
      </c>
      <c r="AF17" s="31">
        <f t="shared" si="9"/>
        <v>15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3</v>
      </c>
      <c r="P18" s="15">
        <f t="shared" si="1"/>
        <v>15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2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8</v>
      </c>
      <c r="AD18" s="17">
        <f t="shared" si="10"/>
        <v>0</v>
      </c>
      <c r="AE18" s="31">
        <f t="shared" si="10"/>
        <v>13</v>
      </c>
      <c r="AF18" s="31">
        <f t="shared" si="10"/>
        <v>21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0</v>
      </c>
      <c r="F19" s="50">
        <v>4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7</v>
      </c>
      <c r="P19" s="15">
        <f t="shared" si="1"/>
        <v>19</v>
      </c>
      <c r="R19" s="1" t="s">
        <v>15</v>
      </c>
      <c r="S19" s="17">
        <f t="shared" ref="S19:AF19" si="11">SUM(C46:C49)</f>
        <v>2</v>
      </c>
      <c r="T19" s="17">
        <f t="shared" si="11"/>
        <v>1</v>
      </c>
      <c r="U19" s="17">
        <f t="shared" si="11"/>
        <v>4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20</v>
      </c>
      <c r="AD19" s="17">
        <f t="shared" si="11"/>
        <v>0</v>
      </c>
      <c r="AE19" s="31">
        <f t="shared" si="11"/>
        <v>13</v>
      </c>
      <c r="AF19" s="31">
        <f t="shared" si="11"/>
        <v>33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1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4</v>
      </c>
      <c r="P20" s="15">
        <f t="shared" si="1"/>
        <v>10</v>
      </c>
      <c r="R20" s="1" t="s">
        <v>16</v>
      </c>
      <c r="S20" s="17">
        <f t="shared" ref="S20:AF20" si="12">SUM(C50:C53)</f>
        <v>2</v>
      </c>
      <c r="T20" s="17">
        <f t="shared" si="12"/>
        <v>2</v>
      </c>
      <c r="U20" s="17">
        <f t="shared" si="12"/>
        <v>0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19</v>
      </c>
      <c r="AD20" s="17">
        <f t="shared" si="12"/>
        <v>0</v>
      </c>
      <c r="AE20" s="31">
        <f t="shared" si="12"/>
        <v>8</v>
      </c>
      <c r="AF20" s="31">
        <f t="shared" si="12"/>
        <v>27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3</v>
      </c>
      <c r="P21" s="15">
        <f t="shared" si="1"/>
        <v>7</v>
      </c>
      <c r="R21" s="36" t="s">
        <v>20</v>
      </c>
      <c r="S21" s="34">
        <f t="shared" ref="S21:AF21" si="13">SUM(C54:C57)</f>
        <v>0</v>
      </c>
      <c r="T21" s="17">
        <f t="shared" si="13"/>
        <v>2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31</v>
      </c>
      <c r="AD21" s="17">
        <f t="shared" si="13"/>
        <v>0</v>
      </c>
      <c r="AE21" s="31">
        <f t="shared" si="13"/>
        <v>9</v>
      </c>
      <c r="AF21" s="31">
        <f t="shared" si="13"/>
        <v>40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2</v>
      </c>
      <c r="P22" s="15">
        <f t="shared" si="1"/>
        <v>5</v>
      </c>
      <c r="R22" s="36" t="s">
        <v>146</v>
      </c>
      <c r="S22" s="34">
        <f>SUM(C58:C61)</f>
        <v>3</v>
      </c>
      <c r="T22" s="34">
        <f t="shared" ref="T22:AF22" si="14">SUM(D58:D61)</f>
        <v>2</v>
      </c>
      <c r="U22" s="34">
        <f t="shared" si="14"/>
        <v>1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23</v>
      </c>
      <c r="AD22" s="34">
        <f t="shared" si="14"/>
        <v>0</v>
      </c>
      <c r="AE22" s="31">
        <f t="shared" si="14"/>
        <v>10</v>
      </c>
      <c r="AF22" s="31">
        <f t="shared" si="14"/>
        <v>33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4</v>
      </c>
      <c r="N23" s="50">
        <v>0</v>
      </c>
      <c r="O23" s="15">
        <f t="shared" si="0"/>
        <v>3</v>
      </c>
      <c r="P23" s="15">
        <f t="shared" si="1"/>
        <v>7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10</v>
      </c>
      <c r="AD23" s="34">
        <f t="shared" si="15"/>
        <v>0</v>
      </c>
      <c r="AE23" s="31">
        <f t="shared" si="15"/>
        <v>3</v>
      </c>
      <c r="AF23" s="31">
        <f t="shared" si="15"/>
        <v>13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2</v>
      </c>
      <c r="P24" s="15">
        <f t="shared" si="1"/>
        <v>4</v>
      </c>
      <c r="R24" s="36" t="s">
        <v>148</v>
      </c>
      <c r="S24" s="34">
        <f>SUM(C66:C69)</f>
        <v>0</v>
      </c>
      <c r="T24" s="34">
        <f t="shared" ref="T24:AF24" si="16">SUM(D66:D69)</f>
        <v>3</v>
      </c>
      <c r="U24" s="34">
        <f t="shared" si="16"/>
        <v>0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5</v>
      </c>
      <c r="AF24" s="31">
        <f t="shared" si="16"/>
        <v>14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1</v>
      </c>
      <c r="P25" s="15">
        <f t="shared" si="1"/>
        <v>4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8</v>
      </c>
      <c r="AD25" s="34">
        <f t="shared" si="17"/>
        <v>0</v>
      </c>
      <c r="AE25" s="31">
        <f t="shared" si="17"/>
        <v>0</v>
      </c>
      <c r="AF25" s="31">
        <f t="shared" si="17"/>
        <v>8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0</v>
      </c>
      <c r="P26" s="15">
        <f t="shared" si="1"/>
        <v>2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2</v>
      </c>
      <c r="P27" s="15">
        <f t="shared" si="1"/>
        <v>5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1</v>
      </c>
      <c r="M28" s="50">
        <v>4</v>
      </c>
      <c r="N28" s="50">
        <v>0</v>
      </c>
      <c r="O28" s="15">
        <f t="shared" si="0"/>
        <v>3</v>
      </c>
      <c r="P28" s="15">
        <f t="shared" si="1"/>
        <v>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0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1</v>
      </c>
      <c r="P29" s="15">
        <f t="shared" si="1"/>
        <v>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0</v>
      </c>
      <c r="AF29" s="31">
        <f t="shared" si="21"/>
        <v>2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1</v>
      </c>
      <c r="P30" s="15">
        <f t="shared" si="1"/>
        <v>5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2</v>
      </c>
      <c r="P31" s="15">
        <f t="shared" si="1"/>
        <v>19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0</v>
      </c>
      <c r="AF31" s="31">
        <f t="shared" si="23"/>
        <v>2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5</v>
      </c>
      <c r="P32" s="15">
        <f t="shared" si="1"/>
        <v>11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0</v>
      </c>
      <c r="AF32" s="31">
        <f t="shared" si="24"/>
        <v>5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0</v>
      </c>
      <c r="P33" s="15">
        <f t="shared" si="1"/>
        <v>1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</v>
      </c>
      <c r="AF33" s="31">
        <f t="shared" si="25"/>
        <v>13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2</v>
      </c>
      <c r="P34" s="15">
        <f t="shared" si="1"/>
        <v>5</v>
      </c>
      <c r="R34" s="38" t="s">
        <v>90</v>
      </c>
      <c r="S34" s="39">
        <f t="shared" ref="S34:AF34" si="26">MAX(S10:S12)</f>
        <v>2</v>
      </c>
      <c r="T34" s="39">
        <f t="shared" si="26"/>
        <v>2</v>
      </c>
      <c r="U34" s="39">
        <f t="shared" si="26"/>
        <v>2</v>
      </c>
      <c r="V34" s="39">
        <f t="shared" si="26"/>
        <v>8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2</v>
      </c>
      <c r="AA34" s="39">
        <f t="shared" si="26"/>
        <v>1</v>
      </c>
      <c r="AB34" s="39">
        <f t="shared" si="26"/>
        <v>2</v>
      </c>
      <c r="AC34" s="39">
        <f t="shared" si="26"/>
        <v>34</v>
      </c>
      <c r="AD34" s="39">
        <f t="shared" si="26"/>
        <v>0</v>
      </c>
      <c r="AE34" s="40">
        <f t="shared" si="26"/>
        <v>17</v>
      </c>
      <c r="AF34" s="40">
        <f t="shared" si="26"/>
        <v>51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1</v>
      </c>
      <c r="P35" s="15">
        <f t="shared" si="1"/>
        <v>5</v>
      </c>
      <c r="R35" s="38" t="s">
        <v>91</v>
      </c>
      <c r="S35" s="39">
        <f t="shared" ref="S35:AF35" si="27">MAX(S13:S18)</f>
        <v>2</v>
      </c>
      <c r="T35" s="39">
        <f t="shared" si="27"/>
        <v>2</v>
      </c>
      <c r="U35" s="39">
        <f t="shared" si="27"/>
        <v>2</v>
      </c>
      <c r="V35" s="39">
        <f t="shared" si="27"/>
        <v>8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1</v>
      </c>
      <c r="AA35" s="39">
        <f t="shared" si="27"/>
        <v>1</v>
      </c>
      <c r="AB35" s="39">
        <f t="shared" si="27"/>
        <v>1</v>
      </c>
      <c r="AC35" s="39">
        <f t="shared" si="27"/>
        <v>28</v>
      </c>
      <c r="AD35" s="39">
        <f t="shared" si="27"/>
        <v>0</v>
      </c>
      <c r="AE35" s="40">
        <f t="shared" si="27"/>
        <v>13</v>
      </c>
      <c r="AF35" s="40">
        <f t="shared" si="27"/>
        <v>36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1</v>
      </c>
      <c r="P36" s="15">
        <f t="shared" si="1"/>
        <v>2</v>
      </c>
      <c r="R36" s="38" t="s">
        <v>92</v>
      </c>
      <c r="S36" s="39">
        <f t="shared" ref="S36:AF36" si="28">MAX(S19:S21)</f>
        <v>2</v>
      </c>
      <c r="T36" s="39">
        <f t="shared" si="28"/>
        <v>2</v>
      </c>
      <c r="U36" s="39">
        <f t="shared" si="28"/>
        <v>4</v>
      </c>
      <c r="V36" s="39">
        <f t="shared" si="28"/>
        <v>6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1</v>
      </c>
      <c r="AA36" s="39">
        <f t="shared" si="28"/>
        <v>1</v>
      </c>
      <c r="AB36" s="39">
        <f t="shared" si="28"/>
        <v>0</v>
      </c>
      <c r="AC36" s="39">
        <f t="shared" si="28"/>
        <v>31</v>
      </c>
      <c r="AD36" s="39">
        <f t="shared" si="28"/>
        <v>0</v>
      </c>
      <c r="AE36" s="40">
        <f t="shared" si="28"/>
        <v>13</v>
      </c>
      <c r="AF36" s="40">
        <f t="shared" si="28"/>
        <v>40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1</v>
      </c>
      <c r="P37" s="15">
        <f t="shared" si="1"/>
        <v>3</v>
      </c>
      <c r="R37" s="37" t="s">
        <v>85</v>
      </c>
      <c r="S37" s="35">
        <f t="shared" ref="S37:AF37" si="29">SUM(S10:S12)</f>
        <v>4</v>
      </c>
      <c r="T37" s="16">
        <f t="shared" si="29"/>
        <v>3</v>
      </c>
      <c r="U37" s="16">
        <f t="shared" si="29"/>
        <v>5</v>
      </c>
      <c r="V37" s="16">
        <f t="shared" si="29"/>
        <v>13</v>
      </c>
      <c r="W37" s="16">
        <f t="shared" si="29"/>
        <v>0</v>
      </c>
      <c r="X37" s="16">
        <f t="shared" si="29"/>
        <v>0</v>
      </c>
      <c r="Y37" s="16">
        <f t="shared" si="29"/>
        <v>3</v>
      </c>
      <c r="Z37" s="16">
        <f t="shared" si="29"/>
        <v>3</v>
      </c>
      <c r="AA37" s="16">
        <f t="shared" si="29"/>
        <v>1</v>
      </c>
      <c r="AB37" s="16">
        <f t="shared" si="29"/>
        <v>2</v>
      </c>
      <c r="AC37" s="16">
        <f t="shared" si="29"/>
        <v>65</v>
      </c>
      <c r="AD37" s="16">
        <f t="shared" si="29"/>
        <v>0</v>
      </c>
      <c r="AE37" s="32">
        <f t="shared" si="29"/>
        <v>34</v>
      </c>
      <c r="AF37" s="32">
        <f t="shared" si="29"/>
        <v>99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0</v>
      </c>
      <c r="P38" s="15">
        <f t="shared" si="1"/>
        <v>1</v>
      </c>
      <c r="R38" s="28" t="s">
        <v>86</v>
      </c>
      <c r="S38" s="16">
        <f t="shared" ref="S38:AF38" si="30">SUM(S13:S18)</f>
        <v>6</v>
      </c>
      <c r="T38" s="16">
        <f t="shared" si="30"/>
        <v>4</v>
      </c>
      <c r="U38" s="16">
        <f t="shared" si="30"/>
        <v>7</v>
      </c>
      <c r="V38" s="16">
        <f t="shared" si="30"/>
        <v>25</v>
      </c>
      <c r="W38" s="16">
        <f t="shared" si="30"/>
        <v>0</v>
      </c>
      <c r="X38" s="16">
        <f t="shared" si="30"/>
        <v>0</v>
      </c>
      <c r="Y38" s="16">
        <f t="shared" si="30"/>
        <v>1</v>
      </c>
      <c r="Z38" s="16">
        <f t="shared" si="30"/>
        <v>1</v>
      </c>
      <c r="AA38" s="16">
        <f t="shared" si="30"/>
        <v>1</v>
      </c>
      <c r="AB38" s="16">
        <f t="shared" si="30"/>
        <v>1</v>
      </c>
      <c r="AC38" s="16">
        <f t="shared" si="30"/>
        <v>78</v>
      </c>
      <c r="AD38" s="16">
        <f t="shared" si="30"/>
        <v>0</v>
      </c>
      <c r="AE38" s="32">
        <f t="shared" si="30"/>
        <v>46</v>
      </c>
      <c r="AF38" s="32">
        <f t="shared" si="30"/>
        <v>124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1</v>
      </c>
      <c r="P39" s="15">
        <f t="shared" si="1"/>
        <v>4</v>
      </c>
      <c r="R39" s="29" t="s">
        <v>87</v>
      </c>
      <c r="S39" s="16">
        <f t="shared" ref="S39:AF39" si="31">SUM(S19:S21)</f>
        <v>4</v>
      </c>
      <c r="T39" s="16">
        <f t="shared" si="31"/>
        <v>5</v>
      </c>
      <c r="U39" s="16">
        <f t="shared" si="31"/>
        <v>5</v>
      </c>
      <c r="V39" s="16">
        <f t="shared" si="31"/>
        <v>13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1</v>
      </c>
      <c r="AA39" s="16">
        <f t="shared" si="31"/>
        <v>2</v>
      </c>
      <c r="AB39" s="16">
        <f t="shared" si="31"/>
        <v>0</v>
      </c>
      <c r="AC39" s="16">
        <f t="shared" si="31"/>
        <v>70</v>
      </c>
      <c r="AD39" s="16">
        <f t="shared" si="31"/>
        <v>0</v>
      </c>
      <c r="AE39" s="32">
        <f t="shared" si="31"/>
        <v>30</v>
      </c>
      <c r="AF39" s="32">
        <f t="shared" si="31"/>
        <v>100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</v>
      </c>
      <c r="N40" s="50">
        <v>0</v>
      </c>
      <c r="O40" s="15">
        <f t="shared" si="0"/>
        <v>0</v>
      </c>
      <c r="P40" s="15">
        <f t="shared" si="1"/>
        <v>3</v>
      </c>
      <c r="R40" s="5" t="s">
        <v>17</v>
      </c>
      <c r="S40" s="16">
        <f t="shared" ref="S40:AF40" si="32">SUM(S10:S21)</f>
        <v>14</v>
      </c>
      <c r="T40" s="16">
        <f t="shared" si="32"/>
        <v>12</v>
      </c>
      <c r="U40" s="16">
        <f t="shared" si="32"/>
        <v>17</v>
      </c>
      <c r="V40" s="16">
        <f t="shared" si="32"/>
        <v>51</v>
      </c>
      <c r="W40" s="16">
        <f t="shared" si="32"/>
        <v>0</v>
      </c>
      <c r="X40" s="16">
        <f t="shared" si="32"/>
        <v>0</v>
      </c>
      <c r="Y40" s="16">
        <f t="shared" si="32"/>
        <v>4</v>
      </c>
      <c r="Z40" s="16">
        <f t="shared" si="32"/>
        <v>5</v>
      </c>
      <c r="AA40" s="16">
        <f t="shared" si="32"/>
        <v>4</v>
      </c>
      <c r="AB40" s="16">
        <f t="shared" si="32"/>
        <v>3</v>
      </c>
      <c r="AC40" s="16">
        <f t="shared" si="32"/>
        <v>213</v>
      </c>
      <c r="AD40" s="16">
        <f t="shared" si="32"/>
        <v>0</v>
      </c>
      <c r="AE40" s="32">
        <f t="shared" si="32"/>
        <v>110</v>
      </c>
      <c r="AF40" s="32">
        <f t="shared" si="32"/>
        <v>323</v>
      </c>
    </row>
    <row r="41" spans="2:32" ht="23.1" customHeight="1" x14ac:dyDescent="0.25">
      <c r="B41" s="45" t="s">
        <v>68</v>
      </c>
      <c r="C41" s="50">
        <v>1</v>
      </c>
      <c r="D41" s="50">
        <v>2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5</v>
      </c>
      <c r="P41" s="15">
        <f t="shared" si="1"/>
        <v>7</v>
      </c>
      <c r="R41" s="5" t="s">
        <v>159</v>
      </c>
      <c r="S41" s="16">
        <f>SUM(S10:S33)</f>
        <v>17</v>
      </c>
      <c r="T41" s="16">
        <f t="shared" ref="T41:AF41" si="33">SUM(T10:T33)</f>
        <v>18</v>
      </c>
      <c r="U41" s="16">
        <f t="shared" si="33"/>
        <v>18</v>
      </c>
      <c r="V41" s="16">
        <f t="shared" si="33"/>
        <v>58</v>
      </c>
      <c r="W41" s="16">
        <f t="shared" si="33"/>
        <v>0</v>
      </c>
      <c r="X41" s="16">
        <f t="shared" si="33"/>
        <v>0</v>
      </c>
      <c r="Y41" s="16">
        <f t="shared" si="33"/>
        <v>5</v>
      </c>
      <c r="Z41" s="16">
        <f t="shared" si="33"/>
        <v>6</v>
      </c>
      <c r="AA41" s="16">
        <f t="shared" si="33"/>
        <v>4</v>
      </c>
      <c r="AB41" s="16">
        <f t="shared" si="33"/>
        <v>3</v>
      </c>
      <c r="AC41" s="16">
        <f t="shared" si="33"/>
        <v>285</v>
      </c>
      <c r="AD41" s="16">
        <f t="shared" si="33"/>
        <v>0</v>
      </c>
      <c r="AE41" s="32">
        <f t="shared" si="33"/>
        <v>129</v>
      </c>
      <c r="AF41" s="32">
        <f t="shared" si="33"/>
        <v>414</v>
      </c>
    </row>
    <row r="42" spans="2:32" ht="23.1" customHeight="1" x14ac:dyDescent="0.25">
      <c r="B42" s="46" t="s">
        <v>69</v>
      </c>
      <c r="C42" s="50">
        <v>0</v>
      </c>
      <c r="D42" s="50">
        <v>1</v>
      </c>
      <c r="E42" s="50">
        <v>1</v>
      </c>
      <c r="F42" s="50">
        <v>4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6</v>
      </c>
      <c r="P42" s="15">
        <f t="shared" si="1"/>
        <v>8</v>
      </c>
      <c r="R42" s="5" t="s">
        <v>160</v>
      </c>
      <c r="S42" s="48">
        <f>S41/S40</f>
        <v>1.2142857142857142</v>
      </c>
      <c r="T42" s="48">
        <f t="shared" ref="T42:AF42" si="34">T41/T40</f>
        <v>1.5</v>
      </c>
      <c r="U42" s="48">
        <f t="shared" si="34"/>
        <v>1.0588235294117647</v>
      </c>
      <c r="V42" s="48">
        <f t="shared" si="34"/>
        <v>1.1372549019607843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1.25</v>
      </c>
      <c r="Z42" s="48">
        <f t="shared" si="34"/>
        <v>1.2</v>
      </c>
      <c r="AA42" s="48">
        <f t="shared" si="34"/>
        <v>1</v>
      </c>
      <c r="AB42" s="48">
        <f t="shared" si="34"/>
        <v>1</v>
      </c>
      <c r="AC42" s="48">
        <f t="shared" si="34"/>
        <v>1.3380281690140845</v>
      </c>
      <c r="AD42" s="48" t="e">
        <f t="shared" si="34"/>
        <v>#DIV/0!</v>
      </c>
      <c r="AE42" s="48">
        <f t="shared" si="34"/>
        <v>1.1727272727272726</v>
      </c>
      <c r="AF42" s="48">
        <f t="shared" si="34"/>
        <v>1.2817337461300309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2</v>
      </c>
      <c r="P43" s="15">
        <f t="shared" si="1"/>
        <v>3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2</v>
      </c>
      <c r="P44" s="15">
        <f t="shared" si="1"/>
        <v>3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3</v>
      </c>
      <c r="P45" s="15">
        <f t="shared" si="1"/>
        <v>7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3</v>
      </c>
      <c r="P46" s="15">
        <f t="shared" si="1"/>
        <v>8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1</v>
      </c>
      <c r="E47" s="50">
        <v>2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5</v>
      </c>
      <c r="P47" s="15">
        <f t="shared" si="1"/>
        <v>10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4</v>
      </c>
      <c r="P48" s="15">
        <f t="shared" si="1"/>
        <v>10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4</v>
      </c>
      <c r="N49" s="50">
        <v>0</v>
      </c>
      <c r="O49" s="15">
        <f t="shared" si="0"/>
        <v>1</v>
      </c>
      <c r="P49" s="15">
        <f t="shared" si="1"/>
        <v>5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2</v>
      </c>
      <c r="P50" s="15">
        <f t="shared" si="1"/>
        <v>5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5</v>
      </c>
      <c r="N51" s="50">
        <v>0</v>
      </c>
      <c r="O51" s="15">
        <f t="shared" si="0"/>
        <v>2</v>
      </c>
      <c r="P51" s="15">
        <f t="shared" si="1"/>
        <v>7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1</v>
      </c>
      <c r="P52" s="15">
        <f t="shared" si="1"/>
        <v>7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3</v>
      </c>
      <c r="P53" s="15">
        <f t="shared" si="1"/>
        <v>8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0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1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1</v>
      </c>
      <c r="L55" s="50">
        <v>0</v>
      </c>
      <c r="M55" s="50">
        <v>9</v>
      </c>
      <c r="N55" s="50">
        <v>0</v>
      </c>
      <c r="O55" s="15">
        <f t="shared" si="0"/>
        <v>5</v>
      </c>
      <c r="P55" s="15">
        <f t="shared" si="1"/>
        <v>14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1</v>
      </c>
      <c r="P57" s="15">
        <f t="shared" si="1"/>
        <v>7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7</v>
      </c>
      <c r="N58" s="50">
        <v>0</v>
      </c>
      <c r="O58" s="15">
        <f t="shared" si="0"/>
        <v>3</v>
      </c>
      <c r="P58" s="15">
        <f t="shared" si="1"/>
        <v>10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2</v>
      </c>
      <c r="E59" s="50">
        <v>1</v>
      </c>
      <c r="F59" s="50">
        <v>2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9</v>
      </c>
      <c r="N59" s="50">
        <v>0</v>
      </c>
      <c r="O59" s="15">
        <f t="shared" si="0"/>
        <v>5</v>
      </c>
      <c r="P59" s="15">
        <f t="shared" si="1"/>
        <v>14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5</v>
      </c>
      <c r="N60" s="50">
        <v>0</v>
      </c>
      <c r="O60" s="15">
        <f t="shared" si="0"/>
        <v>2</v>
      </c>
      <c r="P60" s="15">
        <f t="shared" si="1"/>
        <v>7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</v>
      </c>
      <c r="N61" s="50">
        <v>0</v>
      </c>
      <c r="O61" s="15">
        <f t="shared" si="0"/>
        <v>0</v>
      </c>
      <c r="P61" s="15">
        <f t="shared" si="1"/>
        <v>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1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3</v>
      </c>
      <c r="N62" s="50">
        <v>0</v>
      </c>
      <c r="O62" s="15">
        <f t="shared" si="0"/>
        <v>1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0"/>
        <v>1</v>
      </c>
      <c r="P63" s="15">
        <f t="shared" si="1"/>
        <v>4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</v>
      </c>
      <c r="N64" s="50">
        <v>0</v>
      </c>
      <c r="O64" s="15">
        <f t="shared" si="0"/>
        <v>0</v>
      </c>
      <c r="P64" s="15">
        <f t="shared" si="1"/>
        <v>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1</v>
      </c>
      <c r="P65" s="15">
        <f t="shared" si="1"/>
        <v>4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</v>
      </c>
      <c r="N66" s="50">
        <v>0</v>
      </c>
      <c r="O66" s="15">
        <f t="shared" si="0"/>
        <v>0</v>
      </c>
      <c r="P66" s="15">
        <f t="shared" si="1"/>
        <v>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2</v>
      </c>
      <c r="E67" s="50">
        <v>0</v>
      </c>
      <c r="F67" s="50">
        <v>2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4</v>
      </c>
      <c r="P67" s="15">
        <f t="shared" si="1"/>
        <v>6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1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1</v>
      </c>
      <c r="P68" s="15">
        <f t="shared" si="1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0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0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0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0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0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0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1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0</v>
      </c>
      <c r="P104" s="15">
        <f t="shared" si="36"/>
        <v>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7</v>
      </c>
      <c r="N105" s="50">
        <v>0</v>
      </c>
      <c r="O105" s="15">
        <f t="shared" si="35"/>
        <v>0</v>
      </c>
      <c r="P105" s="15">
        <f t="shared" si="36"/>
        <v>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</v>
      </c>
      <c r="D106" s="16">
        <f t="shared" ref="D106:P106" si="37">SUM(D10:D105)</f>
        <v>18</v>
      </c>
      <c r="E106" s="16">
        <f t="shared" si="37"/>
        <v>18</v>
      </c>
      <c r="F106" s="16">
        <f t="shared" si="37"/>
        <v>58</v>
      </c>
      <c r="G106" s="16">
        <f t="shared" si="37"/>
        <v>0</v>
      </c>
      <c r="H106" s="16">
        <f t="shared" si="37"/>
        <v>0</v>
      </c>
      <c r="I106" s="16">
        <f t="shared" si="37"/>
        <v>5</v>
      </c>
      <c r="J106" s="16">
        <f t="shared" si="37"/>
        <v>6</v>
      </c>
      <c r="K106" s="16">
        <f t="shared" si="37"/>
        <v>4</v>
      </c>
      <c r="L106" s="16">
        <f t="shared" si="37"/>
        <v>3</v>
      </c>
      <c r="M106" s="16">
        <f t="shared" si="37"/>
        <v>285</v>
      </c>
      <c r="N106" s="16">
        <f t="shared" si="37"/>
        <v>0</v>
      </c>
      <c r="O106" s="16">
        <f t="shared" si="37"/>
        <v>129</v>
      </c>
      <c r="P106" s="16">
        <f t="shared" si="37"/>
        <v>414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4.1062801932367152E-2</v>
      </c>
      <c r="D107" s="43">
        <f t="shared" si="38"/>
        <v>4.3478260869565216E-2</v>
      </c>
      <c r="E107" s="43">
        <f t="shared" si="38"/>
        <v>4.3478260869565216E-2</v>
      </c>
      <c r="F107" s="43">
        <f t="shared" si="38"/>
        <v>0.14009661835748793</v>
      </c>
      <c r="G107" s="43">
        <f t="shared" si="38"/>
        <v>0</v>
      </c>
      <c r="H107" s="43">
        <f t="shared" si="38"/>
        <v>0</v>
      </c>
      <c r="I107" s="43">
        <f t="shared" si="38"/>
        <v>1.2077294685990338E-2</v>
      </c>
      <c r="J107" s="43">
        <f t="shared" si="38"/>
        <v>1.4492753623188406E-2</v>
      </c>
      <c r="K107" s="43">
        <f t="shared" si="38"/>
        <v>9.6618357487922701E-3</v>
      </c>
      <c r="L107" s="43">
        <f t="shared" si="38"/>
        <v>7.246376811594203E-3</v>
      </c>
      <c r="M107" s="43">
        <f t="shared" si="38"/>
        <v>0.68840579710144922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0.13178294573643412</v>
      </c>
      <c r="D108" s="44">
        <f t="shared" ref="D108:N108" si="39">D106/$O$106</f>
        <v>0.13953488372093023</v>
      </c>
      <c r="E108" s="44">
        <f t="shared" si="39"/>
        <v>0.13953488372093023</v>
      </c>
      <c r="F108" s="44">
        <f t="shared" si="39"/>
        <v>0.44961240310077522</v>
      </c>
      <c r="G108" s="44">
        <f t="shared" si="39"/>
        <v>0</v>
      </c>
      <c r="H108" s="44">
        <f t="shared" si="39"/>
        <v>0</v>
      </c>
      <c r="I108" s="44">
        <f t="shared" si="39"/>
        <v>3.875968992248062E-2</v>
      </c>
      <c r="J108" s="44">
        <f t="shared" si="39"/>
        <v>4.6511627906976744E-2</v>
      </c>
      <c r="K108" s="44">
        <f t="shared" si="39"/>
        <v>3.1007751937984496E-2</v>
      </c>
      <c r="L108" s="44">
        <f t="shared" si="39"/>
        <v>2.3255813953488372E-2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3" zoomScale="60" workbookViewId="0">
      <selection activeCell="M21" sqref="M2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1" t="str">
        <f>'26.10 HOIMA-BULIISA-24h'!G5:H5</f>
        <v>KISIABI</v>
      </c>
      <c r="H5" s="62"/>
      <c r="I5" s="14"/>
      <c r="J5" s="2" t="s">
        <v>5</v>
      </c>
      <c r="K5" s="61" t="s">
        <v>174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HOIMA-BULIISA'!D6:E6</f>
        <v>HOIMA</v>
      </c>
      <c r="E6" s="62"/>
      <c r="F6" s="2" t="s">
        <v>2</v>
      </c>
      <c r="G6" s="61" t="str">
        <f>'25.10 HOIMA-BULIISA'!G6:H6</f>
        <v>BULIISA</v>
      </c>
      <c r="H6" s="62"/>
      <c r="J6" s="2" t="s">
        <v>21</v>
      </c>
      <c r="K6" s="61" t="str">
        <f>'26.10 HOIMA-BULIISA-24h'!K6:L6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2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8</v>
      </c>
      <c r="AF10" s="31">
        <f t="shared" si="2"/>
        <v>32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2</v>
      </c>
      <c r="P11" s="15">
        <f t="shared" si="1"/>
        <v>8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3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15</v>
      </c>
      <c r="AD11" s="17">
        <f t="shared" si="3"/>
        <v>0</v>
      </c>
      <c r="AE11" s="31">
        <f t="shared" si="3"/>
        <v>10</v>
      </c>
      <c r="AF11" s="31">
        <f t="shared" si="3"/>
        <v>25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3</v>
      </c>
      <c r="P12" s="15">
        <f t="shared" si="1"/>
        <v>7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4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12</v>
      </c>
      <c r="AD12" s="17">
        <f t="shared" si="4"/>
        <v>0</v>
      </c>
      <c r="AE12" s="31">
        <f t="shared" si="4"/>
        <v>9</v>
      </c>
      <c r="AF12" s="31">
        <f t="shared" si="4"/>
        <v>21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1</v>
      </c>
      <c r="P13" s="15">
        <f t="shared" si="1"/>
        <v>7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2</v>
      </c>
      <c r="V13" s="17">
        <f t="shared" si="5"/>
        <v>5</v>
      </c>
      <c r="W13" s="17">
        <f t="shared" si="5"/>
        <v>1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27</v>
      </c>
      <c r="AD13" s="17">
        <f t="shared" si="5"/>
        <v>0</v>
      </c>
      <c r="AE13" s="31">
        <f t="shared" si="5"/>
        <v>11</v>
      </c>
      <c r="AF13" s="31">
        <f t="shared" si="5"/>
        <v>38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1</v>
      </c>
      <c r="P14" s="15">
        <f t="shared" si="1"/>
        <v>4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22</v>
      </c>
      <c r="AD14" s="17">
        <f t="shared" si="6"/>
        <v>0</v>
      </c>
      <c r="AE14" s="31">
        <f t="shared" si="6"/>
        <v>6</v>
      </c>
      <c r="AF14" s="31">
        <f t="shared" si="6"/>
        <v>28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3</v>
      </c>
      <c r="P15" s="15">
        <f t="shared" si="1"/>
        <v>5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2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20</v>
      </c>
      <c r="AD15" s="17">
        <f t="shared" si="7"/>
        <v>0</v>
      </c>
      <c r="AE15" s="31">
        <f t="shared" si="7"/>
        <v>10</v>
      </c>
      <c r="AF15" s="31">
        <f t="shared" si="7"/>
        <v>30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4</v>
      </c>
      <c r="P16" s="15">
        <f t="shared" si="1"/>
        <v>9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17</v>
      </c>
      <c r="AD16" s="17">
        <f t="shared" si="8"/>
        <v>0</v>
      </c>
      <c r="AE16" s="31">
        <f t="shared" si="8"/>
        <v>6</v>
      </c>
      <c r="AF16" s="31">
        <f t="shared" si="8"/>
        <v>23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2</v>
      </c>
      <c r="P17" s="15">
        <f t="shared" si="1"/>
        <v>7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4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11</v>
      </c>
      <c r="AF17" s="31">
        <f t="shared" si="9"/>
        <v>30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1</v>
      </c>
      <c r="P18" s="15">
        <f t="shared" si="1"/>
        <v>8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3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22</v>
      </c>
      <c r="AD18" s="17">
        <f t="shared" si="10"/>
        <v>0</v>
      </c>
      <c r="AE18" s="31">
        <f t="shared" si="10"/>
        <v>10</v>
      </c>
      <c r="AF18" s="31">
        <f t="shared" si="10"/>
        <v>32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2</v>
      </c>
      <c r="P19" s="15">
        <f t="shared" si="1"/>
        <v>3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2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10</v>
      </c>
      <c r="AF19" s="31">
        <f t="shared" si="11"/>
        <v>32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3</v>
      </c>
      <c r="P20" s="15">
        <f t="shared" si="1"/>
        <v>5</v>
      </c>
      <c r="R20" s="1" t="s">
        <v>16</v>
      </c>
      <c r="S20" s="17">
        <f t="shared" ref="S20:AF20" si="12">SUM(C50:C53)</f>
        <v>1</v>
      </c>
      <c r="T20" s="17">
        <f t="shared" si="12"/>
        <v>2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5</v>
      </c>
      <c r="AF20" s="31">
        <f t="shared" si="12"/>
        <v>28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2</v>
      </c>
      <c r="N21" s="50">
        <v>0</v>
      </c>
      <c r="O21" s="15">
        <f t="shared" si="0"/>
        <v>3</v>
      </c>
      <c r="P21" s="15">
        <f t="shared" si="1"/>
        <v>5</v>
      </c>
      <c r="R21" s="36" t="s">
        <v>20</v>
      </c>
      <c r="S21" s="34">
        <f t="shared" ref="S21:AF21" si="13">SUM(C54:C57)</f>
        <v>3</v>
      </c>
      <c r="T21" s="17">
        <f t="shared" si="13"/>
        <v>3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28</v>
      </c>
      <c r="AD21" s="17">
        <f t="shared" si="13"/>
        <v>0</v>
      </c>
      <c r="AE21" s="31">
        <f t="shared" si="13"/>
        <v>11</v>
      </c>
      <c r="AF21" s="31">
        <f t="shared" si="13"/>
        <v>39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2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4</v>
      </c>
      <c r="P22" s="15">
        <f t="shared" si="1"/>
        <v>9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22</v>
      </c>
      <c r="AD22" s="34">
        <f t="shared" si="14"/>
        <v>0</v>
      </c>
      <c r="AE22" s="31">
        <f t="shared" si="14"/>
        <v>3</v>
      </c>
      <c r="AF22" s="31">
        <f t="shared" si="14"/>
        <v>25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3</v>
      </c>
      <c r="P23" s="15">
        <f t="shared" si="1"/>
        <v>13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12</v>
      </c>
      <c r="AD23" s="34">
        <f t="shared" si="15"/>
        <v>0</v>
      </c>
      <c r="AE23" s="31">
        <f t="shared" si="15"/>
        <v>2</v>
      </c>
      <c r="AF23" s="31">
        <f t="shared" si="15"/>
        <v>14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1</v>
      </c>
      <c r="P24" s="15">
        <f t="shared" si="1"/>
        <v>4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1</v>
      </c>
      <c r="AF24" s="31">
        <f t="shared" si="16"/>
        <v>10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3</v>
      </c>
      <c r="P25" s="15">
        <f t="shared" si="1"/>
        <v>12</v>
      </c>
      <c r="R25" s="36" t="s">
        <v>149</v>
      </c>
      <c r="S25" s="34">
        <f>SUM(C70:C73)</f>
        <v>0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1</v>
      </c>
      <c r="AA25" s="34">
        <f t="shared" si="17"/>
        <v>2</v>
      </c>
      <c r="AB25" s="34">
        <f t="shared" si="17"/>
        <v>0</v>
      </c>
      <c r="AC25" s="34">
        <f t="shared" si="17"/>
        <v>4</v>
      </c>
      <c r="AD25" s="34">
        <f t="shared" si="17"/>
        <v>0</v>
      </c>
      <c r="AE25" s="31">
        <f t="shared" si="17"/>
        <v>5</v>
      </c>
      <c r="AF25" s="31">
        <f t="shared" si="17"/>
        <v>9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1</v>
      </c>
      <c r="N26" s="50">
        <v>0</v>
      </c>
      <c r="O26" s="15">
        <f t="shared" si="0"/>
        <v>2</v>
      </c>
      <c r="P26" s="15">
        <f t="shared" si="1"/>
        <v>3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1</v>
      </c>
      <c r="P27" s="15">
        <f t="shared" si="1"/>
        <v>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2</v>
      </c>
      <c r="P28" s="15">
        <f t="shared" si="1"/>
        <v>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1</v>
      </c>
      <c r="P29" s="15">
        <f t="shared" si="1"/>
        <v>11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3</v>
      </c>
      <c r="P30" s="15">
        <f t="shared" si="1"/>
        <v>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1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3</v>
      </c>
      <c r="P31" s="15">
        <f t="shared" si="1"/>
        <v>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1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1</v>
      </c>
      <c r="P32" s="15">
        <f t="shared" si="1"/>
        <v>9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</v>
      </c>
      <c r="AD32" s="34">
        <f t="shared" si="24"/>
        <v>0</v>
      </c>
      <c r="AE32" s="31">
        <f t="shared" si="24"/>
        <v>0</v>
      </c>
      <c r="AF32" s="31">
        <f t="shared" si="24"/>
        <v>6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3</v>
      </c>
      <c r="P33" s="15">
        <f t="shared" si="1"/>
        <v>6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11</v>
      </c>
      <c r="AD33" s="34">
        <f t="shared" si="25"/>
        <v>0</v>
      </c>
      <c r="AE33" s="31">
        <f t="shared" si="25"/>
        <v>0</v>
      </c>
      <c r="AF33" s="31">
        <f t="shared" si="25"/>
        <v>11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0</v>
      </c>
      <c r="P34" s="15">
        <f t="shared" si="1"/>
        <v>4</v>
      </c>
      <c r="R34" s="38" t="s">
        <v>90</v>
      </c>
      <c r="S34" s="39">
        <f t="shared" ref="S34:AF34" si="26">MAX(S10:S12)</f>
        <v>3</v>
      </c>
      <c r="T34" s="39">
        <f t="shared" si="26"/>
        <v>1</v>
      </c>
      <c r="U34" s="39">
        <f t="shared" si="26"/>
        <v>4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0</v>
      </c>
      <c r="Z34" s="39">
        <f t="shared" si="26"/>
        <v>0</v>
      </c>
      <c r="AA34" s="39">
        <f t="shared" si="26"/>
        <v>1</v>
      </c>
      <c r="AB34" s="39">
        <f t="shared" si="26"/>
        <v>0</v>
      </c>
      <c r="AC34" s="39">
        <f t="shared" si="26"/>
        <v>24</v>
      </c>
      <c r="AD34" s="39">
        <f t="shared" si="26"/>
        <v>0</v>
      </c>
      <c r="AE34" s="40">
        <f t="shared" si="26"/>
        <v>10</v>
      </c>
      <c r="AF34" s="40">
        <f t="shared" si="26"/>
        <v>32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4</v>
      </c>
      <c r="P35" s="15">
        <f t="shared" si="1"/>
        <v>6</v>
      </c>
      <c r="R35" s="38" t="s">
        <v>91</v>
      </c>
      <c r="S35" s="39">
        <f t="shared" ref="S35:AF35" si="27">MAX(S13:S18)</f>
        <v>3</v>
      </c>
      <c r="T35" s="39">
        <f t="shared" si="27"/>
        <v>1</v>
      </c>
      <c r="U35" s="39">
        <f t="shared" si="27"/>
        <v>4</v>
      </c>
      <c r="V35" s="39">
        <f t="shared" si="27"/>
        <v>6</v>
      </c>
      <c r="W35" s="39">
        <f t="shared" si="27"/>
        <v>1</v>
      </c>
      <c r="X35" s="39">
        <f t="shared" si="27"/>
        <v>0</v>
      </c>
      <c r="Y35" s="39">
        <f t="shared" si="27"/>
        <v>0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27</v>
      </c>
      <c r="AD35" s="39">
        <f t="shared" si="27"/>
        <v>0</v>
      </c>
      <c r="AE35" s="40">
        <f t="shared" si="27"/>
        <v>11</v>
      </c>
      <c r="AF35" s="40">
        <f t="shared" si="27"/>
        <v>38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0</v>
      </c>
      <c r="P36" s="15">
        <f t="shared" si="1"/>
        <v>4</v>
      </c>
      <c r="R36" s="38" t="s">
        <v>92</v>
      </c>
      <c r="S36" s="39">
        <f t="shared" ref="S36:AF36" si="28">MAX(S19:S21)</f>
        <v>3</v>
      </c>
      <c r="T36" s="39">
        <f t="shared" si="28"/>
        <v>3</v>
      </c>
      <c r="U36" s="39">
        <f t="shared" si="28"/>
        <v>2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1</v>
      </c>
      <c r="AA36" s="39">
        <f t="shared" si="28"/>
        <v>2</v>
      </c>
      <c r="AB36" s="39">
        <f t="shared" si="28"/>
        <v>0</v>
      </c>
      <c r="AC36" s="39">
        <f t="shared" si="28"/>
        <v>28</v>
      </c>
      <c r="AD36" s="39">
        <f t="shared" si="28"/>
        <v>0</v>
      </c>
      <c r="AE36" s="40">
        <f t="shared" si="28"/>
        <v>11</v>
      </c>
      <c r="AF36" s="40">
        <f t="shared" si="28"/>
        <v>39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2</v>
      </c>
      <c r="P37" s="15">
        <f t="shared" si="1"/>
        <v>9</v>
      </c>
      <c r="R37" s="37" t="s">
        <v>85</v>
      </c>
      <c r="S37" s="35">
        <f t="shared" ref="S37:AF37" si="29">SUM(S10:S12)</f>
        <v>4</v>
      </c>
      <c r="T37" s="16">
        <f t="shared" si="29"/>
        <v>2</v>
      </c>
      <c r="U37" s="16">
        <f t="shared" si="29"/>
        <v>9</v>
      </c>
      <c r="V37" s="16">
        <f t="shared" si="29"/>
        <v>11</v>
      </c>
      <c r="W37" s="16">
        <f t="shared" si="29"/>
        <v>0</v>
      </c>
      <c r="X37" s="16">
        <f t="shared" si="29"/>
        <v>0</v>
      </c>
      <c r="Y37" s="16">
        <f t="shared" si="29"/>
        <v>0</v>
      </c>
      <c r="Z37" s="16">
        <f t="shared" si="29"/>
        <v>0</v>
      </c>
      <c r="AA37" s="16">
        <f t="shared" si="29"/>
        <v>1</v>
      </c>
      <c r="AB37" s="16">
        <f t="shared" si="29"/>
        <v>0</v>
      </c>
      <c r="AC37" s="16">
        <f t="shared" si="29"/>
        <v>51</v>
      </c>
      <c r="AD37" s="16">
        <f t="shared" si="29"/>
        <v>0</v>
      </c>
      <c r="AE37" s="32">
        <f t="shared" si="29"/>
        <v>27</v>
      </c>
      <c r="AF37" s="32">
        <f t="shared" si="29"/>
        <v>78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1</v>
      </c>
      <c r="P38" s="15">
        <f t="shared" si="1"/>
        <v>9</v>
      </c>
      <c r="R38" s="28" t="s">
        <v>86</v>
      </c>
      <c r="S38" s="16">
        <f t="shared" ref="S38:AF38" si="30">SUM(S13:S18)</f>
        <v>10</v>
      </c>
      <c r="T38" s="16">
        <f t="shared" si="30"/>
        <v>2</v>
      </c>
      <c r="U38" s="16">
        <f t="shared" si="30"/>
        <v>12</v>
      </c>
      <c r="V38" s="16">
        <f t="shared" si="30"/>
        <v>25</v>
      </c>
      <c r="W38" s="16">
        <f t="shared" si="30"/>
        <v>1</v>
      </c>
      <c r="X38" s="16">
        <f t="shared" si="30"/>
        <v>0</v>
      </c>
      <c r="Y38" s="16">
        <f t="shared" si="30"/>
        <v>0</v>
      </c>
      <c r="Z38" s="16">
        <f t="shared" si="30"/>
        <v>3</v>
      </c>
      <c r="AA38" s="16">
        <f t="shared" si="30"/>
        <v>1</v>
      </c>
      <c r="AB38" s="16">
        <f t="shared" si="30"/>
        <v>0</v>
      </c>
      <c r="AC38" s="16">
        <f t="shared" si="30"/>
        <v>127</v>
      </c>
      <c r="AD38" s="16">
        <f t="shared" si="30"/>
        <v>0</v>
      </c>
      <c r="AE38" s="32">
        <f t="shared" si="30"/>
        <v>54</v>
      </c>
      <c r="AF38" s="32">
        <f t="shared" si="30"/>
        <v>181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2</v>
      </c>
      <c r="P39" s="15">
        <f t="shared" si="1"/>
        <v>4</v>
      </c>
      <c r="R39" s="29" t="s">
        <v>87</v>
      </c>
      <c r="S39" s="16">
        <f t="shared" ref="S39:AF39" si="31">SUM(S19:S21)</f>
        <v>5</v>
      </c>
      <c r="T39" s="16">
        <f t="shared" si="31"/>
        <v>5</v>
      </c>
      <c r="U39" s="16">
        <f t="shared" si="31"/>
        <v>4</v>
      </c>
      <c r="V39" s="16">
        <f t="shared" si="31"/>
        <v>5</v>
      </c>
      <c r="W39" s="16">
        <f t="shared" si="31"/>
        <v>0</v>
      </c>
      <c r="X39" s="16">
        <f t="shared" si="31"/>
        <v>0</v>
      </c>
      <c r="Y39" s="16">
        <f t="shared" si="31"/>
        <v>4</v>
      </c>
      <c r="Z39" s="16">
        <f t="shared" si="31"/>
        <v>1</v>
      </c>
      <c r="AA39" s="16">
        <f t="shared" si="31"/>
        <v>2</v>
      </c>
      <c r="AB39" s="16">
        <f t="shared" si="31"/>
        <v>0</v>
      </c>
      <c r="AC39" s="16">
        <f t="shared" si="31"/>
        <v>73</v>
      </c>
      <c r="AD39" s="16">
        <f t="shared" si="31"/>
        <v>0</v>
      </c>
      <c r="AE39" s="32">
        <f t="shared" si="31"/>
        <v>26</v>
      </c>
      <c r="AF39" s="32">
        <f t="shared" si="31"/>
        <v>99</v>
      </c>
    </row>
    <row r="40" spans="2:32" ht="23.1" customHeight="1" x14ac:dyDescent="0.25">
      <c r="B40" s="46" t="s">
        <v>67</v>
      </c>
      <c r="C40" s="50">
        <v>1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3</v>
      </c>
      <c r="P40" s="15">
        <f t="shared" si="1"/>
        <v>9</v>
      </c>
      <c r="R40" s="5" t="s">
        <v>17</v>
      </c>
      <c r="S40" s="16">
        <f t="shared" ref="S40:AF40" si="32">SUM(S10:S21)</f>
        <v>19</v>
      </c>
      <c r="T40" s="16">
        <f t="shared" si="32"/>
        <v>9</v>
      </c>
      <c r="U40" s="16">
        <f t="shared" si="32"/>
        <v>25</v>
      </c>
      <c r="V40" s="16">
        <f t="shared" si="32"/>
        <v>41</v>
      </c>
      <c r="W40" s="16">
        <f t="shared" si="32"/>
        <v>1</v>
      </c>
      <c r="X40" s="16">
        <f t="shared" si="32"/>
        <v>0</v>
      </c>
      <c r="Y40" s="16">
        <f t="shared" si="32"/>
        <v>4</v>
      </c>
      <c r="Z40" s="16">
        <f t="shared" si="32"/>
        <v>4</v>
      </c>
      <c r="AA40" s="16">
        <f t="shared" si="32"/>
        <v>4</v>
      </c>
      <c r="AB40" s="16">
        <f t="shared" si="32"/>
        <v>0</v>
      </c>
      <c r="AC40" s="16">
        <f t="shared" si="32"/>
        <v>251</v>
      </c>
      <c r="AD40" s="16">
        <f t="shared" si="32"/>
        <v>0</v>
      </c>
      <c r="AE40" s="32">
        <f t="shared" si="32"/>
        <v>107</v>
      </c>
      <c r="AF40" s="32">
        <f t="shared" si="32"/>
        <v>358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2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5</v>
      </c>
      <c r="P41" s="15">
        <f t="shared" si="1"/>
        <v>8</v>
      </c>
      <c r="R41" s="5" t="s">
        <v>159</v>
      </c>
      <c r="S41" s="16">
        <f>SUM(S10:S33)</f>
        <v>20</v>
      </c>
      <c r="T41" s="16">
        <f t="shared" ref="T41:AF41" si="33">SUM(T10:T33)</f>
        <v>10</v>
      </c>
      <c r="U41" s="16">
        <f t="shared" si="33"/>
        <v>25</v>
      </c>
      <c r="V41" s="16">
        <f t="shared" si="33"/>
        <v>50</v>
      </c>
      <c r="W41" s="16">
        <f t="shared" si="33"/>
        <v>2</v>
      </c>
      <c r="X41" s="16">
        <f t="shared" si="33"/>
        <v>0</v>
      </c>
      <c r="Y41" s="16">
        <f t="shared" si="33"/>
        <v>4</v>
      </c>
      <c r="Z41" s="16">
        <f t="shared" si="33"/>
        <v>5</v>
      </c>
      <c r="AA41" s="16">
        <f t="shared" si="33"/>
        <v>7</v>
      </c>
      <c r="AB41" s="16">
        <f t="shared" si="33"/>
        <v>0</v>
      </c>
      <c r="AC41" s="16">
        <f t="shared" si="33"/>
        <v>317</v>
      </c>
      <c r="AD41" s="16">
        <f t="shared" si="33"/>
        <v>0</v>
      </c>
      <c r="AE41" s="32">
        <f t="shared" si="33"/>
        <v>123</v>
      </c>
      <c r="AF41" s="32">
        <f t="shared" si="33"/>
        <v>440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4</v>
      </c>
      <c r="P42" s="15">
        <f t="shared" si="1"/>
        <v>9</v>
      </c>
      <c r="R42" s="5" t="s">
        <v>160</v>
      </c>
      <c r="S42" s="48">
        <f>S41/S40</f>
        <v>1.0526315789473684</v>
      </c>
      <c r="T42" s="48">
        <f t="shared" ref="T42:AF42" si="34">T41/T40</f>
        <v>1.1111111111111112</v>
      </c>
      <c r="U42" s="48">
        <f t="shared" si="34"/>
        <v>1</v>
      </c>
      <c r="V42" s="48">
        <f t="shared" si="34"/>
        <v>1.2195121951219512</v>
      </c>
      <c r="W42" s="48">
        <f t="shared" si="34"/>
        <v>2</v>
      </c>
      <c r="X42" s="48" t="e">
        <f t="shared" si="34"/>
        <v>#DIV/0!</v>
      </c>
      <c r="Y42" s="48">
        <f t="shared" si="34"/>
        <v>1</v>
      </c>
      <c r="Z42" s="48">
        <f t="shared" si="34"/>
        <v>1.25</v>
      </c>
      <c r="AA42" s="48">
        <f t="shared" si="34"/>
        <v>1.75</v>
      </c>
      <c r="AB42" s="48" t="e">
        <f t="shared" si="34"/>
        <v>#DIV/0!</v>
      </c>
      <c r="AC42" s="48">
        <f t="shared" si="34"/>
        <v>1.2629482071713147</v>
      </c>
      <c r="AD42" s="48" t="e">
        <f t="shared" si="34"/>
        <v>#DIV/0!</v>
      </c>
      <c r="AE42" s="48">
        <f t="shared" si="34"/>
        <v>1.1495327102803738</v>
      </c>
      <c r="AF42" s="48">
        <f t="shared" si="34"/>
        <v>1.229050279329609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2</v>
      </c>
      <c r="P43" s="15">
        <f t="shared" si="1"/>
        <v>7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3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1</v>
      </c>
      <c r="P45" s="15">
        <f t="shared" si="1"/>
        <v>4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3</v>
      </c>
      <c r="J46" s="50">
        <v>0</v>
      </c>
      <c r="K46" s="50">
        <v>1</v>
      </c>
      <c r="L46" s="50">
        <v>0</v>
      </c>
      <c r="M46" s="50">
        <v>4</v>
      </c>
      <c r="N46" s="50">
        <v>0</v>
      </c>
      <c r="O46" s="15">
        <f t="shared" si="0"/>
        <v>6</v>
      </c>
      <c r="P46" s="15">
        <f t="shared" si="1"/>
        <v>10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1</v>
      </c>
      <c r="P47" s="15">
        <f t="shared" si="1"/>
        <v>8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2</v>
      </c>
      <c r="P48" s="15">
        <f t="shared" si="1"/>
        <v>8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5</v>
      </c>
      <c r="N49" s="50">
        <v>0</v>
      </c>
      <c r="O49" s="15">
        <f t="shared" si="0"/>
        <v>1</v>
      </c>
      <c r="P49" s="15">
        <f t="shared" si="1"/>
        <v>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1</v>
      </c>
      <c r="P50" s="15">
        <f t="shared" si="1"/>
        <v>7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0</v>
      </c>
      <c r="P51" s="15">
        <f t="shared" si="1"/>
        <v>5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1</v>
      </c>
      <c r="P52" s="15">
        <f t="shared" si="1"/>
        <v>5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2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3</v>
      </c>
      <c r="P53" s="15">
        <f t="shared" si="1"/>
        <v>11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2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4</v>
      </c>
      <c r="P54" s="15">
        <f t="shared" si="1"/>
        <v>12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2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4</v>
      </c>
      <c r="P55" s="15">
        <f t="shared" si="1"/>
        <v>9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2</v>
      </c>
      <c r="P56" s="15">
        <f t="shared" si="1"/>
        <v>9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1</v>
      </c>
      <c r="P57" s="15">
        <f t="shared" si="1"/>
        <v>9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8</v>
      </c>
      <c r="N58" s="50">
        <v>0</v>
      </c>
      <c r="O58" s="15">
        <f t="shared" si="0"/>
        <v>2</v>
      </c>
      <c r="P58" s="15">
        <f t="shared" si="1"/>
        <v>10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4</v>
      </c>
      <c r="N59" s="50">
        <v>0</v>
      </c>
      <c r="O59" s="15">
        <f t="shared" si="0"/>
        <v>1</v>
      </c>
      <c r="P59" s="15">
        <f t="shared" si="1"/>
        <v>5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8</v>
      </c>
      <c r="N60" s="50">
        <v>0</v>
      </c>
      <c r="O60" s="15">
        <f t="shared" si="0"/>
        <v>0</v>
      </c>
      <c r="P60" s="15">
        <f t="shared" si="1"/>
        <v>8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2</v>
      </c>
      <c r="N61" s="50">
        <v>0</v>
      </c>
      <c r="O61" s="15">
        <f t="shared" si="0"/>
        <v>0</v>
      </c>
      <c r="P61" s="15">
        <f t="shared" si="1"/>
        <v>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2</v>
      </c>
      <c r="N62" s="50">
        <v>0</v>
      </c>
      <c r="O62" s="15">
        <f t="shared" si="0"/>
        <v>0</v>
      </c>
      <c r="P62" s="15">
        <f t="shared" si="1"/>
        <v>2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4</v>
      </c>
      <c r="N63" s="50">
        <v>0</v>
      </c>
      <c r="O63" s="15">
        <f t="shared" si="0"/>
        <v>0</v>
      </c>
      <c r="P63" s="15">
        <f t="shared" si="1"/>
        <v>4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2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4</v>
      </c>
      <c r="N64" s="50">
        <v>0</v>
      </c>
      <c r="O64" s="15">
        <f t="shared" si="0"/>
        <v>2</v>
      </c>
      <c r="P64" s="15">
        <f t="shared" si="1"/>
        <v>6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0</v>
      </c>
      <c r="P65" s="15">
        <f t="shared" si="1"/>
        <v>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</v>
      </c>
      <c r="N66" s="50">
        <v>0</v>
      </c>
      <c r="O66" s="15">
        <f t="shared" si="0"/>
        <v>0</v>
      </c>
      <c r="P66" s="15">
        <f t="shared" si="1"/>
        <v>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4</v>
      </c>
      <c r="N67" s="50">
        <v>0</v>
      </c>
      <c r="O67" s="15">
        <f t="shared" si="0"/>
        <v>1</v>
      </c>
      <c r="P67" s="15">
        <f t="shared" si="1"/>
        <v>5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0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0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1</v>
      </c>
      <c r="G71" s="50">
        <v>0</v>
      </c>
      <c r="H71" s="50">
        <v>0</v>
      </c>
      <c r="I71" s="50">
        <v>0</v>
      </c>
      <c r="J71" s="50">
        <v>0</v>
      </c>
      <c r="K71" s="50">
        <v>2</v>
      </c>
      <c r="L71" s="50">
        <v>0</v>
      </c>
      <c r="M71" s="50">
        <v>3</v>
      </c>
      <c r="N71" s="50">
        <v>0</v>
      </c>
      <c r="O71" s="15">
        <f t="shared" si="0"/>
        <v>3</v>
      </c>
      <c r="P71" s="15">
        <f t="shared" si="1"/>
        <v>6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0"/>
        <v>1</v>
      </c>
      <c r="P72" s="15">
        <f t="shared" si="1"/>
        <v>2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1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1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1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0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0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0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0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0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</v>
      </c>
      <c r="D106" s="16">
        <f t="shared" ref="D106:P106" si="37">SUM(D10:D105)</f>
        <v>10</v>
      </c>
      <c r="E106" s="16">
        <f t="shared" si="37"/>
        <v>25</v>
      </c>
      <c r="F106" s="16">
        <f t="shared" si="37"/>
        <v>50</v>
      </c>
      <c r="G106" s="16">
        <f t="shared" si="37"/>
        <v>2</v>
      </c>
      <c r="H106" s="16">
        <f t="shared" si="37"/>
        <v>0</v>
      </c>
      <c r="I106" s="16">
        <f t="shared" si="37"/>
        <v>4</v>
      </c>
      <c r="J106" s="16">
        <f t="shared" si="37"/>
        <v>5</v>
      </c>
      <c r="K106" s="16">
        <f t="shared" si="37"/>
        <v>7</v>
      </c>
      <c r="L106" s="16">
        <f t="shared" si="37"/>
        <v>0</v>
      </c>
      <c r="M106" s="16">
        <f t="shared" si="37"/>
        <v>317</v>
      </c>
      <c r="N106" s="16">
        <f t="shared" si="37"/>
        <v>0</v>
      </c>
      <c r="O106" s="16">
        <f t="shared" si="37"/>
        <v>123</v>
      </c>
      <c r="P106" s="16">
        <f t="shared" si="37"/>
        <v>440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4.5454545454545456E-2</v>
      </c>
      <c r="D107" s="43">
        <f t="shared" si="38"/>
        <v>2.2727272727272728E-2</v>
      </c>
      <c r="E107" s="43">
        <f t="shared" si="38"/>
        <v>5.6818181818181816E-2</v>
      </c>
      <c r="F107" s="43">
        <f t="shared" si="38"/>
        <v>0.11363636363636363</v>
      </c>
      <c r="G107" s="43">
        <f t="shared" si="38"/>
        <v>4.5454545454545452E-3</v>
      </c>
      <c r="H107" s="43">
        <f t="shared" si="38"/>
        <v>0</v>
      </c>
      <c r="I107" s="43">
        <f t="shared" si="38"/>
        <v>9.0909090909090905E-3</v>
      </c>
      <c r="J107" s="43">
        <f t="shared" si="38"/>
        <v>1.1363636363636364E-2</v>
      </c>
      <c r="K107" s="43">
        <f t="shared" si="38"/>
        <v>1.5909090909090907E-2</v>
      </c>
      <c r="L107" s="43">
        <f t="shared" si="38"/>
        <v>0</v>
      </c>
      <c r="M107" s="43">
        <f t="shared" si="38"/>
        <v>0.72045454545454546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0.16260162601626016</v>
      </c>
      <c r="D108" s="44">
        <f t="shared" ref="D108:N108" si="39">D106/$O$106</f>
        <v>8.1300813008130079E-2</v>
      </c>
      <c r="E108" s="44">
        <f t="shared" si="39"/>
        <v>0.2032520325203252</v>
      </c>
      <c r="F108" s="44">
        <f t="shared" si="39"/>
        <v>0.4065040650406504</v>
      </c>
      <c r="G108" s="44">
        <f t="shared" si="39"/>
        <v>1.6260162601626018E-2</v>
      </c>
      <c r="H108" s="44">
        <f t="shared" si="39"/>
        <v>0</v>
      </c>
      <c r="I108" s="44">
        <f t="shared" si="39"/>
        <v>3.2520325203252036E-2</v>
      </c>
      <c r="J108" s="44">
        <f t="shared" si="39"/>
        <v>4.065040650406504E-2</v>
      </c>
      <c r="K108" s="44">
        <f t="shared" si="39"/>
        <v>5.6910569105691054E-2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'29.10 HOIMA-BULIISA'!D5</f>
        <v>29.10.19</v>
      </c>
      <c r="E5" s="3"/>
      <c r="F5" s="41" t="s">
        <v>1</v>
      </c>
      <c r="G5" s="61" t="str">
        <f>'25.10 BULIISA-HOIMA'!G5:H5</f>
        <v>KISIABI</v>
      </c>
      <c r="H5" s="62"/>
      <c r="I5" s="14"/>
      <c r="J5" s="2" t="s">
        <v>5</v>
      </c>
      <c r="K5" s="61" t="s">
        <v>169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165</v>
      </c>
      <c r="E6" s="62"/>
      <c r="F6" s="2" t="s">
        <v>2</v>
      </c>
      <c r="G6" s="61" t="s">
        <v>166</v>
      </c>
      <c r="H6" s="62"/>
      <c r="J6" s="2" t="s">
        <v>21</v>
      </c>
      <c r="K6" s="61" t="str">
        <f>'25.10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8</v>
      </c>
      <c r="AF10" s="31">
        <f t="shared" si="2"/>
        <v>20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2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3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20</v>
      </c>
      <c r="AD11" s="17">
        <f t="shared" si="3"/>
        <v>0</v>
      </c>
      <c r="AE11" s="31">
        <f t="shared" si="3"/>
        <v>6</v>
      </c>
      <c r="AF11" s="31">
        <f t="shared" si="3"/>
        <v>26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1</v>
      </c>
      <c r="P12" s="15">
        <f t="shared" si="1"/>
        <v>4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23</v>
      </c>
      <c r="AD12" s="17">
        <f t="shared" si="4"/>
        <v>0</v>
      </c>
      <c r="AE12" s="31">
        <f t="shared" si="4"/>
        <v>6</v>
      </c>
      <c r="AF12" s="31">
        <f t="shared" si="4"/>
        <v>29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1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2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17</v>
      </c>
      <c r="AD13" s="17">
        <f t="shared" si="5"/>
        <v>0</v>
      </c>
      <c r="AE13" s="31">
        <f t="shared" si="5"/>
        <v>9</v>
      </c>
      <c r="AF13" s="31">
        <f t="shared" si="5"/>
        <v>26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3</v>
      </c>
      <c r="P14" s="15">
        <f t="shared" si="1"/>
        <v>7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</v>
      </c>
      <c r="AD14" s="17">
        <f t="shared" si="6"/>
        <v>0</v>
      </c>
      <c r="AE14" s="31">
        <f t="shared" si="6"/>
        <v>4</v>
      </c>
      <c r="AF14" s="31">
        <f t="shared" si="6"/>
        <v>17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2</v>
      </c>
      <c r="P15" s="15">
        <f t="shared" si="1"/>
        <v>7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1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9</v>
      </c>
      <c r="AD15" s="17">
        <f t="shared" si="7"/>
        <v>0</v>
      </c>
      <c r="AE15" s="31">
        <f t="shared" si="7"/>
        <v>8</v>
      </c>
      <c r="AF15" s="31">
        <f t="shared" si="7"/>
        <v>17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0</v>
      </c>
      <c r="P16" s="15">
        <f t="shared" si="1"/>
        <v>4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5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7</v>
      </c>
      <c r="AD16" s="17">
        <f t="shared" si="8"/>
        <v>0</v>
      </c>
      <c r="AE16" s="31">
        <f t="shared" si="8"/>
        <v>8</v>
      </c>
      <c r="AF16" s="31">
        <f t="shared" si="8"/>
        <v>15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1</v>
      </c>
      <c r="P17" s="15">
        <f t="shared" si="1"/>
        <v>8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12</v>
      </c>
      <c r="AD17" s="17">
        <f t="shared" si="9"/>
        <v>0</v>
      </c>
      <c r="AE17" s="31">
        <f t="shared" si="9"/>
        <v>6</v>
      </c>
      <c r="AF17" s="31">
        <f t="shared" si="9"/>
        <v>18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1</v>
      </c>
      <c r="P18" s="15">
        <f t="shared" si="1"/>
        <v>4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20</v>
      </c>
      <c r="AD18" s="17">
        <f t="shared" si="10"/>
        <v>0</v>
      </c>
      <c r="AE18" s="31">
        <f t="shared" si="10"/>
        <v>8</v>
      </c>
      <c r="AF18" s="31">
        <f t="shared" si="10"/>
        <v>28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1</v>
      </c>
      <c r="P19" s="15">
        <f t="shared" si="1"/>
        <v>13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2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12</v>
      </c>
      <c r="AD19" s="17">
        <f t="shared" si="11"/>
        <v>0</v>
      </c>
      <c r="AE19" s="31">
        <f t="shared" si="11"/>
        <v>15</v>
      </c>
      <c r="AF19" s="31">
        <f t="shared" si="11"/>
        <v>27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3</v>
      </c>
      <c r="P20" s="15">
        <f t="shared" si="1"/>
        <v>10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11</v>
      </c>
      <c r="AD20" s="17">
        <f t="shared" si="12"/>
        <v>0</v>
      </c>
      <c r="AE20" s="31">
        <f t="shared" si="12"/>
        <v>6</v>
      </c>
      <c r="AF20" s="31">
        <f t="shared" si="12"/>
        <v>17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1</v>
      </c>
      <c r="T21" s="17">
        <f t="shared" si="13"/>
        <v>1</v>
      </c>
      <c r="U21" s="17">
        <f t="shared" si="13"/>
        <v>1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15</v>
      </c>
      <c r="AD21" s="17">
        <f t="shared" si="13"/>
        <v>0</v>
      </c>
      <c r="AE21" s="31">
        <f t="shared" si="13"/>
        <v>6</v>
      </c>
      <c r="AF21" s="31">
        <f t="shared" si="13"/>
        <v>21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2</v>
      </c>
      <c r="P22" s="15">
        <f t="shared" si="1"/>
        <v>6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2</v>
      </c>
      <c r="AB22" s="39">
        <f t="shared" si="14"/>
        <v>0</v>
      </c>
      <c r="AC22" s="39">
        <f t="shared" si="14"/>
        <v>23</v>
      </c>
      <c r="AD22" s="39">
        <f t="shared" si="14"/>
        <v>0</v>
      </c>
      <c r="AE22" s="40">
        <f t="shared" si="14"/>
        <v>8</v>
      </c>
      <c r="AF22" s="40">
        <f t="shared" si="14"/>
        <v>29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2</v>
      </c>
      <c r="P23" s="15">
        <f t="shared" si="1"/>
        <v>8</v>
      </c>
      <c r="R23" s="38" t="s">
        <v>91</v>
      </c>
      <c r="S23" s="39">
        <f>MAX(S13:S18)</f>
        <v>2</v>
      </c>
      <c r="T23" s="39">
        <f t="shared" ref="T23:AF23" si="15">MAX(T13:T18)</f>
        <v>1</v>
      </c>
      <c r="U23" s="39">
        <f t="shared" si="15"/>
        <v>5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20</v>
      </c>
      <c r="AD23" s="39">
        <f t="shared" si="15"/>
        <v>0</v>
      </c>
      <c r="AE23" s="40">
        <f t="shared" si="15"/>
        <v>9</v>
      </c>
      <c r="AF23" s="40">
        <f t="shared" si="15"/>
        <v>28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3</v>
      </c>
      <c r="P24" s="15">
        <f t="shared" si="1"/>
        <v>6</v>
      </c>
      <c r="R24" s="38" t="s">
        <v>92</v>
      </c>
      <c r="S24" s="39">
        <f>MAX(S19:S21)</f>
        <v>4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15</v>
      </c>
      <c r="AD24" s="39">
        <f t="shared" si="16"/>
        <v>0</v>
      </c>
      <c r="AE24" s="40">
        <f t="shared" si="16"/>
        <v>15</v>
      </c>
      <c r="AF24" s="40">
        <f t="shared" si="16"/>
        <v>27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2</v>
      </c>
      <c r="P25" s="15">
        <f t="shared" si="1"/>
        <v>6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6</v>
      </c>
      <c r="V25" s="16">
        <f t="shared" si="17"/>
        <v>7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2</v>
      </c>
      <c r="AB25" s="16">
        <f t="shared" si="17"/>
        <v>0</v>
      </c>
      <c r="AC25" s="16">
        <f t="shared" si="17"/>
        <v>55</v>
      </c>
      <c r="AD25" s="16">
        <f t="shared" si="17"/>
        <v>0</v>
      </c>
      <c r="AE25" s="32">
        <f t="shared" si="17"/>
        <v>20</v>
      </c>
      <c r="AF25" s="32">
        <f t="shared" si="17"/>
        <v>75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1</v>
      </c>
      <c r="P26" s="15">
        <f t="shared" si="1"/>
        <v>6</v>
      </c>
      <c r="R26" s="28" t="s">
        <v>86</v>
      </c>
      <c r="S26" s="16">
        <f t="shared" ref="S26:AF26" si="18">SUM(S13:S18)</f>
        <v>7</v>
      </c>
      <c r="T26" s="16">
        <f t="shared" si="18"/>
        <v>2</v>
      </c>
      <c r="U26" s="16">
        <f t="shared" si="18"/>
        <v>16</v>
      </c>
      <c r="V26" s="16">
        <f t="shared" si="18"/>
        <v>16</v>
      </c>
      <c r="W26" s="16">
        <f t="shared" si="18"/>
        <v>0</v>
      </c>
      <c r="X26" s="16">
        <f t="shared" si="18"/>
        <v>0</v>
      </c>
      <c r="Y26" s="16">
        <f t="shared" si="18"/>
        <v>1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78</v>
      </c>
      <c r="AD26" s="16">
        <f t="shared" si="18"/>
        <v>0</v>
      </c>
      <c r="AE26" s="32">
        <f t="shared" si="18"/>
        <v>43</v>
      </c>
      <c r="AF26" s="32">
        <f t="shared" si="18"/>
        <v>121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1</v>
      </c>
      <c r="P27" s="15">
        <f t="shared" si="1"/>
        <v>5</v>
      </c>
      <c r="R27" s="29" t="s">
        <v>87</v>
      </c>
      <c r="S27" s="16">
        <f t="shared" ref="S27:AF27" si="19">SUM(S19:S21)</f>
        <v>8</v>
      </c>
      <c r="T27" s="16">
        <f t="shared" si="19"/>
        <v>3</v>
      </c>
      <c r="U27" s="16">
        <f t="shared" si="19"/>
        <v>4</v>
      </c>
      <c r="V27" s="16">
        <f t="shared" si="19"/>
        <v>8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38</v>
      </c>
      <c r="AD27" s="16">
        <f t="shared" si="19"/>
        <v>0</v>
      </c>
      <c r="AE27" s="32">
        <f t="shared" si="19"/>
        <v>27</v>
      </c>
      <c r="AF27" s="32">
        <f t="shared" si="19"/>
        <v>65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1</v>
      </c>
      <c r="P28" s="15">
        <f t="shared" si="1"/>
        <v>4</v>
      </c>
      <c r="R28" s="5" t="s">
        <v>17</v>
      </c>
      <c r="S28" s="16">
        <f t="shared" ref="S28:AF28" si="20">SUM(S10:S21)</f>
        <v>19</v>
      </c>
      <c r="T28" s="16">
        <f t="shared" si="20"/>
        <v>5</v>
      </c>
      <c r="U28" s="16">
        <f t="shared" si="20"/>
        <v>26</v>
      </c>
      <c r="V28" s="16">
        <f t="shared" si="20"/>
        <v>31</v>
      </c>
      <c r="W28" s="16">
        <f t="shared" si="20"/>
        <v>0</v>
      </c>
      <c r="X28" s="16">
        <f t="shared" si="20"/>
        <v>0</v>
      </c>
      <c r="Y28" s="16">
        <f t="shared" si="20"/>
        <v>4</v>
      </c>
      <c r="Z28" s="16">
        <f t="shared" si="20"/>
        <v>2</v>
      </c>
      <c r="AA28" s="16">
        <f t="shared" si="20"/>
        <v>3</v>
      </c>
      <c r="AB28" s="16">
        <f t="shared" si="20"/>
        <v>0</v>
      </c>
      <c r="AC28" s="16">
        <f t="shared" si="20"/>
        <v>171</v>
      </c>
      <c r="AD28" s="16">
        <f t="shared" si="20"/>
        <v>0</v>
      </c>
      <c r="AE28" s="32">
        <f t="shared" si="20"/>
        <v>90</v>
      </c>
      <c r="AF28" s="32">
        <f t="shared" si="20"/>
        <v>261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4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3</v>
      </c>
      <c r="P31" s="15">
        <f t="shared" si="1"/>
        <v>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0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1</v>
      </c>
      <c r="P33" s="15">
        <f t="shared" si="1"/>
        <v>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1</v>
      </c>
      <c r="P34" s="15">
        <f t="shared" si="1"/>
        <v>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2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1</v>
      </c>
      <c r="P36" s="15">
        <f t="shared" si="1"/>
        <v>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3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4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3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</v>
      </c>
      <c r="N38" s="50">
        <v>0</v>
      </c>
      <c r="O38" s="15">
        <f t="shared" si="0"/>
        <v>4</v>
      </c>
      <c r="P38" s="15">
        <f t="shared" si="1"/>
        <v>6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0</v>
      </c>
      <c r="P39" s="15">
        <f t="shared" si="1"/>
        <v>6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0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2</v>
      </c>
      <c r="P41" s="15">
        <f t="shared" si="1"/>
        <v>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0</v>
      </c>
      <c r="P42" s="15">
        <f t="shared" si="1"/>
        <v>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2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3</v>
      </c>
      <c r="P44" s="15">
        <f t="shared" si="1"/>
        <v>7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3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1</v>
      </c>
      <c r="F46" s="50">
        <v>3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6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5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1</v>
      </c>
      <c r="N48" s="50">
        <v>0</v>
      </c>
      <c r="O48" s="15">
        <f t="shared" si="0"/>
        <v>3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1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1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4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0</v>
      </c>
      <c r="P53" s="15">
        <f t="shared" si="1"/>
        <v>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2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3</v>
      </c>
      <c r="P55" s="15">
        <f t="shared" si="1"/>
        <v>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0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1</v>
      </c>
      <c r="P57" s="15">
        <f t="shared" si="1"/>
        <v>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</v>
      </c>
      <c r="D58" s="16">
        <f t="shared" si="21"/>
        <v>5</v>
      </c>
      <c r="E58" s="16">
        <f t="shared" si="21"/>
        <v>26</v>
      </c>
      <c r="F58" s="16">
        <f t="shared" si="21"/>
        <v>31</v>
      </c>
      <c r="G58" s="16">
        <f t="shared" si="21"/>
        <v>0</v>
      </c>
      <c r="H58" s="16">
        <f t="shared" si="21"/>
        <v>0</v>
      </c>
      <c r="I58" s="16">
        <f t="shared" si="21"/>
        <v>4</v>
      </c>
      <c r="J58" s="16">
        <f t="shared" si="21"/>
        <v>2</v>
      </c>
      <c r="K58" s="16">
        <f t="shared" si="21"/>
        <v>3</v>
      </c>
      <c r="L58" s="16">
        <f t="shared" si="21"/>
        <v>0</v>
      </c>
      <c r="M58" s="16">
        <f t="shared" si="21"/>
        <v>171</v>
      </c>
      <c r="N58" s="16">
        <f t="shared" si="21"/>
        <v>0</v>
      </c>
      <c r="O58" s="16">
        <f t="shared" si="21"/>
        <v>90</v>
      </c>
      <c r="P58" s="16">
        <f t="shared" si="21"/>
        <v>261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7.2796934865900387E-2</v>
      </c>
      <c r="D59" s="43">
        <f t="shared" si="22"/>
        <v>1.9157088122605363E-2</v>
      </c>
      <c r="E59" s="43">
        <f t="shared" si="22"/>
        <v>9.9616858237547887E-2</v>
      </c>
      <c r="F59" s="43">
        <f t="shared" si="22"/>
        <v>0.11877394636015326</v>
      </c>
      <c r="G59" s="43">
        <f t="shared" si="22"/>
        <v>0</v>
      </c>
      <c r="H59" s="43">
        <f t="shared" si="22"/>
        <v>0</v>
      </c>
      <c r="I59" s="43">
        <f t="shared" si="22"/>
        <v>1.532567049808429E-2</v>
      </c>
      <c r="J59" s="43">
        <f t="shared" si="22"/>
        <v>7.6628352490421452E-3</v>
      </c>
      <c r="K59" s="43">
        <f t="shared" si="22"/>
        <v>1.1494252873563218E-2</v>
      </c>
      <c r="L59" s="43">
        <f t="shared" si="22"/>
        <v>0</v>
      </c>
      <c r="M59" s="43">
        <f t="shared" si="22"/>
        <v>0.65517241379310343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0.21111111111111111</v>
      </c>
      <c r="D60" s="44">
        <f t="shared" ref="D60:N60" si="23">D58/$O$58</f>
        <v>5.5555555555555552E-2</v>
      </c>
      <c r="E60" s="44">
        <f t="shared" si="23"/>
        <v>0.28888888888888886</v>
      </c>
      <c r="F60" s="44">
        <f t="shared" si="23"/>
        <v>0.34444444444444444</v>
      </c>
      <c r="G60" s="44">
        <f t="shared" si="23"/>
        <v>0</v>
      </c>
      <c r="H60" s="44">
        <f t="shared" si="23"/>
        <v>0</v>
      </c>
      <c r="I60" s="44">
        <f t="shared" si="23"/>
        <v>4.4444444444444446E-2</v>
      </c>
      <c r="J60" s="44">
        <f t="shared" si="23"/>
        <v>2.2222222222222223E-2</v>
      </c>
      <c r="K60" s="44">
        <f t="shared" si="23"/>
        <v>3.3333333333333333E-2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1" t="str">
        <f>'25.10 BULIISA-HOIMA'!G5:H5</f>
        <v>KISIABI</v>
      </c>
      <c r="H5" s="62"/>
      <c r="I5" s="14"/>
      <c r="J5" s="2" t="s">
        <v>5</v>
      </c>
      <c r="K5" s="61" t="str">
        <f>'25.10 BULIISA-HOIMA'!K5:L5</f>
        <v>CATHY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166</v>
      </c>
      <c r="E6" s="62"/>
      <c r="F6" s="2" t="s">
        <v>2</v>
      </c>
      <c r="G6" s="61" t="s">
        <v>165</v>
      </c>
      <c r="H6" s="62"/>
      <c r="J6" s="2" t="s">
        <v>21</v>
      </c>
      <c r="K6" s="61" t="str">
        <f>'25.10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10</v>
      </c>
      <c r="AF10" s="31">
        <f t="shared" si="2"/>
        <v>22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19</v>
      </c>
      <c r="AD11" s="17">
        <f t="shared" si="3"/>
        <v>0</v>
      </c>
      <c r="AE11" s="31">
        <f t="shared" si="3"/>
        <v>5</v>
      </c>
      <c r="AF11" s="31">
        <f t="shared" si="3"/>
        <v>24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3</v>
      </c>
      <c r="P12" s="15">
        <f t="shared" si="1"/>
        <v>3</v>
      </c>
      <c r="R12" s="1" t="s">
        <v>8</v>
      </c>
      <c r="S12" s="17">
        <f t="shared" ref="S12:AF12" si="4">SUM(C18:C21)</f>
        <v>2</v>
      </c>
      <c r="T12" s="17">
        <f t="shared" si="4"/>
        <v>1</v>
      </c>
      <c r="U12" s="17">
        <f t="shared" si="4"/>
        <v>1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25</v>
      </c>
      <c r="AD12" s="17">
        <f t="shared" si="4"/>
        <v>0</v>
      </c>
      <c r="AE12" s="31">
        <f t="shared" si="4"/>
        <v>10</v>
      </c>
      <c r="AF12" s="31">
        <f t="shared" si="4"/>
        <v>35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3</v>
      </c>
      <c r="P13" s="15">
        <f t="shared" si="1"/>
        <v>9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3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17</v>
      </c>
      <c r="AD13" s="17">
        <f t="shared" si="5"/>
        <v>0</v>
      </c>
      <c r="AE13" s="31">
        <f t="shared" si="5"/>
        <v>10</v>
      </c>
      <c r="AF13" s="31">
        <f t="shared" si="5"/>
        <v>27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3</v>
      </c>
      <c r="P14" s="15">
        <f t="shared" si="1"/>
        <v>6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17</v>
      </c>
      <c r="AD14" s="17">
        <f t="shared" si="6"/>
        <v>0</v>
      </c>
      <c r="AE14" s="31">
        <f t="shared" si="6"/>
        <v>4</v>
      </c>
      <c r="AF14" s="31">
        <f t="shared" si="6"/>
        <v>21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1</v>
      </c>
      <c r="P15" s="15">
        <f t="shared" si="1"/>
        <v>8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3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12</v>
      </c>
      <c r="AD15" s="17">
        <f t="shared" si="7"/>
        <v>0</v>
      </c>
      <c r="AE15" s="31">
        <f t="shared" si="7"/>
        <v>6</v>
      </c>
      <c r="AF15" s="31">
        <f t="shared" si="7"/>
        <v>18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1</v>
      </c>
      <c r="P16" s="15">
        <f t="shared" si="1"/>
        <v>7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1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10</v>
      </c>
      <c r="AD16" s="17">
        <f t="shared" si="8"/>
        <v>0</v>
      </c>
      <c r="AE16" s="31">
        <f t="shared" si="8"/>
        <v>7</v>
      </c>
      <c r="AF16" s="31">
        <f t="shared" si="8"/>
        <v>17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3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17</v>
      </c>
      <c r="AD17" s="17">
        <f t="shared" si="9"/>
        <v>0</v>
      </c>
      <c r="AE17" s="31">
        <f t="shared" si="9"/>
        <v>10</v>
      </c>
      <c r="AF17" s="31">
        <f t="shared" si="9"/>
        <v>27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2</v>
      </c>
      <c r="P18" s="15">
        <f t="shared" si="1"/>
        <v>5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14</v>
      </c>
      <c r="AD18" s="17">
        <f t="shared" si="10"/>
        <v>0</v>
      </c>
      <c r="AE18" s="31">
        <f t="shared" si="10"/>
        <v>5</v>
      </c>
      <c r="AF18" s="31">
        <f t="shared" si="10"/>
        <v>19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4</v>
      </c>
      <c r="P19" s="15">
        <f t="shared" si="1"/>
        <v>7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2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21</v>
      </c>
      <c r="AD19" s="17">
        <f t="shared" si="11"/>
        <v>0</v>
      </c>
      <c r="AE19" s="31">
        <f t="shared" si="11"/>
        <v>7</v>
      </c>
      <c r="AF19" s="31">
        <f t="shared" si="11"/>
        <v>28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3</v>
      </c>
      <c r="P20" s="15">
        <f t="shared" si="1"/>
        <v>13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2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14</v>
      </c>
      <c r="AD20" s="17">
        <f t="shared" si="12"/>
        <v>0</v>
      </c>
      <c r="AE20" s="31">
        <f t="shared" si="12"/>
        <v>3</v>
      </c>
      <c r="AF20" s="31">
        <f t="shared" si="12"/>
        <v>17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1</v>
      </c>
      <c r="P21" s="15">
        <f t="shared" si="1"/>
        <v>10</v>
      </c>
      <c r="R21" s="36" t="s">
        <v>20</v>
      </c>
      <c r="S21" s="34">
        <f t="shared" ref="S21:AF21" si="13">SUM(C54:C57)</f>
        <v>1</v>
      </c>
      <c r="T21" s="17">
        <f t="shared" si="13"/>
        <v>2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17</v>
      </c>
      <c r="AD21" s="17">
        <f t="shared" si="13"/>
        <v>0</v>
      </c>
      <c r="AE21" s="31">
        <f t="shared" si="13"/>
        <v>9</v>
      </c>
      <c r="AF21" s="31">
        <f t="shared" si="13"/>
        <v>26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2</v>
      </c>
      <c r="P22" s="15">
        <f t="shared" si="1"/>
        <v>9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25</v>
      </c>
      <c r="AD22" s="39">
        <f t="shared" si="14"/>
        <v>0</v>
      </c>
      <c r="AE22" s="40">
        <f t="shared" si="14"/>
        <v>10</v>
      </c>
      <c r="AF22" s="40">
        <f t="shared" si="14"/>
        <v>35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1</v>
      </c>
      <c r="P23" s="15">
        <f t="shared" si="1"/>
        <v>3</v>
      </c>
      <c r="R23" s="38" t="s">
        <v>91</v>
      </c>
      <c r="S23" s="39">
        <f>MAX(S13:S18)</f>
        <v>3</v>
      </c>
      <c r="T23" s="39">
        <f t="shared" ref="T23:AF23" si="15">MAX(T13:T18)</f>
        <v>1</v>
      </c>
      <c r="U23" s="39">
        <f t="shared" si="15"/>
        <v>3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17</v>
      </c>
      <c r="AD23" s="39">
        <f t="shared" si="15"/>
        <v>0</v>
      </c>
      <c r="AE23" s="40">
        <f t="shared" si="15"/>
        <v>10</v>
      </c>
      <c r="AF23" s="40">
        <f t="shared" si="15"/>
        <v>27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2</v>
      </c>
      <c r="P24" s="15">
        <f t="shared" si="1"/>
        <v>6</v>
      </c>
      <c r="R24" s="38" t="s">
        <v>92</v>
      </c>
      <c r="S24" s="39">
        <f>MAX(S19:S21)</f>
        <v>1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21</v>
      </c>
      <c r="AD24" s="39">
        <f t="shared" si="16"/>
        <v>0</v>
      </c>
      <c r="AE24" s="40">
        <f t="shared" si="16"/>
        <v>9</v>
      </c>
      <c r="AF24" s="40">
        <f t="shared" si="16"/>
        <v>28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1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5</v>
      </c>
      <c r="P25" s="15">
        <f t="shared" si="1"/>
        <v>9</v>
      </c>
      <c r="R25" s="37" t="s">
        <v>85</v>
      </c>
      <c r="S25" s="35">
        <f t="shared" ref="S25:AF25" si="17">SUM(S10:S12)</f>
        <v>6</v>
      </c>
      <c r="T25" s="16">
        <f t="shared" si="17"/>
        <v>1</v>
      </c>
      <c r="U25" s="16">
        <f t="shared" si="17"/>
        <v>5</v>
      </c>
      <c r="V25" s="16">
        <f t="shared" si="17"/>
        <v>11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56</v>
      </c>
      <c r="AD25" s="16">
        <f t="shared" si="17"/>
        <v>0</v>
      </c>
      <c r="AE25" s="32">
        <f t="shared" si="17"/>
        <v>25</v>
      </c>
      <c r="AF25" s="32">
        <f t="shared" si="17"/>
        <v>81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1</v>
      </c>
      <c r="P26" s="15">
        <f t="shared" si="1"/>
        <v>6</v>
      </c>
      <c r="R26" s="28" t="s">
        <v>86</v>
      </c>
      <c r="S26" s="16">
        <f t="shared" ref="S26:AF26" si="18">SUM(S13:S18)</f>
        <v>9</v>
      </c>
      <c r="T26" s="16">
        <f t="shared" si="18"/>
        <v>1</v>
      </c>
      <c r="U26" s="16">
        <f t="shared" si="18"/>
        <v>11</v>
      </c>
      <c r="V26" s="16">
        <f t="shared" si="18"/>
        <v>16</v>
      </c>
      <c r="W26" s="16">
        <f t="shared" si="18"/>
        <v>0</v>
      </c>
      <c r="X26" s="16">
        <f t="shared" si="18"/>
        <v>0</v>
      </c>
      <c r="Y26" s="16">
        <f t="shared" si="18"/>
        <v>3</v>
      </c>
      <c r="Z26" s="16">
        <f t="shared" si="18"/>
        <v>1</v>
      </c>
      <c r="AA26" s="16">
        <f t="shared" si="18"/>
        <v>1</v>
      </c>
      <c r="AB26" s="16">
        <f t="shared" si="18"/>
        <v>0</v>
      </c>
      <c r="AC26" s="16">
        <f t="shared" si="18"/>
        <v>87</v>
      </c>
      <c r="AD26" s="16">
        <f t="shared" si="18"/>
        <v>0</v>
      </c>
      <c r="AE26" s="32">
        <f t="shared" si="18"/>
        <v>42</v>
      </c>
      <c r="AF26" s="32">
        <f t="shared" si="18"/>
        <v>129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2</v>
      </c>
      <c r="P27" s="15">
        <f t="shared" si="1"/>
        <v>6</v>
      </c>
      <c r="R27" s="29" t="s">
        <v>87</v>
      </c>
      <c r="S27" s="16">
        <f t="shared" ref="S27:AF27" si="19">SUM(S19:S21)</f>
        <v>2</v>
      </c>
      <c r="T27" s="16">
        <f t="shared" si="19"/>
        <v>3</v>
      </c>
      <c r="U27" s="16">
        <f t="shared" si="19"/>
        <v>6</v>
      </c>
      <c r="V27" s="16">
        <f t="shared" si="19"/>
        <v>6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0</v>
      </c>
      <c r="AA27" s="16">
        <f t="shared" si="19"/>
        <v>1</v>
      </c>
      <c r="AB27" s="16">
        <f t="shared" si="19"/>
        <v>0</v>
      </c>
      <c r="AC27" s="16">
        <f t="shared" si="19"/>
        <v>52</v>
      </c>
      <c r="AD27" s="16">
        <f t="shared" si="19"/>
        <v>0</v>
      </c>
      <c r="AE27" s="32">
        <f t="shared" si="19"/>
        <v>19</v>
      </c>
      <c r="AF27" s="32">
        <f t="shared" si="19"/>
        <v>71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1</v>
      </c>
      <c r="P28" s="15">
        <f t="shared" si="1"/>
        <v>5</v>
      </c>
      <c r="R28" s="5" t="s">
        <v>17</v>
      </c>
      <c r="S28" s="16">
        <f t="shared" ref="S28:AF28" si="20">SUM(S10:S21)</f>
        <v>17</v>
      </c>
      <c r="T28" s="16">
        <f t="shared" si="20"/>
        <v>5</v>
      </c>
      <c r="U28" s="16">
        <f t="shared" si="20"/>
        <v>22</v>
      </c>
      <c r="V28" s="16">
        <f t="shared" si="20"/>
        <v>33</v>
      </c>
      <c r="W28" s="16">
        <f t="shared" si="20"/>
        <v>0</v>
      </c>
      <c r="X28" s="16">
        <f t="shared" si="20"/>
        <v>0</v>
      </c>
      <c r="Y28" s="16">
        <f t="shared" si="20"/>
        <v>6</v>
      </c>
      <c r="Z28" s="16">
        <f t="shared" si="20"/>
        <v>1</v>
      </c>
      <c r="AA28" s="16">
        <f t="shared" si="20"/>
        <v>2</v>
      </c>
      <c r="AB28" s="16">
        <f t="shared" si="20"/>
        <v>0</v>
      </c>
      <c r="AC28" s="16">
        <f t="shared" si="20"/>
        <v>195</v>
      </c>
      <c r="AD28" s="16">
        <f t="shared" si="20"/>
        <v>0</v>
      </c>
      <c r="AE28" s="32">
        <f t="shared" si="20"/>
        <v>86</v>
      </c>
      <c r="AF28" s="32">
        <f t="shared" si="20"/>
        <v>281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0</v>
      </c>
      <c r="P29" s="15">
        <f t="shared" si="1"/>
        <v>4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4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1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1</v>
      </c>
      <c r="P32" s="15">
        <f t="shared" si="1"/>
        <v>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0</v>
      </c>
      <c r="P33" s="15">
        <f t="shared" si="1"/>
        <v>2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1</v>
      </c>
      <c r="P34" s="15">
        <f t="shared" si="1"/>
        <v>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3</v>
      </c>
      <c r="N35" s="50">
        <v>0</v>
      </c>
      <c r="O35" s="15">
        <f t="shared" si="0"/>
        <v>1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4</v>
      </c>
      <c r="P36" s="15">
        <f t="shared" si="1"/>
        <v>6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1</v>
      </c>
      <c r="P37" s="15">
        <f t="shared" si="1"/>
        <v>5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3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1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</v>
      </c>
      <c r="N40" s="50">
        <v>0</v>
      </c>
      <c r="O40" s="15">
        <f t="shared" si="0"/>
        <v>2</v>
      </c>
      <c r="P40" s="15">
        <f t="shared" si="1"/>
        <v>5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2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4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0</v>
      </c>
      <c r="P42" s="15">
        <f t="shared" si="1"/>
        <v>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2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2</v>
      </c>
      <c r="P44" s="15">
        <f t="shared" si="1"/>
        <v>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1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2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3</v>
      </c>
      <c r="P47" s="15">
        <f t="shared" si="1"/>
        <v>11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1</v>
      </c>
      <c r="P48" s="15">
        <f t="shared" si="1"/>
        <v>6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1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0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1</v>
      </c>
      <c r="P51" s="15">
        <f t="shared" si="1"/>
        <v>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1</v>
      </c>
      <c r="P52" s="15">
        <f t="shared" si="1"/>
        <v>4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1</v>
      </c>
      <c r="P53" s="15">
        <f t="shared" si="1"/>
        <v>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2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2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3</v>
      </c>
      <c r="N55" s="50">
        <v>0</v>
      </c>
      <c r="O55" s="15">
        <f t="shared" si="0"/>
        <v>6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1</v>
      </c>
      <c r="P56" s="15">
        <f t="shared" si="1"/>
        <v>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0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</v>
      </c>
      <c r="D58" s="16">
        <f t="shared" si="21"/>
        <v>5</v>
      </c>
      <c r="E58" s="16">
        <f t="shared" si="21"/>
        <v>22</v>
      </c>
      <c r="F58" s="16">
        <f t="shared" si="21"/>
        <v>33</v>
      </c>
      <c r="G58" s="16">
        <f t="shared" si="21"/>
        <v>0</v>
      </c>
      <c r="H58" s="16">
        <f t="shared" si="21"/>
        <v>0</v>
      </c>
      <c r="I58" s="16">
        <f t="shared" si="21"/>
        <v>6</v>
      </c>
      <c r="J58" s="16">
        <f t="shared" si="21"/>
        <v>1</v>
      </c>
      <c r="K58" s="16">
        <f t="shared" si="21"/>
        <v>2</v>
      </c>
      <c r="L58" s="16">
        <f t="shared" si="21"/>
        <v>0</v>
      </c>
      <c r="M58" s="16">
        <f t="shared" si="21"/>
        <v>195</v>
      </c>
      <c r="N58" s="16">
        <f t="shared" si="21"/>
        <v>0</v>
      </c>
      <c r="O58" s="16">
        <f t="shared" si="21"/>
        <v>86</v>
      </c>
      <c r="P58" s="16">
        <f t="shared" si="21"/>
        <v>281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6.0498220640569395E-2</v>
      </c>
      <c r="D59" s="43">
        <f t="shared" si="22"/>
        <v>1.7793594306049824E-2</v>
      </c>
      <c r="E59" s="43">
        <f t="shared" si="22"/>
        <v>7.8291814946619215E-2</v>
      </c>
      <c r="F59" s="43">
        <f t="shared" si="22"/>
        <v>0.11743772241992882</v>
      </c>
      <c r="G59" s="43">
        <f t="shared" si="22"/>
        <v>0</v>
      </c>
      <c r="H59" s="43">
        <f t="shared" si="22"/>
        <v>0</v>
      </c>
      <c r="I59" s="43">
        <f t="shared" si="22"/>
        <v>2.1352313167259787E-2</v>
      </c>
      <c r="J59" s="43">
        <f t="shared" si="22"/>
        <v>3.5587188612099642E-3</v>
      </c>
      <c r="K59" s="43">
        <f t="shared" si="22"/>
        <v>7.1174377224199285E-3</v>
      </c>
      <c r="L59" s="43">
        <f t="shared" si="22"/>
        <v>0</v>
      </c>
      <c r="M59" s="43">
        <f t="shared" si="22"/>
        <v>0.69395017793594305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0.19767441860465115</v>
      </c>
      <c r="D60" s="44">
        <f t="shared" ref="D60:N60" si="23">D58/$O$58</f>
        <v>5.8139534883720929E-2</v>
      </c>
      <c r="E60" s="44">
        <f t="shared" si="23"/>
        <v>0.2558139534883721</v>
      </c>
      <c r="F60" s="44">
        <f t="shared" si="23"/>
        <v>0.38372093023255816</v>
      </c>
      <c r="G60" s="44">
        <f t="shared" si="23"/>
        <v>0</v>
      </c>
      <c r="H60" s="44">
        <f t="shared" si="23"/>
        <v>0</v>
      </c>
      <c r="I60" s="44">
        <f t="shared" si="23"/>
        <v>6.9767441860465115E-2</v>
      </c>
      <c r="J60" s="44">
        <f t="shared" si="23"/>
        <v>1.1627906976744186E-2</v>
      </c>
      <c r="K60" s="44">
        <f t="shared" si="23"/>
        <v>2.3255813953488372E-2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1" t="str">
        <f>'29.10 BULIISA-HOIMA'!G5:H5</f>
        <v>KISIABI</v>
      </c>
      <c r="H5" s="62"/>
      <c r="I5" s="14"/>
      <c r="J5" s="2" t="s">
        <v>5</v>
      </c>
      <c r="K5" s="61" t="s">
        <v>163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BULIISA-HOIMA'!D6:E6</f>
        <v>BULIISA</v>
      </c>
      <c r="E6" s="62"/>
      <c r="F6" s="2" t="s">
        <v>2</v>
      </c>
      <c r="G6" s="61" t="str">
        <f>'25.10 BULIISA-HOIMA'!G6:H6</f>
        <v>HOIMA</v>
      </c>
      <c r="H6" s="62"/>
      <c r="J6" s="2" t="s">
        <v>21</v>
      </c>
      <c r="K6" s="61" t="str">
        <f>'29.10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7</v>
      </c>
      <c r="AF10" s="31">
        <f t="shared" si="2"/>
        <v>16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2</v>
      </c>
      <c r="P11" s="15">
        <f t="shared" si="1"/>
        <v>6</v>
      </c>
      <c r="R11" s="1" t="s">
        <v>7</v>
      </c>
      <c r="S11" s="17">
        <f t="shared" ref="S11:AF11" si="3">SUM(C14:C17)</f>
        <v>0</v>
      </c>
      <c r="T11" s="17">
        <f t="shared" si="3"/>
        <v>2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6</v>
      </c>
      <c r="AF11" s="31">
        <f t="shared" si="3"/>
        <v>22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1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9</v>
      </c>
      <c r="AF12" s="31">
        <f t="shared" si="4"/>
        <v>28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1</v>
      </c>
      <c r="P13" s="15">
        <f t="shared" si="1"/>
        <v>1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4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15</v>
      </c>
      <c r="AD13" s="17">
        <f t="shared" si="5"/>
        <v>0</v>
      </c>
      <c r="AE13" s="31">
        <f t="shared" si="5"/>
        <v>9</v>
      </c>
      <c r="AF13" s="31">
        <f t="shared" si="5"/>
        <v>24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2</v>
      </c>
      <c r="P14" s="15">
        <f t="shared" si="1"/>
        <v>5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0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10</v>
      </c>
      <c r="AD14" s="17">
        <f t="shared" si="6"/>
        <v>0</v>
      </c>
      <c r="AE14" s="31">
        <f t="shared" si="6"/>
        <v>8</v>
      </c>
      <c r="AF14" s="31">
        <f t="shared" si="6"/>
        <v>18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2</v>
      </c>
      <c r="P15" s="15">
        <f t="shared" si="1"/>
        <v>5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19</v>
      </c>
      <c r="AD15" s="17">
        <f t="shared" si="7"/>
        <v>0</v>
      </c>
      <c r="AE15" s="31">
        <f t="shared" si="7"/>
        <v>10</v>
      </c>
      <c r="AF15" s="31">
        <f t="shared" si="7"/>
        <v>29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1</v>
      </c>
      <c r="P16" s="15">
        <f t="shared" si="1"/>
        <v>6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7</v>
      </c>
      <c r="AD16" s="17">
        <f t="shared" si="8"/>
        <v>0</v>
      </c>
      <c r="AE16" s="31">
        <f t="shared" si="8"/>
        <v>4</v>
      </c>
      <c r="AF16" s="31">
        <f t="shared" si="8"/>
        <v>11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1</v>
      </c>
      <c r="P17" s="15">
        <f t="shared" si="1"/>
        <v>6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8</v>
      </c>
      <c r="AD17" s="17">
        <f t="shared" si="9"/>
        <v>0</v>
      </c>
      <c r="AE17" s="31">
        <f t="shared" si="9"/>
        <v>12</v>
      </c>
      <c r="AF17" s="31">
        <f t="shared" si="9"/>
        <v>20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3</v>
      </c>
      <c r="N18" s="50">
        <v>0</v>
      </c>
      <c r="O18" s="15">
        <f t="shared" si="0"/>
        <v>1</v>
      </c>
      <c r="P18" s="15">
        <f t="shared" si="1"/>
        <v>4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3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21</v>
      </c>
      <c r="AD18" s="17">
        <f t="shared" si="10"/>
        <v>0</v>
      </c>
      <c r="AE18" s="31">
        <f t="shared" si="10"/>
        <v>13</v>
      </c>
      <c r="AF18" s="31">
        <f t="shared" si="10"/>
        <v>34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2</v>
      </c>
      <c r="P19" s="15">
        <f t="shared" si="1"/>
        <v>8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1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21</v>
      </c>
      <c r="AD19" s="17">
        <f t="shared" si="11"/>
        <v>0</v>
      </c>
      <c r="AE19" s="31">
        <f t="shared" si="11"/>
        <v>8</v>
      </c>
      <c r="AF19" s="31">
        <f t="shared" si="11"/>
        <v>29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1</v>
      </c>
      <c r="P20" s="15">
        <f t="shared" si="1"/>
        <v>6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2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14</v>
      </c>
      <c r="AD20" s="17">
        <f t="shared" si="12"/>
        <v>0</v>
      </c>
      <c r="AE20" s="31">
        <f t="shared" si="12"/>
        <v>11</v>
      </c>
      <c r="AF20" s="31">
        <f t="shared" si="12"/>
        <v>25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5</v>
      </c>
      <c r="P21" s="15">
        <f t="shared" si="1"/>
        <v>10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3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11</v>
      </c>
      <c r="AD21" s="17">
        <f t="shared" si="13"/>
        <v>0</v>
      </c>
      <c r="AE21" s="31">
        <f t="shared" si="13"/>
        <v>5</v>
      </c>
      <c r="AF21" s="31">
        <f t="shared" si="13"/>
        <v>16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3</v>
      </c>
      <c r="P22" s="15">
        <f t="shared" si="1"/>
        <v>6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3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19</v>
      </c>
      <c r="AD22" s="39">
        <f t="shared" si="14"/>
        <v>0</v>
      </c>
      <c r="AE22" s="40">
        <f t="shared" si="14"/>
        <v>9</v>
      </c>
      <c r="AF22" s="40">
        <f t="shared" si="14"/>
        <v>28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2</v>
      </c>
      <c r="P23" s="15">
        <f t="shared" si="1"/>
        <v>7</v>
      </c>
      <c r="R23" s="38" t="s">
        <v>91</v>
      </c>
      <c r="S23" s="39">
        <f>MAX(S13:S18)</f>
        <v>3</v>
      </c>
      <c r="T23" s="39">
        <f t="shared" ref="T23:AF23" si="15">MAX(T13:T18)</f>
        <v>1</v>
      </c>
      <c r="U23" s="39">
        <f t="shared" si="15"/>
        <v>4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1</v>
      </c>
      <c r="AA23" s="39">
        <f t="shared" si="15"/>
        <v>1</v>
      </c>
      <c r="AB23" s="39">
        <f t="shared" si="15"/>
        <v>1</v>
      </c>
      <c r="AC23" s="39">
        <f t="shared" si="15"/>
        <v>21</v>
      </c>
      <c r="AD23" s="39">
        <f t="shared" si="15"/>
        <v>0</v>
      </c>
      <c r="AE23" s="40">
        <f t="shared" si="15"/>
        <v>13</v>
      </c>
      <c r="AF23" s="40">
        <f t="shared" si="15"/>
        <v>34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3</v>
      </c>
      <c r="P24" s="15">
        <f t="shared" si="1"/>
        <v>6</v>
      </c>
      <c r="R24" s="38" t="s">
        <v>92</v>
      </c>
      <c r="S24" s="39">
        <f>MAX(S19:S21)</f>
        <v>4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6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21</v>
      </c>
      <c r="AD24" s="39">
        <f t="shared" si="16"/>
        <v>0</v>
      </c>
      <c r="AE24" s="40">
        <f t="shared" si="16"/>
        <v>11</v>
      </c>
      <c r="AF24" s="40">
        <f t="shared" si="16"/>
        <v>29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1</v>
      </c>
      <c r="P25" s="15">
        <f t="shared" si="1"/>
        <v>5</v>
      </c>
      <c r="R25" s="37" t="s">
        <v>85</v>
      </c>
      <c r="S25" s="35">
        <f t="shared" ref="S25:AF25" si="17">SUM(S10:S12)</f>
        <v>3</v>
      </c>
      <c r="T25" s="16">
        <f t="shared" si="17"/>
        <v>2</v>
      </c>
      <c r="U25" s="16">
        <f t="shared" si="17"/>
        <v>5</v>
      </c>
      <c r="V25" s="16">
        <f t="shared" si="17"/>
        <v>7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44</v>
      </c>
      <c r="AD25" s="16">
        <f t="shared" si="17"/>
        <v>0</v>
      </c>
      <c r="AE25" s="32">
        <f t="shared" si="17"/>
        <v>22</v>
      </c>
      <c r="AF25" s="32">
        <f t="shared" si="17"/>
        <v>66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1</v>
      </c>
      <c r="P26" s="15">
        <f t="shared" si="1"/>
        <v>3</v>
      </c>
      <c r="R26" s="28" t="s">
        <v>86</v>
      </c>
      <c r="S26" s="16">
        <f t="shared" ref="S26:AF26" si="18">SUM(S13:S18)</f>
        <v>12</v>
      </c>
      <c r="T26" s="16">
        <f t="shared" si="18"/>
        <v>3</v>
      </c>
      <c r="U26" s="16">
        <f t="shared" si="18"/>
        <v>14</v>
      </c>
      <c r="V26" s="16">
        <f t="shared" si="18"/>
        <v>16</v>
      </c>
      <c r="W26" s="16">
        <f t="shared" si="18"/>
        <v>0</v>
      </c>
      <c r="X26" s="16">
        <f t="shared" si="18"/>
        <v>0</v>
      </c>
      <c r="Y26" s="16">
        <f t="shared" si="18"/>
        <v>5</v>
      </c>
      <c r="Z26" s="16">
        <f t="shared" si="18"/>
        <v>2</v>
      </c>
      <c r="AA26" s="16">
        <f t="shared" si="18"/>
        <v>1</v>
      </c>
      <c r="AB26" s="16">
        <f t="shared" si="18"/>
        <v>3</v>
      </c>
      <c r="AC26" s="16">
        <f t="shared" si="18"/>
        <v>80</v>
      </c>
      <c r="AD26" s="16">
        <f t="shared" si="18"/>
        <v>0</v>
      </c>
      <c r="AE26" s="32">
        <f t="shared" si="18"/>
        <v>56</v>
      </c>
      <c r="AF26" s="32">
        <f t="shared" si="18"/>
        <v>136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3</v>
      </c>
      <c r="P27" s="15">
        <f t="shared" si="1"/>
        <v>8</v>
      </c>
      <c r="R27" s="29" t="s">
        <v>87</v>
      </c>
      <c r="S27" s="16">
        <f t="shared" ref="S27:AF27" si="19">SUM(S19:S21)</f>
        <v>6</v>
      </c>
      <c r="T27" s="16">
        <f t="shared" si="19"/>
        <v>0</v>
      </c>
      <c r="U27" s="16">
        <f t="shared" si="19"/>
        <v>6</v>
      </c>
      <c r="V27" s="16">
        <f t="shared" si="19"/>
        <v>11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46</v>
      </c>
      <c r="AD27" s="16">
        <f t="shared" si="19"/>
        <v>0</v>
      </c>
      <c r="AE27" s="32">
        <f t="shared" si="19"/>
        <v>24</v>
      </c>
      <c r="AF27" s="32">
        <f t="shared" si="19"/>
        <v>70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1</v>
      </c>
      <c r="N28" s="50">
        <v>0</v>
      </c>
      <c r="O28" s="15">
        <f t="shared" si="0"/>
        <v>3</v>
      </c>
      <c r="P28" s="15">
        <f t="shared" si="1"/>
        <v>4</v>
      </c>
      <c r="R28" s="5" t="s">
        <v>17</v>
      </c>
      <c r="S28" s="16">
        <f t="shared" ref="S28:AF28" si="20">SUM(S10:S21)</f>
        <v>21</v>
      </c>
      <c r="T28" s="16">
        <f t="shared" si="20"/>
        <v>5</v>
      </c>
      <c r="U28" s="16">
        <f t="shared" si="20"/>
        <v>25</v>
      </c>
      <c r="V28" s="16">
        <f t="shared" si="20"/>
        <v>34</v>
      </c>
      <c r="W28" s="16">
        <f t="shared" si="20"/>
        <v>0</v>
      </c>
      <c r="X28" s="16">
        <f t="shared" si="20"/>
        <v>0</v>
      </c>
      <c r="Y28" s="16">
        <f t="shared" si="20"/>
        <v>8</v>
      </c>
      <c r="Z28" s="16">
        <f t="shared" si="20"/>
        <v>4</v>
      </c>
      <c r="AA28" s="16">
        <f t="shared" si="20"/>
        <v>2</v>
      </c>
      <c r="AB28" s="16">
        <f t="shared" si="20"/>
        <v>3</v>
      </c>
      <c r="AC28" s="16">
        <f t="shared" si="20"/>
        <v>170</v>
      </c>
      <c r="AD28" s="16">
        <f t="shared" si="20"/>
        <v>0</v>
      </c>
      <c r="AE28" s="32">
        <f t="shared" si="20"/>
        <v>102</v>
      </c>
      <c r="AF28" s="32">
        <f t="shared" si="20"/>
        <v>272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1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3</v>
      </c>
      <c r="N30" s="50">
        <v>0</v>
      </c>
      <c r="O30" s="15">
        <f t="shared" si="0"/>
        <v>5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0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3</v>
      </c>
      <c r="P32" s="15">
        <f t="shared" si="1"/>
        <v>9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2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2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2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0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2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4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1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1</v>
      </c>
      <c r="M41" s="50">
        <v>3</v>
      </c>
      <c r="N41" s="50">
        <v>0</v>
      </c>
      <c r="O41" s="15">
        <f t="shared" si="0"/>
        <v>5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1</v>
      </c>
      <c r="M42" s="50">
        <v>3</v>
      </c>
      <c r="N42" s="50">
        <v>0</v>
      </c>
      <c r="O42" s="15">
        <f t="shared" si="0"/>
        <v>3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2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6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2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5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2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5</v>
      </c>
      <c r="N48" s="50">
        <v>0</v>
      </c>
      <c r="O48" s="15">
        <f t="shared" si="0"/>
        <v>0</v>
      </c>
      <c r="P48" s="15">
        <f t="shared" si="1"/>
        <v>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1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1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2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</v>
      </c>
      <c r="N52" s="50">
        <v>0</v>
      </c>
      <c r="O52" s="15">
        <f t="shared" si="0"/>
        <v>2</v>
      </c>
      <c r="P52" s="15">
        <f t="shared" si="1"/>
        <v>3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6</v>
      </c>
      <c r="P53" s="15">
        <f t="shared" si="1"/>
        <v>11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2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2</v>
      </c>
      <c r="P55" s="15">
        <f t="shared" si="1"/>
        <v>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0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</v>
      </c>
      <c r="D58" s="16">
        <f t="shared" si="21"/>
        <v>5</v>
      </c>
      <c r="E58" s="16">
        <f t="shared" si="21"/>
        <v>25</v>
      </c>
      <c r="F58" s="16">
        <f t="shared" si="21"/>
        <v>34</v>
      </c>
      <c r="G58" s="16">
        <f t="shared" si="21"/>
        <v>0</v>
      </c>
      <c r="H58" s="16">
        <f t="shared" si="21"/>
        <v>0</v>
      </c>
      <c r="I58" s="16">
        <f t="shared" si="21"/>
        <v>8</v>
      </c>
      <c r="J58" s="16">
        <f t="shared" si="21"/>
        <v>4</v>
      </c>
      <c r="K58" s="16">
        <f t="shared" si="21"/>
        <v>2</v>
      </c>
      <c r="L58" s="16">
        <f t="shared" si="21"/>
        <v>3</v>
      </c>
      <c r="M58" s="16">
        <f t="shared" si="21"/>
        <v>170</v>
      </c>
      <c r="N58" s="16">
        <f t="shared" si="21"/>
        <v>0</v>
      </c>
      <c r="O58" s="16">
        <f t="shared" si="21"/>
        <v>102</v>
      </c>
      <c r="P58" s="16">
        <f t="shared" si="21"/>
        <v>272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7.720588235294118E-2</v>
      </c>
      <c r="D59" s="43">
        <f t="shared" si="22"/>
        <v>1.8382352941176471E-2</v>
      </c>
      <c r="E59" s="43">
        <f t="shared" si="22"/>
        <v>9.1911764705882359E-2</v>
      </c>
      <c r="F59" s="43">
        <f t="shared" si="22"/>
        <v>0.125</v>
      </c>
      <c r="G59" s="43">
        <f t="shared" si="22"/>
        <v>0</v>
      </c>
      <c r="H59" s="43">
        <f t="shared" si="22"/>
        <v>0</v>
      </c>
      <c r="I59" s="43">
        <f t="shared" si="22"/>
        <v>2.9411764705882353E-2</v>
      </c>
      <c r="J59" s="43">
        <f t="shared" si="22"/>
        <v>1.4705882352941176E-2</v>
      </c>
      <c r="K59" s="43">
        <f t="shared" si="22"/>
        <v>7.3529411764705881E-3</v>
      </c>
      <c r="L59" s="43">
        <f t="shared" si="22"/>
        <v>1.1029411764705883E-2</v>
      </c>
      <c r="M59" s="43">
        <f t="shared" si="22"/>
        <v>0.625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0.20588235294117646</v>
      </c>
      <c r="D60" s="44">
        <f t="shared" ref="D60:N60" si="23">D58/$O$58</f>
        <v>4.9019607843137254E-2</v>
      </c>
      <c r="E60" s="44">
        <f t="shared" si="23"/>
        <v>0.24509803921568626</v>
      </c>
      <c r="F60" s="44">
        <f t="shared" si="23"/>
        <v>0.33333333333333331</v>
      </c>
      <c r="G60" s="44">
        <f t="shared" si="23"/>
        <v>0</v>
      </c>
      <c r="H60" s="44">
        <f t="shared" si="23"/>
        <v>0</v>
      </c>
      <c r="I60" s="44">
        <f t="shared" si="23"/>
        <v>7.8431372549019607E-2</v>
      </c>
      <c r="J60" s="44">
        <f t="shared" si="23"/>
        <v>3.9215686274509803E-2</v>
      </c>
      <c r="K60" s="44">
        <f t="shared" si="23"/>
        <v>1.9607843137254902E-2</v>
      </c>
      <c r="L60" s="44">
        <f t="shared" si="23"/>
        <v>2.9411764705882353E-2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1" t="str">
        <f>'30.10 BULIISA-HOIMA'!G5:H5</f>
        <v>KISIABI</v>
      </c>
      <c r="H5" s="62"/>
      <c r="I5" s="14"/>
      <c r="J5" s="2" t="s">
        <v>5</v>
      </c>
      <c r="K5" s="61" t="s">
        <v>170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HOIMA-BULIISA'!D6:E6</f>
        <v>HOIMA</v>
      </c>
      <c r="E6" s="62"/>
      <c r="F6" s="2" t="s">
        <v>2</v>
      </c>
      <c r="G6" s="61" t="str">
        <f>'25.10 HOIMA-BULIISA'!G6:H6</f>
        <v>BULIISA</v>
      </c>
      <c r="H6" s="62"/>
      <c r="J6" s="2" t="s">
        <v>21</v>
      </c>
      <c r="K6" s="61" t="str">
        <f>'30.10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2</v>
      </c>
      <c r="V10" s="17">
        <f t="shared" si="2"/>
        <v>4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7</v>
      </c>
      <c r="AF10" s="31">
        <f t="shared" si="2"/>
        <v>19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3</v>
      </c>
      <c r="P11" s="15">
        <f t="shared" si="1"/>
        <v>7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18</v>
      </c>
      <c r="AD11" s="17">
        <f t="shared" si="3"/>
        <v>0</v>
      </c>
      <c r="AE11" s="31">
        <f t="shared" si="3"/>
        <v>10</v>
      </c>
      <c r="AF11" s="31">
        <f t="shared" si="3"/>
        <v>28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0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3</v>
      </c>
      <c r="V12" s="17">
        <f t="shared" si="4"/>
        <v>3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0</v>
      </c>
      <c r="AA12" s="17">
        <f t="shared" si="4"/>
        <v>2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11</v>
      </c>
      <c r="AF12" s="31">
        <f t="shared" si="4"/>
        <v>28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2</v>
      </c>
      <c r="P13" s="15">
        <f t="shared" si="1"/>
        <v>4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3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24</v>
      </c>
      <c r="AD13" s="17">
        <f t="shared" si="5"/>
        <v>0</v>
      </c>
      <c r="AE13" s="31">
        <f t="shared" si="5"/>
        <v>9</v>
      </c>
      <c r="AF13" s="31">
        <f t="shared" si="5"/>
        <v>33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3</v>
      </c>
      <c r="P14" s="15">
        <f t="shared" si="1"/>
        <v>11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0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16</v>
      </c>
      <c r="AD14" s="17">
        <f t="shared" si="6"/>
        <v>0</v>
      </c>
      <c r="AE14" s="31">
        <f t="shared" si="6"/>
        <v>9</v>
      </c>
      <c r="AF14" s="31">
        <f t="shared" si="6"/>
        <v>25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3</v>
      </c>
      <c r="P15" s="15">
        <f t="shared" si="1"/>
        <v>4</v>
      </c>
      <c r="R15" s="1" t="s">
        <v>11</v>
      </c>
      <c r="S15" s="17">
        <f t="shared" ref="S15:AF15" si="7">SUM(C30:C33)</f>
        <v>1</v>
      </c>
      <c r="T15" s="17">
        <f t="shared" si="7"/>
        <v>4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15</v>
      </c>
      <c r="AD15" s="17">
        <f t="shared" si="7"/>
        <v>0</v>
      </c>
      <c r="AE15" s="31">
        <f t="shared" si="7"/>
        <v>11</v>
      </c>
      <c r="AF15" s="31">
        <f t="shared" si="7"/>
        <v>26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2</v>
      </c>
      <c r="P16" s="15">
        <f t="shared" si="1"/>
        <v>9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3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10</v>
      </c>
      <c r="AD16" s="17">
        <f t="shared" si="8"/>
        <v>0</v>
      </c>
      <c r="AE16" s="31">
        <f t="shared" si="8"/>
        <v>7</v>
      </c>
      <c r="AF16" s="31">
        <f t="shared" si="8"/>
        <v>17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2</v>
      </c>
      <c r="P17" s="15">
        <f t="shared" si="1"/>
        <v>4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4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</v>
      </c>
      <c r="AD17" s="17">
        <f t="shared" si="9"/>
        <v>0</v>
      </c>
      <c r="AE17" s="31">
        <f t="shared" si="9"/>
        <v>9</v>
      </c>
      <c r="AF17" s="31">
        <f t="shared" si="9"/>
        <v>18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5</v>
      </c>
      <c r="N18" s="50">
        <v>0</v>
      </c>
      <c r="O18" s="15">
        <f t="shared" si="0"/>
        <v>4</v>
      </c>
      <c r="P18" s="15">
        <f t="shared" si="1"/>
        <v>9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19</v>
      </c>
      <c r="AD18" s="17">
        <f t="shared" si="10"/>
        <v>0</v>
      </c>
      <c r="AE18" s="31">
        <f t="shared" si="10"/>
        <v>7</v>
      </c>
      <c r="AF18" s="31">
        <f t="shared" si="10"/>
        <v>26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4</v>
      </c>
      <c r="N19" s="50">
        <v>0</v>
      </c>
      <c r="O19" s="15">
        <f t="shared" si="0"/>
        <v>4</v>
      </c>
      <c r="P19" s="15">
        <f t="shared" si="1"/>
        <v>8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14</v>
      </c>
      <c r="AD19" s="17">
        <f t="shared" si="11"/>
        <v>0</v>
      </c>
      <c r="AE19" s="31">
        <f t="shared" si="11"/>
        <v>6</v>
      </c>
      <c r="AF19" s="31">
        <f t="shared" si="11"/>
        <v>20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2</v>
      </c>
      <c r="P20" s="15">
        <f t="shared" si="1"/>
        <v>4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26</v>
      </c>
      <c r="AD20" s="17">
        <f t="shared" si="12"/>
        <v>0</v>
      </c>
      <c r="AE20" s="31">
        <f t="shared" si="12"/>
        <v>7</v>
      </c>
      <c r="AF20" s="31">
        <f t="shared" si="12"/>
        <v>33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1</v>
      </c>
      <c r="P21" s="15">
        <f t="shared" si="1"/>
        <v>7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23</v>
      </c>
      <c r="AD21" s="17">
        <f t="shared" si="13"/>
        <v>0</v>
      </c>
      <c r="AE21" s="31">
        <f t="shared" si="13"/>
        <v>4</v>
      </c>
      <c r="AF21" s="31">
        <f t="shared" si="13"/>
        <v>27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1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5</v>
      </c>
      <c r="W22" s="39">
        <f t="shared" si="14"/>
        <v>1</v>
      </c>
      <c r="X22" s="39">
        <f t="shared" si="14"/>
        <v>1</v>
      </c>
      <c r="Y22" s="39">
        <f t="shared" si="14"/>
        <v>1</v>
      </c>
      <c r="Z22" s="39">
        <f t="shared" si="14"/>
        <v>2</v>
      </c>
      <c r="AA22" s="39">
        <f t="shared" si="14"/>
        <v>2</v>
      </c>
      <c r="AB22" s="39">
        <f t="shared" si="14"/>
        <v>0</v>
      </c>
      <c r="AC22" s="39">
        <f t="shared" si="14"/>
        <v>18</v>
      </c>
      <c r="AD22" s="39">
        <f t="shared" si="14"/>
        <v>0</v>
      </c>
      <c r="AE22" s="40">
        <f t="shared" si="14"/>
        <v>11</v>
      </c>
      <c r="AF22" s="40">
        <f t="shared" si="14"/>
        <v>28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2</v>
      </c>
      <c r="P23" s="15">
        <f t="shared" si="1"/>
        <v>9</v>
      </c>
      <c r="R23" s="38" t="s">
        <v>91</v>
      </c>
      <c r="S23" s="39">
        <f>MAX(S13:S18)</f>
        <v>2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1</v>
      </c>
      <c r="AB23" s="39">
        <f t="shared" si="15"/>
        <v>1</v>
      </c>
      <c r="AC23" s="39">
        <f t="shared" si="15"/>
        <v>24</v>
      </c>
      <c r="AD23" s="39">
        <f t="shared" si="15"/>
        <v>0</v>
      </c>
      <c r="AE23" s="40">
        <f t="shared" si="15"/>
        <v>11</v>
      </c>
      <c r="AF23" s="40">
        <f t="shared" si="15"/>
        <v>33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2</v>
      </c>
      <c r="P24" s="15">
        <f t="shared" si="1"/>
        <v>7</v>
      </c>
      <c r="R24" s="38" t="s">
        <v>92</v>
      </c>
      <c r="S24" s="39">
        <f>MAX(S19:S21)</f>
        <v>2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26</v>
      </c>
      <c r="AD24" s="39">
        <f t="shared" si="16"/>
        <v>0</v>
      </c>
      <c r="AE24" s="40">
        <f t="shared" si="16"/>
        <v>7</v>
      </c>
      <c r="AF24" s="40">
        <f t="shared" si="16"/>
        <v>33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6</v>
      </c>
      <c r="N25" s="50">
        <v>0</v>
      </c>
      <c r="O25" s="15">
        <f t="shared" si="0"/>
        <v>3</v>
      </c>
      <c r="P25" s="15">
        <f t="shared" si="1"/>
        <v>9</v>
      </c>
      <c r="R25" s="37" t="s">
        <v>85</v>
      </c>
      <c r="S25" s="35">
        <f t="shared" ref="S25:AF25" si="17">SUM(S10:S12)</f>
        <v>2</v>
      </c>
      <c r="T25" s="16">
        <f t="shared" si="17"/>
        <v>1</v>
      </c>
      <c r="U25" s="16">
        <f t="shared" si="17"/>
        <v>6</v>
      </c>
      <c r="V25" s="16">
        <f t="shared" si="17"/>
        <v>12</v>
      </c>
      <c r="W25" s="16">
        <f t="shared" si="17"/>
        <v>1</v>
      </c>
      <c r="X25" s="16">
        <f t="shared" si="17"/>
        <v>1</v>
      </c>
      <c r="Y25" s="16">
        <f t="shared" si="17"/>
        <v>1</v>
      </c>
      <c r="Z25" s="16">
        <f t="shared" si="17"/>
        <v>2</v>
      </c>
      <c r="AA25" s="16">
        <f t="shared" si="17"/>
        <v>2</v>
      </c>
      <c r="AB25" s="16">
        <f t="shared" si="17"/>
        <v>0</v>
      </c>
      <c r="AC25" s="16">
        <f t="shared" si="17"/>
        <v>47</v>
      </c>
      <c r="AD25" s="16">
        <f t="shared" si="17"/>
        <v>0</v>
      </c>
      <c r="AE25" s="32">
        <f t="shared" si="17"/>
        <v>28</v>
      </c>
      <c r="AF25" s="32">
        <f t="shared" si="17"/>
        <v>75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1</v>
      </c>
      <c r="P26" s="15">
        <f t="shared" si="1"/>
        <v>3</v>
      </c>
      <c r="R26" s="28" t="s">
        <v>86</v>
      </c>
      <c r="S26" s="16">
        <f t="shared" ref="S26:AF26" si="18">SUM(S13:S18)</f>
        <v>5</v>
      </c>
      <c r="T26" s="16">
        <f t="shared" si="18"/>
        <v>7</v>
      </c>
      <c r="U26" s="16">
        <f t="shared" si="18"/>
        <v>16</v>
      </c>
      <c r="V26" s="16">
        <f t="shared" si="18"/>
        <v>19</v>
      </c>
      <c r="W26" s="16">
        <f t="shared" si="18"/>
        <v>0</v>
      </c>
      <c r="X26" s="16">
        <f t="shared" si="18"/>
        <v>0</v>
      </c>
      <c r="Y26" s="16">
        <f t="shared" si="18"/>
        <v>2</v>
      </c>
      <c r="Z26" s="16">
        <f t="shared" si="18"/>
        <v>1</v>
      </c>
      <c r="AA26" s="16">
        <f t="shared" si="18"/>
        <v>1</v>
      </c>
      <c r="AB26" s="16">
        <f t="shared" si="18"/>
        <v>1</v>
      </c>
      <c r="AC26" s="16">
        <f t="shared" si="18"/>
        <v>93</v>
      </c>
      <c r="AD26" s="16">
        <f t="shared" si="18"/>
        <v>0</v>
      </c>
      <c r="AE26" s="32">
        <f t="shared" si="18"/>
        <v>52</v>
      </c>
      <c r="AF26" s="32">
        <f t="shared" si="18"/>
        <v>145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5</v>
      </c>
      <c r="P27" s="15">
        <f t="shared" si="1"/>
        <v>10</v>
      </c>
      <c r="R27" s="29" t="s">
        <v>87</v>
      </c>
      <c r="S27" s="16">
        <f t="shared" ref="S27:AF27" si="19">SUM(S19:S21)</f>
        <v>4</v>
      </c>
      <c r="T27" s="16">
        <f t="shared" si="19"/>
        <v>0</v>
      </c>
      <c r="U27" s="16">
        <f t="shared" si="19"/>
        <v>6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63</v>
      </c>
      <c r="AD27" s="16">
        <f t="shared" si="19"/>
        <v>0</v>
      </c>
      <c r="AE27" s="32">
        <f t="shared" si="19"/>
        <v>17</v>
      </c>
      <c r="AF27" s="32">
        <f t="shared" si="19"/>
        <v>80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1</v>
      </c>
      <c r="M28" s="50">
        <v>3</v>
      </c>
      <c r="N28" s="50">
        <v>0</v>
      </c>
      <c r="O28" s="15">
        <f t="shared" si="0"/>
        <v>1</v>
      </c>
      <c r="P28" s="15">
        <f t="shared" si="1"/>
        <v>4</v>
      </c>
      <c r="R28" s="5" t="s">
        <v>17</v>
      </c>
      <c r="S28" s="16">
        <f t="shared" ref="S28:AF28" si="20">SUM(S10:S21)</f>
        <v>11</v>
      </c>
      <c r="T28" s="16">
        <f t="shared" si="20"/>
        <v>8</v>
      </c>
      <c r="U28" s="16">
        <f t="shared" si="20"/>
        <v>28</v>
      </c>
      <c r="V28" s="16">
        <f t="shared" si="20"/>
        <v>36</v>
      </c>
      <c r="W28" s="16">
        <f t="shared" si="20"/>
        <v>1</v>
      </c>
      <c r="X28" s="16">
        <f t="shared" si="20"/>
        <v>1</v>
      </c>
      <c r="Y28" s="16">
        <f t="shared" si="20"/>
        <v>3</v>
      </c>
      <c r="Z28" s="16">
        <f t="shared" si="20"/>
        <v>4</v>
      </c>
      <c r="AA28" s="16">
        <f t="shared" si="20"/>
        <v>4</v>
      </c>
      <c r="AB28" s="16">
        <f t="shared" si="20"/>
        <v>1</v>
      </c>
      <c r="AC28" s="16">
        <f t="shared" si="20"/>
        <v>203</v>
      </c>
      <c r="AD28" s="16">
        <f t="shared" si="20"/>
        <v>0</v>
      </c>
      <c r="AE28" s="32">
        <f t="shared" si="20"/>
        <v>97</v>
      </c>
      <c r="AF28" s="32">
        <f t="shared" si="20"/>
        <v>300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2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3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0</v>
      </c>
      <c r="D31" s="50">
        <v>3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5</v>
      </c>
      <c r="P31" s="15">
        <f t="shared" si="1"/>
        <v>8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2</v>
      </c>
      <c r="P32" s="15">
        <f t="shared" si="1"/>
        <v>3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1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2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3</v>
      </c>
      <c r="P36" s="15">
        <f t="shared" si="1"/>
        <v>7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1</v>
      </c>
      <c r="P37" s="15">
        <f t="shared" si="1"/>
        <v>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1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3</v>
      </c>
      <c r="P39" s="15">
        <f t="shared" si="1"/>
        <v>5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3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3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2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2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1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2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2</v>
      </c>
      <c r="P45" s="15">
        <f t="shared" si="1"/>
        <v>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2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3</v>
      </c>
      <c r="P47" s="15">
        <f t="shared" si="1"/>
        <v>6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0</v>
      </c>
      <c r="P48" s="15">
        <f t="shared" si="1"/>
        <v>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1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2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0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7</v>
      </c>
      <c r="N52" s="50">
        <v>0</v>
      </c>
      <c r="O52" s="15">
        <f t="shared" si="0"/>
        <v>2</v>
      </c>
      <c r="P52" s="15">
        <f t="shared" si="1"/>
        <v>9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3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0</v>
      </c>
      <c r="P54" s="15">
        <f t="shared" si="1"/>
        <v>7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0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2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3</v>
      </c>
      <c r="P56" s="15">
        <f t="shared" si="1"/>
        <v>9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1</v>
      </c>
      <c r="P57" s="15">
        <f t="shared" si="1"/>
        <v>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</v>
      </c>
      <c r="D58" s="16">
        <f t="shared" si="21"/>
        <v>8</v>
      </c>
      <c r="E58" s="16">
        <f t="shared" si="21"/>
        <v>28</v>
      </c>
      <c r="F58" s="16">
        <f t="shared" si="21"/>
        <v>36</v>
      </c>
      <c r="G58" s="16">
        <f t="shared" si="21"/>
        <v>1</v>
      </c>
      <c r="H58" s="16">
        <f t="shared" si="21"/>
        <v>1</v>
      </c>
      <c r="I58" s="16">
        <f t="shared" si="21"/>
        <v>3</v>
      </c>
      <c r="J58" s="16">
        <f t="shared" si="21"/>
        <v>4</v>
      </c>
      <c r="K58" s="16">
        <f t="shared" si="21"/>
        <v>4</v>
      </c>
      <c r="L58" s="16">
        <f t="shared" si="21"/>
        <v>1</v>
      </c>
      <c r="M58" s="16">
        <f t="shared" si="21"/>
        <v>203</v>
      </c>
      <c r="N58" s="16">
        <f t="shared" si="21"/>
        <v>0</v>
      </c>
      <c r="O58" s="16">
        <f t="shared" si="21"/>
        <v>97</v>
      </c>
      <c r="P58" s="16">
        <f t="shared" si="21"/>
        <v>300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3.6666666666666667E-2</v>
      </c>
      <c r="D59" s="43">
        <f t="shared" si="22"/>
        <v>2.6666666666666668E-2</v>
      </c>
      <c r="E59" s="43">
        <f t="shared" si="22"/>
        <v>9.3333333333333338E-2</v>
      </c>
      <c r="F59" s="43">
        <f t="shared" si="22"/>
        <v>0.12</v>
      </c>
      <c r="G59" s="43">
        <f t="shared" si="22"/>
        <v>3.3333333333333335E-3</v>
      </c>
      <c r="H59" s="43">
        <f t="shared" si="22"/>
        <v>3.3333333333333335E-3</v>
      </c>
      <c r="I59" s="43">
        <f t="shared" si="22"/>
        <v>0.01</v>
      </c>
      <c r="J59" s="43">
        <f t="shared" si="22"/>
        <v>1.3333333333333334E-2</v>
      </c>
      <c r="K59" s="43">
        <f t="shared" si="22"/>
        <v>1.3333333333333334E-2</v>
      </c>
      <c r="L59" s="43">
        <f t="shared" si="22"/>
        <v>3.3333333333333335E-3</v>
      </c>
      <c r="M59" s="43">
        <f t="shared" si="22"/>
        <v>0.67666666666666664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0.1134020618556701</v>
      </c>
      <c r="D60" s="44">
        <f t="shared" ref="D60:N60" si="23">D58/$O$58</f>
        <v>8.247422680412371E-2</v>
      </c>
      <c r="E60" s="44">
        <f t="shared" si="23"/>
        <v>0.28865979381443296</v>
      </c>
      <c r="F60" s="44">
        <f t="shared" si="23"/>
        <v>0.37113402061855671</v>
      </c>
      <c r="G60" s="44">
        <f t="shared" si="23"/>
        <v>1.0309278350515464E-2</v>
      </c>
      <c r="H60" s="44">
        <f t="shared" si="23"/>
        <v>1.0309278350515464E-2</v>
      </c>
      <c r="I60" s="44">
        <f t="shared" si="23"/>
        <v>3.0927835051546393E-2</v>
      </c>
      <c r="J60" s="44">
        <f t="shared" si="23"/>
        <v>4.1237113402061855E-2</v>
      </c>
      <c r="K60" s="44">
        <f t="shared" si="23"/>
        <v>4.1237113402061855E-2</v>
      </c>
      <c r="L60" s="44">
        <f t="shared" si="23"/>
        <v>1.0309278350515464E-2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C52" sqref="C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BULIISA-HOIMA'!C3:G3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1" t="str">
        <f>'28.10 HOIMA-BULIISA-24h'!G5:H5</f>
        <v>KISIABI</v>
      </c>
      <c r="H5" s="62"/>
      <c r="I5" s="14"/>
      <c r="J5" s="2" t="s">
        <v>5</v>
      </c>
      <c r="K5" s="61" t="s">
        <v>169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BULIISA-HOIMA'!D6:E6</f>
        <v>BULIISA</v>
      </c>
      <c r="E6" s="62"/>
      <c r="F6" s="2" t="s">
        <v>2</v>
      </c>
      <c r="G6" s="61" t="str">
        <f>'25.10 BULIISA-HOIMA'!G6:H6</f>
        <v>HOIMA</v>
      </c>
      <c r="H6" s="62"/>
      <c r="J6" s="2" t="s">
        <v>21</v>
      </c>
      <c r="K6" s="61" t="str">
        <f>'28.10 HOIMA-BULIISA-24h'!K6:L6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5</v>
      </c>
      <c r="AF10" s="31">
        <f t="shared" si="2"/>
        <v>20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5</v>
      </c>
      <c r="AF11" s="31">
        <f t="shared" si="3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2</v>
      </c>
      <c r="P12" s="15">
        <f t="shared" si="1"/>
        <v>8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1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18</v>
      </c>
      <c r="AD12" s="17">
        <f t="shared" si="4"/>
        <v>0</v>
      </c>
      <c r="AE12" s="31">
        <f t="shared" si="4"/>
        <v>12</v>
      </c>
      <c r="AF12" s="31">
        <f t="shared" si="4"/>
        <v>30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0</v>
      </c>
      <c r="P13" s="15">
        <f t="shared" si="1"/>
        <v>4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2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9</v>
      </c>
      <c r="AD13" s="17">
        <f t="shared" si="5"/>
        <v>0</v>
      </c>
      <c r="AE13" s="31">
        <f t="shared" si="5"/>
        <v>9</v>
      </c>
      <c r="AF13" s="31">
        <f t="shared" si="5"/>
        <v>18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2</v>
      </c>
      <c r="P14" s="15">
        <f t="shared" si="1"/>
        <v>6</v>
      </c>
      <c r="R14" s="1" t="s">
        <v>10</v>
      </c>
      <c r="S14" s="17">
        <f t="shared" ref="S14:AF14" si="6">SUM(C26:C29)</f>
        <v>1</v>
      </c>
      <c r="T14" s="17">
        <f t="shared" si="6"/>
        <v>2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16</v>
      </c>
      <c r="AD14" s="17">
        <f t="shared" si="6"/>
        <v>0</v>
      </c>
      <c r="AE14" s="31">
        <f t="shared" si="6"/>
        <v>9</v>
      </c>
      <c r="AF14" s="31">
        <f t="shared" si="6"/>
        <v>25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2</v>
      </c>
      <c r="P15" s="15">
        <f t="shared" si="1"/>
        <v>6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13</v>
      </c>
      <c r="AD15" s="17">
        <f t="shared" si="7"/>
        <v>0</v>
      </c>
      <c r="AE15" s="31">
        <f t="shared" si="7"/>
        <v>6</v>
      </c>
      <c r="AF15" s="31">
        <f t="shared" si="7"/>
        <v>19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</v>
      </c>
      <c r="P16" s="15">
        <f t="shared" si="1"/>
        <v>5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14</v>
      </c>
      <c r="AD16" s="17">
        <f t="shared" si="8"/>
        <v>0</v>
      </c>
      <c r="AE16" s="31">
        <f t="shared" si="8"/>
        <v>7</v>
      </c>
      <c r="AF16" s="31">
        <f t="shared" si="8"/>
        <v>21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0</v>
      </c>
      <c r="P17" s="15">
        <f t="shared" si="1"/>
        <v>4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9</v>
      </c>
      <c r="AD17" s="17">
        <f t="shared" si="9"/>
        <v>0</v>
      </c>
      <c r="AE17" s="31">
        <f t="shared" si="9"/>
        <v>7</v>
      </c>
      <c r="AF17" s="31">
        <f t="shared" si="9"/>
        <v>16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2</v>
      </c>
      <c r="P18" s="15">
        <f t="shared" si="1"/>
        <v>3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23</v>
      </c>
      <c r="AD18" s="17">
        <f t="shared" si="10"/>
        <v>0</v>
      </c>
      <c r="AE18" s="31">
        <f t="shared" si="10"/>
        <v>7</v>
      </c>
      <c r="AF18" s="31">
        <f t="shared" si="10"/>
        <v>30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6</v>
      </c>
      <c r="P19" s="15">
        <f t="shared" si="1"/>
        <v>15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20</v>
      </c>
      <c r="AD19" s="17">
        <f t="shared" si="11"/>
        <v>0</v>
      </c>
      <c r="AE19" s="31">
        <f t="shared" si="11"/>
        <v>6</v>
      </c>
      <c r="AF19" s="31">
        <f t="shared" si="11"/>
        <v>26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1</v>
      </c>
      <c r="P20" s="15">
        <f t="shared" si="1"/>
        <v>7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0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20</v>
      </c>
      <c r="AD20" s="17">
        <f t="shared" si="12"/>
        <v>0</v>
      </c>
      <c r="AE20" s="31">
        <f t="shared" si="12"/>
        <v>3</v>
      </c>
      <c r="AF20" s="31">
        <f t="shared" si="12"/>
        <v>23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3</v>
      </c>
      <c r="P21" s="15">
        <f t="shared" si="1"/>
        <v>5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2</v>
      </c>
      <c r="AB21" s="17">
        <f t="shared" si="13"/>
        <v>0</v>
      </c>
      <c r="AC21" s="17">
        <f t="shared" si="13"/>
        <v>11</v>
      </c>
      <c r="AD21" s="17">
        <f t="shared" si="13"/>
        <v>0</v>
      </c>
      <c r="AE21" s="31">
        <f t="shared" si="13"/>
        <v>3</v>
      </c>
      <c r="AF21" s="31">
        <f t="shared" si="13"/>
        <v>14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4</v>
      </c>
      <c r="N22" s="50">
        <v>0</v>
      </c>
      <c r="O22" s="15">
        <f t="shared" si="0"/>
        <v>2</v>
      </c>
      <c r="P22" s="15">
        <f t="shared" si="1"/>
        <v>6</v>
      </c>
      <c r="R22" s="38" t="s">
        <v>90</v>
      </c>
      <c r="S22" s="39">
        <f>MAX(S10:S12)</f>
        <v>0</v>
      </c>
      <c r="T22" s="39">
        <f t="shared" ref="T22:AF22" si="14">MAX(T10:T12)</f>
        <v>2</v>
      </c>
      <c r="U22" s="39">
        <f t="shared" si="14"/>
        <v>3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18</v>
      </c>
      <c r="AD22" s="39">
        <f t="shared" si="14"/>
        <v>0</v>
      </c>
      <c r="AE22" s="40">
        <f t="shared" si="14"/>
        <v>12</v>
      </c>
      <c r="AF22" s="40">
        <f t="shared" si="14"/>
        <v>30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3</v>
      </c>
      <c r="P23" s="15">
        <f t="shared" si="1"/>
        <v>6</v>
      </c>
      <c r="R23" s="38" t="s">
        <v>91</v>
      </c>
      <c r="S23" s="39">
        <f>MAX(S13:S18)</f>
        <v>2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2</v>
      </c>
      <c r="AB23" s="39">
        <f t="shared" si="15"/>
        <v>0</v>
      </c>
      <c r="AC23" s="39">
        <f t="shared" si="15"/>
        <v>23</v>
      </c>
      <c r="AD23" s="39">
        <f t="shared" si="15"/>
        <v>0</v>
      </c>
      <c r="AE23" s="40">
        <f t="shared" si="15"/>
        <v>9</v>
      </c>
      <c r="AF23" s="40">
        <f t="shared" si="15"/>
        <v>30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3</v>
      </c>
      <c r="P24" s="15">
        <f t="shared" si="1"/>
        <v>4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0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20</v>
      </c>
      <c r="AD24" s="39">
        <f t="shared" si="16"/>
        <v>0</v>
      </c>
      <c r="AE24" s="40">
        <f t="shared" si="16"/>
        <v>6</v>
      </c>
      <c r="AF24" s="40">
        <f t="shared" si="16"/>
        <v>26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7" t="s">
        <v>85</v>
      </c>
      <c r="S25" s="35">
        <f t="shared" ref="S25:AF25" si="17">SUM(S10:S12)</f>
        <v>0</v>
      </c>
      <c r="T25" s="16">
        <f t="shared" si="17"/>
        <v>3</v>
      </c>
      <c r="U25" s="16">
        <f t="shared" si="17"/>
        <v>6</v>
      </c>
      <c r="V25" s="16">
        <f t="shared" si="17"/>
        <v>10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49</v>
      </c>
      <c r="AD25" s="16">
        <f t="shared" si="17"/>
        <v>0</v>
      </c>
      <c r="AE25" s="32">
        <f t="shared" si="17"/>
        <v>22</v>
      </c>
      <c r="AF25" s="32">
        <f t="shared" si="17"/>
        <v>71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2</v>
      </c>
      <c r="P26" s="15">
        <f t="shared" si="1"/>
        <v>3</v>
      </c>
      <c r="R26" s="28" t="s">
        <v>86</v>
      </c>
      <c r="S26" s="16">
        <f t="shared" ref="S26:AF26" si="18">SUM(S13:S18)</f>
        <v>5</v>
      </c>
      <c r="T26" s="16">
        <f t="shared" si="18"/>
        <v>3</v>
      </c>
      <c r="U26" s="16">
        <f t="shared" si="18"/>
        <v>15</v>
      </c>
      <c r="V26" s="16">
        <f t="shared" si="18"/>
        <v>15</v>
      </c>
      <c r="W26" s="16">
        <f t="shared" si="18"/>
        <v>0</v>
      </c>
      <c r="X26" s="16">
        <f t="shared" si="18"/>
        <v>0</v>
      </c>
      <c r="Y26" s="16">
        <f t="shared" si="18"/>
        <v>2</v>
      </c>
      <c r="Z26" s="16">
        <f t="shared" si="18"/>
        <v>3</v>
      </c>
      <c r="AA26" s="16">
        <f t="shared" si="18"/>
        <v>2</v>
      </c>
      <c r="AB26" s="16">
        <f t="shared" si="18"/>
        <v>0</v>
      </c>
      <c r="AC26" s="16">
        <f t="shared" si="18"/>
        <v>84</v>
      </c>
      <c r="AD26" s="16">
        <f t="shared" si="18"/>
        <v>0</v>
      </c>
      <c r="AE26" s="32">
        <f t="shared" si="18"/>
        <v>45</v>
      </c>
      <c r="AF26" s="32">
        <f t="shared" si="18"/>
        <v>129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2</v>
      </c>
      <c r="P27" s="15">
        <f t="shared" si="1"/>
        <v>10</v>
      </c>
      <c r="R27" s="29" t="s">
        <v>87</v>
      </c>
      <c r="S27" s="16">
        <f t="shared" ref="S27:AF27" si="19">SUM(S19:S21)</f>
        <v>2</v>
      </c>
      <c r="T27" s="16">
        <f t="shared" si="19"/>
        <v>0</v>
      </c>
      <c r="U27" s="16">
        <f t="shared" si="19"/>
        <v>0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2</v>
      </c>
      <c r="AA27" s="16">
        <f t="shared" si="19"/>
        <v>2</v>
      </c>
      <c r="AB27" s="16">
        <f t="shared" si="19"/>
        <v>0</v>
      </c>
      <c r="AC27" s="16">
        <f t="shared" si="19"/>
        <v>51</v>
      </c>
      <c r="AD27" s="16">
        <f t="shared" si="19"/>
        <v>0</v>
      </c>
      <c r="AE27" s="32">
        <f t="shared" si="19"/>
        <v>12</v>
      </c>
      <c r="AF27" s="32">
        <f t="shared" si="19"/>
        <v>63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</v>
      </c>
      <c r="N28" s="50">
        <v>0</v>
      </c>
      <c r="O28" s="15">
        <f t="shared" si="0"/>
        <v>2</v>
      </c>
      <c r="P28" s="15">
        <f t="shared" si="1"/>
        <v>4</v>
      </c>
      <c r="R28" s="5" t="s">
        <v>17</v>
      </c>
      <c r="S28" s="16">
        <f t="shared" ref="S28:AF28" si="20">SUM(S10:S21)</f>
        <v>7</v>
      </c>
      <c r="T28" s="16">
        <f t="shared" si="20"/>
        <v>6</v>
      </c>
      <c r="U28" s="16">
        <f t="shared" si="20"/>
        <v>21</v>
      </c>
      <c r="V28" s="16">
        <f t="shared" si="20"/>
        <v>30</v>
      </c>
      <c r="W28" s="16">
        <f t="shared" si="20"/>
        <v>0</v>
      </c>
      <c r="X28" s="16">
        <f t="shared" si="20"/>
        <v>0</v>
      </c>
      <c r="Y28" s="16">
        <f t="shared" si="20"/>
        <v>3</v>
      </c>
      <c r="Z28" s="16">
        <f t="shared" si="20"/>
        <v>8</v>
      </c>
      <c r="AA28" s="16">
        <f t="shared" si="20"/>
        <v>4</v>
      </c>
      <c r="AB28" s="16">
        <f t="shared" si="20"/>
        <v>0</v>
      </c>
      <c r="AC28" s="16">
        <f t="shared" si="20"/>
        <v>184</v>
      </c>
      <c r="AD28" s="16">
        <f t="shared" si="20"/>
        <v>0</v>
      </c>
      <c r="AE28" s="32">
        <f t="shared" si="20"/>
        <v>79</v>
      </c>
      <c r="AF28" s="32">
        <f t="shared" si="20"/>
        <v>263</v>
      </c>
    </row>
    <row r="29" spans="2:32" ht="23.1" customHeight="1" x14ac:dyDescent="0.25">
      <c r="B29" s="23" t="s">
        <v>56</v>
      </c>
      <c r="C29" s="50">
        <v>0</v>
      </c>
      <c r="D29" s="50">
        <v>2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3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1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3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2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0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2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2</v>
      </c>
      <c r="P35" s="15">
        <f t="shared" si="1"/>
        <v>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0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3</v>
      </c>
      <c r="P37" s="15">
        <f t="shared" si="1"/>
        <v>8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2</v>
      </c>
      <c r="P38" s="15">
        <f t="shared" si="1"/>
        <v>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3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0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1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1</v>
      </c>
      <c r="P43" s="15">
        <f t="shared" si="1"/>
        <v>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2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3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2</v>
      </c>
      <c r="P46" s="15">
        <f t="shared" si="1"/>
        <v>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2</v>
      </c>
      <c r="P47" s="15">
        <f t="shared" si="1"/>
        <v>10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2</v>
      </c>
      <c r="P48" s="15">
        <f t="shared" si="1"/>
        <v>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4</v>
      </c>
      <c r="N49" s="50">
        <v>0</v>
      </c>
      <c r="O49" s="15">
        <f t="shared" si="0"/>
        <v>0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1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0</v>
      </c>
      <c r="P51" s="15">
        <f t="shared" si="1"/>
        <v>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1</v>
      </c>
      <c r="P52" s="15">
        <f t="shared" si="1"/>
        <v>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6</v>
      </c>
      <c r="N54" s="50">
        <v>0</v>
      </c>
      <c r="O54" s="15">
        <f t="shared" si="0"/>
        <v>0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1</v>
      </c>
      <c r="P55" s="15">
        <f t="shared" si="1"/>
        <v>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1</v>
      </c>
      <c r="N56" s="50">
        <v>0</v>
      </c>
      <c r="O56" s="15">
        <f t="shared" si="0"/>
        <v>1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2</v>
      </c>
      <c r="N57" s="50">
        <v>0</v>
      </c>
      <c r="O57" s="15">
        <f t="shared" si="0"/>
        <v>1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</v>
      </c>
      <c r="D58" s="16">
        <f t="shared" si="21"/>
        <v>6</v>
      </c>
      <c r="E58" s="16">
        <f t="shared" si="21"/>
        <v>21</v>
      </c>
      <c r="F58" s="16">
        <f t="shared" si="21"/>
        <v>30</v>
      </c>
      <c r="G58" s="16">
        <f t="shared" si="21"/>
        <v>0</v>
      </c>
      <c r="H58" s="16">
        <f t="shared" si="21"/>
        <v>0</v>
      </c>
      <c r="I58" s="16">
        <f t="shared" si="21"/>
        <v>3</v>
      </c>
      <c r="J58" s="16">
        <f t="shared" si="21"/>
        <v>8</v>
      </c>
      <c r="K58" s="16">
        <f t="shared" si="21"/>
        <v>4</v>
      </c>
      <c r="L58" s="16">
        <f t="shared" si="21"/>
        <v>0</v>
      </c>
      <c r="M58" s="16">
        <f t="shared" si="21"/>
        <v>184</v>
      </c>
      <c r="N58" s="16">
        <f t="shared" si="21"/>
        <v>0</v>
      </c>
      <c r="O58" s="16">
        <f t="shared" si="21"/>
        <v>79</v>
      </c>
      <c r="P58" s="16">
        <f t="shared" si="21"/>
        <v>263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2.6615969581749048E-2</v>
      </c>
      <c r="D59" s="43">
        <f t="shared" si="22"/>
        <v>2.2813688212927757E-2</v>
      </c>
      <c r="E59" s="43">
        <f t="shared" si="22"/>
        <v>7.9847908745247151E-2</v>
      </c>
      <c r="F59" s="43">
        <f t="shared" si="22"/>
        <v>0.11406844106463879</v>
      </c>
      <c r="G59" s="43">
        <f t="shared" si="22"/>
        <v>0</v>
      </c>
      <c r="H59" s="43">
        <f t="shared" si="22"/>
        <v>0</v>
      </c>
      <c r="I59" s="43">
        <f t="shared" si="22"/>
        <v>1.1406844106463879E-2</v>
      </c>
      <c r="J59" s="43">
        <f t="shared" si="22"/>
        <v>3.0418250950570342E-2</v>
      </c>
      <c r="K59" s="43">
        <f t="shared" si="22"/>
        <v>1.5209125475285171E-2</v>
      </c>
      <c r="L59" s="43">
        <f t="shared" si="22"/>
        <v>0</v>
      </c>
      <c r="M59" s="43">
        <f t="shared" si="22"/>
        <v>0.69961977186311786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8.8607594936708861E-2</v>
      </c>
      <c r="D60" s="44">
        <f t="shared" ref="D60:N60" si="23">D58/$O$58</f>
        <v>7.5949367088607597E-2</v>
      </c>
      <c r="E60" s="44">
        <f t="shared" si="23"/>
        <v>0.26582278481012656</v>
      </c>
      <c r="F60" s="44">
        <f t="shared" si="23"/>
        <v>0.379746835443038</v>
      </c>
      <c r="G60" s="44">
        <f t="shared" si="23"/>
        <v>0</v>
      </c>
      <c r="H60" s="44">
        <f t="shared" si="23"/>
        <v>0</v>
      </c>
      <c r="I60" s="44">
        <f t="shared" si="23"/>
        <v>3.7974683544303799E-2</v>
      </c>
      <c r="J60" s="44">
        <f t="shared" si="23"/>
        <v>0.10126582278481013</v>
      </c>
      <c r="K60" s="44">
        <f t="shared" si="23"/>
        <v>5.0632911392405063E-2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'25.10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'31.10 BULIISA-HOIMA'!D5</f>
        <v>31.10.19</v>
      </c>
      <c r="E5" s="3"/>
      <c r="F5" s="41" t="s">
        <v>1</v>
      </c>
      <c r="G5" s="61" t="str">
        <f>'31.10 BULIISA-HOIMA'!G5:H5</f>
        <v>KISIABI</v>
      </c>
      <c r="H5" s="62"/>
      <c r="I5" s="14"/>
      <c r="J5" s="2" t="s">
        <v>5</v>
      </c>
      <c r="K5" s="61" t="s">
        <v>170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'25.10 HOIMA-BULIISA'!D6:E6</f>
        <v>HOIMA</v>
      </c>
      <c r="E6" s="62"/>
      <c r="F6" s="2" t="s">
        <v>2</v>
      </c>
      <c r="G6" s="61" t="str">
        <f>'25.10 HOIMA-BULIISA'!G6:H6</f>
        <v>BULIISA</v>
      </c>
      <c r="H6" s="62"/>
      <c r="J6" s="2" t="s">
        <v>21</v>
      </c>
      <c r="K6" s="61" t="str">
        <f>'31.10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3</v>
      </c>
      <c r="AF10" s="31">
        <f t="shared" si="2"/>
        <v>15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18</v>
      </c>
      <c r="AD11" s="17">
        <f t="shared" si="3"/>
        <v>0</v>
      </c>
      <c r="AE11" s="31">
        <f t="shared" si="3"/>
        <v>6</v>
      </c>
      <c r="AF11" s="31">
        <f t="shared" si="3"/>
        <v>24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1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13</v>
      </c>
      <c r="AD12" s="17">
        <f t="shared" si="4"/>
        <v>0</v>
      </c>
      <c r="AE12" s="31">
        <f t="shared" si="4"/>
        <v>4</v>
      </c>
      <c r="AF12" s="31">
        <f t="shared" si="4"/>
        <v>17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2</v>
      </c>
      <c r="P13" s="15">
        <f t="shared" si="1"/>
        <v>8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3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16</v>
      </c>
      <c r="AD13" s="17">
        <f t="shared" si="5"/>
        <v>0</v>
      </c>
      <c r="AE13" s="31">
        <f t="shared" si="5"/>
        <v>8</v>
      </c>
      <c r="AF13" s="31">
        <f t="shared" si="5"/>
        <v>24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3</v>
      </c>
      <c r="P14" s="15">
        <f t="shared" si="1"/>
        <v>6</v>
      </c>
      <c r="R14" s="1" t="s">
        <v>10</v>
      </c>
      <c r="S14" s="17">
        <f t="shared" ref="S14:AF14" si="6">SUM(C26:C29)</f>
        <v>1</v>
      </c>
      <c r="T14" s="17">
        <f t="shared" si="6"/>
        <v>2</v>
      </c>
      <c r="U14" s="17">
        <f t="shared" si="6"/>
        <v>6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19</v>
      </c>
      <c r="AD14" s="17">
        <f t="shared" si="6"/>
        <v>0</v>
      </c>
      <c r="AE14" s="31">
        <f t="shared" si="6"/>
        <v>11</v>
      </c>
      <c r="AF14" s="31">
        <f t="shared" si="6"/>
        <v>30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0</v>
      </c>
      <c r="P15" s="15">
        <f t="shared" si="1"/>
        <v>8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3</v>
      </c>
      <c r="V15" s="17">
        <f t="shared" si="7"/>
        <v>3</v>
      </c>
      <c r="W15" s="17">
        <f t="shared" si="7"/>
        <v>1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11</v>
      </c>
      <c r="AD15" s="17">
        <f t="shared" si="7"/>
        <v>0</v>
      </c>
      <c r="AE15" s="31">
        <f t="shared" si="7"/>
        <v>9</v>
      </c>
      <c r="AF15" s="31">
        <f t="shared" si="7"/>
        <v>20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0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23</v>
      </c>
      <c r="AD16" s="17">
        <f t="shared" si="8"/>
        <v>0</v>
      </c>
      <c r="AE16" s="31">
        <f t="shared" si="8"/>
        <v>7</v>
      </c>
      <c r="AF16" s="31">
        <f t="shared" si="8"/>
        <v>30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3</v>
      </c>
      <c r="P17" s="15">
        <f t="shared" si="1"/>
        <v>8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3</v>
      </c>
      <c r="AB17" s="17">
        <f t="shared" si="9"/>
        <v>0</v>
      </c>
      <c r="AC17" s="17">
        <f t="shared" si="9"/>
        <v>18</v>
      </c>
      <c r="AD17" s="17">
        <f t="shared" si="9"/>
        <v>0</v>
      </c>
      <c r="AE17" s="31">
        <f t="shared" si="9"/>
        <v>11</v>
      </c>
      <c r="AF17" s="31">
        <f t="shared" si="9"/>
        <v>29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3</v>
      </c>
      <c r="P18" s="15">
        <f t="shared" si="1"/>
        <v>6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21</v>
      </c>
      <c r="AD18" s="17">
        <f t="shared" si="10"/>
        <v>0</v>
      </c>
      <c r="AE18" s="31">
        <f t="shared" si="10"/>
        <v>3</v>
      </c>
      <c r="AF18" s="31">
        <f t="shared" si="10"/>
        <v>24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0</v>
      </c>
      <c r="P19" s="15">
        <f t="shared" si="1"/>
        <v>4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17</v>
      </c>
      <c r="AD19" s="17">
        <f t="shared" si="11"/>
        <v>0</v>
      </c>
      <c r="AE19" s="31">
        <f t="shared" si="11"/>
        <v>5</v>
      </c>
      <c r="AF19" s="31">
        <f t="shared" si="11"/>
        <v>22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1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14</v>
      </c>
      <c r="AD20" s="17">
        <f t="shared" si="12"/>
        <v>0</v>
      </c>
      <c r="AE20" s="31">
        <f t="shared" si="12"/>
        <v>2</v>
      </c>
      <c r="AF20" s="31">
        <f t="shared" si="12"/>
        <v>16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0</v>
      </c>
      <c r="P21" s="15">
        <f t="shared" si="1"/>
        <v>5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2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15</v>
      </c>
      <c r="AD21" s="17">
        <f t="shared" si="13"/>
        <v>0</v>
      </c>
      <c r="AE21" s="31">
        <f t="shared" si="13"/>
        <v>7</v>
      </c>
      <c r="AF21" s="31">
        <f t="shared" si="13"/>
        <v>22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2</v>
      </c>
      <c r="P22" s="15">
        <f t="shared" si="1"/>
        <v>6</v>
      </c>
      <c r="R22" s="38" t="s">
        <v>90</v>
      </c>
      <c r="S22" s="39">
        <f>MAX(S10:S12)</f>
        <v>1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18</v>
      </c>
      <c r="AD22" s="39">
        <f t="shared" si="14"/>
        <v>0</v>
      </c>
      <c r="AE22" s="40">
        <f t="shared" si="14"/>
        <v>6</v>
      </c>
      <c r="AF22" s="40">
        <f t="shared" si="14"/>
        <v>24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1</v>
      </c>
      <c r="P23" s="15">
        <f t="shared" si="1"/>
        <v>5</v>
      </c>
      <c r="R23" s="38" t="s">
        <v>91</v>
      </c>
      <c r="S23" s="39">
        <f>MAX(S13:S18)</f>
        <v>1</v>
      </c>
      <c r="T23" s="39">
        <f t="shared" ref="T23:AF23" si="15">MAX(T13:T18)</f>
        <v>2</v>
      </c>
      <c r="U23" s="39">
        <f t="shared" si="15"/>
        <v>6</v>
      </c>
      <c r="V23" s="39">
        <f t="shared" si="15"/>
        <v>4</v>
      </c>
      <c r="W23" s="39">
        <f t="shared" si="15"/>
        <v>1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3</v>
      </c>
      <c r="AB23" s="39">
        <f t="shared" si="15"/>
        <v>1</v>
      </c>
      <c r="AC23" s="39">
        <f t="shared" si="15"/>
        <v>23</v>
      </c>
      <c r="AD23" s="39">
        <f t="shared" si="15"/>
        <v>0</v>
      </c>
      <c r="AE23" s="40">
        <f t="shared" si="15"/>
        <v>11</v>
      </c>
      <c r="AF23" s="40">
        <f t="shared" si="15"/>
        <v>30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4</v>
      </c>
      <c r="P24" s="15">
        <f t="shared" si="1"/>
        <v>7</v>
      </c>
      <c r="R24" s="38" t="s">
        <v>92</v>
      </c>
      <c r="S24" s="39">
        <f>MAX(S19:S21)</f>
        <v>0</v>
      </c>
      <c r="T24" s="39">
        <f t="shared" ref="T24:AF24" si="16">MAX(T19:T21)</f>
        <v>0</v>
      </c>
      <c r="U24" s="39">
        <f t="shared" si="16"/>
        <v>2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17</v>
      </c>
      <c r="AD24" s="39">
        <f t="shared" si="16"/>
        <v>0</v>
      </c>
      <c r="AE24" s="40">
        <f t="shared" si="16"/>
        <v>7</v>
      </c>
      <c r="AF24" s="40">
        <f t="shared" si="16"/>
        <v>22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1</v>
      </c>
      <c r="P25" s="15">
        <f t="shared" si="1"/>
        <v>6</v>
      </c>
      <c r="R25" s="37" t="s">
        <v>85</v>
      </c>
      <c r="S25" s="35">
        <f t="shared" ref="S25:AF25" si="17">SUM(S10:S12)</f>
        <v>2</v>
      </c>
      <c r="T25" s="16">
        <f t="shared" si="17"/>
        <v>1</v>
      </c>
      <c r="U25" s="16">
        <f t="shared" si="17"/>
        <v>2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43</v>
      </c>
      <c r="AD25" s="16">
        <f t="shared" si="17"/>
        <v>0</v>
      </c>
      <c r="AE25" s="32">
        <f t="shared" si="17"/>
        <v>13</v>
      </c>
      <c r="AF25" s="32">
        <f t="shared" si="17"/>
        <v>56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1</v>
      </c>
      <c r="P26" s="15">
        <f t="shared" si="1"/>
        <v>2</v>
      </c>
      <c r="R26" s="28" t="s">
        <v>86</v>
      </c>
      <c r="S26" s="16">
        <f t="shared" ref="S26:AF26" si="18">SUM(S13:S18)</f>
        <v>3</v>
      </c>
      <c r="T26" s="16">
        <f t="shared" si="18"/>
        <v>4</v>
      </c>
      <c r="U26" s="16">
        <f t="shared" si="18"/>
        <v>16</v>
      </c>
      <c r="V26" s="16">
        <f t="shared" si="18"/>
        <v>14</v>
      </c>
      <c r="W26" s="16">
        <f t="shared" si="18"/>
        <v>1</v>
      </c>
      <c r="X26" s="16">
        <f t="shared" si="18"/>
        <v>0</v>
      </c>
      <c r="Y26" s="16">
        <f t="shared" si="18"/>
        <v>2</v>
      </c>
      <c r="Z26" s="16">
        <f t="shared" si="18"/>
        <v>5</v>
      </c>
      <c r="AA26" s="16">
        <f t="shared" si="18"/>
        <v>3</v>
      </c>
      <c r="AB26" s="16">
        <f t="shared" si="18"/>
        <v>1</v>
      </c>
      <c r="AC26" s="16">
        <f t="shared" si="18"/>
        <v>108</v>
      </c>
      <c r="AD26" s="16">
        <f t="shared" si="18"/>
        <v>0</v>
      </c>
      <c r="AE26" s="32">
        <f t="shared" si="18"/>
        <v>49</v>
      </c>
      <c r="AF26" s="32">
        <f t="shared" si="18"/>
        <v>157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2</v>
      </c>
      <c r="P27" s="15">
        <f t="shared" si="1"/>
        <v>7</v>
      </c>
      <c r="R27" s="29" t="s">
        <v>87</v>
      </c>
      <c r="S27" s="16">
        <f t="shared" ref="S27:AF27" si="19">SUM(S19:S21)</f>
        <v>0</v>
      </c>
      <c r="T27" s="16">
        <f t="shared" si="19"/>
        <v>0</v>
      </c>
      <c r="U27" s="16">
        <f t="shared" si="19"/>
        <v>2</v>
      </c>
      <c r="V27" s="16">
        <f t="shared" si="19"/>
        <v>8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46</v>
      </c>
      <c r="AD27" s="16">
        <f t="shared" si="19"/>
        <v>0</v>
      </c>
      <c r="AE27" s="32">
        <f t="shared" si="19"/>
        <v>14</v>
      </c>
      <c r="AF27" s="32">
        <f t="shared" si="19"/>
        <v>60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1</v>
      </c>
      <c r="P28" s="15">
        <f t="shared" si="1"/>
        <v>8</v>
      </c>
      <c r="R28" s="5" t="s">
        <v>17</v>
      </c>
      <c r="S28" s="16">
        <f t="shared" ref="S28:AF28" si="20">SUM(S10:S21)</f>
        <v>5</v>
      </c>
      <c r="T28" s="16">
        <f t="shared" si="20"/>
        <v>5</v>
      </c>
      <c r="U28" s="16">
        <f t="shared" si="20"/>
        <v>20</v>
      </c>
      <c r="V28" s="16">
        <f t="shared" si="20"/>
        <v>28</v>
      </c>
      <c r="W28" s="16">
        <f t="shared" si="20"/>
        <v>1</v>
      </c>
      <c r="X28" s="16">
        <f t="shared" si="20"/>
        <v>0</v>
      </c>
      <c r="Y28" s="16">
        <f t="shared" si="20"/>
        <v>7</v>
      </c>
      <c r="Z28" s="16">
        <f t="shared" si="20"/>
        <v>6</v>
      </c>
      <c r="AA28" s="16">
        <f t="shared" si="20"/>
        <v>3</v>
      </c>
      <c r="AB28" s="16">
        <f t="shared" si="20"/>
        <v>1</v>
      </c>
      <c r="AC28" s="16">
        <f t="shared" si="20"/>
        <v>197</v>
      </c>
      <c r="AD28" s="16">
        <f t="shared" si="20"/>
        <v>0</v>
      </c>
      <c r="AE28" s="32">
        <f t="shared" si="20"/>
        <v>76</v>
      </c>
      <c r="AF28" s="32">
        <f t="shared" si="20"/>
        <v>273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6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7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0</v>
      </c>
      <c r="P30" s="15">
        <f t="shared" si="1"/>
        <v>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3</v>
      </c>
      <c r="P31" s="15">
        <f t="shared" si="1"/>
        <v>9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1</v>
      </c>
      <c r="M32" s="50">
        <v>0</v>
      </c>
      <c r="N32" s="50">
        <v>0</v>
      </c>
      <c r="O32" s="15">
        <f t="shared" si="0"/>
        <v>2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2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4</v>
      </c>
      <c r="P33" s="15">
        <f t="shared" si="1"/>
        <v>6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1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2</v>
      </c>
      <c r="P35" s="15">
        <f t="shared" si="1"/>
        <v>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0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4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1</v>
      </c>
      <c r="L38" s="50">
        <v>0</v>
      </c>
      <c r="M38" s="50">
        <v>4</v>
      </c>
      <c r="N38" s="50">
        <v>0</v>
      </c>
      <c r="O38" s="15">
        <f t="shared" si="0"/>
        <v>3</v>
      </c>
      <c r="P38" s="15">
        <f t="shared" si="1"/>
        <v>7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2</v>
      </c>
      <c r="L39" s="50">
        <v>0</v>
      </c>
      <c r="M39" s="50">
        <v>4</v>
      </c>
      <c r="N39" s="50">
        <v>0</v>
      </c>
      <c r="O39" s="15">
        <f t="shared" si="0"/>
        <v>5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3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0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0</v>
      </c>
      <c r="P42" s="15">
        <f t="shared" si="1"/>
        <v>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1</v>
      </c>
      <c r="P43" s="15">
        <f t="shared" si="1"/>
        <v>5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1</v>
      </c>
      <c r="P44" s="15">
        <f t="shared" si="1"/>
        <v>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1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3</v>
      </c>
      <c r="P46" s="15">
        <f t="shared" si="1"/>
        <v>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0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1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1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0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0</v>
      </c>
      <c r="P51" s="15">
        <f t="shared" si="1"/>
        <v>3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1</v>
      </c>
      <c r="P52" s="15">
        <f t="shared" si="1"/>
        <v>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1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1</v>
      </c>
      <c r="P54" s="15">
        <f t="shared" si="1"/>
        <v>4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2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1</v>
      </c>
      <c r="P57" s="15">
        <f t="shared" si="1"/>
        <v>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</v>
      </c>
      <c r="D58" s="16">
        <f t="shared" si="21"/>
        <v>5</v>
      </c>
      <c r="E58" s="16">
        <f t="shared" si="21"/>
        <v>20</v>
      </c>
      <c r="F58" s="16">
        <f t="shared" si="21"/>
        <v>28</v>
      </c>
      <c r="G58" s="16">
        <f t="shared" si="21"/>
        <v>1</v>
      </c>
      <c r="H58" s="16">
        <f t="shared" si="21"/>
        <v>0</v>
      </c>
      <c r="I58" s="16">
        <f t="shared" si="21"/>
        <v>7</v>
      </c>
      <c r="J58" s="16">
        <f t="shared" si="21"/>
        <v>6</v>
      </c>
      <c r="K58" s="16">
        <f t="shared" si="21"/>
        <v>3</v>
      </c>
      <c r="L58" s="16">
        <f t="shared" si="21"/>
        <v>1</v>
      </c>
      <c r="M58" s="16">
        <f t="shared" si="21"/>
        <v>197</v>
      </c>
      <c r="N58" s="16">
        <f t="shared" si="21"/>
        <v>0</v>
      </c>
      <c r="O58" s="16">
        <f t="shared" si="21"/>
        <v>76</v>
      </c>
      <c r="P58" s="16">
        <f t="shared" si="21"/>
        <v>273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1.8315018315018316E-2</v>
      </c>
      <c r="D59" s="43">
        <f t="shared" si="22"/>
        <v>1.8315018315018316E-2</v>
      </c>
      <c r="E59" s="43">
        <f t="shared" si="22"/>
        <v>7.3260073260073263E-2</v>
      </c>
      <c r="F59" s="43">
        <f t="shared" si="22"/>
        <v>0.10256410256410256</v>
      </c>
      <c r="G59" s="43">
        <f t="shared" si="22"/>
        <v>3.663003663003663E-3</v>
      </c>
      <c r="H59" s="43">
        <f t="shared" si="22"/>
        <v>0</v>
      </c>
      <c r="I59" s="43">
        <f t="shared" si="22"/>
        <v>2.564102564102564E-2</v>
      </c>
      <c r="J59" s="43">
        <f t="shared" si="22"/>
        <v>2.197802197802198E-2</v>
      </c>
      <c r="K59" s="43">
        <f t="shared" si="22"/>
        <v>1.098901098901099E-2</v>
      </c>
      <c r="L59" s="43">
        <f t="shared" si="22"/>
        <v>3.663003663003663E-3</v>
      </c>
      <c r="M59" s="43">
        <f t="shared" si="22"/>
        <v>0.7216117216117216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6.5789473684210523E-2</v>
      </c>
      <c r="D60" s="44">
        <f t="shared" ref="D60:N60" si="23">D58/$O$58</f>
        <v>6.5789473684210523E-2</v>
      </c>
      <c r="E60" s="44">
        <f t="shared" si="23"/>
        <v>0.26315789473684209</v>
      </c>
      <c r="F60" s="44">
        <f t="shared" si="23"/>
        <v>0.36842105263157893</v>
      </c>
      <c r="G60" s="44">
        <f t="shared" si="23"/>
        <v>1.3157894736842105E-2</v>
      </c>
      <c r="H60" s="44">
        <f t="shared" si="23"/>
        <v>0</v>
      </c>
      <c r="I60" s="44">
        <f t="shared" si="23"/>
        <v>9.2105263157894732E-2</v>
      </c>
      <c r="J60" s="44">
        <f t="shared" si="23"/>
        <v>7.8947368421052627E-2</v>
      </c>
      <c r="K60" s="44">
        <f t="shared" si="23"/>
        <v>3.9473684210526314E-2</v>
      </c>
      <c r="L60" s="44">
        <f t="shared" si="23"/>
        <v>1.3157894736842105E-2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58" zoomScale="60" workbookViewId="0">
      <selection activeCell="X76" sqref="X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'31.10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 t="s">
        <v>164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3" t="s">
        <v>162</v>
      </c>
      <c r="E5" s="64"/>
      <c r="F5" s="41" t="s">
        <v>1</v>
      </c>
      <c r="G5" s="61" t="str">
        <f>'31.10 BULIISA-HOIMA'!G5:H5</f>
        <v>KISIABI</v>
      </c>
      <c r="H5" s="62"/>
      <c r="I5" s="14"/>
      <c r="J5" s="2" t="s">
        <v>5</v>
      </c>
      <c r="K5" s="61" t="str">
        <f>'31.10 BULIISA-HOIMA'!K5:L5</f>
        <v>LAWRENCE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'31.10 BULIISA-HOIMA'!D6:E6</f>
        <v>BULIISA</v>
      </c>
      <c r="E6" s="62"/>
      <c r="F6" s="2" t="s">
        <v>2</v>
      </c>
      <c r="G6" s="61" t="str">
        <f>'31.10 BULIISA-HOIMA'!G6:H6</f>
        <v>HOIMA</v>
      </c>
      <c r="H6" s="62"/>
      <c r="J6" s="2" t="s">
        <v>21</v>
      </c>
      <c r="K6" s="61" t="str">
        <f>'31.10 BULIISA-HOIMA'!K6:L6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BULIISA-HOIMA'!C10,'27.10 BULIISA-HOIMA'!C10,'29.10 HOIMA-BULIISA'!C10,'30.10 BULIISA-HOIMA'!C10,'26.10 BULIISA-HOIMA-24h'!C10,'26.10 HOIMA-BULIISA-24h'!C10,'31.10 BULIISA-HOIMA'!C10)</f>
        <v>0.2857142857142857</v>
      </c>
      <c r="D10" s="49">
        <f>AVERAGE('25.10 BULIISA-HOIMA'!D10,'27.10 BULIISA-HOIMA'!D10,'29.10 HOIMA-BULIISA'!D10,'30.10 BULIISA-HOIMA'!D10,'26.10 BULIISA-HOIMA-24h'!D10,'26.10 HOIMA-BULIISA-24h'!D10,'31.10 BULIISA-HOIMA'!D10)</f>
        <v>0.14285714285714285</v>
      </c>
      <c r="E10" s="49">
        <f>AVERAGE('25.10 BULIISA-HOIMA'!E10,'27.10 BULIISA-HOIMA'!E10,'29.10 HOIMA-BULIISA'!E10,'30.10 BULIISA-HOIMA'!E10,'26.10 BULIISA-HOIMA-24h'!E10,'26.10 HOIMA-BULIISA-24h'!E10,'31.10 BULIISA-HOIMA'!E10)</f>
        <v>0.5714285714285714</v>
      </c>
      <c r="F10" s="49">
        <f>AVERAGE('25.10 BULIISA-HOIMA'!F10,'27.10 BULIISA-HOIMA'!F10,'29.10 HOIMA-BULIISA'!F10,'30.10 BULIISA-HOIMA'!F10,'26.10 BULIISA-HOIMA-24h'!F10,'26.10 HOIMA-BULIISA-24h'!F10,'31.10 BULIISA-HOIMA'!F10)</f>
        <v>0.2857142857142857</v>
      </c>
      <c r="G10" s="49">
        <f>AVERAGE('25.10 BULIISA-HOIMA'!G10,'27.10 BULIISA-HOIMA'!G10,'29.10 HOIMA-BULIISA'!G10,'30.10 BULIISA-HOIMA'!G10,'26.10 BULIISA-HOIMA-24h'!G10,'26.10 HOIMA-BULIISA-24h'!G10,'31.10 BULIISA-HOIMA'!G10)</f>
        <v>0</v>
      </c>
      <c r="H10" s="49">
        <f>AVERAGE('25.10 BULIISA-HOIMA'!H10,'27.10 BULIISA-HOIMA'!H10,'29.10 HOIMA-BULIISA'!H10,'30.10 BULIISA-HOIMA'!H10,'26.10 BULIISA-HOIMA-24h'!H10,'26.10 HOIMA-BULIISA-24h'!H10,'31.10 BULIISA-HOIMA'!H10)</f>
        <v>0</v>
      </c>
      <c r="I10" s="49">
        <f>AVERAGE('25.10 BULIISA-HOIMA'!I10,'27.10 BULIISA-HOIMA'!I10,'29.10 HOIMA-BULIISA'!I10,'30.10 BULIISA-HOIMA'!I10,'26.10 BULIISA-HOIMA-24h'!I10,'26.10 HOIMA-BULIISA-24h'!I10,'31.10 BULIISA-HOIMA'!I10)</f>
        <v>0.14285714285714285</v>
      </c>
      <c r="J10" s="49">
        <f>AVERAGE('25.10 BULIISA-HOIMA'!J10,'27.10 BULIISA-HOIMA'!J10,'29.10 HOIMA-BULIISA'!J10,'30.10 BULIISA-HOIMA'!J10,'26.10 BULIISA-HOIMA-24h'!J10,'26.10 HOIMA-BULIISA-24h'!J10,'31.10 BULIISA-HOIMA'!J10)</f>
        <v>0</v>
      </c>
      <c r="K10" s="49">
        <f>AVERAGE('25.10 BULIISA-HOIMA'!K10,'27.10 BULIISA-HOIMA'!K10,'29.10 HOIMA-BULIISA'!K10,'30.10 BULIISA-HOIMA'!K10,'26.10 BULIISA-HOIMA-24h'!K10,'26.10 HOIMA-BULIISA-24h'!K10,'31.10 BULIISA-HOIMA'!K10)</f>
        <v>0.42857142857142855</v>
      </c>
      <c r="L10" s="49">
        <f>AVERAGE('25.10 BULIISA-HOIMA'!L10,'27.10 BULIISA-HOIMA'!L10,'29.10 HOIMA-BULIISA'!L10,'30.10 BULIISA-HOIMA'!L10,'26.10 BULIISA-HOIMA-24h'!L10,'26.10 HOIMA-BULIISA-24h'!L10,'31.10 BULIISA-HOIMA'!L10)</f>
        <v>0</v>
      </c>
      <c r="M10" s="49">
        <f>AVERAGE('25.10 BULIISA-HOIMA'!M10,'27.10 BULIISA-HOIMA'!M10,'29.10 HOIMA-BULIISA'!M10,'30.10 BULIISA-HOIMA'!M10,'26.10 BULIISA-HOIMA-24h'!M10,'26.10 HOIMA-BULIISA-24h'!M10,'31.10 BULIISA-HOIMA'!M10)</f>
        <v>3.7142857142857144</v>
      </c>
      <c r="N10" s="49">
        <f>AVERAGE('25.10 BULIISA-HOIMA'!N10,'27.10 BULIISA-HOIMA'!N10,'29.10 HOIMA-BULIISA'!N10,'30.10 BULIISA-HOIMA'!N10,'26.10 BULIISA-HOIMA-24h'!N10,'26.10 HOIMA-BULIISA-24h'!N10,'31.10 BULIISA-HOIMA'!N10)</f>
        <v>0</v>
      </c>
      <c r="O10" s="15">
        <f t="shared" ref="O10:O73" si="0">SUM(C10:L10,N10)</f>
        <v>1.857142857142857</v>
      </c>
      <c r="P10" s="15">
        <f t="shared" ref="P10:P73" si="1">SUM(C10:N10)</f>
        <v>5.5714285714285712</v>
      </c>
      <c r="R10" s="1" t="s">
        <v>6</v>
      </c>
      <c r="S10" s="17">
        <f t="shared" ref="S10:AF10" si="2">SUM(C10:C13)</f>
        <v>1.1428571428571428</v>
      </c>
      <c r="T10" s="17">
        <f t="shared" si="2"/>
        <v>0.5714285714285714</v>
      </c>
      <c r="U10" s="17">
        <f t="shared" si="2"/>
        <v>2</v>
      </c>
      <c r="V10" s="17">
        <f t="shared" si="2"/>
        <v>2.4285714285714284</v>
      </c>
      <c r="W10" s="17">
        <f t="shared" si="2"/>
        <v>0.14285714285714285</v>
      </c>
      <c r="X10" s="17">
        <f t="shared" si="2"/>
        <v>0</v>
      </c>
      <c r="Y10" s="17">
        <f t="shared" si="2"/>
        <v>0.42857142857142855</v>
      </c>
      <c r="Z10" s="17">
        <f t="shared" si="2"/>
        <v>0.14285714285714285</v>
      </c>
      <c r="AA10" s="17">
        <f t="shared" si="2"/>
        <v>0.42857142857142855</v>
      </c>
      <c r="AB10" s="17">
        <f t="shared" si="2"/>
        <v>0</v>
      </c>
      <c r="AC10" s="17">
        <f t="shared" si="2"/>
        <v>15.285714285714285</v>
      </c>
      <c r="AD10" s="17">
        <f t="shared" si="2"/>
        <v>0</v>
      </c>
      <c r="AE10" s="31">
        <f t="shared" si="2"/>
        <v>7.2857142857142847</v>
      </c>
      <c r="AF10" s="31">
        <f t="shared" si="2"/>
        <v>22.571428571428569</v>
      </c>
    </row>
    <row r="11" spans="2:32" s="6" customFormat="1" ht="23.1" customHeight="1" x14ac:dyDescent="0.25">
      <c r="B11" s="23" t="s">
        <v>38</v>
      </c>
      <c r="C11" s="49">
        <f>AVERAGE('25.10 BULIISA-HOIMA'!C11,'27.10 BULIISA-HOIMA'!C11,'29.10 HOIMA-BULIISA'!C11,'30.10 BULIISA-HOIMA'!C11,'26.10 BULIISA-HOIMA-24h'!C11,'26.10 HOIMA-BULIISA-24h'!C11,'31.10 BULIISA-HOIMA'!C11)</f>
        <v>0.2857142857142857</v>
      </c>
      <c r="D11" s="49">
        <f>AVERAGE('25.10 BULIISA-HOIMA'!D11,'27.10 BULIISA-HOIMA'!D11,'29.10 HOIMA-BULIISA'!D11,'30.10 BULIISA-HOIMA'!D11,'26.10 BULIISA-HOIMA-24h'!D11,'26.10 HOIMA-BULIISA-24h'!D11,'31.10 BULIISA-HOIMA'!D11)</f>
        <v>0.2857142857142857</v>
      </c>
      <c r="E11" s="49">
        <f>AVERAGE('25.10 BULIISA-HOIMA'!E11,'27.10 BULIISA-HOIMA'!E11,'29.10 HOIMA-BULIISA'!E11,'30.10 BULIISA-HOIMA'!E11,'26.10 BULIISA-HOIMA-24h'!E11,'26.10 HOIMA-BULIISA-24h'!E11,'31.10 BULIISA-HOIMA'!E11)</f>
        <v>0.5714285714285714</v>
      </c>
      <c r="F11" s="49">
        <f>AVERAGE('25.10 BULIISA-HOIMA'!F11,'27.10 BULIISA-HOIMA'!F11,'29.10 HOIMA-BULIISA'!F11,'30.10 BULIISA-HOIMA'!F11,'26.10 BULIISA-HOIMA-24h'!F11,'26.10 HOIMA-BULIISA-24h'!F11,'31.10 BULIISA-HOIMA'!F11)</f>
        <v>0.5714285714285714</v>
      </c>
      <c r="G11" s="49">
        <f>AVERAGE('25.10 BULIISA-HOIMA'!G11,'27.10 BULIISA-HOIMA'!G11,'29.10 HOIMA-BULIISA'!G11,'30.10 BULIISA-HOIMA'!G11,'26.10 BULIISA-HOIMA-24h'!G11,'26.10 HOIMA-BULIISA-24h'!G11,'31.10 BULIISA-HOIMA'!G11)</f>
        <v>0</v>
      </c>
      <c r="H11" s="49">
        <f>AVERAGE('25.10 BULIISA-HOIMA'!H11,'27.10 BULIISA-HOIMA'!H11,'29.10 HOIMA-BULIISA'!H11,'30.10 BULIISA-HOIMA'!H11,'26.10 BULIISA-HOIMA-24h'!H11,'26.10 HOIMA-BULIISA-24h'!H11,'31.10 BULIISA-HOIMA'!H11)</f>
        <v>0</v>
      </c>
      <c r="I11" s="49">
        <f>AVERAGE('25.10 BULIISA-HOIMA'!I11,'27.10 BULIISA-HOIMA'!I11,'29.10 HOIMA-BULIISA'!I11,'30.10 BULIISA-HOIMA'!I11,'26.10 BULIISA-HOIMA-24h'!I11,'26.10 HOIMA-BULIISA-24h'!I11,'31.10 BULIISA-HOIMA'!I11)</f>
        <v>0</v>
      </c>
      <c r="J11" s="49">
        <f>AVERAGE('25.10 BULIISA-HOIMA'!J11,'27.10 BULIISA-HOIMA'!J11,'29.10 HOIMA-BULIISA'!J11,'30.10 BULIISA-HOIMA'!J11,'26.10 BULIISA-HOIMA-24h'!J11,'26.10 HOIMA-BULIISA-24h'!J11,'31.10 BULIISA-HOIMA'!J11)</f>
        <v>0.14285714285714285</v>
      </c>
      <c r="K11" s="49">
        <f>AVERAGE('25.10 BULIISA-HOIMA'!K11,'27.10 BULIISA-HOIMA'!K11,'29.10 HOIMA-BULIISA'!K11,'30.10 BULIISA-HOIMA'!K11,'26.10 BULIISA-HOIMA-24h'!K11,'26.10 HOIMA-BULIISA-24h'!K11,'31.10 BULIISA-HOIMA'!K11)</f>
        <v>0</v>
      </c>
      <c r="L11" s="49">
        <f>AVERAGE('25.10 BULIISA-HOIMA'!L11,'27.10 BULIISA-HOIMA'!L11,'29.10 HOIMA-BULIISA'!L11,'30.10 BULIISA-HOIMA'!L11,'26.10 BULIISA-HOIMA-24h'!L11,'26.10 HOIMA-BULIISA-24h'!L11,'31.10 BULIISA-HOIMA'!L11)</f>
        <v>0</v>
      </c>
      <c r="M11" s="49">
        <f>AVERAGE('25.10 BULIISA-HOIMA'!M11,'27.10 BULIISA-HOIMA'!M11,'29.10 HOIMA-BULIISA'!M11,'30.10 BULIISA-HOIMA'!M11,'26.10 BULIISA-HOIMA-24h'!M11,'26.10 HOIMA-BULIISA-24h'!M11,'31.10 BULIISA-HOIMA'!M11)</f>
        <v>4.4285714285714288</v>
      </c>
      <c r="N11" s="49">
        <f>AVERAGE('25.10 BULIISA-HOIMA'!N11,'27.10 BULIISA-HOIMA'!N11,'29.10 HOIMA-BULIISA'!N11,'30.10 BULIISA-HOIMA'!N11,'26.10 BULIISA-HOIMA-24h'!N11,'26.10 HOIMA-BULIISA-24h'!N11,'31.10 BULIISA-HOIMA'!N11)</f>
        <v>0</v>
      </c>
      <c r="O11" s="15">
        <f t="shared" si="0"/>
        <v>1.857142857142857</v>
      </c>
      <c r="P11" s="15">
        <f t="shared" si="1"/>
        <v>6.2857142857142856</v>
      </c>
      <c r="R11" s="1" t="s">
        <v>7</v>
      </c>
      <c r="S11" s="17">
        <f t="shared" ref="S11:AF11" si="3">SUM(C14:C17)</f>
        <v>0.71428571428571419</v>
      </c>
      <c r="T11" s="17">
        <f t="shared" si="3"/>
        <v>0.5714285714285714</v>
      </c>
      <c r="U11" s="17">
        <f t="shared" si="3"/>
        <v>1.7142857142857144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0.2857142857142857</v>
      </c>
      <c r="Z11" s="17">
        <f t="shared" si="3"/>
        <v>0.2857142857142857</v>
      </c>
      <c r="AA11" s="17">
        <f t="shared" si="3"/>
        <v>0.14285714285714285</v>
      </c>
      <c r="AB11" s="17">
        <f t="shared" si="3"/>
        <v>0</v>
      </c>
      <c r="AC11" s="17">
        <f t="shared" si="3"/>
        <v>15.857142857142858</v>
      </c>
      <c r="AD11" s="17">
        <f t="shared" si="3"/>
        <v>0</v>
      </c>
      <c r="AE11" s="31">
        <f t="shared" si="3"/>
        <v>6.7142857142857144</v>
      </c>
      <c r="AF11" s="31">
        <f t="shared" si="3"/>
        <v>22.571428571428573</v>
      </c>
    </row>
    <row r="12" spans="2:32" ht="23.1" customHeight="1" x14ac:dyDescent="0.25">
      <c r="B12" s="23" t="s">
        <v>39</v>
      </c>
      <c r="C12" s="49">
        <f>AVERAGE('25.10 BULIISA-HOIMA'!C12,'27.10 BULIISA-HOIMA'!C12,'29.10 HOIMA-BULIISA'!C12,'30.10 BULIISA-HOIMA'!C12,'26.10 BULIISA-HOIMA-24h'!C12,'26.10 HOIMA-BULIISA-24h'!C12,'31.10 BULIISA-HOIMA'!C12)</f>
        <v>0.14285714285714285</v>
      </c>
      <c r="D12" s="49">
        <f>AVERAGE('25.10 BULIISA-HOIMA'!D12,'27.10 BULIISA-HOIMA'!D12,'29.10 HOIMA-BULIISA'!D12,'30.10 BULIISA-HOIMA'!D12,'26.10 BULIISA-HOIMA-24h'!D12,'26.10 HOIMA-BULIISA-24h'!D12,'31.10 BULIISA-HOIMA'!D12)</f>
        <v>0.14285714285714285</v>
      </c>
      <c r="E12" s="49">
        <f>AVERAGE('25.10 BULIISA-HOIMA'!E12,'27.10 BULIISA-HOIMA'!E12,'29.10 HOIMA-BULIISA'!E12,'30.10 BULIISA-HOIMA'!E12,'26.10 BULIISA-HOIMA-24h'!E12,'26.10 HOIMA-BULIISA-24h'!E12,'31.10 BULIISA-HOIMA'!E12)</f>
        <v>0.5714285714285714</v>
      </c>
      <c r="F12" s="49">
        <f>AVERAGE('25.10 BULIISA-HOIMA'!F12,'27.10 BULIISA-HOIMA'!F12,'29.10 HOIMA-BULIISA'!F12,'30.10 BULIISA-HOIMA'!F12,'26.10 BULIISA-HOIMA-24h'!F12,'26.10 HOIMA-BULIISA-24h'!F12,'31.10 BULIISA-HOIMA'!F12)</f>
        <v>0.7142857142857143</v>
      </c>
      <c r="G12" s="49">
        <f>AVERAGE('25.10 BULIISA-HOIMA'!G12,'27.10 BULIISA-HOIMA'!G12,'29.10 HOIMA-BULIISA'!G12,'30.10 BULIISA-HOIMA'!G12,'26.10 BULIISA-HOIMA-24h'!G12,'26.10 HOIMA-BULIISA-24h'!G12,'31.10 BULIISA-HOIMA'!G12)</f>
        <v>0.14285714285714285</v>
      </c>
      <c r="H12" s="49">
        <f>AVERAGE('25.10 BULIISA-HOIMA'!H12,'27.10 BULIISA-HOIMA'!H12,'29.10 HOIMA-BULIISA'!H12,'30.10 BULIISA-HOIMA'!H12,'26.10 BULIISA-HOIMA-24h'!H12,'26.10 HOIMA-BULIISA-24h'!H12,'31.10 BULIISA-HOIMA'!H12)</f>
        <v>0</v>
      </c>
      <c r="I12" s="49">
        <f>AVERAGE('25.10 BULIISA-HOIMA'!I12,'27.10 BULIISA-HOIMA'!I12,'29.10 HOIMA-BULIISA'!I12,'30.10 BULIISA-HOIMA'!I12,'26.10 BULIISA-HOIMA-24h'!I12,'26.10 HOIMA-BULIISA-24h'!I12,'31.10 BULIISA-HOIMA'!I12)</f>
        <v>0.14285714285714285</v>
      </c>
      <c r="J12" s="49">
        <f>AVERAGE('25.10 BULIISA-HOIMA'!J12,'27.10 BULIISA-HOIMA'!J12,'29.10 HOIMA-BULIISA'!J12,'30.10 BULIISA-HOIMA'!J12,'26.10 BULIISA-HOIMA-24h'!J12,'26.10 HOIMA-BULIISA-24h'!J12,'31.10 BULIISA-HOIMA'!J12)</f>
        <v>0</v>
      </c>
      <c r="K12" s="49">
        <f>AVERAGE('25.10 BULIISA-HOIMA'!K12,'27.10 BULIISA-HOIMA'!K12,'29.10 HOIMA-BULIISA'!K12,'30.10 BULIISA-HOIMA'!K12,'26.10 BULIISA-HOIMA-24h'!K12,'26.10 HOIMA-BULIISA-24h'!K12,'31.10 BULIISA-HOIMA'!K12)</f>
        <v>0</v>
      </c>
      <c r="L12" s="49">
        <f>AVERAGE('25.10 BULIISA-HOIMA'!L12,'27.10 BULIISA-HOIMA'!L12,'29.10 HOIMA-BULIISA'!L12,'30.10 BULIISA-HOIMA'!L12,'26.10 BULIISA-HOIMA-24h'!L12,'26.10 HOIMA-BULIISA-24h'!L12,'31.10 BULIISA-HOIMA'!L12)</f>
        <v>0</v>
      </c>
      <c r="M12" s="49">
        <f>AVERAGE('25.10 BULIISA-HOIMA'!M12,'27.10 BULIISA-HOIMA'!M12,'29.10 HOIMA-BULIISA'!M12,'30.10 BULIISA-HOIMA'!M12,'26.10 BULIISA-HOIMA-24h'!M12,'26.10 HOIMA-BULIISA-24h'!M12,'31.10 BULIISA-HOIMA'!M12)</f>
        <v>3.5714285714285716</v>
      </c>
      <c r="N12" s="49">
        <f>AVERAGE('25.10 BULIISA-HOIMA'!N12,'27.10 BULIISA-HOIMA'!N12,'29.10 HOIMA-BULIISA'!N12,'30.10 BULIISA-HOIMA'!N12,'26.10 BULIISA-HOIMA-24h'!N12,'26.10 HOIMA-BULIISA-24h'!N12,'31.10 BULIISA-HOIMA'!N12)</f>
        <v>0</v>
      </c>
      <c r="O12" s="15">
        <f t="shared" si="0"/>
        <v>1.857142857142857</v>
      </c>
      <c r="P12" s="15">
        <f t="shared" si="1"/>
        <v>5.4285714285714288</v>
      </c>
      <c r="R12" s="1" t="s">
        <v>8</v>
      </c>
      <c r="S12" s="17">
        <f t="shared" ref="S12:AF12" si="4">SUM(C18:C21)</f>
        <v>0.71428571428571419</v>
      </c>
      <c r="T12" s="17">
        <f t="shared" si="4"/>
        <v>1.1428571428571428</v>
      </c>
      <c r="U12" s="17">
        <f t="shared" si="4"/>
        <v>0.71428571428571419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0.5714285714285714</v>
      </c>
      <c r="Z12" s="17">
        <f t="shared" si="4"/>
        <v>0.85714285714285698</v>
      </c>
      <c r="AA12" s="17">
        <f t="shared" si="4"/>
        <v>0.14285714285714285</v>
      </c>
      <c r="AB12" s="17">
        <f t="shared" si="4"/>
        <v>0.14285714285714285</v>
      </c>
      <c r="AC12" s="17">
        <f t="shared" si="4"/>
        <v>22.571428571428569</v>
      </c>
      <c r="AD12" s="17">
        <f t="shared" si="4"/>
        <v>0</v>
      </c>
      <c r="AE12" s="31">
        <f t="shared" si="4"/>
        <v>8.2857142857142847</v>
      </c>
      <c r="AF12" s="31">
        <f t="shared" si="4"/>
        <v>30.857142857142854</v>
      </c>
    </row>
    <row r="13" spans="2:32" ht="23.1" customHeight="1" x14ac:dyDescent="0.25">
      <c r="B13" s="23" t="s">
        <v>40</v>
      </c>
      <c r="C13" s="49">
        <f>AVERAGE('25.10 BULIISA-HOIMA'!C13,'27.10 BULIISA-HOIMA'!C13,'29.10 HOIMA-BULIISA'!C13,'30.10 BULIISA-HOIMA'!C13,'26.10 BULIISA-HOIMA-24h'!C13,'26.10 HOIMA-BULIISA-24h'!C13,'31.10 BULIISA-HOIMA'!C13)</f>
        <v>0.42857142857142855</v>
      </c>
      <c r="D13" s="49">
        <f>AVERAGE('25.10 BULIISA-HOIMA'!D13,'27.10 BULIISA-HOIMA'!D13,'29.10 HOIMA-BULIISA'!D13,'30.10 BULIISA-HOIMA'!D13,'26.10 BULIISA-HOIMA-24h'!D13,'26.10 HOIMA-BULIISA-24h'!D13,'31.10 BULIISA-HOIMA'!D13)</f>
        <v>0</v>
      </c>
      <c r="E13" s="49">
        <f>AVERAGE('25.10 BULIISA-HOIMA'!E13,'27.10 BULIISA-HOIMA'!E13,'29.10 HOIMA-BULIISA'!E13,'30.10 BULIISA-HOIMA'!E13,'26.10 BULIISA-HOIMA-24h'!E13,'26.10 HOIMA-BULIISA-24h'!E13,'31.10 BULIISA-HOIMA'!E13)</f>
        <v>0.2857142857142857</v>
      </c>
      <c r="F13" s="49">
        <f>AVERAGE('25.10 BULIISA-HOIMA'!F13,'27.10 BULIISA-HOIMA'!F13,'29.10 HOIMA-BULIISA'!F13,'30.10 BULIISA-HOIMA'!F13,'26.10 BULIISA-HOIMA-24h'!F13,'26.10 HOIMA-BULIISA-24h'!F13,'31.10 BULIISA-HOIMA'!F13)</f>
        <v>0.8571428571428571</v>
      </c>
      <c r="G13" s="49">
        <f>AVERAGE('25.10 BULIISA-HOIMA'!G13,'27.10 BULIISA-HOIMA'!G13,'29.10 HOIMA-BULIISA'!G13,'30.10 BULIISA-HOIMA'!G13,'26.10 BULIISA-HOIMA-24h'!G13,'26.10 HOIMA-BULIISA-24h'!G13,'31.10 BULIISA-HOIMA'!G13)</f>
        <v>0</v>
      </c>
      <c r="H13" s="49">
        <f>AVERAGE('25.10 BULIISA-HOIMA'!H13,'27.10 BULIISA-HOIMA'!H13,'29.10 HOIMA-BULIISA'!H13,'30.10 BULIISA-HOIMA'!H13,'26.10 BULIISA-HOIMA-24h'!H13,'26.10 HOIMA-BULIISA-24h'!H13,'31.10 BULIISA-HOIMA'!H13)</f>
        <v>0</v>
      </c>
      <c r="I13" s="49">
        <f>AVERAGE('25.10 BULIISA-HOIMA'!I13,'27.10 BULIISA-HOIMA'!I13,'29.10 HOIMA-BULIISA'!I13,'30.10 BULIISA-HOIMA'!I13,'26.10 BULIISA-HOIMA-24h'!I13,'26.10 HOIMA-BULIISA-24h'!I13,'31.10 BULIISA-HOIMA'!I13)</f>
        <v>0.14285714285714285</v>
      </c>
      <c r="J13" s="49">
        <f>AVERAGE('25.10 BULIISA-HOIMA'!J13,'27.10 BULIISA-HOIMA'!J13,'29.10 HOIMA-BULIISA'!J13,'30.10 BULIISA-HOIMA'!J13,'26.10 BULIISA-HOIMA-24h'!J13,'26.10 HOIMA-BULIISA-24h'!J13,'31.10 BULIISA-HOIMA'!J13)</f>
        <v>0</v>
      </c>
      <c r="K13" s="49">
        <f>AVERAGE('25.10 BULIISA-HOIMA'!K13,'27.10 BULIISA-HOIMA'!K13,'29.10 HOIMA-BULIISA'!K13,'30.10 BULIISA-HOIMA'!K13,'26.10 BULIISA-HOIMA-24h'!K13,'26.10 HOIMA-BULIISA-24h'!K13,'31.10 BULIISA-HOIMA'!K13)</f>
        <v>0</v>
      </c>
      <c r="L13" s="49">
        <f>AVERAGE('25.10 BULIISA-HOIMA'!L13,'27.10 BULIISA-HOIMA'!L13,'29.10 HOIMA-BULIISA'!L13,'30.10 BULIISA-HOIMA'!L13,'26.10 BULIISA-HOIMA-24h'!L13,'26.10 HOIMA-BULIISA-24h'!L13,'31.10 BULIISA-HOIMA'!L13)</f>
        <v>0</v>
      </c>
      <c r="M13" s="49">
        <f>AVERAGE('25.10 BULIISA-HOIMA'!M13,'27.10 BULIISA-HOIMA'!M13,'29.10 HOIMA-BULIISA'!M13,'30.10 BULIISA-HOIMA'!M13,'26.10 BULIISA-HOIMA-24h'!M13,'26.10 HOIMA-BULIISA-24h'!M13,'31.10 BULIISA-HOIMA'!M13)</f>
        <v>3.5714285714285716</v>
      </c>
      <c r="N13" s="49">
        <f>AVERAGE('25.10 BULIISA-HOIMA'!N13,'27.10 BULIISA-HOIMA'!N13,'29.10 HOIMA-BULIISA'!N13,'30.10 BULIISA-HOIMA'!N13,'26.10 BULIISA-HOIMA-24h'!N13,'26.10 HOIMA-BULIISA-24h'!N13,'31.10 BULIISA-HOIMA'!N13)</f>
        <v>0</v>
      </c>
      <c r="O13" s="15">
        <f t="shared" si="0"/>
        <v>1.714285714285714</v>
      </c>
      <c r="P13" s="15">
        <f t="shared" si="1"/>
        <v>5.2857142857142856</v>
      </c>
      <c r="R13" s="1" t="s">
        <v>9</v>
      </c>
      <c r="S13" s="17">
        <f t="shared" ref="S13:AF13" si="5">SUM(C22:C25)</f>
        <v>1.5714285714285714</v>
      </c>
      <c r="T13" s="17">
        <f t="shared" si="5"/>
        <v>0.42857142857142855</v>
      </c>
      <c r="U13" s="17">
        <f t="shared" si="5"/>
        <v>1.7142857142857144</v>
      </c>
      <c r="V13" s="17">
        <f t="shared" si="5"/>
        <v>1.9999999999999998</v>
      </c>
      <c r="W13" s="17">
        <f t="shared" si="5"/>
        <v>0.14285714285714285</v>
      </c>
      <c r="X13" s="17">
        <f t="shared" si="5"/>
        <v>0</v>
      </c>
      <c r="Y13" s="17">
        <f t="shared" si="5"/>
        <v>0.5714285714285714</v>
      </c>
      <c r="Z13" s="17">
        <f t="shared" si="5"/>
        <v>0.2857142857142857</v>
      </c>
      <c r="AA13" s="17">
        <f t="shared" si="5"/>
        <v>0.5714285714285714</v>
      </c>
      <c r="AB13" s="17">
        <f t="shared" si="5"/>
        <v>0</v>
      </c>
      <c r="AC13" s="17">
        <f t="shared" si="5"/>
        <v>18.428571428571431</v>
      </c>
      <c r="AD13" s="17">
        <f t="shared" si="5"/>
        <v>0</v>
      </c>
      <c r="AE13" s="31">
        <f t="shared" si="5"/>
        <v>7.2857142857142847</v>
      </c>
      <c r="AF13" s="31">
        <f t="shared" si="5"/>
        <v>25.714285714285712</v>
      </c>
    </row>
    <row r="14" spans="2:32" ht="23.1" customHeight="1" x14ac:dyDescent="0.25">
      <c r="B14" s="23" t="s">
        <v>41</v>
      </c>
      <c r="C14" s="49">
        <f>AVERAGE('25.10 BULIISA-HOIMA'!C14,'27.10 BULIISA-HOIMA'!C14,'29.10 HOIMA-BULIISA'!C14,'30.10 BULIISA-HOIMA'!C14,'26.10 BULIISA-HOIMA-24h'!C14,'26.10 HOIMA-BULIISA-24h'!C14,'31.10 BULIISA-HOIMA'!C14)</f>
        <v>0.14285714285714285</v>
      </c>
      <c r="D14" s="49">
        <f>AVERAGE('25.10 BULIISA-HOIMA'!D14,'27.10 BULIISA-HOIMA'!D14,'29.10 HOIMA-BULIISA'!D14,'30.10 BULIISA-HOIMA'!D14,'26.10 BULIISA-HOIMA-24h'!D14,'26.10 HOIMA-BULIISA-24h'!D14,'31.10 BULIISA-HOIMA'!D14)</f>
        <v>0.2857142857142857</v>
      </c>
      <c r="E14" s="49">
        <f>AVERAGE('25.10 BULIISA-HOIMA'!E14,'27.10 BULIISA-HOIMA'!E14,'29.10 HOIMA-BULIISA'!E14,'30.10 BULIISA-HOIMA'!E14,'26.10 BULIISA-HOIMA-24h'!E14,'26.10 HOIMA-BULIISA-24h'!E14,'31.10 BULIISA-HOIMA'!E14)</f>
        <v>0.2857142857142857</v>
      </c>
      <c r="F14" s="49">
        <f>AVERAGE('25.10 BULIISA-HOIMA'!F14,'27.10 BULIISA-HOIMA'!F14,'29.10 HOIMA-BULIISA'!F14,'30.10 BULIISA-HOIMA'!F14,'26.10 BULIISA-HOIMA-24h'!F14,'26.10 HOIMA-BULIISA-24h'!F14,'31.10 BULIISA-HOIMA'!F14)</f>
        <v>1.2857142857142858</v>
      </c>
      <c r="G14" s="49">
        <f>AVERAGE('25.10 BULIISA-HOIMA'!G14,'27.10 BULIISA-HOIMA'!G14,'29.10 HOIMA-BULIISA'!G14,'30.10 BULIISA-HOIMA'!G14,'26.10 BULIISA-HOIMA-24h'!G14,'26.10 HOIMA-BULIISA-24h'!G14,'31.10 BULIISA-HOIMA'!G14)</f>
        <v>0</v>
      </c>
      <c r="H14" s="49">
        <f>AVERAGE('25.10 BULIISA-HOIMA'!H14,'27.10 BULIISA-HOIMA'!H14,'29.10 HOIMA-BULIISA'!H14,'30.10 BULIISA-HOIMA'!H14,'26.10 BULIISA-HOIMA-24h'!H14,'26.10 HOIMA-BULIISA-24h'!H14,'31.10 BULIISA-HOIMA'!H14)</f>
        <v>0</v>
      </c>
      <c r="I14" s="49">
        <f>AVERAGE('25.10 BULIISA-HOIMA'!I14,'27.10 BULIISA-HOIMA'!I14,'29.10 HOIMA-BULIISA'!I14,'30.10 BULIISA-HOIMA'!I14,'26.10 BULIISA-HOIMA-24h'!I14,'26.10 HOIMA-BULIISA-24h'!I14,'31.10 BULIISA-HOIMA'!I14)</f>
        <v>0</v>
      </c>
      <c r="J14" s="49">
        <f>AVERAGE('25.10 BULIISA-HOIMA'!J14,'27.10 BULIISA-HOIMA'!J14,'29.10 HOIMA-BULIISA'!J14,'30.10 BULIISA-HOIMA'!J14,'26.10 BULIISA-HOIMA-24h'!J14,'26.10 HOIMA-BULIISA-24h'!J14,'31.10 BULIISA-HOIMA'!J14)</f>
        <v>0</v>
      </c>
      <c r="K14" s="49">
        <f>AVERAGE('25.10 BULIISA-HOIMA'!K14,'27.10 BULIISA-HOIMA'!K14,'29.10 HOIMA-BULIISA'!K14,'30.10 BULIISA-HOIMA'!K14,'26.10 BULIISA-HOIMA-24h'!K14,'26.10 HOIMA-BULIISA-24h'!K14,'31.10 BULIISA-HOIMA'!K14)</f>
        <v>0</v>
      </c>
      <c r="L14" s="49">
        <f>AVERAGE('25.10 BULIISA-HOIMA'!L14,'27.10 BULIISA-HOIMA'!L14,'29.10 HOIMA-BULIISA'!L14,'30.10 BULIISA-HOIMA'!L14,'26.10 BULIISA-HOIMA-24h'!L14,'26.10 HOIMA-BULIISA-24h'!L14,'31.10 BULIISA-HOIMA'!L14)</f>
        <v>0</v>
      </c>
      <c r="M14" s="49">
        <f>AVERAGE('25.10 BULIISA-HOIMA'!M14,'27.10 BULIISA-HOIMA'!M14,'29.10 HOIMA-BULIISA'!M14,'30.10 BULIISA-HOIMA'!M14,'26.10 BULIISA-HOIMA-24h'!M14,'26.10 HOIMA-BULIISA-24h'!M14,'31.10 BULIISA-HOIMA'!M14)</f>
        <v>3.1428571428571428</v>
      </c>
      <c r="N14" s="49">
        <f>AVERAGE('25.10 BULIISA-HOIMA'!N14,'27.10 BULIISA-HOIMA'!N14,'29.10 HOIMA-BULIISA'!N14,'30.10 BULIISA-HOIMA'!N14,'26.10 BULIISA-HOIMA-24h'!N14,'26.10 HOIMA-BULIISA-24h'!N14,'31.10 BULIISA-HOIMA'!N14)</f>
        <v>0</v>
      </c>
      <c r="O14" s="15">
        <f t="shared" si="0"/>
        <v>2</v>
      </c>
      <c r="P14" s="15">
        <f t="shared" si="1"/>
        <v>5.1428571428571423</v>
      </c>
      <c r="R14" s="1" t="s">
        <v>10</v>
      </c>
      <c r="S14" s="17">
        <f t="shared" ref="S14:AF14" si="6">SUM(C26:C29)</f>
        <v>0.71428571428571419</v>
      </c>
      <c r="T14" s="17">
        <f t="shared" si="6"/>
        <v>0.71428571428571419</v>
      </c>
      <c r="U14" s="17">
        <f t="shared" si="6"/>
        <v>1.4285714285714286</v>
      </c>
      <c r="V14" s="17">
        <f t="shared" si="6"/>
        <v>2.7142857142857144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0.14285714285714285</v>
      </c>
      <c r="AA14" s="17">
        <f t="shared" si="6"/>
        <v>0.2857142857142857</v>
      </c>
      <c r="AB14" s="17">
        <f t="shared" si="6"/>
        <v>0</v>
      </c>
      <c r="AC14" s="17">
        <f t="shared" si="6"/>
        <v>18.142857142857142</v>
      </c>
      <c r="AD14" s="17">
        <f t="shared" si="6"/>
        <v>0</v>
      </c>
      <c r="AE14" s="31">
        <f t="shared" si="6"/>
        <v>5.9999999999999991</v>
      </c>
      <c r="AF14" s="31">
        <f t="shared" si="6"/>
        <v>24.142857142857139</v>
      </c>
    </row>
    <row r="15" spans="2:32" ht="23.1" customHeight="1" x14ac:dyDescent="0.25">
      <c r="B15" s="23" t="s">
        <v>42</v>
      </c>
      <c r="C15" s="49">
        <f>AVERAGE('25.10 BULIISA-HOIMA'!C15,'27.10 BULIISA-HOIMA'!C15,'29.10 HOIMA-BULIISA'!C15,'30.10 BULIISA-HOIMA'!C15,'26.10 BULIISA-HOIMA-24h'!C15,'26.10 HOIMA-BULIISA-24h'!C15,'31.10 BULIISA-HOIMA'!C15)</f>
        <v>0.2857142857142857</v>
      </c>
      <c r="D15" s="49">
        <f>AVERAGE('25.10 BULIISA-HOIMA'!D15,'27.10 BULIISA-HOIMA'!D15,'29.10 HOIMA-BULIISA'!D15,'30.10 BULIISA-HOIMA'!D15,'26.10 BULIISA-HOIMA-24h'!D15,'26.10 HOIMA-BULIISA-24h'!D15,'31.10 BULIISA-HOIMA'!D15)</f>
        <v>0.2857142857142857</v>
      </c>
      <c r="E15" s="49">
        <f>AVERAGE('25.10 BULIISA-HOIMA'!E15,'27.10 BULIISA-HOIMA'!E15,'29.10 HOIMA-BULIISA'!E15,'30.10 BULIISA-HOIMA'!E15,'26.10 BULIISA-HOIMA-24h'!E15,'26.10 HOIMA-BULIISA-24h'!E15,'31.10 BULIISA-HOIMA'!E15)</f>
        <v>0.7142857142857143</v>
      </c>
      <c r="F15" s="49">
        <f>AVERAGE('25.10 BULIISA-HOIMA'!F15,'27.10 BULIISA-HOIMA'!F15,'29.10 HOIMA-BULIISA'!F15,'30.10 BULIISA-HOIMA'!F15,'26.10 BULIISA-HOIMA-24h'!F15,'26.10 HOIMA-BULIISA-24h'!F15,'31.10 BULIISA-HOIMA'!F15)</f>
        <v>0.8571428571428571</v>
      </c>
      <c r="G15" s="49">
        <f>AVERAGE('25.10 BULIISA-HOIMA'!G15,'27.10 BULIISA-HOIMA'!G15,'29.10 HOIMA-BULIISA'!G15,'30.10 BULIISA-HOIMA'!G15,'26.10 BULIISA-HOIMA-24h'!G15,'26.10 HOIMA-BULIISA-24h'!G15,'31.10 BULIISA-HOIMA'!G15)</f>
        <v>0</v>
      </c>
      <c r="H15" s="49">
        <f>AVERAGE('25.10 BULIISA-HOIMA'!H15,'27.10 BULIISA-HOIMA'!H15,'29.10 HOIMA-BULIISA'!H15,'30.10 BULIISA-HOIMA'!H15,'26.10 BULIISA-HOIMA-24h'!H15,'26.10 HOIMA-BULIISA-24h'!H15,'31.10 BULIISA-HOIMA'!H15)</f>
        <v>0</v>
      </c>
      <c r="I15" s="49">
        <f>AVERAGE('25.10 BULIISA-HOIMA'!I15,'27.10 BULIISA-HOIMA'!I15,'29.10 HOIMA-BULIISA'!I15,'30.10 BULIISA-HOIMA'!I15,'26.10 BULIISA-HOIMA-24h'!I15,'26.10 HOIMA-BULIISA-24h'!I15,'31.10 BULIISA-HOIMA'!I15)</f>
        <v>0.14285714285714285</v>
      </c>
      <c r="J15" s="49">
        <f>AVERAGE('25.10 BULIISA-HOIMA'!J15,'27.10 BULIISA-HOIMA'!J15,'29.10 HOIMA-BULIISA'!J15,'30.10 BULIISA-HOIMA'!J15,'26.10 BULIISA-HOIMA-24h'!J15,'26.10 HOIMA-BULIISA-24h'!J15,'31.10 BULIISA-HOIMA'!J15)</f>
        <v>0.14285714285714285</v>
      </c>
      <c r="K15" s="49">
        <f>AVERAGE('25.10 BULIISA-HOIMA'!K15,'27.10 BULIISA-HOIMA'!K15,'29.10 HOIMA-BULIISA'!K15,'30.10 BULIISA-HOIMA'!K15,'26.10 BULIISA-HOIMA-24h'!K15,'26.10 HOIMA-BULIISA-24h'!K15,'31.10 BULIISA-HOIMA'!K15)</f>
        <v>0</v>
      </c>
      <c r="L15" s="49">
        <f>AVERAGE('25.10 BULIISA-HOIMA'!L15,'27.10 BULIISA-HOIMA'!L15,'29.10 HOIMA-BULIISA'!L15,'30.10 BULIISA-HOIMA'!L15,'26.10 BULIISA-HOIMA-24h'!L15,'26.10 HOIMA-BULIISA-24h'!L15,'31.10 BULIISA-HOIMA'!L15)</f>
        <v>0</v>
      </c>
      <c r="M15" s="49">
        <f>AVERAGE('25.10 BULIISA-HOIMA'!M15,'27.10 BULIISA-HOIMA'!M15,'29.10 HOIMA-BULIISA'!M15,'30.10 BULIISA-HOIMA'!M15,'26.10 BULIISA-HOIMA-24h'!M15,'26.10 HOIMA-BULIISA-24h'!M15,'31.10 BULIISA-HOIMA'!M15)</f>
        <v>3.4285714285714284</v>
      </c>
      <c r="N15" s="49">
        <f>AVERAGE('25.10 BULIISA-HOIMA'!N15,'27.10 BULIISA-HOIMA'!N15,'29.10 HOIMA-BULIISA'!N15,'30.10 BULIISA-HOIMA'!N15,'26.10 BULIISA-HOIMA-24h'!N15,'26.10 HOIMA-BULIISA-24h'!N15,'31.10 BULIISA-HOIMA'!N15)</f>
        <v>0</v>
      </c>
      <c r="O15" s="15">
        <f t="shared" si="0"/>
        <v>2.4285714285714284</v>
      </c>
      <c r="P15" s="15">
        <f t="shared" si="1"/>
        <v>5.8571428571428568</v>
      </c>
      <c r="R15" s="1" t="s">
        <v>11</v>
      </c>
      <c r="S15" s="17">
        <f t="shared" ref="S15:AF15" si="7">SUM(C30:C33)</f>
        <v>1.1428571428571428</v>
      </c>
      <c r="T15" s="17">
        <f t="shared" si="7"/>
        <v>0.14285714285714285</v>
      </c>
      <c r="U15" s="17">
        <f t="shared" si="7"/>
        <v>1.2857142857142856</v>
      </c>
      <c r="V15" s="17">
        <f t="shared" si="7"/>
        <v>1.5714285714285712</v>
      </c>
      <c r="W15" s="17">
        <f t="shared" si="7"/>
        <v>0</v>
      </c>
      <c r="X15" s="17">
        <f t="shared" si="7"/>
        <v>0</v>
      </c>
      <c r="Y15" s="17">
        <f t="shared" si="7"/>
        <v>0.2857142857142857</v>
      </c>
      <c r="Z15" s="17">
        <f t="shared" si="7"/>
        <v>0.14285714285714285</v>
      </c>
      <c r="AA15" s="17">
        <f t="shared" si="7"/>
        <v>0</v>
      </c>
      <c r="AB15" s="17">
        <f t="shared" si="7"/>
        <v>0.2857142857142857</v>
      </c>
      <c r="AC15" s="17">
        <f t="shared" si="7"/>
        <v>16.285714285714285</v>
      </c>
      <c r="AD15" s="17">
        <f t="shared" si="7"/>
        <v>0</v>
      </c>
      <c r="AE15" s="31">
        <f t="shared" si="7"/>
        <v>4.8571428571428568</v>
      </c>
      <c r="AF15" s="31">
        <f t="shared" si="7"/>
        <v>21.142857142857142</v>
      </c>
    </row>
    <row r="16" spans="2:32" ht="23.1" customHeight="1" x14ac:dyDescent="0.25">
      <c r="B16" s="23" t="s">
        <v>43</v>
      </c>
      <c r="C16" s="49">
        <f>AVERAGE('25.10 BULIISA-HOIMA'!C16,'27.10 BULIISA-HOIMA'!C16,'29.10 HOIMA-BULIISA'!C16,'30.10 BULIISA-HOIMA'!C16,'26.10 BULIISA-HOIMA-24h'!C16,'26.10 HOIMA-BULIISA-24h'!C16,'31.10 BULIISA-HOIMA'!C16)</f>
        <v>0.2857142857142857</v>
      </c>
      <c r="D16" s="49">
        <f>AVERAGE('25.10 BULIISA-HOIMA'!D16,'27.10 BULIISA-HOIMA'!D16,'29.10 HOIMA-BULIISA'!D16,'30.10 BULIISA-HOIMA'!D16,'26.10 BULIISA-HOIMA-24h'!D16,'26.10 HOIMA-BULIISA-24h'!D16,'31.10 BULIISA-HOIMA'!D16)</f>
        <v>0</v>
      </c>
      <c r="E16" s="49">
        <f>AVERAGE('25.10 BULIISA-HOIMA'!E16,'27.10 BULIISA-HOIMA'!E16,'29.10 HOIMA-BULIISA'!E16,'30.10 BULIISA-HOIMA'!E16,'26.10 BULIISA-HOIMA-24h'!E16,'26.10 HOIMA-BULIISA-24h'!E16,'31.10 BULIISA-HOIMA'!E16)</f>
        <v>0.7142857142857143</v>
      </c>
      <c r="F16" s="49">
        <f>AVERAGE('25.10 BULIISA-HOIMA'!F16,'27.10 BULIISA-HOIMA'!F16,'29.10 HOIMA-BULIISA'!F16,'30.10 BULIISA-HOIMA'!F16,'26.10 BULIISA-HOIMA-24h'!F16,'26.10 HOIMA-BULIISA-24h'!F16,'31.10 BULIISA-HOIMA'!F16)</f>
        <v>0.14285714285714285</v>
      </c>
      <c r="G16" s="49">
        <f>AVERAGE('25.10 BULIISA-HOIMA'!G16,'27.10 BULIISA-HOIMA'!G16,'29.10 HOIMA-BULIISA'!G16,'30.10 BULIISA-HOIMA'!G16,'26.10 BULIISA-HOIMA-24h'!G16,'26.10 HOIMA-BULIISA-24h'!G16,'31.10 BULIISA-HOIMA'!G16)</f>
        <v>0</v>
      </c>
      <c r="H16" s="49">
        <f>AVERAGE('25.10 BULIISA-HOIMA'!H16,'27.10 BULIISA-HOIMA'!H16,'29.10 HOIMA-BULIISA'!H16,'30.10 BULIISA-HOIMA'!H16,'26.10 BULIISA-HOIMA-24h'!H16,'26.10 HOIMA-BULIISA-24h'!H16,'31.10 BULIISA-HOIMA'!H16)</f>
        <v>0</v>
      </c>
      <c r="I16" s="49">
        <f>AVERAGE('25.10 BULIISA-HOIMA'!I16,'27.10 BULIISA-HOIMA'!I16,'29.10 HOIMA-BULIISA'!I16,'30.10 BULIISA-HOIMA'!I16,'26.10 BULIISA-HOIMA-24h'!I16,'26.10 HOIMA-BULIISA-24h'!I16,'31.10 BULIISA-HOIMA'!I16)</f>
        <v>0.14285714285714285</v>
      </c>
      <c r="J16" s="49">
        <f>AVERAGE('25.10 BULIISA-HOIMA'!J16,'27.10 BULIISA-HOIMA'!J16,'29.10 HOIMA-BULIISA'!J16,'30.10 BULIISA-HOIMA'!J16,'26.10 BULIISA-HOIMA-24h'!J16,'26.10 HOIMA-BULIISA-24h'!J16,'31.10 BULIISA-HOIMA'!J16)</f>
        <v>0.14285714285714285</v>
      </c>
      <c r="K16" s="49">
        <f>AVERAGE('25.10 BULIISA-HOIMA'!K16,'27.10 BULIISA-HOIMA'!K16,'29.10 HOIMA-BULIISA'!K16,'30.10 BULIISA-HOIMA'!K16,'26.10 BULIISA-HOIMA-24h'!K16,'26.10 HOIMA-BULIISA-24h'!K16,'31.10 BULIISA-HOIMA'!K16)</f>
        <v>0.14285714285714285</v>
      </c>
      <c r="L16" s="49">
        <f>AVERAGE('25.10 BULIISA-HOIMA'!L16,'27.10 BULIISA-HOIMA'!L16,'29.10 HOIMA-BULIISA'!L16,'30.10 BULIISA-HOIMA'!L16,'26.10 BULIISA-HOIMA-24h'!L16,'26.10 HOIMA-BULIISA-24h'!L16,'31.10 BULIISA-HOIMA'!L16)</f>
        <v>0</v>
      </c>
      <c r="M16" s="49">
        <f>AVERAGE('25.10 BULIISA-HOIMA'!M16,'27.10 BULIISA-HOIMA'!M16,'29.10 HOIMA-BULIISA'!M16,'30.10 BULIISA-HOIMA'!M16,'26.10 BULIISA-HOIMA-24h'!M16,'26.10 HOIMA-BULIISA-24h'!M16,'31.10 BULIISA-HOIMA'!M16)</f>
        <v>5.2857142857142856</v>
      </c>
      <c r="N16" s="49">
        <f>AVERAGE('25.10 BULIISA-HOIMA'!N16,'27.10 BULIISA-HOIMA'!N16,'29.10 HOIMA-BULIISA'!N16,'30.10 BULIISA-HOIMA'!N16,'26.10 BULIISA-HOIMA-24h'!N16,'26.10 HOIMA-BULIISA-24h'!N16,'31.10 BULIISA-HOIMA'!N16)</f>
        <v>0</v>
      </c>
      <c r="O16" s="15">
        <f t="shared" si="0"/>
        <v>1.5714285714285712</v>
      </c>
      <c r="P16" s="15">
        <f t="shared" si="1"/>
        <v>6.8571428571428568</v>
      </c>
      <c r="R16" s="1" t="s">
        <v>12</v>
      </c>
      <c r="S16" s="17">
        <f t="shared" ref="S16:AF16" si="8">SUM(C34:C37)</f>
        <v>1.1428571428571428</v>
      </c>
      <c r="T16" s="17">
        <f t="shared" si="8"/>
        <v>0.14285714285714285</v>
      </c>
      <c r="U16" s="17">
        <f t="shared" si="8"/>
        <v>1.1428571428571428</v>
      </c>
      <c r="V16" s="17">
        <f t="shared" si="8"/>
        <v>2.8571428571428572</v>
      </c>
      <c r="W16" s="17">
        <f t="shared" si="8"/>
        <v>0</v>
      </c>
      <c r="X16" s="17">
        <f t="shared" si="8"/>
        <v>0</v>
      </c>
      <c r="Y16" s="17">
        <f t="shared" si="8"/>
        <v>0.42857142857142855</v>
      </c>
      <c r="Z16" s="17">
        <f t="shared" si="8"/>
        <v>0.14285714285714285</v>
      </c>
      <c r="AA16" s="17">
        <f t="shared" si="8"/>
        <v>0.14285714285714285</v>
      </c>
      <c r="AB16" s="17">
        <f t="shared" si="8"/>
        <v>0</v>
      </c>
      <c r="AC16" s="17">
        <f t="shared" si="8"/>
        <v>12.285714285714285</v>
      </c>
      <c r="AD16" s="17">
        <f t="shared" si="8"/>
        <v>0</v>
      </c>
      <c r="AE16" s="31">
        <f t="shared" si="8"/>
        <v>5.9999999999999991</v>
      </c>
      <c r="AF16" s="31">
        <f t="shared" si="8"/>
        <v>18.285714285714285</v>
      </c>
    </row>
    <row r="17" spans="2:32" ht="23.1" customHeight="1" x14ac:dyDescent="0.25">
      <c r="B17" s="23" t="s">
        <v>44</v>
      </c>
      <c r="C17" s="49">
        <f>AVERAGE('25.10 BULIISA-HOIMA'!C17,'27.10 BULIISA-HOIMA'!C17,'29.10 HOIMA-BULIISA'!C17,'30.10 BULIISA-HOIMA'!C17,'26.10 BULIISA-HOIMA-24h'!C17,'26.10 HOIMA-BULIISA-24h'!C17,'31.10 BULIISA-HOIMA'!C17)</f>
        <v>0</v>
      </c>
      <c r="D17" s="49">
        <f>AVERAGE('25.10 BULIISA-HOIMA'!D17,'27.10 BULIISA-HOIMA'!D17,'29.10 HOIMA-BULIISA'!D17,'30.10 BULIISA-HOIMA'!D17,'26.10 BULIISA-HOIMA-24h'!D17,'26.10 HOIMA-BULIISA-24h'!D17,'31.10 BULIISA-HOIMA'!D17)</f>
        <v>0</v>
      </c>
      <c r="E17" s="49">
        <f>AVERAGE('25.10 BULIISA-HOIMA'!E17,'27.10 BULIISA-HOIMA'!E17,'29.10 HOIMA-BULIISA'!E17,'30.10 BULIISA-HOIMA'!E17,'26.10 BULIISA-HOIMA-24h'!E17,'26.10 HOIMA-BULIISA-24h'!E17,'31.10 BULIISA-HOIMA'!E17)</f>
        <v>0</v>
      </c>
      <c r="F17" s="49">
        <f>AVERAGE('25.10 BULIISA-HOIMA'!F17,'27.10 BULIISA-HOIMA'!F17,'29.10 HOIMA-BULIISA'!F17,'30.10 BULIISA-HOIMA'!F17,'26.10 BULIISA-HOIMA-24h'!F17,'26.10 HOIMA-BULIISA-24h'!F17,'31.10 BULIISA-HOIMA'!F17)</f>
        <v>0.7142857142857143</v>
      </c>
      <c r="G17" s="49">
        <f>AVERAGE('25.10 BULIISA-HOIMA'!G17,'27.10 BULIISA-HOIMA'!G17,'29.10 HOIMA-BULIISA'!G17,'30.10 BULIISA-HOIMA'!G17,'26.10 BULIISA-HOIMA-24h'!G17,'26.10 HOIMA-BULIISA-24h'!G17,'31.10 BULIISA-HOIMA'!G17)</f>
        <v>0</v>
      </c>
      <c r="H17" s="49">
        <f>AVERAGE('25.10 BULIISA-HOIMA'!H17,'27.10 BULIISA-HOIMA'!H17,'29.10 HOIMA-BULIISA'!H17,'30.10 BULIISA-HOIMA'!H17,'26.10 BULIISA-HOIMA-24h'!H17,'26.10 HOIMA-BULIISA-24h'!H17,'31.10 BULIISA-HOIMA'!H17)</f>
        <v>0</v>
      </c>
      <c r="I17" s="49">
        <f>AVERAGE('25.10 BULIISA-HOIMA'!I17,'27.10 BULIISA-HOIMA'!I17,'29.10 HOIMA-BULIISA'!I17,'30.10 BULIISA-HOIMA'!I17,'26.10 BULIISA-HOIMA-24h'!I17,'26.10 HOIMA-BULIISA-24h'!I17,'31.10 BULIISA-HOIMA'!I17)</f>
        <v>0</v>
      </c>
      <c r="J17" s="49">
        <f>AVERAGE('25.10 BULIISA-HOIMA'!J17,'27.10 BULIISA-HOIMA'!J17,'29.10 HOIMA-BULIISA'!J17,'30.10 BULIISA-HOIMA'!J17,'26.10 BULIISA-HOIMA-24h'!J17,'26.10 HOIMA-BULIISA-24h'!J17,'31.10 BULIISA-HOIMA'!J17)</f>
        <v>0</v>
      </c>
      <c r="K17" s="49">
        <f>AVERAGE('25.10 BULIISA-HOIMA'!K17,'27.10 BULIISA-HOIMA'!K17,'29.10 HOIMA-BULIISA'!K17,'30.10 BULIISA-HOIMA'!K17,'26.10 BULIISA-HOIMA-24h'!K17,'26.10 HOIMA-BULIISA-24h'!K17,'31.10 BULIISA-HOIMA'!K17)</f>
        <v>0</v>
      </c>
      <c r="L17" s="49">
        <f>AVERAGE('25.10 BULIISA-HOIMA'!L17,'27.10 BULIISA-HOIMA'!L17,'29.10 HOIMA-BULIISA'!L17,'30.10 BULIISA-HOIMA'!L17,'26.10 BULIISA-HOIMA-24h'!L17,'26.10 HOIMA-BULIISA-24h'!L17,'31.10 BULIISA-HOIMA'!L17)</f>
        <v>0</v>
      </c>
      <c r="M17" s="49">
        <f>AVERAGE('25.10 BULIISA-HOIMA'!M17,'27.10 BULIISA-HOIMA'!M17,'29.10 HOIMA-BULIISA'!M17,'30.10 BULIISA-HOIMA'!M17,'26.10 BULIISA-HOIMA-24h'!M17,'26.10 HOIMA-BULIISA-24h'!M17,'31.10 BULIISA-HOIMA'!M17)</f>
        <v>4</v>
      </c>
      <c r="N17" s="49">
        <f>AVERAGE('25.10 BULIISA-HOIMA'!N17,'27.10 BULIISA-HOIMA'!N17,'29.10 HOIMA-BULIISA'!N17,'30.10 BULIISA-HOIMA'!N17,'26.10 BULIISA-HOIMA-24h'!N17,'26.10 HOIMA-BULIISA-24h'!N17,'31.10 BULIISA-HOIMA'!N17)</f>
        <v>0</v>
      </c>
      <c r="O17" s="15">
        <f t="shared" si="0"/>
        <v>0.7142857142857143</v>
      </c>
      <c r="P17" s="15">
        <f t="shared" si="1"/>
        <v>4.7142857142857144</v>
      </c>
      <c r="R17" s="1" t="s">
        <v>13</v>
      </c>
      <c r="S17" s="17">
        <f t="shared" ref="S17:AF17" si="9">SUM(C38:C41)</f>
        <v>0.5714285714285714</v>
      </c>
      <c r="T17" s="17">
        <f t="shared" si="9"/>
        <v>0.2857142857142857</v>
      </c>
      <c r="U17" s="17">
        <f t="shared" si="9"/>
        <v>2</v>
      </c>
      <c r="V17" s="17">
        <f t="shared" si="9"/>
        <v>2.4285714285714288</v>
      </c>
      <c r="W17" s="17">
        <f t="shared" si="9"/>
        <v>0</v>
      </c>
      <c r="X17" s="17">
        <f t="shared" si="9"/>
        <v>0.14285714285714285</v>
      </c>
      <c r="Y17" s="17">
        <f t="shared" si="9"/>
        <v>0.71428571428571419</v>
      </c>
      <c r="Z17" s="17">
        <f t="shared" si="9"/>
        <v>0.5714285714285714</v>
      </c>
      <c r="AA17" s="17">
        <f t="shared" si="9"/>
        <v>0</v>
      </c>
      <c r="AB17" s="17">
        <f t="shared" si="9"/>
        <v>0.14285714285714285</v>
      </c>
      <c r="AC17" s="17">
        <f t="shared" si="9"/>
        <v>12.285714285714285</v>
      </c>
      <c r="AD17" s="17">
        <f t="shared" si="9"/>
        <v>0</v>
      </c>
      <c r="AE17" s="31">
        <f t="shared" si="9"/>
        <v>6.8571428571428577</v>
      </c>
      <c r="AF17" s="31">
        <f t="shared" si="9"/>
        <v>19.142857142857142</v>
      </c>
    </row>
    <row r="18" spans="2:32" ht="23.1" customHeight="1" x14ac:dyDescent="0.25">
      <c r="B18" s="23" t="s">
        <v>45</v>
      </c>
      <c r="C18" s="49">
        <f>AVERAGE('25.10 BULIISA-HOIMA'!C18,'27.10 BULIISA-HOIMA'!C18,'29.10 HOIMA-BULIISA'!C18,'30.10 BULIISA-HOIMA'!C18,'26.10 BULIISA-HOIMA-24h'!C18,'26.10 HOIMA-BULIISA-24h'!C18,'31.10 BULIISA-HOIMA'!C18)</f>
        <v>0.14285714285714285</v>
      </c>
      <c r="D18" s="49">
        <f>AVERAGE('25.10 BULIISA-HOIMA'!D18,'27.10 BULIISA-HOIMA'!D18,'29.10 HOIMA-BULIISA'!D18,'30.10 BULIISA-HOIMA'!D18,'26.10 BULIISA-HOIMA-24h'!D18,'26.10 HOIMA-BULIISA-24h'!D18,'31.10 BULIISA-HOIMA'!D18)</f>
        <v>0.5714285714285714</v>
      </c>
      <c r="E18" s="49">
        <f>AVERAGE('25.10 BULIISA-HOIMA'!E18,'27.10 BULIISA-HOIMA'!E18,'29.10 HOIMA-BULIISA'!E18,'30.10 BULIISA-HOIMA'!E18,'26.10 BULIISA-HOIMA-24h'!E18,'26.10 HOIMA-BULIISA-24h'!E18,'31.10 BULIISA-HOIMA'!E18)</f>
        <v>0.2857142857142857</v>
      </c>
      <c r="F18" s="49">
        <f>AVERAGE('25.10 BULIISA-HOIMA'!F18,'27.10 BULIISA-HOIMA'!F18,'29.10 HOIMA-BULIISA'!F18,'30.10 BULIISA-HOIMA'!F18,'26.10 BULIISA-HOIMA-24h'!F18,'26.10 HOIMA-BULIISA-24h'!F18,'31.10 BULIISA-HOIMA'!F18)</f>
        <v>0.42857142857142855</v>
      </c>
      <c r="G18" s="49">
        <f>AVERAGE('25.10 BULIISA-HOIMA'!G18,'27.10 BULIISA-HOIMA'!G18,'29.10 HOIMA-BULIISA'!G18,'30.10 BULIISA-HOIMA'!G18,'26.10 BULIISA-HOIMA-24h'!G18,'26.10 HOIMA-BULIISA-24h'!G18,'31.10 BULIISA-HOIMA'!G18)</f>
        <v>0</v>
      </c>
      <c r="H18" s="49">
        <f>AVERAGE('25.10 BULIISA-HOIMA'!H18,'27.10 BULIISA-HOIMA'!H18,'29.10 HOIMA-BULIISA'!H18,'30.10 BULIISA-HOIMA'!H18,'26.10 BULIISA-HOIMA-24h'!H18,'26.10 HOIMA-BULIISA-24h'!H18,'31.10 BULIISA-HOIMA'!H18)</f>
        <v>0</v>
      </c>
      <c r="I18" s="49">
        <f>AVERAGE('25.10 BULIISA-HOIMA'!I18,'27.10 BULIISA-HOIMA'!I18,'29.10 HOIMA-BULIISA'!I18,'30.10 BULIISA-HOIMA'!I18,'26.10 BULIISA-HOIMA-24h'!I18,'26.10 HOIMA-BULIISA-24h'!I18,'31.10 BULIISA-HOIMA'!I18)</f>
        <v>0</v>
      </c>
      <c r="J18" s="49">
        <f>AVERAGE('25.10 BULIISA-HOIMA'!J18,'27.10 BULIISA-HOIMA'!J18,'29.10 HOIMA-BULIISA'!J18,'30.10 BULIISA-HOIMA'!J18,'26.10 BULIISA-HOIMA-24h'!J18,'26.10 HOIMA-BULIISA-24h'!J18,'31.10 BULIISA-HOIMA'!J18)</f>
        <v>0.14285714285714285</v>
      </c>
      <c r="K18" s="49">
        <f>AVERAGE('25.10 BULIISA-HOIMA'!K18,'27.10 BULIISA-HOIMA'!K18,'29.10 HOIMA-BULIISA'!K18,'30.10 BULIISA-HOIMA'!K18,'26.10 BULIISA-HOIMA-24h'!K18,'26.10 HOIMA-BULIISA-24h'!K18,'31.10 BULIISA-HOIMA'!K18)</f>
        <v>0.14285714285714285</v>
      </c>
      <c r="L18" s="49">
        <f>AVERAGE('25.10 BULIISA-HOIMA'!L18,'27.10 BULIISA-HOIMA'!L18,'29.10 HOIMA-BULIISA'!L18,'30.10 BULIISA-HOIMA'!L18,'26.10 BULIISA-HOIMA-24h'!L18,'26.10 HOIMA-BULIISA-24h'!L18,'31.10 BULIISA-HOIMA'!L18)</f>
        <v>0</v>
      </c>
      <c r="M18" s="49">
        <f>AVERAGE('25.10 BULIISA-HOIMA'!M18,'27.10 BULIISA-HOIMA'!M18,'29.10 HOIMA-BULIISA'!M18,'30.10 BULIISA-HOIMA'!M18,'26.10 BULIISA-HOIMA-24h'!M18,'26.10 HOIMA-BULIISA-24h'!M18,'31.10 BULIISA-HOIMA'!M18)</f>
        <v>4</v>
      </c>
      <c r="N18" s="49">
        <f>AVERAGE('25.10 BULIISA-HOIMA'!N18,'27.10 BULIISA-HOIMA'!N18,'29.10 HOIMA-BULIISA'!N18,'30.10 BULIISA-HOIMA'!N18,'26.10 BULIISA-HOIMA-24h'!N18,'26.10 HOIMA-BULIISA-24h'!N18,'31.10 BULIISA-HOIMA'!N18)</f>
        <v>0</v>
      </c>
      <c r="O18" s="15">
        <f t="shared" si="0"/>
        <v>1.714285714285714</v>
      </c>
      <c r="P18" s="15">
        <f t="shared" si="1"/>
        <v>5.7142857142857135</v>
      </c>
      <c r="R18" s="1" t="s">
        <v>14</v>
      </c>
      <c r="S18" s="17">
        <f t="shared" ref="S18:AF18" si="10">SUM(C42:C45)</f>
        <v>1.2857142857142856</v>
      </c>
      <c r="T18" s="17">
        <f t="shared" si="10"/>
        <v>0</v>
      </c>
      <c r="U18" s="17">
        <f t="shared" si="10"/>
        <v>1.7142857142857142</v>
      </c>
      <c r="V18" s="17">
        <f t="shared" si="10"/>
        <v>2.4285714285714284</v>
      </c>
      <c r="W18" s="17">
        <f t="shared" si="10"/>
        <v>0</v>
      </c>
      <c r="X18" s="17">
        <f t="shared" si="10"/>
        <v>0</v>
      </c>
      <c r="Y18" s="17">
        <f t="shared" si="10"/>
        <v>0.5714285714285714</v>
      </c>
      <c r="Z18" s="17">
        <f t="shared" si="10"/>
        <v>0.85714285714285698</v>
      </c>
      <c r="AA18" s="17">
        <f t="shared" si="10"/>
        <v>0.14285714285714285</v>
      </c>
      <c r="AB18" s="17">
        <f t="shared" si="10"/>
        <v>0.14285714285714285</v>
      </c>
      <c r="AC18" s="17">
        <f t="shared" si="10"/>
        <v>16</v>
      </c>
      <c r="AD18" s="17">
        <f t="shared" si="10"/>
        <v>0</v>
      </c>
      <c r="AE18" s="31">
        <f t="shared" si="10"/>
        <v>7.1428571428571423</v>
      </c>
      <c r="AF18" s="31">
        <f t="shared" si="10"/>
        <v>23.142857142857142</v>
      </c>
    </row>
    <row r="19" spans="2:32" ht="23.1" customHeight="1" x14ac:dyDescent="0.25">
      <c r="B19" s="23" t="s">
        <v>46</v>
      </c>
      <c r="C19" s="49">
        <f>AVERAGE('25.10 BULIISA-HOIMA'!C19,'27.10 BULIISA-HOIMA'!C19,'29.10 HOIMA-BULIISA'!C19,'30.10 BULIISA-HOIMA'!C19,'26.10 BULIISA-HOIMA-24h'!C19,'26.10 HOIMA-BULIISA-24h'!C19,'31.10 BULIISA-HOIMA'!C19)</f>
        <v>0.42857142857142855</v>
      </c>
      <c r="D19" s="49">
        <f>AVERAGE('25.10 BULIISA-HOIMA'!D19,'27.10 BULIISA-HOIMA'!D19,'29.10 HOIMA-BULIISA'!D19,'30.10 BULIISA-HOIMA'!D19,'26.10 BULIISA-HOIMA-24h'!D19,'26.10 HOIMA-BULIISA-24h'!D19,'31.10 BULIISA-HOIMA'!D19)</f>
        <v>0.42857142857142855</v>
      </c>
      <c r="E19" s="49">
        <f>AVERAGE('25.10 BULIISA-HOIMA'!E19,'27.10 BULIISA-HOIMA'!E19,'29.10 HOIMA-BULIISA'!E19,'30.10 BULIISA-HOIMA'!E19,'26.10 BULIISA-HOIMA-24h'!E19,'26.10 HOIMA-BULIISA-24h'!E19,'31.10 BULIISA-HOIMA'!E19)</f>
        <v>0.14285714285714285</v>
      </c>
      <c r="F19" s="49">
        <f>AVERAGE('25.10 BULIISA-HOIMA'!F19,'27.10 BULIISA-HOIMA'!F19,'29.10 HOIMA-BULIISA'!F19,'30.10 BULIISA-HOIMA'!F19,'26.10 BULIISA-HOIMA-24h'!F19,'26.10 HOIMA-BULIISA-24h'!F19,'31.10 BULIISA-HOIMA'!F19)</f>
        <v>1.2857142857142858</v>
      </c>
      <c r="G19" s="49">
        <f>AVERAGE('25.10 BULIISA-HOIMA'!G19,'27.10 BULIISA-HOIMA'!G19,'29.10 HOIMA-BULIISA'!G19,'30.10 BULIISA-HOIMA'!G19,'26.10 BULIISA-HOIMA-24h'!G19,'26.10 HOIMA-BULIISA-24h'!G19,'31.10 BULIISA-HOIMA'!G19)</f>
        <v>0</v>
      </c>
      <c r="H19" s="49">
        <f>AVERAGE('25.10 BULIISA-HOIMA'!H19,'27.10 BULIISA-HOIMA'!H19,'29.10 HOIMA-BULIISA'!H19,'30.10 BULIISA-HOIMA'!H19,'26.10 BULIISA-HOIMA-24h'!H19,'26.10 HOIMA-BULIISA-24h'!H19,'31.10 BULIISA-HOIMA'!H19)</f>
        <v>0</v>
      </c>
      <c r="I19" s="49">
        <f>AVERAGE('25.10 BULIISA-HOIMA'!I19,'27.10 BULIISA-HOIMA'!I19,'29.10 HOIMA-BULIISA'!I19,'30.10 BULIISA-HOIMA'!I19,'26.10 BULIISA-HOIMA-24h'!I19,'26.10 HOIMA-BULIISA-24h'!I19,'31.10 BULIISA-HOIMA'!I19)</f>
        <v>0.14285714285714285</v>
      </c>
      <c r="J19" s="49">
        <f>AVERAGE('25.10 BULIISA-HOIMA'!J19,'27.10 BULIISA-HOIMA'!J19,'29.10 HOIMA-BULIISA'!J19,'30.10 BULIISA-HOIMA'!J19,'26.10 BULIISA-HOIMA-24h'!J19,'26.10 HOIMA-BULIISA-24h'!J19,'31.10 BULIISA-HOIMA'!J19)</f>
        <v>0.5714285714285714</v>
      </c>
      <c r="K19" s="49">
        <f>AVERAGE('25.10 BULIISA-HOIMA'!K19,'27.10 BULIISA-HOIMA'!K19,'29.10 HOIMA-BULIISA'!K19,'30.10 BULIISA-HOIMA'!K19,'26.10 BULIISA-HOIMA-24h'!K19,'26.10 HOIMA-BULIISA-24h'!K19,'31.10 BULIISA-HOIMA'!K19)</f>
        <v>0</v>
      </c>
      <c r="L19" s="49">
        <f>AVERAGE('25.10 BULIISA-HOIMA'!L19,'27.10 BULIISA-HOIMA'!L19,'29.10 HOIMA-BULIISA'!L19,'30.10 BULIISA-HOIMA'!L19,'26.10 BULIISA-HOIMA-24h'!L19,'26.10 HOIMA-BULIISA-24h'!L19,'31.10 BULIISA-HOIMA'!L19)</f>
        <v>0.14285714285714285</v>
      </c>
      <c r="M19" s="49">
        <f>AVERAGE('25.10 BULIISA-HOIMA'!M19,'27.10 BULIISA-HOIMA'!M19,'29.10 HOIMA-BULIISA'!M19,'30.10 BULIISA-HOIMA'!M19,'26.10 BULIISA-HOIMA-24h'!M19,'26.10 HOIMA-BULIISA-24h'!M19,'31.10 BULIISA-HOIMA'!M19)</f>
        <v>6.1428571428571432</v>
      </c>
      <c r="N19" s="49">
        <f>AVERAGE('25.10 BULIISA-HOIMA'!N19,'27.10 BULIISA-HOIMA'!N19,'29.10 HOIMA-BULIISA'!N19,'30.10 BULIISA-HOIMA'!N19,'26.10 BULIISA-HOIMA-24h'!N19,'26.10 HOIMA-BULIISA-24h'!N19,'31.10 BULIISA-HOIMA'!N19)</f>
        <v>0</v>
      </c>
      <c r="O19" s="15">
        <f t="shared" si="0"/>
        <v>3.1428571428571428</v>
      </c>
      <c r="P19" s="15">
        <f t="shared" si="1"/>
        <v>9.2857142857142865</v>
      </c>
      <c r="R19" s="1" t="s">
        <v>15</v>
      </c>
      <c r="S19" s="17">
        <f t="shared" ref="S19:AF19" si="11">SUM(C46:C49)</f>
        <v>0.71428571428571419</v>
      </c>
      <c r="T19" s="17">
        <f t="shared" si="11"/>
        <v>0.2857142857142857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0.42857142857142855</v>
      </c>
      <c r="Z19" s="17">
        <f t="shared" si="11"/>
        <v>0.5714285714285714</v>
      </c>
      <c r="AA19" s="17">
        <f t="shared" si="11"/>
        <v>0.2857142857142857</v>
      </c>
      <c r="AB19" s="17">
        <f t="shared" si="11"/>
        <v>0</v>
      </c>
      <c r="AC19" s="17">
        <f t="shared" si="11"/>
        <v>18.857142857142858</v>
      </c>
      <c r="AD19" s="17">
        <f t="shared" si="11"/>
        <v>0</v>
      </c>
      <c r="AE19" s="31">
        <f t="shared" si="11"/>
        <v>7.2857142857142856</v>
      </c>
      <c r="AF19" s="31">
        <f t="shared" si="11"/>
        <v>26.142857142857139</v>
      </c>
    </row>
    <row r="20" spans="2:32" ht="23.1" customHeight="1" x14ac:dyDescent="0.25">
      <c r="B20" s="23" t="s">
        <v>47</v>
      </c>
      <c r="C20" s="49">
        <f>AVERAGE('25.10 BULIISA-HOIMA'!C20,'27.10 BULIISA-HOIMA'!C20,'29.10 HOIMA-BULIISA'!C20,'30.10 BULIISA-HOIMA'!C20,'26.10 BULIISA-HOIMA-24h'!C20,'26.10 HOIMA-BULIISA-24h'!C20,'31.10 BULIISA-HOIMA'!C20)</f>
        <v>0</v>
      </c>
      <c r="D20" s="49">
        <f>AVERAGE('25.10 BULIISA-HOIMA'!D20,'27.10 BULIISA-HOIMA'!D20,'29.10 HOIMA-BULIISA'!D20,'30.10 BULIISA-HOIMA'!D20,'26.10 BULIISA-HOIMA-24h'!D20,'26.10 HOIMA-BULIISA-24h'!D20,'31.10 BULIISA-HOIMA'!D20)</f>
        <v>0.14285714285714285</v>
      </c>
      <c r="E20" s="49">
        <f>AVERAGE('25.10 BULIISA-HOIMA'!E20,'27.10 BULIISA-HOIMA'!E20,'29.10 HOIMA-BULIISA'!E20,'30.10 BULIISA-HOIMA'!E20,'26.10 BULIISA-HOIMA-24h'!E20,'26.10 HOIMA-BULIISA-24h'!E20,'31.10 BULIISA-HOIMA'!E20)</f>
        <v>0.14285714285714285</v>
      </c>
      <c r="F20" s="49">
        <f>AVERAGE('25.10 BULIISA-HOIMA'!F20,'27.10 BULIISA-HOIMA'!F20,'29.10 HOIMA-BULIISA'!F20,'30.10 BULIISA-HOIMA'!F20,'26.10 BULIISA-HOIMA-24h'!F20,'26.10 HOIMA-BULIISA-24h'!F20,'31.10 BULIISA-HOIMA'!F20)</f>
        <v>1.2857142857142858</v>
      </c>
      <c r="G20" s="49">
        <f>AVERAGE('25.10 BULIISA-HOIMA'!G20,'27.10 BULIISA-HOIMA'!G20,'29.10 HOIMA-BULIISA'!G20,'30.10 BULIISA-HOIMA'!G20,'26.10 BULIISA-HOIMA-24h'!G20,'26.10 HOIMA-BULIISA-24h'!G20,'31.10 BULIISA-HOIMA'!G20)</f>
        <v>0</v>
      </c>
      <c r="H20" s="49">
        <f>AVERAGE('25.10 BULIISA-HOIMA'!H20,'27.10 BULIISA-HOIMA'!H20,'29.10 HOIMA-BULIISA'!H20,'30.10 BULIISA-HOIMA'!H20,'26.10 BULIISA-HOIMA-24h'!H20,'26.10 HOIMA-BULIISA-24h'!H20,'31.10 BULIISA-HOIMA'!H20)</f>
        <v>0</v>
      </c>
      <c r="I20" s="49">
        <f>AVERAGE('25.10 BULIISA-HOIMA'!I20,'27.10 BULIISA-HOIMA'!I20,'29.10 HOIMA-BULIISA'!I20,'30.10 BULIISA-HOIMA'!I20,'26.10 BULIISA-HOIMA-24h'!I20,'26.10 HOIMA-BULIISA-24h'!I20,'31.10 BULIISA-HOIMA'!I20)</f>
        <v>0.14285714285714285</v>
      </c>
      <c r="J20" s="49">
        <f>AVERAGE('25.10 BULIISA-HOIMA'!J20,'27.10 BULIISA-HOIMA'!J20,'29.10 HOIMA-BULIISA'!J20,'30.10 BULIISA-HOIMA'!J20,'26.10 BULIISA-HOIMA-24h'!J20,'26.10 HOIMA-BULIISA-24h'!J20,'31.10 BULIISA-HOIMA'!J20)</f>
        <v>0</v>
      </c>
      <c r="K20" s="49">
        <f>AVERAGE('25.10 BULIISA-HOIMA'!K20,'27.10 BULIISA-HOIMA'!K20,'29.10 HOIMA-BULIISA'!K20,'30.10 BULIISA-HOIMA'!K20,'26.10 BULIISA-HOIMA-24h'!K20,'26.10 HOIMA-BULIISA-24h'!K20,'31.10 BULIISA-HOIMA'!K20)</f>
        <v>0</v>
      </c>
      <c r="L20" s="49">
        <f>AVERAGE('25.10 BULIISA-HOIMA'!L20,'27.10 BULIISA-HOIMA'!L20,'29.10 HOIMA-BULIISA'!L20,'30.10 BULIISA-HOIMA'!L20,'26.10 BULIISA-HOIMA-24h'!L20,'26.10 HOIMA-BULIISA-24h'!L20,'31.10 BULIISA-HOIMA'!L20)</f>
        <v>0</v>
      </c>
      <c r="M20" s="49">
        <f>AVERAGE('25.10 BULIISA-HOIMA'!M20,'27.10 BULIISA-HOIMA'!M20,'29.10 HOIMA-BULIISA'!M20,'30.10 BULIISA-HOIMA'!M20,'26.10 BULIISA-HOIMA-24h'!M20,'26.10 HOIMA-BULIISA-24h'!M20,'31.10 BULIISA-HOIMA'!M20)</f>
        <v>5.8571428571428568</v>
      </c>
      <c r="N20" s="49">
        <f>AVERAGE('25.10 BULIISA-HOIMA'!N20,'27.10 BULIISA-HOIMA'!N20,'29.10 HOIMA-BULIISA'!N20,'30.10 BULIISA-HOIMA'!N20,'26.10 BULIISA-HOIMA-24h'!N20,'26.10 HOIMA-BULIISA-24h'!N20,'31.10 BULIISA-HOIMA'!N20)</f>
        <v>0</v>
      </c>
      <c r="O20" s="15">
        <f t="shared" si="0"/>
        <v>1.7142857142857144</v>
      </c>
      <c r="P20" s="15">
        <f t="shared" si="1"/>
        <v>7.5714285714285712</v>
      </c>
      <c r="R20" s="1" t="s">
        <v>16</v>
      </c>
      <c r="S20" s="17">
        <f t="shared" ref="S20:AF20" si="12">SUM(C50:C53)</f>
        <v>1.4285714285714284</v>
      </c>
      <c r="T20" s="17">
        <f t="shared" si="12"/>
        <v>0.14285714285714285</v>
      </c>
      <c r="U20" s="17">
        <f t="shared" si="12"/>
        <v>1.5714285714285714</v>
      </c>
      <c r="V20" s="17">
        <f t="shared" si="12"/>
        <v>2.4285714285714288</v>
      </c>
      <c r="W20" s="17">
        <f t="shared" si="12"/>
        <v>0</v>
      </c>
      <c r="X20" s="17">
        <f t="shared" si="12"/>
        <v>0</v>
      </c>
      <c r="Y20" s="17">
        <f t="shared" si="12"/>
        <v>0.5714285714285714</v>
      </c>
      <c r="Z20" s="17">
        <f t="shared" si="12"/>
        <v>0</v>
      </c>
      <c r="AA20" s="17">
        <f t="shared" si="12"/>
        <v>0.42857142857142855</v>
      </c>
      <c r="AB20" s="17">
        <f t="shared" si="12"/>
        <v>0</v>
      </c>
      <c r="AC20" s="17">
        <f t="shared" si="12"/>
        <v>20.428571428571431</v>
      </c>
      <c r="AD20" s="17">
        <f t="shared" si="12"/>
        <v>0</v>
      </c>
      <c r="AE20" s="31">
        <f t="shared" si="12"/>
        <v>6.5714285714285712</v>
      </c>
      <c r="AF20" s="31">
        <f t="shared" si="12"/>
        <v>27</v>
      </c>
    </row>
    <row r="21" spans="2:32" ht="23.1" customHeight="1" x14ac:dyDescent="0.25">
      <c r="B21" s="23" t="s">
        <v>48</v>
      </c>
      <c r="C21" s="49">
        <f>AVERAGE('25.10 BULIISA-HOIMA'!C21,'27.10 BULIISA-HOIMA'!C21,'29.10 HOIMA-BULIISA'!C21,'30.10 BULIISA-HOIMA'!C21,'26.10 BULIISA-HOIMA-24h'!C21,'26.10 HOIMA-BULIISA-24h'!C21,'31.10 BULIISA-HOIMA'!C21)</f>
        <v>0.14285714285714285</v>
      </c>
      <c r="D21" s="49">
        <f>AVERAGE('25.10 BULIISA-HOIMA'!D21,'27.10 BULIISA-HOIMA'!D21,'29.10 HOIMA-BULIISA'!D21,'30.10 BULIISA-HOIMA'!D21,'26.10 BULIISA-HOIMA-24h'!D21,'26.10 HOIMA-BULIISA-24h'!D21,'31.10 BULIISA-HOIMA'!D21)</f>
        <v>0</v>
      </c>
      <c r="E21" s="49">
        <f>AVERAGE('25.10 BULIISA-HOIMA'!E21,'27.10 BULIISA-HOIMA'!E21,'29.10 HOIMA-BULIISA'!E21,'30.10 BULIISA-HOIMA'!E21,'26.10 BULIISA-HOIMA-24h'!E21,'26.10 HOIMA-BULIISA-24h'!E21,'31.10 BULIISA-HOIMA'!E21)</f>
        <v>0.14285714285714285</v>
      </c>
      <c r="F21" s="49">
        <f>AVERAGE('25.10 BULIISA-HOIMA'!F21,'27.10 BULIISA-HOIMA'!F21,'29.10 HOIMA-BULIISA'!F21,'30.10 BULIISA-HOIMA'!F21,'26.10 BULIISA-HOIMA-24h'!F21,'26.10 HOIMA-BULIISA-24h'!F21,'31.10 BULIISA-HOIMA'!F21)</f>
        <v>1</v>
      </c>
      <c r="G21" s="49">
        <f>AVERAGE('25.10 BULIISA-HOIMA'!G21,'27.10 BULIISA-HOIMA'!G21,'29.10 HOIMA-BULIISA'!G21,'30.10 BULIISA-HOIMA'!G21,'26.10 BULIISA-HOIMA-24h'!G21,'26.10 HOIMA-BULIISA-24h'!G21,'31.10 BULIISA-HOIMA'!G21)</f>
        <v>0</v>
      </c>
      <c r="H21" s="49">
        <f>AVERAGE('25.10 BULIISA-HOIMA'!H21,'27.10 BULIISA-HOIMA'!H21,'29.10 HOIMA-BULIISA'!H21,'30.10 BULIISA-HOIMA'!H21,'26.10 BULIISA-HOIMA-24h'!H21,'26.10 HOIMA-BULIISA-24h'!H21,'31.10 BULIISA-HOIMA'!H21)</f>
        <v>0</v>
      </c>
      <c r="I21" s="49">
        <f>AVERAGE('25.10 BULIISA-HOIMA'!I21,'27.10 BULIISA-HOIMA'!I21,'29.10 HOIMA-BULIISA'!I21,'30.10 BULIISA-HOIMA'!I21,'26.10 BULIISA-HOIMA-24h'!I21,'26.10 HOIMA-BULIISA-24h'!I21,'31.10 BULIISA-HOIMA'!I21)</f>
        <v>0.2857142857142857</v>
      </c>
      <c r="J21" s="49">
        <f>AVERAGE('25.10 BULIISA-HOIMA'!J21,'27.10 BULIISA-HOIMA'!J21,'29.10 HOIMA-BULIISA'!J21,'30.10 BULIISA-HOIMA'!J21,'26.10 BULIISA-HOIMA-24h'!J21,'26.10 HOIMA-BULIISA-24h'!J21,'31.10 BULIISA-HOIMA'!J21)</f>
        <v>0.14285714285714285</v>
      </c>
      <c r="K21" s="49">
        <f>AVERAGE('25.10 BULIISA-HOIMA'!K21,'27.10 BULIISA-HOIMA'!K21,'29.10 HOIMA-BULIISA'!K21,'30.10 BULIISA-HOIMA'!K21,'26.10 BULIISA-HOIMA-24h'!K21,'26.10 HOIMA-BULIISA-24h'!K21,'31.10 BULIISA-HOIMA'!K21)</f>
        <v>0</v>
      </c>
      <c r="L21" s="49">
        <f>AVERAGE('25.10 BULIISA-HOIMA'!L21,'27.10 BULIISA-HOIMA'!L21,'29.10 HOIMA-BULIISA'!L21,'30.10 BULIISA-HOIMA'!L21,'26.10 BULIISA-HOIMA-24h'!L21,'26.10 HOIMA-BULIISA-24h'!L21,'31.10 BULIISA-HOIMA'!L21)</f>
        <v>0</v>
      </c>
      <c r="M21" s="49">
        <f>AVERAGE('25.10 BULIISA-HOIMA'!M21,'27.10 BULIISA-HOIMA'!M21,'29.10 HOIMA-BULIISA'!M21,'30.10 BULIISA-HOIMA'!M21,'26.10 BULIISA-HOIMA-24h'!M21,'26.10 HOIMA-BULIISA-24h'!M21,'31.10 BULIISA-HOIMA'!M21)</f>
        <v>6.5714285714285712</v>
      </c>
      <c r="N21" s="49">
        <f>AVERAGE('25.10 BULIISA-HOIMA'!N21,'27.10 BULIISA-HOIMA'!N21,'29.10 HOIMA-BULIISA'!N21,'30.10 BULIISA-HOIMA'!N21,'26.10 BULIISA-HOIMA-24h'!N21,'26.10 HOIMA-BULIISA-24h'!N21,'31.10 BULIISA-HOIMA'!N21)</f>
        <v>0</v>
      </c>
      <c r="O21" s="15">
        <f t="shared" si="0"/>
        <v>1.714285714285714</v>
      </c>
      <c r="P21" s="15">
        <f t="shared" si="1"/>
        <v>8.2857142857142847</v>
      </c>
      <c r="R21" s="1" t="s">
        <v>20</v>
      </c>
      <c r="S21" s="34">
        <f t="shared" ref="S21:AF21" si="13">SUM(C54:C57)</f>
        <v>0.5714285714285714</v>
      </c>
      <c r="T21" s="17">
        <f t="shared" si="13"/>
        <v>0.42857142857142855</v>
      </c>
      <c r="U21" s="17">
        <f t="shared" si="13"/>
        <v>0.99999999999999989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0.2857142857142857</v>
      </c>
      <c r="Z21" s="17">
        <f t="shared" si="13"/>
        <v>0.2857142857142857</v>
      </c>
      <c r="AA21" s="17">
        <f t="shared" si="13"/>
        <v>0.5714285714285714</v>
      </c>
      <c r="AB21" s="17">
        <f t="shared" si="13"/>
        <v>0</v>
      </c>
      <c r="AC21" s="17">
        <f t="shared" si="13"/>
        <v>17.714285714285715</v>
      </c>
      <c r="AD21" s="17">
        <f t="shared" si="13"/>
        <v>0</v>
      </c>
      <c r="AE21" s="31">
        <f t="shared" si="13"/>
        <v>5.1428571428571423</v>
      </c>
      <c r="AF21" s="31">
        <f t="shared" si="13"/>
        <v>22.857142857142858</v>
      </c>
    </row>
    <row r="22" spans="2:32" ht="23.1" customHeight="1" x14ac:dyDescent="0.25">
      <c r="B22" s="23" t="s">
        <v>49</v>
      </c>
      <c r="C22" s="49">
        <f>AVERAGE('25.10 BULIISA-HOIMA'!C22,'27.10 BULIISA-HOIMA'!C22,'29.10 HOIMA-BULIISA'!C22,'30.10 BULIISA-HOIMA'!C22,'26.10 BULIISA-HOIMA-24h'!C22,'26.10 HOIMA-BULIISA-24h'!C22,'31.10 BULIISA-HOIMA'!C22)</f>
        <v>0.5714285714285714</v>
      </c>
      <c r="D22" s="49">
        <f>AVERAGE('25.10 BULIISA-HOIMA'!D22,'27.10 BULIISA-HOIMA'!D22,'29.10 HOIMA-BULIISA'!D22,'30.10 BULIISA-HOIMA'!D22,'26.10 BULIISA-HOIMA-24h'!D22,'26.10 HOIMA-BULIISA-24h'!D22,'31.10 BULIISA-HOIMA'!D22)</f>
        <v>0</v>
      </c>
      <c r="E22" s="49">
        <f>AVERAGE('25.10 BULIISA-HOIMA'!E22,'27.10 BULIISA-HOIMA'!E22,'29.10 HOIMA-BULIISA'!E22,'30.10 BULIISA-HOIMA'!E22,'26.10 BULIISA-HOIMA-24h'!E22,'26.10 HOIMA-BULIISA-24h'!E22,'31.10 BULIISA-HOIMA'!E22)</f>
        <v>0.2857142857142857</v>
      </c>
      <c r="F22" s="49">
        <f>AVERAGE('25.10 BULIISA-HOIMA'!F22,'27.10 BULIISA-HOIMA'!F22,'29.10 HOIMA-BULIISA'!F22,'30.10 BULIISA-HOIMA'!F22,'26.10 BULIISA-HOIMA-24h'!F22,'26.10 HOIMA-BULIISA-24h'!F22,'31.10 BULIISA-HOIMA'!F22)</f>
        <v>0.2857142857142857</v>
      </c>
      <c r="G22" s="49">
        <f>AVERAGE('25.10 BULIISA-HOIMA'!G22,'27.10 BULIISA-HOIMA'!G22,'29.10 HOIMA-BULIISA'!G22,'30.10 BULIISA-HOIMA'!G22,'26.10 BULIISA-HOIMA-24h'!G22,'26.10 HOIMA-BULIISA-24h'!G22,'31.10 BULIISA-HOIMA'!G22)</f>
        <v>0.14285714285714285</v>
      </c>
      <c r="H22" s="49">
        <f>AVERAGE('25.10 BULIISA-HOIMA'!H22,'27.10 BULIISA-HOIMA'!H22,'29.10 HOIMA-BULIISA'!H22,'30.10 BULIISA-HOIMA'!H22,'26.10 BULIISA-HOIMA-24h'!H22,'26.10 HOIMA-BULIISA-24h'!H22,'31.10 BULIISA-HOIMA'!H22)</f>
        <v>0</v>
      </c>
      <c r="I22" s="49">
        <f>AVERAGE('25.10 BULIISA-HOIMA'!I22,'27.10 BULIISA-HOIMA'!I22,'29.10 HOIMA-BULIISA'!I22,'30.10 BULIISA-HOIMA'!I22,'26.10 BULIISA-HOIMA-24h'!I22,'26.10 HOIMA-BULIISA-24h'!I22,'31.10 BULIISA-HOIMA'!I22)</f>
        <v>0.2857142857142857</v>
      </c>
      <c r="J22" s="49">
        <f>AVERAGE('25.10 BULIISA-HOIMA'!J22,'27.10 BULIISA-HOIMA'!J22,'29.10 HOIMA-BULIISA'!J22,'30.10 BULIISA-HOIMA'!J22,'26.10 BULIISA-HOIMA-24h'!J22,'26.10 HOIMA-BULIISA-24h'!J22,'31.10 BULIISA-HOIMA'!J22)</f>
        <v>0.14285714285714285</v>
      </c>
      <c r="K22" s="49">
        <f>AVERAGE('25.10 BULIISA-HOIMA'!K22,'27.10 BULIISA-HOIMA'!K22,'29.10 HOIMA-BULIISA'!K22,'30.10 BULIISA-HOIMA'!K22,'26.10 BULIISA-HOIMA-24h'!K22,'26.10 HOIMA-BULIISA-24h'!K22,'31.10 BULIISA-HOIMA'!K22)</f>
        <v>0.14285714285714285</v>
      </c>
      <c r="L22" s="49">
        <f>AVERAGE('25.10 BULIISA-HOIMA'!L22,'27.10 BULIISA-HOIMA'!L22,'29.10 HOIMA-BULIISA'!L22,'30.10 BULIISA-HOIMA'!L22,'26.10 BULIISA-HOIMA-24h'!L22,'26.10 HOIMA-BULIISA-24h'!L22,'31.10 BULIISA-HOIMA'!L22)</f>
        <v>0</v>
      </c>
      <c r="M22" s="49">
        <f>AVERAGE('25.10 BULIISA-HOIMA'!M22,'27.10 BULIISA-HOIMA'!M22,'29.10 HOIMA-BULIISA'!M22,'30.10 BULIISA-HOIMA'!M22,'26.10 BULIISA-HOIMA-24h'!M22,'26.10 HOIMA-BULIISA-24h'!M22,'31.10 BULIISA-HOIMA'!M22)</f>
        <v>6.4285714285714288</v>
      </c>
      <c r="N22" s="49">
        <f>AVERAGE('25.10 BULIISA-HOIMA'!N22,'27.10 BULIISA-HOIMA'!N22,'29.10 HOIMA-BULIISA'!N22,'30.10 BULIISA-HOIMA'!N22,'26.10 BULIISA-HOIMA-24h'!N22,'26.10 HOIMA-BULIISA-24h'!N22,'31.10 BULIISA-HOIMA'!N22)</f>
        <v>0</v>
      </c>
      <c r="O22" s="15">
        <f t="shared" si="0"/>
        <v>1.8571428571428568</v>
      </c>
      <c r="P22" s="15">
        <f t="shared" si="1"/>
        <v>8.2857142857142847</v>
      </c>
      <c r="R22" s="1" t="s">
        <v>146</v>
      </c>
      <c r="S22" s="34">
        <f>SUM(C58:C61)</f>
        <v>1.5</v>
      </c>
      <c r="T22" s="34">
        <f t="shared" ref="T22:AF22" si="14">SUM(D58:D61)</f>
        <v>1</v>
      </c>
      <c r="U22" s="34">
        <f t="shared" si="14"/>
        <v>1.5</v>
      </c>
      <c r="V22" s="34">
        <f t="shared" si="14"/>
        <v>1.5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0.5</v>
      </c>
      <c r="AA22" s="34">
        <f t="shared" si="14"/>
        <v>0</v>
      </c>
      <c r="AB22" s="34">
        <f t="shared" si="14"/>
        <v>0</v>
      </c>
      <c r="AC22" s="34">
        <f t="shared" si="14"/>
        <v>19</v>
      </c>
      <c r="AD22" s="34">
        <f t="shared" si="14"/>
        <v>0</v>
      </c>
      <c r="AE22" s="31">
        <f t="shared" si="14"/>
        <v>6</v>
      </c>
      <c r="AF22" s="31">
        <f t="shared" si="14"/>
        <v>25</v>
      </c>
    </row>
    <row r="23" spans="2:32" ht="23.1" customHeight="1" x14ac:dyDescent="0.25">
      <c r="B23" s="23" t="s">
        <v>50</v>
      </c>
      <c r="C23" s="49">
        <f>AVERAGE('25.10 BULIISA-HOIMA'!C23,'27.10 BULIISA-HOIMA'!C23,'29.10 HOIMA-BULIISA'!C23,'30.10 BULIISA-HOIMA'!C23,'26.10 BULIISA-HOIMA-24h'!C23,'26.10 HOIMA-BULIISA-24h'!C23,'31.10 BULIISA-HOIMA'!C23)</f>
        <v>0.14285714285714285</v>
      </c>
      <c r="D23" s="49">
        <f>AVERAGE('25.10 BULIISA-HOIMA'!D23,'27.10 BULIISA-HOIMA'!D23,'29.10 HOIMA-BULIISA'!D23,'30.10 BULIISA-HOIMA'!D23,'26.10 BULIISA-HOIMA-24h'!D23,'26.10 HOIMA-BULIISA-24h'!D23,'31.10 BULIISA-HOIMA'!D23)</f>
        <v>0.2857142857142857</v>
      </c>
      <c r="E23" s="49">
        <f>AVERAGE('25.10 BULIISA-HOIMA'!E23,'27.10 BULIISA-HOIMA'!E23,'29.10 HOIMA-BULIISA'!E23,'30.10 BULIISA-HOIMA'!E23,'26.10 BULIISA-HOIMA-24h'!E23,'26.10 HOIMA-BULIISA-24h'!E23,'31.10 BULIISA-HOIMA'!E23)</f>
        <v>0.7142857142857143</v>
      </c>
      <c r="F23" s="49">
        <f>AVERAGE('25.10 BULIISA-HOIMA'!F23,'27.10 BULIISA-HOIMA'!F23,'29.10 HOIMA-BULIISA'!F23,'30.10 BULIISA-HOIMA'!F23,'26.10 BULIISA-HOIMA-24h'!F23,'26.10 HOIMA-BULIISA-24h'!F23,'31.10 BULIISA-HOIMA'!F23)</f>
        <v>0.42857142857142855</v>
      </c>
      <c r="G23" s="49">
        <f>AVERAGE('25.10 BULIISA-HOIMA'!G23,'27.10 BULIISA-HOIMA'!G23,'29.10 HOIMA-BULIISA'!G23,'30.10 BULIISA-HOIMA'!G23,'26.10 BULIISA-HOIMA-24h'!G23,'26.10 HOIMA-BULIISA-24h'!G23,'31.10 BULIISA-HOIMA'!G23)</f>
        <v>0</v>
      </c>
      <c r="H23" s="49">
        <f>AVERAGE('25.10 BULIISA-HOIMA'!H23,'27.10 BULIISA-HOIMA'!H23,'29.10 HOIMA-BULIISA'!H23,'30.10 BULIISA-HOIMA'!H23,'26.10 BULIISA-HOIMA-24h'!H23,'26.10 HOIMA-BULIISA-24h'!H23,'31.10 BULIISA-HOIMA'!H23)</f>
        <v>0</v>
      </c>
      <c r="I23" s="49">
        <f>AVERAGE('25.10 BULIISA-HOIMA'!I23,'27.10 BULIISA-HOIMA'!I23,'29.10 HOIMA-BULIISA'!I23,'30.10 BULIISA-HOIMA'!I23,'26.10 BULIISA-HOIMA-24h'!I23,'26.10 HOIMA-BULIISA-24h'!I23,'31.10 BULIISA-HOIMA'!I23)</f>
        <v>0.14285714285714285</v>
      </c>
      <c r="J23" s="49">
        <f>AVERAGE('25.10 BULIISA-HOIMA'!J23,'27.10 BULIISA-HOIMA'!J23,'29.10 HOIMA-BULIISA'!J23,'30.10 BULIISA-HOIMA'!J23,'26.10 BULIISA-HOIMA-24h'!J23,'26.10 HOIMA-BULIISA-24h'!J23,'31.10 BULIISA-HOIMA'!J23)</f>
        <v>0</v>
      </c>
      <c r="K23" s="49">
        <f>AVERAGE('25.10 BULIISA-HOIMA'!K23,'27.10 BULIISA-HOIMA'!K23,'29.10 HOIMA-BULIISA'!K23,'30.10 BULIISA-HOIMA'!K23,'26.10 BULIISA-HOIMA-24h'!K23,'26.10 HOIMA-BULIISA-24h'!K23,'31.10 BULIISA-HOIMA'!K23)</f>
        <v>0.14285714285714285</v>
      </c>
      <c r="L23" s="49">
        <f>AVERAGE('25.10 BULIISA-HOIMA'!L23,'27.10 BULIISA-HOIMA'!L23,'29.10 HOIMA-BULIISA'!L23,'30.10 BULIISA-HOIMA'!L23,'26.10 BULIISA-HOIMA-24h'!L23,'26.10 HOIMA-BULIISA-24h'!L23,'31.10 BULIISA-HOIMA'!L23)</f>
        <v>0</v>
      </c>
      <c r="M23" s="49">
        <f>AVERAGE('25.10 BULIISA-HOIMA'!M23,'27.10 BULIISA-HOIMA'!M23,'29.10 HOIMA-BULIISA'!M23,'30.10 BULIISA-HOIMA'!M23,'26.10 BULIISA-HOIMA-24h'!M23,'26.10 HOIMA-BULIISA-24h'!M23,'31.10 BULIISA-HOIMA'!M23)</f>
        <v>4.5714285714285712</v>
      </c>
      <c r="N23" s="49">
        <f>AVERAGE('25.10 BULIISA-HOIMA'!N23,'27.10 BULIISA-HOIMA'!N23,'29.10 HOIMA-BULIISA'!N23,'30.10 BULIISA-HOIMA'!N23,'26.10 BULIISA-HOIMA-24h'!N23,'26.10 HOIMA-BULIISA-24h'!N23,'31.10 BULIISA-HOIMA'!N23)</f>
        <v>0</v>
      </c>
      <c r="O23" s="15">
        <f t="shared" si="0"/>
        <v>1.857142857142857</v>
      </c>
      <c r="P23" s="15">
        <f t="shared" si="1"/>
        <v>6.4285714285714279</v>
      </c>
      <c r="R23" s="1" t="s">
        <v>147</v>
      </c>
      <c r="S23" s="34">
        <f>SUM(C62:C65)</f>
        <v>0</v>
      </c>
      <c r="T23" s="34">
        <f t="shared" ref="T23:AF23" si="15">SUM(D62:D65)</f>
        <v>0.5</v>
      </c>
      <c r="U23" s="34">
        <f t="shared" si="15"/>
        <v>0</v>
      </c>
      <c r="V23" s="34">
        <f t="shared" si="15"/>
        <v>1</v>
      </c>
      <c r="W23" s="34">
        <f t="shared" si="15"/>
        <v>0.5</v>
      </c>
      <c r="X23" s="34">
        <f t="shared" si="15"/>
        <v>0</v>
      </c>
      <c r="Y23" s="34">
        <f t="shared" si="15"/>
        <v>0.5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12</v>
      </c>
      <c r="AD23" s="34">
        <f t="shared" si="15"/>
        <v>0</v>
      </c>
      <c r="AE23" s="31">
        <f t="shared" si="15"/>
        <v>2.5</v>
      </c>
      <c r="AF23" s="31">
        <f t="shared" si="15"/>
        <v>14.5</v>
      </c>
    </row>
    <row r="24" spans="2:32" ht="23.1" customHeight="1" x14ac:dyDescent="0.25">
      <c r="B24" s="23" t="s">
        <v>51</v>
      </c>
      <c r="C24" s="49">
        <f>AVERAGE('25.10 BULIISA-HOIMA'!C24,'27.10 BULIISA-HOIMA'!C24,'29.10 HOIMA-BULIISA'!C24,'30.10 BULIISA-HOIMA'!C24,'26.10 BULIISA-HOIMA-24h'!C24,'26.10 HOIMA-BULIISA-24h'!C24,'31.10 BULIISA-HOIMA'!C24)</f>
        <v>0.42857142857142855</v>
      </c>
      <c r="D24" s="49">
        <f>AVERAGE('25.10 BULIISA-HOIMA'!D24,'27.10 BULIISA-HOIMA'!D24,'29.10 HOIMA-BULIISA'!D24,'30.10 BULIISA-HOIMA'!D24,'26.10 BULIISA-HOIMA-24h'!D24,'26.10 HOIMA-BULIISA-24h'!D24,'31.10 BULIISA-HOIMA'!D24)</f>
        <v>0</v>
      </c>
      <c r="E24" s="49">
        <f>AVERAGE('25.10 BULIISA-HOIMA'!E24,'27.10 BULIISA-HOIMA'!E24,'29.10 HOIMA-BULIISA'!E24,'30.10 BULIISA-HOIMA'!E24,'26.10 BULIISA-HOIMA-24h'!E24,'26.10 HOIMA-BULIISA-24h'!E24,'31.10 BULIISA-HOIMA'!E24)</f>
        <v>0.42857142857142855</v>
      </c>
      <c r="F24" s="49">
        <f>AVERAGE('25.10 BULIISA-HOIMA'!F24,'27.10 BULIISA-HOIMA'!F24,'29.10 HOIMA-BULIISA'!F24,'30.10 BULIISA-HOIMA'!F24,'26.10 BULIISA-HOIMA-24h'!F24,'26.10 HOIMA-BULIISA-24h'!F24,'31.10 BULIISA-HOIMA'!F24)</f>
        <v>0.8571428571428571</v>
      </c>
      <c r="G24" s="49">
        <f>AVERAGE('25.10 BULIISA-HOIMA'!G24,'27.10 BULIISA-HOIMA'!G24,'29.10 HOIMA-BULIISA'!G24,'30.10 BULIISA-HOIMA'!G24,'26.10 BULIISA-HOIMA-24h'!G24,'26.10 HOIMA-BULIISA-24h'!G24,'31.10 BULIISA-HOIMA'!G24)</f>
        <v>0</v>
      </c>
      <c r="H24" s="49">
        <f>AVERAGE('25.10 BULIISA-HOIMA'!H24,'27.10 BULIISA-HOIMA'!H24,'29.10 HOIMA-BULIISA'!H24,'30.10 BULIISA-HOIMA'!H24,'26.10 BULIISA-HOIMA-24h'!H24,'26.10 HOIMA-BULIISA-24h'!H24,'31.10 BULIISA-HOIMA'!H24)</f>
        <v>0</v>
      </c>
      <c r="I24" s="49">
        <f>AVERAGE('25.10 BULIISA-HOIMA'!I24,'27.10 BULIISA-HOIMA'!I24,'29.10 HOIMA-BULIISA'!I24,'30.10 BULIISA-HOIMA'!I24,'26.10 BULIISA-HOIMA-24h'!I24,'26.10 HOIMA-BULIISA-24h'!I24,'31.10 BULIISA-HOIMA'!I24)</f>
        <v>0</v>
      </c>
      <c r="J24" s="49">
        <f>AVERAGE('25.10 BULIISA-HOIMA'!J24,'27.10 BULIISA-HOIMA'!J24,'29.10 HOIMA-BULIISA'!J24,'30.10 BULIISA-HOIMA'!J24,'26.10 BULIISA-HOIMA-24h'!J24,'26.10 HOIMA-BULIISA-24h'!J24,'31.10 BULIISA-HOIMA'!J24)</f>
        <v>0</v>
      </c>
      <c r="K24" s="49">
        <f>AVERAGE('25.10 BULIISA-HOIMA'!K24,'27.10 BULIISA-HOIMA'!K24,'29.10 HOIMA-BULIISA'!K24,'30.10 BULIISA-HOIMA'!K24,'26.10 BULIISA-HOIMA-24h'!K24,'26.10 HOIMA-BULIISA-24h'!K24,'31.10 BULIISA-HOIMA'!K24)</f>
        <v>0.14285714285714285</v>
      </c>
      <c r="L24" s="49">
        <f>AVERAGE('25.10 BULIISA-HOIMA'!L24,'27.10 BULIISA-HOIMA'!L24,'29.10 HOIMA-BULIISA'!L24,'30.10 BULIISA-HOIMA'!L24,'26.10 BULIISA-HOIMA-24h'!L24,'26.10 HOIMA-BULIISA-24h'!L24,'31.10 BULIISA-HOIMA'!L24)</f>
        <v>0</v>
      </c>
      <c r="M24" s="49">
        <f>AVERAGE('25.10 BULIISA-HOIMA'!M24,'27.10 BULIISA-HOIMA'!M24,'29.10 HOIMA-BULIISA'!M24,'30.10 BULIISA-HOIMA'!M24,'26.10 BULIISA-HOIMA-24h'!M24,'26.10 HOIMA-BULIISA-24h'!M24,'31.10 BULIISA-HOIMA'!M24)</f>
        <v>2.8571428571428572</v>
      </c>
      <c r="N24" s="49">
        <f>AVERAGE('25.10 BULIISA-HOIMA'!N24,'27.10 BULIISA-HOIMA'!N24,'29.10 HOIMA-BULIISA'!N24,'30.10 BULIISA-HOIMA'!N24,'26.10 BULIISA-HOIMA-24h'!N24,'26.10 HOIMA-BULIISA-24h'!N24,'31.10 BULIISA-HOIMA'!N24)</f>
        <v>0</v>
      </c>
      <c r="O24" s="15">
        <f t="shared" si="0"/>
        <v>1.857142857142857</v>
      </c>
      <c r="P24" s="15">
        <f t="shared" si="1"/>
        <v>4.7142857142857144</v>
      </c>
      <c r="R24" s="1" t="s">
        <v>148</v>
      </c>
      <c r="S24" s="34">
        <f>SUM(C66:C69)</f>
        <v>0</v>
      </c>
      <c r="T24" s="34">
        <f t="shared" ref="T24:AF24" si="16">SUM(D66:D69)</f>
        <v>1.5</v>
      </c>
      <c r="U24" s="34">
        <f t="shared" si="16"/>
        <v>0</v>
      </c>
      <c r="V24" s="34">
        <f t="shared" si="16"/>
        <v>1.5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7</v>
      </c>
      <c r="AD24" s="34">
        <f t="shared" si="16"/>
        <v>0</v>
      </c>
      <c r="AE24" s="31">
        <f t="shared" si="16"/>
        <v>3</v>
      </c>
      <c r="AF24" s="31">
        <f t="shared" si="16"/>
        <v>10</v>
      </c>
    </row>
    <row r="25" spans="2:32" ht="23.1" customHeight="1" x14ac:dyDescent="0.25">
      <c r="B25" s="23" t="s">
        <v>52</v>
      </c>
      <c r="C25" s="49">
        <f>AVERAGE('25.10 BULIISA-HOIMA'!C25,'27.10 BULIISA-HOIMA'!C25,'29.10 HOIMA-BULIISA'!C25,'30.10 BULIISA-HOIMA'!C25,'26.10 BULIISA-HOIMA-24h'!C25,'26.10 HOIMA-BULIISA-24h'!C25,'31.10 BULIISA-HOIMA'!C25)</f>
        <v>0.42857142857142855</v>
      </c>
      <c r="D25" s="49">
        <f>AVERAGE('25.10 BULIISA-HOIMA'!D25,'27.10 BULIISA-HOIMA'!D25,'29.10 HOIMA-BULIISA'!D25,'30.10 BULIISA-HOIMA'!D25,'26.10 BULIISA-HOIMA-24h'!D25,'26.10 HOIMA-BULIISA-24h'!D25,'31.10 BULIISA-HOIMA'!D25)</f>
        <v>0.14285714285714285</v>
      </c>
      <c r="E25" s="49">
        <f>AVERAGE('25.10 BULIISA-HOIMA'!E25,'27.10 BULIISA-HOIMA'!E25,'29.10 HOIMA-BULIISA'!E25,'30.10 BULIISA-HOIMA'!E25,'26.10 BULIISA-HOIMA-24h'!E25,'26.10 HOIMA-BULIISA-24h'!E25,'31.10 BULIISA-HOIMA'!E25)</f>
        <v>0.2857142857142857</v>
      </c>
      <c r="F25" s="49">
        <f>AVERAGE('25.10 BULIISA-HOIMA'!F25,'27.10 BULIISA-HOIMA'!F25,'29.10 HOIMA-BULIISA'!F25,'30.10 BULIISA-HOIMA'!F25,'26.10 BULIISA-HOIMA-24h'!F25,'26.10 HOIMA-BULIISA-24h'!F25,'31.10 BULIISA-HOIMA'!F25)</f>
        <v>0.42857142857142855</v>
      </c>
      <c r="G25" s="49">
        <f>AVERAGE('25.10 BULIISA-HOIMA'!G25,'27.10 BULIISA-HOIMA'!G25,'29.10 HOIMA-BULIISA'!G25,'30.10 BULIISA-HOIMA'!G25,'26.10 BULIISA-HOIMA-24h'!G25,'26.10 HOIMA-BULIISA-24h'!G25,'31.10 BULIISA-HOIMA'!G25)</f>
        <v>0</v>
      </c>
      <c r="H25" s="49">
        <f>AVERAGE('25.10 BULIISA-HOIMA'!H25,'27.10 BULIISA-HOIMA'!H25,'29.10 HOIMA-BULIISA'!H25,'30.10 BULIISA-HOIMA'!H25,'26.10 BULIISA-HOIMA-24h'!H25,'26.10 HOIMA-BULIISA-24h'!H25,'31.10 BULIISA-HOIMA'!H25)</f>
        <v>0</v>
      </c>
      <c r="I25" s="49">
        <f>AVERAGE('25.10 BULIISA-HOIMA'!I25,'27.10 BULIISA-HOIMA'!I25,'29.10 HOIMA-BULIISA'!I25,'30.10 BULIISA-HOIMA'!I25,'26.10 BULIISA-HOIMA-24h'!I25,'26.10 HOIMA-BULIISA-24h'!I25,'31.10 BULIISA-HOIMA'!I25)</f>
        <v>0.14285714285714285</v>
      </c>
      <c r="J25" s="49">
        <f>AVERAGE('25.10 BULIISA-HOIMA'!J25,'27.10 BULIISA-HOIMA'!J25,'29.10 HOIMA-BULIISA'!J25,'30.10 BULIISA-HOIMA'!J25,'26.10 BULIISA-HOIMA-24h'!J25,'26.10 HOIMA-BULIISA-24h'!J25,'31.10 BULIISA-HOIMA'!J25)</f>
        <v>0.14285714285714285</v>
      </c>
      <c r="K25" s="49">
        <f>AVERAGE('25.10 BULIISA-HOIMA'!K25,'27.10 BULIISA-HOIMA'!K25,'29.10 HOIMA-BULIISA'!K25,'30.10 BULIISA-HOIMA'!K25,'26.10 BULIISA-HOIMA-24h'!K25,'26.10 HOIMA-BULIISA-24h'!K25,'31.10 BULIISA-HOIMA'!K25)</f>
        <v>0.14285714285714285</v>
      </c>
      <c r="L25" s="49">
        <f>AVERAGE('25.10 BULIISA-HOIMA'!L25,'27.10 BULIISA-HOIMA'!L25,'29.10 HOIMA-BULIISA'!L25,'30.10 BULIISA-HOIMA'!L25,'26.10 BULIISA-HOIMA-24h'!L25,'26.10 HOIMA-BULIISA-24h'!L25,'31.10 BULIISA-HOIMA'!L25)</f>
        <v>0</v>
      </c>
      <c r="M25" s="49">
        <f>AVERAGE('25.10 BULIISA-HOIMA'!M25,'27.10 BULIISA-HOIMA'!M25,'29.10 HOIMA-BULIISA'!M25,'30.10 BULIISA-HOIMA'!M25,'26.10 BULIISA-HOIMA-24h'!M25,'26.10 HOIMA-BULIISA-24h'!M25,'31.10 BULIISA-HOIMA'!M25)</f>
        <v>4.5714285714285712</v>
      </c>
      <c r="N25" s="49">
        <f>AVERAGE('25.10 BULIISA-HOIMA'!N25,'27.10 BULIISA-HOIMA'!N25,'29.10 HOIMA-BULIISA'!N25,'30.10 BULIISA-HOIMA'!N25,'26.10 BULIISA-HOIMA-24h'!N25,'26.10 HOIMA-BULIISA-24h'!N25,'31.10 BULIISA-HOIMA'!N25)</f>
        <v>0</v>
      </c>
      <c r="O25" s="15">
        <f t="shared" si="0"/>
        <v>1.714285714285714</v>
      </c>
      <c r="P25" s="15">
        <f t="shared" si="1"/>
        <v>6.2857142857142847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7.5</v>
      </c>
      <c r="AD25" s="34">
        <f t="shared" si="17"/>
        <v>0</v>
      </c>
      <c r="AE25" s="31">
        <f t="shared" si="17"/>
        <v>0</v>
      </c>
      <c r="AF25" s="31">
        <f t="shared" si="17"/>
        <v>7.5</v>
      </c>
    </row>
    <row r="26" spans="2:32" ht="23.1" customHeight="1" x14ac:dyDescent="0.25">
      <c r="B26" s="23" t="s">
        <v>53</v>
      </c>
      <c r="C26" s="49">
        <f>AVERAGE('25.10 BULIISA-HOIMA'!C26,'27.10 BULIISA-HOIMA'!C26,'29.10 HOIMA-BULIISA'!C26,'30.10 BULIISA-HOIMA'!C26,'26.10 BULIISA-HOIMA-24h'!C26,'26.10 HOIMA-BULIISA-24h'!C26,'31.10 BULIISA-HOIMA'!C26)</f>
        <v>0</v>
      </c>
      <c r="D26" s="49">
        <f>AVERAGE('25.10 BULIISA-HOIMA'!D26,'27.10 BULIISA-HOIMA'!D26,'29.10 HOIMA-BULIISA'!D26,'30.10 BULIISA-HOIMA'!D26,'26.10 BULIISA-HOIMA-24h'!D26,'26.10 HOIMA-BULIISA-24h'!D26,'31.10 BULIISA-HOIMA'!D26)</f>
        <v>0</v>
      </c>
      <c r="E26" s="49">
        <f>AVERAGE('25.10 BULIISA-HOIMA'!E26,'27.10 BULIISA-HOIMA'!E26,'29.10 HOIMA-BULIISA'!E26,'30.10 BULIISA-HOIMA'!E26,'26.10 BULIISA-HOIMA-24h'!E26,'26.10 HOIMA-BULIISA-24h'!E26,'31.10 BULIISA-HOIMA'!E26)</f>
        <v>0.2857142857142857</v>
      </c>
      <c r="F26" s="49">
        <f>AVERAGE('25.10 BULIISA-HOIMA'!F26,'27.10 BULIISA-HOIMA'!F26,'29.10 HOIMA-BULIISA'!F26,'30.10 BULIISA-HOIMA'!F26,'26.10 BULIISA-HOIMA-24h'!F26,'26.10 HOIMA-BULIISA-24h'!F26,'31.10 BULIISA-HOIMA'!F26)</f>
        <v>0.7142857142857143</v>
      </c>
      <c r="G26" s="49">
        <f>AVERAGE('25.10 BULIISA-HOIMA'!G26,'27.10 BULIISA-HOIMA'!G26,'29.10 HOIMA-BULIISA'!G26,'30.10 BULIISA-HOIMA'!G26,'26.10 BULIISA-HOIMA-24h'!G26,'26.10 HOIMA-BULIISA-24h'!G26,'31.10 BULIISA-HOIMA'!G26)</f>
        <v>0</v>
      </c>
      <c r="H26" s="49">
        <f>AVERAGE('25.10 BULIISA-HOIMA'!H26,'27.10 BULIISA-HOIMA'!H26,'29.10 HOIMA-BULIISA'!H26,'30.10 BULIISA-HOIMA'!H26,'26.10 BULIISA-HOIMA-24h'!H26,'26.10 HOIMA-BULIISA-24h'!H26,'31.10 BULIISA-HOIMA'!H26)</f>
        <v>0</v>
      </c>
      <c r="I26" s="49">
        <f>AVERAGE('25.10 BULIISA-HOIMA'!I26,'27.10 BULIISA-HOIMA'!I26,'29.10 HOIMA-BULIISA'!I26,'30.10 BULIISA-HOIMA'!I26,'26.10 BULIISA-HOIMA-24h'!I26,'26.10 HOIMA-BULIISA-24h'!I26,'31.10 BULIISA-HOIMA'!I26)</f>
        <v>0</v>
      </c>
      <c r="J26" s="49">
        <f>AVERAGE('25.10 BULIISA-HOIMA'!J26,'27.10 BULIISA-HOIMA'!J26,'29.10 HOIMA-BULIISA'!J26,'30.10 BULIISA-HOIMA'!J26,'26.10 BULIISA-HOIMA-24h'!J26,'26.10 HOIMA-BULIISA-24h'!J26,'31.10 BULIISA-HOIMA'!J26)</f>
        <v>0</v>
      </c>
      <c r="K26" s="49">
        <f>AVERAGE('25.10 BULIISA-HOIMA'!K26,'27.10 BULIISA-HOIMA'!K26,'29.10 HOIMA-BULIISA'!K26,'30.10 BULIISA-HOIMA'!K26,'26.10 BULIISA-HOIMA-24h'!K26,'26.10 HOIMA-BULIISA-24h'!K26,'31.10 BULIISA-HOIMA'!K26)</f>
        <v>0</v>
      </c>
      <c r="L26" s="49">
        <f>AVERAGE('25.10 BULIISA-HOIMA'!L26,'27.10 BULIISA-HOIMA'!L26,'29.10 HOIMA-BULIISA'!L26,'30.10 BULIISA-HOIMA'!L26,'26.10 BULIISA-HOIMA-24h'!L26,'26.10 HOIMA-BULIISA-24h'!L26,'31.10 BULIISA-HOIMA'!L26)</f>
        <v>0</v>
      </c>
      <c r="M26" s="49">
        <f>AVERAGE('25.10 BULIISA-HOIMA'!M26,'27.10 BULIISA-HOIMA'!M26,'29.10 HOIMA-BULIISA'!M26,'30.10 BULIISA-HOIMA'!M26,'26.10 BULIISA-HOIMA-24h'!M26,'26.10 HOIMA-BULIISA-24h'!M26,'31.10 BULIISA-HOIMA'!M26)</f>
        <v>5</v>
      </c>
      <c r="N26" s="49">
        <f>AVERAGE('25.10 BULIISA-HOIMA'!N26,'27.10 BULIISA-HOIMA'!N26,'29.10 HOIMA-BULIISA'!N26,'30.10 BULIISA-HOIMA'!N26,'26.10 BULIISA-HOIMA-24h'!N26,'26.10 HOIMA-BULIISA-24h'!N26,'31.10 BULIISA-HOIMA'!N26)</f>
        <v>0</v>
      </c>
      <c r="O26" s="15">
        <f t="shared" si="0"/>
        <v>1</v>
      </c>
      <c r="P26" s="15">
        <f t="shared" si="1"/>
        <v>6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0.5</v>
      </c>
      <c r="AD26" s="34">
        <f t="shared" si="18"/>
        <v>0</v>
      </c>
      <c r="AE26" s="31">
        <f t="shared" si="18"/>
        <v>0.5</v>
      </c>
      <c r="AF26" s="31">
        <f t="shared" si="18"/>
        <v>1</v>
      </c>
    </row>
    <row r="27" spans="2:32" ht="23.1" customHeight="1" x14ac:dyDescent="0.25">
      <c r="B27" s="23" t="s">
        <v>54</v>
      </c>
      <c r="C27" s="49">
        <f>AVERAGE('25.10 BULIISA-HOIMA'!C27,'27.10 BULIISA-HOIMA'!C27,'29.10 HOIMA-BULIISA'!C27,'30.10 BULIISA-HOIMA'!C27,'26.10 BULIISA-HOIMA-24h'!C27,'26.10 HOIMA-BULIISA-24h'!C27,'31.10 BULIISA-HOIMA'!C27)</f>
        <v>0.2857142857142857</v>
      </c>
      <c r="D27" s="49">
        <f>AVERAGE('25.10 BULIISA-HOIMA'!D27,'27.10 BULIISA-HOIMA'!D27,'29.10 HOIMA-BULIISA'!D27,'30.10 BULIISA-HOIMA'!D27,'26.10 BULIISA-HOIMA-24h'!D27,'26.10 HOIMA-BULIISA-24h'!D27,'31.10 BULIISA-HOIMA'!D27)</f>
        <v>0.2857142857142857</v>
      </c>
      <c r="E27" s="49">
        <f>AVERAGE('25.10 BULIISA-HOIMA'!E27,'27.10 BULIISA-HOIMA'!E27,'29.10 HOIMA-BULIISA'!E27,'30.10 BULIISA-HOIMA'!E27,'26.10 BULIISA-HOIMA-24h'!E27,'26.10 HOIMA-BULIISA-24h'!E27,'31.10 BULIISA-HOIMA'!E27)</f>
        <v>0.2857142857142857</v>
      </c>
      <c r="F27" s="49">
        <f>AVERAGE('25.10 BULIISA-HOIMA'!F27,'27.10 BULIISA-HOIMA'!F27,'29.10 HOIMA-BULIISA'!F27,'30.10 BULIISA-HOIMA'!F27,'26.10 BULIISA-HOIMA-24h'!F27,'26.10 HOIMA-BULIISA-24h'!F27,'31.10 BULIISA-HOIMA'!F27)</f>
        <v>0.7142857142857143</v>
      </c>
      <c r="G27" s="49">
        <f>AVERAGE('25.10 BULIISA-HOIMA'!G27,'27.10 BULIISA-HOIMA'!G27,'29.10 HOIMA-BULIISA'!G27,'30.10 BULIISA-HOIMA'!G27,'26.10 BULIISA-HOIMA-24h'!G27,'26.10 HOIMA-BULIISA-24h'!G27,'31.10 BULIISA-HOIMA'!G27)</f>
        <v>0</v>
      </c>
      <c r="H27" s="49">
        <f>AVERAGE('25.10 BULIISA-HOIMA'!H27,'27.10 BULIISA-HOIMA'!H27,'29.10 HOIMA-BULIISA'!H27,'30.10 BULIISA-HOIMA'!H27,'26.10 BULIISA-HOIMA-24h'!H27,'26.10 HOIMA-BULIISA-24h'!H27,'31.10 BULIISA-HOIMA'!H27)</f>
        <v>0</v>
      </c>
      <c r="I27" s="49">
        <f>AVERAGE('25.10 BULIISA-HOIMA'!I27,'27.10 BULIISA-HOIMA'!I27,'29.10 HOIMA-BULIISA'!I27,'30.10 BULIISA-HOIMA'!I27,'26.10 BULIISA-HOIMA-24h'!I27,'26.10 HOIMA-BULIISA-24h'!I27,'31.10 BULIISA-HOIMA'!I27)</f>
        <v>0</v>
      </c>
      <c r="J27" s="49">
        <f>AVERAGE('25.10 BULIISA-HOIMA'!J27,'27.10 BULIISA-HOIMA'!J27,'29.10 HOIMA-BULIISA'!J27,'30.10 BULIISA-HOIMA'!J27,'26.10 BULIISA-HOIMA-24h'!J27,'26.10 HOIMA-BULIISA-24h'!J27,'31.10 BULIISA-HOIMA'!J27)</f>
        <v>0</v>
      </c>
      <c r="K27" s="49">
        <f>AVERAGE('25.10 BULIISA-HOIMA'!K27,'27.10 BULIISA-HOIMA'!K27,'29.10 HOIMA-BULIISA'!K27,'30.10 BULIISA-HOIMA'!K27,'26.10 BULIISA-HOIMA-24h'!K27,'26.10 HOIMA-BULIISA-24h'!K27,'31.10 BULIISA-HOIMA'!K27)</f>
        <v>0</v>
      </c>
      <c r="L27" s="49">
        <f>AVERAGE('25.10 BULIISA-HOIMA'!L27,'27.10 BULIISA-HOIMA'!L27,'29.10 HOIMA-BULIISA'!L27,'30.10 BULIISA-HOIMA'!L27,'26.10 BULIISA-HOIMA-24h'!L27,'26.10 HOIMA-BULIISA-24h'!L27,'31.10 BULIISA-HOIMA'!L27)</f>
        <v>0</v>
      </c>
      <c r="M27" s="49">
        <f>AVERAGE('25.10 BULIISA-HOIMA'!M27,'27.10 BULIISA-HOIMA'!M27,'29.10 HOIMA-BULIISA'!M27,'30.10 BULIISA-HOIMA'!M27,'26.10 BULIISA-HOIMA-24h'!M27,'26.10 HOIMA-BULIISA-24h'!M27,'31.10 BULIISA-HOIMA'!M27)</f>
        <v>5</v>
      </c>
      <c r="N27" s="49">
        <f>AVERAGE('25.10 BULIISA-HOIMA'!N27,'27.10 BULIISA-HOIMA'!N27,'29.10 HOIMA-BULIISA'!N27,'30.10 BULIISA-HOIMA'!N27,'26.10 BULIISA-HOIMA-24h'!N27,'26.10 HOIMA-BULIISA-24h'!N27,'31.10 BULIISA-HOIMA'!N27)</f>
        <v>0</v>
      </c>
      <c r="O27" s="15">
        <f t="shared" si="0"/>
        <v>1.5714285714285714</v>
      </c>
      <c r="P27" s="15">
        <f t="shared" si="1"/>
        <v>6.5714285714285712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1.5</v>
      </c>
      <c r="AD27" s="34">
        <f t="shared" si="19"/>
        <v>0</v>
      </c>
      <c r="AE27" s="31">
        <f t="shared" si="19"/>
        <v>0</v>
      </c>
      <c r="AF27" s="31">
        <f t="shared" si="19"/>
        <v>1.5</v>
      </c>
    </row>
    <row r="28" spans="2:32" ht="23.1" customHeight="1" x14ac:dyDescent="0.25">
      <c r="B28" s="23" t="s">
        <v>55</v>
      </c>
      <c r="C28" s="49">
        <f>AVERAGE('25.10 BULIISA-HOIMA'!C28,'27.10 BULIISA-HOIMA'!C28,'29.10 HOIMA-BULIISA'!C28,'30.10 BULIISA-HOIMA'!C28,'26.10 BULIISA-HOIMA-24h'!C28,'26.10 HOIMA-BULIISA-24h'!C28,'31.10 BULIISA-HOIMA'!C28)</f>
        <v>0.42857142857142855</v>
      </c>
      <c r="D28" s="49">
        <f>AVERAGE('25.10 BULIISA-HOIMA'!D28,'27.10 BULIISA-HOIMA'!D28,'29.10 HOIMA-BULIISA'!D28,'30.10 BULIISA-HOIMA'!D28,'26.10 BULIISA-HOIMA-24h'!D28,'26.10 HOIMA-BULIISA-24h'!D28,'31.10 BULIISA-HOIMA'!D28)</f>
        <v>0</v>
      </c>
      <c r="E28" s="49">
        <f>AVERAGE('25.10 BULIISA-HOIMA'!E28,'27.10 BULIISA-HOIMA'!E28,'29.10 HOIMA-BULIISA'!E28,'30.10 BULIISA-HOIMA'!E28,'26.10 BULIISA-HOIMA-24h'!E28,'26.10 HOIMA-BULIISA-24h'!E28,'31.10 BULIISA-HOIMA'!E28)</f>
        <v>0.42857142857142855</v>
      </c>
      <c r="F28" s="49">
        <f>AVERAGE('25.10 BULIISA-HOIMA'!F28,'27.10 BULIISA-HOIMA'!F28,'29.10 HOIMA-BULIISA'!F28,'30.10 BULIISA-HOIMA'!F28,'26.10 BULIISA-HOIMA-24h'!F28,'26.10 HOIMA-BULIISA-24h'!F28,'31.10 BULIISA-HOIMA'!F28)</f>
        <v>0.5714285714285714</v>
      </c>
      <c r="G28" s="49">
        <f>AVERAGE('25.10 BULIISA-HOIMA'!G28,'27.10 BULIISA-HOIMA'!G28,'29.10 HOIMA-BULIISA'!G28,'30.10 BULIISA-HOIMA'!G28,'26.10 BULIISA-HOIMA-24h'!G28,'26.10 HOIMA-BULIISA-24h'!G28,'31.10 BULIISA-HOIMA'!G28)</f>
        <v>0</v>
      </c>
      <c r="H28" s="49">
        <f>AVERAGE('25.10 BULIISA-HOIMA'!H28,'27.10 BULIISA-HOIMA'!H28,'29.10 HOIMA-BULIISA'!H28,'30.10 BULIISA-HOIMA'!H28,'26.10 BULIISA-HOIMA-24h'!H28,'26.10 HOIMA-BULIISA-24h'!H28,'31.10 BULIISA-HOIMA'!H28)</f>
        <v>0</v>
      </c>
      <c r="I28" s="49">
        <f>AVERAGE('25.10 BULIISA-HOIMA'!I28,'27.10 BULIISA-HOIMA'!I28,'29.10 HOIMA-BULIISA'!I28,'30.10 BULIISA-HOIMA'!I28,'26.10 BULIISA-HOIMA-24h'!I28,'26.10 HOIMA-BULIISA-24h'!I28,'31.10 BULIISA-HOIMA'!I28)</f>
        <v>0</v>
      </c>
      <c r="J28" s="49">
        <f>AVERAGE('25.10 BULIISA-HOIMA'!J28,'27.10 BULIISA-HOIMA'!J28,'29.10 HOIMA-BULIISA'!J28,'30.10 BULIISA-HOIMA'!J28,'26.10 BULIISA-HOIMA-24h'!J28,'26.10 HOIMA-BULIISA-24h'!J28,'31.10 BULIISA-HOIMA'!J28)</f>
        <v>0</v>
      </c>
      <c r="K28" s="49">
        <f>AVERAGE('25.10 BULIISA-HOIMA'!K28,'27.10 BULIISA-HOIMA'!K28,'29.10 HOIMA-BULIISA'!K28,'30.10 BULIISA-HOIMA'!K28,'26.10 BULIISA-HOIMA-24h'!K28,'26.10 HOIMA-BULIISA-24h'!K28,'31.10 BULIISA-HOIMA'!K28)</f>
        <v>0.2857142857142857</v>
      </c>
      <c r="L28" s="49">
        <f>AVERAGE('25.10 BULIISA-HOIMA'!L28,'27.10 BULIISA-HOIMA'!L28,'29.10 HOIMA-BULIISA'!L28,'30.10 BULIISA-HOIMA'!L28,'26.10 BULIISA-HOIMA-24h'!L28,'26.10 HOIMA-BULIISA-24h'!L28,'31.10 BULIISA-HOIMA'!L28)</f>
        <v>0</v>
      </c>
      <c r="M28" s="49">
        <f>AVERAGE('25.10 BULIISA-HOIMA'!M28,'27.10 BULIISA-HOIMA'!M28,'29.10 HOIMA-BULIISA'!M28,'30.10 BULIISA-HOIMA'!M28,'26.10 BULIISA-HOIMA-24h'!M28,'26.10 HOIMA-BULIISA-24h'!M28,'31.10 BULIISA-HOIMA'!M28)</f>
        <v>4.2857142857142856</v>
      </c>
      <c r="N28" s="49">
        <f>AVERAGE('25.10 BULIISA-HOIMA'!N28,'27.10 BULIISA-HOIMA'!N28,'29.10 HOIMA-BULIISA'!N28,'30.10 BULIISA-HOIMA'!N28,'26.10 BULIISA-HOIMA-24h'!N28,'26.10 HOIMA-BULIISA-24h'!N28,'31.10 BULIISA-HOIMA'!N28)</f>
        <v>0</v>
      </c>
      <c r="O28" s="15">
        <f t="shared" si="0"/>
        <v>1.714285714285714</v>
      </c>
      <c r="P28" s="15">
        <f t="shared" si="1"/>
        <v>6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1.5</v>
      </c>
      <c r="AD28" s="34">
        <f t="shared" si="20"/>
        <v>0</v>
      </c>
      <c r="AE28" s="31">
        <f t="shared" si="20"/>
        <v>0</v>
      </c>
      <c r="AF28" s="31">
        <f t="shared" si="20"/>
        <v>1.5</v>
      </c>
    </row>
    <row r="29" spans="2:32" ht="23.1" customHeight="1" x14ac:dyDescent="0.25">
      <c r="B29" s="23" t="s">
        <v>56</v>
      </c>
      <c r="C29" s="49">
        <f>AVERAGE('25.10 BULIISA-HOIMA'!C29,'27.10 BULIISA-HOIMA'!C29,'29.10 HOIMA-BULIISA'!C29,'30.10 BULIISA-HOIMA'!C29,'26.10 BULIISA-HOIMA-24h'!C29,'26.10 HOIMA-BULIISA-24h'!C29,'31.10 BULIISA-HOIMA'!C29)</f>
        <v>0</v>
      </c>
      <c r="D29" s="49">
        <f>AVERAGE('25.10 BULIISA-HOIMA'!D29,'27.10 BULIISA-HOIMA'!D29,'29.10 HOIMA-BULIISA'!D29,'30.10 BULIISA-HOIMA'!D29,'26.10 BULIISA-HOIMA-24h'!D29,'26.10 HOIMA-BULIISA-24h'!D29,'31.10 BULIISA-HOIMA'!D29)</f>
        <v>0.42857142857142855</v>
      </c>
      <c r="E29" s="49">
        <f>AVERAGE('25.10 BULIISA-HOIMA'!E29,'27.10 BULIISA-HOIMA'!E29,'29.10 HOIMA-BULIISA'!E29,'30.10 BULIISA-HOIMA'!E29,'26.10 BULIISA-HOIMA-24h'!E29,'26.10 HOIMA-BULIISA-24h'!E29,'31.10 BULIISA-HOIMA'!E29)</f>
        <v>0.42857142857142855</v>
      </c>
      <c r="F29" s="49">
        <f>AVERAGE('25.10 BULIISA-HOIMA'!F29,'27.10 BULIISA-HOIMA'!F29,'29.10 HOIMA-BULIISA'!F29,'30.10 BULIISA-HOIMA'!F29,'26.10 BULIISA-HOIMA-24h'!F29,'26.10 HOIMA-BULIISA-24h'!F29,'31.10 BULIISA-HOIMA'!F29)</f>
        <v>0.7142857142857143</v>
      </c>
      <c r="G29" s="49">
        <f>AVERAGE('25.10 BULIISA-HOIMA'!G29,'27.10 BULIISA-HOIMA'!G29,'29.10 HOIMA-BULIISA'!G29,'30.10 BULIISA-HOIMA'!G29,'26.10 BULIISA-HOIMA-24h'!G29,'26.10 HOIMA-BULIISA-24h'!G29,'31.10 BULIISA-HOIMA'!G29)</f>
        <v>0</v>
      </c>
      <c r="H29" s="49">
        <f>AVERAGE('25.10 BULIISA-HOIMA'!H29,'27.10 BULIISA-HOIMA'!H29,'29.10 HOIMA-BULIISA'!H29,'30.10 BULIISA-HOIMA'!H29,'26.10 BULIISA-HOIMA-24h'!H29,'26.10 HOIMA-BULIISA-24h'!H29,'31.10 BULIISA-HOIMA'!H29)</f>
        <v>0</v>
      </c>
      <c r="I29" s="49">
        <f>AVERAGE('25.10 BULIISA-HOIMA'!I29,'27.10 BULIISA-HOIMA'!I29,'29.10 HOIMA-BULIISA'!I29,'30.10 BULIISA-HOIMA'!I29,'26.10 BULIISA-HOIMA-24h'!I29,'26.10 HOIMA-BULIISA-24h'!I29,'31.10 BULIISA-HOIMA'!I29)</f>
        <v>0</v>
      </c>
      <c r="J29" s="49">
        <f>AVERAGE('25.10 BULIISA-HOIMA'!J29,'27.10 BULIISA-HOIMA'!J29,'29.10 HOIMA-BULIISA'!J29,'30.10 BULIISA-HOIMA'!J29,'26.10 BULIISA-HOIMA-24h'!J29,'26.10 HOIMA-BULIISA-24h'!J29,'31.10 BULIISA-HOIMA'!J29)</f>
        <v>0.14285714285714285</v>
      </c>
      <c r="K29" s="49">
        <f>AVERAGE('25.10 BULIISA-HOIMA'!K29,'27.10 BULIISA-HOIMA'!K29,'29.10 HOIMA-BULIISA'!K29,'30.10 BULIISA-HOIMA'!K29,'26.10 BULIISA-HOIMA-24h'!K29,'26.10 HOIMA-BULIISA-24h'!K29,'31.10 BULIISA-HOIMA'!K29)</f>
        <v>0</v>
      </c>
      <c r="L29" s="49">
        <f>AVERAGE('25.10 BULIISA-HOIMA'!L29,'27.10 BULIISA-HOIMA'!L29,'29.10 HOIMA-BULIISA'!L29,'30.10 BULIISA-HOIMA'!L29,'26.10 BULIISA-HOIMA-24h'!L29,'26.10 HOIMA-BULIISA-24h'!L29,'31.10 BULIISA-HOIMA'!L29)</f>
        <v>0</v>
      </c>
      <c r="M29" s="49">
        <f>AVERAGE('25.10 BULIISA-HOIMA'!M29,'27.10 BULIISA-HOIMA'!M29,'29.10 HOIMA-BULIISA'!M29,'30.10 BULIISA-HOIMA'!M29,'26.10 BULIISA-HOIMA-24h'!M29,'26.10 HOIMA-BULIISA-24h'!M29,'31.10 BULIISA-HOIMA'!M29)</f>
        <v>3.8571428571428572</v>
      </c>
      <c r="N29" s="49">
        <f>AVERAGE('25.10 BULIISA-HOIMA'!N29,'27.10 BULIISA-HOIMA'!N29,'29.10 HOIMA-BULIISA'!N29,'30.10 BULIISA-HOIMA'!N29,'26.10 BULIISA-HOIMA-24h'!N29,'26.10 HOIMA-BULIISA-24h'!N29,'31.10 BULIISA-HOIMA'!N29)</f>
        <v>0</v>
      </c>
      <c r="O29" s="15">
        <f t="shared" si="0"/>
        <v>1.7142857142857142</v>
      </c>
      <c r="P29" s="15">
        <f t="shared" si="1"/>
        <v>5.5714285714285712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0</v>
      </c>
      <c r="AF29" s="31">
        <f t="shared" si="21"/>
        <v>2</v>
      </c>
    </row>
    <row r="30" spans="2:32" ht="23.1" customHeight="1" x14ac:dyDescent="0.25">
      <c r="B30" s="23" t="s">
        <v>57</v>
      </c>
      <c r="C30" s="49">
        <f>AVERAGE('25.10 BULIISA-HOIMA'!C30,'27.10 BULIISA-HOIMA'!C30,'29.10 HOIMA-BULIISA'!C30,'30.10 BULIISA-HOIMA'!C30,'26.10 BULIISA-HOIMA-24h'!C30,'26.10 HOIMA-BULIISA-24h'!C30,'31.10 BULIISA-HOIMA'!C30)</f>
        <v>0.5714285714285714</v>
      </c>
      <c r="D30" s="49">
        <f>AVERAGE('25.10 BULIISA-HOIMA'!D30,'27.10 BULIISA-HOIMA'!D30,'29.10 HOIMA-BULIISA'!D30,'30.10 BULIISA-HOIMA'!D30,'26.10 BULIISA-HOIMA-24h'!D30,'26.10 HOIMA-BULIISA-24h'!D30,'31.10 BULIISA-HOIMA'!D30)</f>
        <v>0</v>
      </c>
      <c r="E30" s="49">
        <f>AVERAGE('25.10 BULIISA-HOIMA'!E30,'27.10 BULIISA-HOIMA'!E30,'29.10 HOIMA-BULIISA'!E30,'30.10 BULIISA-HOIMA'!E30,'26.10 BULIISA-HOIMA-24h'!E30,'26.10 HOIMA-BULIISA-24h'!E30,'31.10 BULIISA-HOIMA'!E30)</f>
        <v>0.2857142857142857</v>
      </c>
      <c r="F30" s="49">
        <f>AVERAGE('25.10 BULIISA-HOIMA'!F30,'27.10 BULIISA-HOIMA'!F30,'29.10 HOIMA-BULIISA'!F30,'30.10 BULIISA-HOIMA'!F30,'26.10 BULIISA-HOIMA-24h'!F30,'26.10 HOIMA-BULIISA-24h'!F30,'31.10 BULIISA-HOIMA'!F30)</f>
        <v>0.42857142857142855</v>
      </c>
      <c r="G30" s="49">
        <f>AVERAGE('25.10 BULIISA-HOIMA'!G30,'27.10 BULIISA-HOIMA'!G30,'29.10 HOIMA-BULIISA'!G30,'30.10 BULIISA-HOIMA'!G30,'26.10 BULIISA-HOIMA-24h'!G30,'26.10 HOIMA-BULIISA-24h'!G30,'31.10 BULIISA-HOIMA'!G30)</f>
        <v>0</v>
      </c>
      <c r="H30" s="49">
        <f>AVERAGE('25.10 BULIISA-HOIMA'!H30,'27.10 BULIISA-HOIMA'!H30,'29.10 HOIMA-BULIISA'!H30,'30.10 BULIISA-HOIMA'!H30,'26.10 BULIISA-HOIMA-24h'!H30,'26.10 HOIMA-BULIISA-24h'!H30,'31.10 BULIISA-HOIMA'!H30)</f>
        <v>0</v>
      </c>
      <c r="I30" s="49">
        <f>AVERAGE('25.10 BULIISA-HOIMA'!I30,'27.10 BULIISA-HOIMA'!I30,'29.10 HOIMA-BULIISA'!I30,'30.10 BULIISA-HOIMA'!I30,'26.10 BULIISA-HOIMA-24h'!I30,'26.10 HOIMA-BULIISA-24h'!I30,'31.10 BULIISA-HOIMA'!I30)</f>
        <v>0</v>
      </c>
      <c r="J30" s="49">
        <f>AVERAGE('25.10 BULIISA-HOIMA'!J30,'27.10 BULIISA-HOIMA'!J30,'29.10 HOIMA-BULIISA'!J30,'30.10 BULIISA-HOIMA'!J30,'26.10 BULIISA-HOIMA-24h'!J30,'26.10 HOIMA-BULIISA-24h'!J30,'31.10 BULIISA-HOIMA'!J30)</f>
        <v>0</v>
      </c>
      <c r="K30" s="49">
        <f>AVERAGE('25.10 BULIISA-HOIMA'!K30,'27.10 BULIISA-HOIMA'!K30,'29.10 HOIMA-BULIISA'!K30,'30.10 BULIISA-HOIMA'!K30,'26.10 BULIISA-HOIMA-24h'!K30,'26.10 HOIMA-BULIISA-24h'!K30,'31.10 BULIISA-HOIMA'!K30)</f>
        <v>0</v>
      </c>
      <c r="L30" s="49">
        <f>AVERAGE('25.10 BULIISA-HOIMA'!L30,'27.10 BULIISA-HOIMA'!L30,'29.10 HOIMA-BULIISA'!L30,'30.10 BULIISA-HOIMA'!L30,'26.10 BULIISA-HOIMA-24h'!L30,'26.10 HOIMA-BULIISA-24h'!L30,'31.10 BULIISA-HOIMA'!L30)</f>
        <v>0.2857142857142857</v>
      </c>
      <c r="M30" s="49">
        <f>AVERAGE('25.10 BULIISA-HOIMA'!M30,'27.10 BULIISA-HOIMA'!M30,'29.10 HOIMA-BULIISA'!M30,'30.10 BULIISA-HOIMA'!M30,'26.10 BULIISA-HOIMA-24h'!M30,'26.10 HOIMA-BULIISA-24h'!M30,'31.10 BULIISA-HOIMA'!M30)</f>
        <v>3.5714285714285716</v>
      </c>
      <c r="N30" s="49">
        <f>AVERAGE('25.10 BULIISA-HOIMA'!N30,'27.10 BULIISA-HOIMA'!N30,'29.10 HOIMA-BULIISA'!N30,'30.10 BULIISA-HOIMA'!N30,'26.10 BULIISA-HOIMA-24h'!N30,'26.10 HOIMA-BULIISA-24h'!N30,'31.10 BULIISA-HOIMA'!N30)</f>
        <v>0</v>
      </c>
      <c r="O30" s="15">
        <f t="shared" si="0"/>
        <v>1.5714285714285712</v>
      </c>
      <c r="P30" s="15">
        <f t="shared" si="1"/>
        <v>5.1428571428571423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1.5</v>
      </c>
      <c r="AD30" s="34">
        <f t="shared" si="22"/>
        <v>0</v>
      </c>
      <c r="AE30" s="31">
        <f t="shared" si="22"/>
        <v>0</v>
      </c>
      <c r="AF30" s="31">
        <f t="shared" si="22"/>
        <v>1.5</v>
      </c>
    </row>
    <row r="31" spans="2:32" ht="23.1" customHeight="1" x14ac:dyDescent="0.25">
      <c r="B31" s="24" t="s">
        <v>58</v>
      </c>
      <c r="C31" s="49">
        <f>AVERAGE('25.10 BULIISA-HOIMA'!C31,'27.10 BULIISA-HOIMA'!C31,'29.10 HOIMA-BULIISA'!C31,'30.10 BULIISA-HOIMA'!C31,'26.10 BULIISA-HOIMA-24h'!C31,'26.10 HOIMA-BULIISA-24h'!C31,'31.10 BULIISA-HOIMA'!C31)</f>
        <v>0.42857142857142855</v>
      </c>
      <c r="D31" s="49">
        <f>AVERAGE('25.10 BULIISA-HOIMA'!D31,'27.10 BULIISA-HOIMA'!D31,'29.10 HOIMA-BULIISA'!D31,'30.10 BULIISA-HOIMA'!D31,'26.10 BULIISA-HOIMA-24h'!D31,'26.10 HOIMA-BULIISA-24h'!D31,'31.10 BULIISA-HOIMA'!D31)</f>
        <v>0</v>
      </c>
      <c r="E31" s="49">
        <f>AVERAGE('25.10 BULIISA-HOIMA'!E31,'27.10 BULIISA-HOIMA'!E31,'29.10 HOIMA-BULIISA'!E31,'30.10 BULIISA-HOIMA'!E31,'26.10 BULIISA-HOIMA-24h'!E31,'26.10 HOIMA-BULIISA-24h'!E31,'31.10 BULIISA-HOIMA'!E31)</f>
        <v>0.42857142857142855</v>
      </c>
      <c r="F31" s="49">
        <f>AVERAGE('25.10 BULIISA-HOIMA'!F31,'27.10 BULIISA-HOIMA'!F31,'29.10 HOIMA-BULIISA'!F31,'30.10 BULIISA-HOIMA'!F31,'26.10 BULIISA-HOIMA-24h'!F31,'26.10 HOIMA-BULIISA-24h'!F31,'31.10 BULIISA-HOIMA'!F31)</f>
        <v>0.2857142857142857</v>
      </c>
      <c r="G31" s="49">
        <f>AVERAGE('25.10 BULIISA-HOIMA'!G31,'27.10 BULIISA-HOIMA'!G31,'29.10 HOIMA-BULIISA'!G31,'30.10 BULIISA-HOIMA'!G31,'26.10 BULIISA-HOIMA-24h'!G31,'26.10 HOIMA-BULIISA-24h'!G31,'31.10 BULIISA-HOIMA'!G31)</f>
        <v>0</v>
      </c>
      <c r="H31" s="49">
        <f>AVERAGE('25.10 BULIISA-HOIMA'!H31,'27.10 BULIISA-HOIMA'!H31,'29.10 HOIMA-BULIISA'!H31,'30.10 BULIISA-HOIMA'!H31,'26.10 BULIISA-HOIMA-24h'!H31,'26.10 HOIMA-BULIISA-24h'!H31,'31.10 BULIISA-HOIMA'!H31)</f>
        <v>0</v>
      </c>
      <c r="I31" s="49">
        <f>AVERAGE('25.10 BULIISA-HOIMA'!I31,'27.10 BULIISA-HOIMA'!I31,'29.10 HOIMA-BULIISA'!I31,'30.10 BULIISA-HOIMA'!I31,'26.10 BULIISA-HOIMA-24h'!I31,'26.10 HOIMA-BULIISA-24h'!I31,'31.10 BULIISA-HOIMA'!I31)</f>
        <v>0</v>
      </c>
      <c r="J31" s="49">
        <f>AVERAGE('25.10 BULIISA-HOIMA'!J31,'27.10 BULIISA-HOIMA'!J31,'29.10 HOIMA-BULIISA'!J31,'30.10 BULIISA-HOIMA'!J31,'26.10 BULIISA-HOIMA-24h'!J31,'26.10 HOIMA-BULIISA-24h'!J31,'31.10 BULIISA-HOIMA'!J31)</f>
        <v>0</v>
      </c>
      <c r="K31" s="49">
        <f>AVERAGE('25.10 BULIISA-HOIMA'!K31,'27.10 BULIISA-HOIMA'!K31,'29.10 HOIMA-BULIISA'!K31,'30.10 BULIISA-HOIMA'!K31,'26.10 BULIISA-HOIMA-24h'!K31,'26.10 HOIMA-BULIISA-24h'!K31,'31.10 BULIISA-HOIMA'!K31)</f>
        <v>0</v>
      </c>
      <c r="L31" s="49">
        <f>AVERAGE('25.10 BULIISA-HOIMA'!L31,'27.10 BULIISA-HOIMA'!L31,'29.10 HOIMA-BULIISA'!L31,'30.10 BULIISA-HOIMA'!L31,'26.10 BULIISA-HOIMA-24h'!L31,'26.10 HOIMA-BULIISA-24h'!L31,'31.10 BULIISA-HOIMA'!L31)</f>
        <v>0</v>
      </c>
      <c r="M31" s="49">
        <f>AVERAGE('25.10 BULIISA-HOIMA'!M31,'27.10 BULIISA-HOIMA'!M31,'29.10 HOIMA-BULIISA'!M31,'30.10 BULIISA-HOIMA'!M31,'26.10 BULIISA-HOIMA-24h'!M31,'26.10 HOIMA-BULIISA-24h'!M31,'31.10 BULIISA-HOIMA'!M31)</f>
        <v>4.1428571428571432</v>
      </c>
      <c r="N31" s="49">
        <f>AVERAGE('25.10 BULIISA-HOIMA'!N31,'27.10 BULIISA-HOIMA'!N31,'29.10 HOIMA-BULIISA'!N31,'30.10 BULIISA-HOIMA'!N31,'26.10 BULIISA-HOIMA-24h'!N31,'26.10 HOIMA-BULIISA-24h'!N31,'31.10 BULIISA-HOIMA'!N31)</f>
        <v>0</v>
      </c>
      <c r="O31" s="15">
        <f t="shared" si="0"/>
        <v>1.1428571428571428</v>
      </c>
      <c r="P31" s="15">
        <f t="shared" si="1"/>
        <v>5.2857142857142865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2.5</v>
      </c>
      <c r="AD31" s="34">
        <f t="shared" si="23"/>
        <v>0</v>
      </c>
      <c r="AE31" s="31">
        <f t="shared" si="23"/>
        <v>0</v>
      </c>
      <c r="AF31" s="31">
        <f t="shared" si="23"/>
        <v>2.5</v>
      </c>
    </row>
    <row r="32" spans="2:32" ht="23.1" customHeight="1" x14ac:dyDescent="0.25">
      <c r="B32" s="24" t="s">
        <v>59</v>
      </c>
      <c r="C32" s="49">
        <f>AVERAGE('25.10 BULIISA-HOIMA'!C32,'27.10 BULIISA-HOIMA'!C32,'29.10 HOIMA-BULIISA'!C32,'30.10 BULIISA-HOIMA'!C32,'26.10 BULIISA-HOIMA-24h'!C32,'26.10 HOIMA-BULIISA-24h'!C32,'31.10 BULIISA-HOIMA'!C32)</f>
        <v>0.14285714285714285</v>
      </c>
      <c r="D32" s="49">
        <f>AVERAGE('25.10 BULIISA-HOIMA'!D32,'27.10 BULIISA-HOIMA'!D32,'29.10 HOIMA-BULIISA'!D32,'30.10 BULIISA-HOIMA'!D32,'26.10 BULIISA-HOIMA-24h'!D32,'26.10 HOIMA-BULIISA-24h'!D32,'31.10 BULIISA-HOIMA'!D32)</f>
        <v>0</v>
      </c>
      <c r="E32" s="49">
        <f>AVERAGE('25.10 BULIISA-HOIMA'!E32,'27.10 BULIISA-HOIMA'!E32,'29.10 HOIMA-BULIISA'!E32,'30.10 BULIISA-HOIMA'!E32,'26.10 BULIISA-HOIMA-24h'!E32,'26.10 HOIMA-BULIISA-24h'!E32,'31.10 BULIISA-HOIMA'!E32)</f>
        <v>0.14285714285714285</v>
      </c>
      <c r="F32" s="49">
        <f>AVERAGE('25.10 BULIISA-HOIMA'!F32,'27.10 BULIISA-HOIMA'!F32,'29.10 HOIMA-BULIISA'!F32,'30.10 BULIISA-HOIMA'!F32,'26.10 BULIISA-HOIMA-24h'!F32,'26.10 HOIMA-BULIISA-24h'!F32,'31.10 BULIISA-HOIMA'!F32)</f>
        <v>0.5714285714285714</v>
      </c>
      <c r="G32" s="49">
        <f>AVERAGE('25.10 BULIISA-HOIMA'!G32,'27.10 BULIISA-HOIMA'!G32,'29.10 HOIMA-BULIISA'!G32,'30.10 BULIISA-HOIMA'!G32,'26.10 BULIISA-HOIMA-24h'!G32,'26.10 HOIMA-BULIISA-24h'!G32,'31.10 BULIISA-HOIMA'!G32)</f>
        <v>0</v>
      </c>
      <c r="H32" s="49">
        <f>AVERAGE('25.10 BULIISA-HOIMA'!H32,'27.10 BULIISA-HOIMA'!H32,'29.10 HOIMA-BULIISA'!H32,'30.10 BULIISA-HOIMA'!H32,'26.10 BULIISA-HOIMA-24h'!H32,'26.10 HOIMA-BULIISA-24h'!H32,'31.10 BULIISA-HOIMA'!H32)</f>
        <v>0</v>
      </c>
      <c r="I32" s="49">
        <f>AVERAGE('25.10 BULIISA-HOIMA'!I32,'27.10 BULIISA-HOIMA'!I32,'29.10 HOIMA-BULIISA'!I32,'30.10 BULIISA-HOIMA'!I32,'26.10 BULIISA-HOIMA-24h'!I32,'26.10 HOIMA-BULIISA-24h'!I32,'31.10 BULIISA-HOIMA'!I32)</f>
        <v>0.14285714285714285</v>
      </c>
      <c r="J32" s="49">
        <f>AVERAGE('25.10 BULIISA-HOIMA'!J32,'27.10 BULIISA-HOIMA'!J32,'29.10 HOIMA-BULIISA'!J32,'30.10 BULIISA-HOIMA'!J32,'26.10 BULIISA-HOIMA-24h'!J32,'26.10 HOIMA-BULIISA-24h'!J32,'31.10 BULIISA-HOIMA'!J32)</f>
        <v>0</v>
      </c>
      <c r="K32" s="49">
        <f>AVERAGE('25.10 BULIISA-HOIMA'!K32,'27.10 BULIISA-HOIMA'!K32,'29.10 HOIMA-BULIISA'!K32,'30.10 BULIISA-HOIMA'!K32,'26.10 BULIISA-HOIMA-24h'!K32,'26.10 HOIMA-BULIISA-24h'!K32,'31.10 BULIISA-HOIMA'!K32)</f>
        <v>0</v>
      </c>
      <c r="L32" s="49">
        <f>AVERAGE('25.10 BULIISA-HOIMA'!L32,'27.10 BULIISA-HOIMA'!L32,'29.10 HOIMA-BULIISA'!L32,'30.10 BULIISA-HOIMA'!L32,'26.10 BULIISA-HOIMA-24h'!L32,'26.10 HOIMA-BULIISA-24h'!L32,'31.10 BULIISA-HOIMA'!L32)</f>
        <v>0</v>
      </c>
      <c r="M32" s="49">
        <f>AVERAGE('25.10 BULIISA-HOIMA'!M32,'27.10 BULIISA-HOIMA'!M32,'29.10 HOIMA-BULIISA'!M32,'30.10 BULIISA-HOIMA'!M32,'26.10 BULIISA-HOIMA-24h'!M32,'26.10 HOIMA-BULIISA-24h'!M32,'31.10 BULIISA-HOIMA'!M32)</f>
        <v>4.5714285714285712</v>
      </c>
      <c r="N32" s="49">
        <f>AVERAGE('25.10 BULIISA-HOIMA'!N32,'27.10 BULIISA-HOIMA'!N32,'29.10 HOIMA-BULIISA'!N32,'30.10 BULIISA-HOIMA'!N32,'26.10 BULIISA-HOIMA-24h'!N32,'26.10 HOIMA-BULIISA-24h'!N32,'31.10 BULIISA-HOIMA'!N32)</f>
        <v>0</v>
      </c>
      <c r="O32" s="15">
        <f t="shared" si="0"/>
        <v>1</v>
      </c>
      <c r="P32" s="15">
        <f t="shared" si="1"/>
        <v>5.5714285714285712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2.5</v>
      </c>
      <c r="AD32" s="34">
        <f t="shared" si="24"/>
        <v>0</v>
      </c>
      <c r="AE32" s="31">
        <f t="shared" si="24"/>
        <v>0.5</v>
      </c>
      <c r="AF32" s="31">
        <f t="shared" si="24"/>
        <v>3</v>
      </c>
    </row>
    <row r="33" spans="2:32" ht="23.1" customHeight="1" x14ac:dyDescent="0.25">
      <c r="B33" s="23" t="s">
        <v>60</v>
      </c>
      <c r="C33" s="49">
        <f>AVERAGE('25.10 BULIISA-HOIMA'!C33,'27.10 BULIISA-HOIMA'!C33,'29.10 HOIMA-BULIISA'!C33,'30.10 BULIISA-HOIMA'!C33,'26.10 BULIISA-HOIMA-24h'!C33,'26.10 HOIMA-BULIISA-24h'!C33,'31.10 BULIISA-HOIMA'!C33)</f>
        <v>0</v>
      </c>
      <c r="D33" s="49">
        <f>AVERAGE('25.10 BULIISA-HOIMA'!D33,'27.10 BULIISA-HOIMA'!D33,'29.10 HOIMA-BULIISA'!D33,'30.10 BULIISA-HOIMA'!D33,'26.10 BULIISA-HOIMA-24h'!D33,'26.10 HOIMA-BULIISA-24h'!D33,'31.10 BULIISA-HOIMA'!D33)</f>
        <v>0.14285714285714285</v>
      </c>
      <c r="E33" s="49">
        <f>AVERAGE('25.10 BULIISA-HOIMA'!E33,'27.10 BULIISA-HOIMA'!E33,'29.10 HOIMA-BULIISA'!E33,'30.10 BULIISA-HOIMA'!E33,'26.10 BULIISA-HOIMA-24h'!E33,'26.10 HOIMA-BULIISA-24h'!E33,'31.10 BULIISA-HOIMA'!E33)</f>
        <v>0.42857142857142855</v>
      </c>
      <c r="F33" s="49">
        <f>AVERAGE('25.10 BULIISA-HOIMA'!F33,'27.10 BULIISA-HOIMA'!F33,'29.10 HOIMA-BULIISA'!F33,'30.10 BULIISA-HOIMA'!F33,'26.10 BULIISA-HOIMA-24h'!F33,'26.10 HOIMA-BULIISA-24h'!F33,'31.10 BULIISA-HOIMA'!F33)</f>
        <v>0.2857142857142857</v>
      </c>
      <c r="G33" s="49">
        <f>AVERAGE('25.10 BULIISA-HOIMA'!G33,'27.10 BULIISA-HOIMA'!G33,'29.10 HOIMA-BULIISA'!G33,'30.10 BULIISA-HOIMA'!G33,'26.10 BULIISA-HOIMA-24h'!G33,'26.10 HOIMA-BULIISA-24h'!G33,'31.10 BULIISA-HOIMA'!G33)</f>
        <v>0</v>
      </c>
      <c r="H33" s="49">
        <f>AVERAGE('25.10 BULIISA-HOIMA'!H33,'27.10 BULIISA-HOIMA'!H33,'29.10 HOIMA-BULIISA'!H33,'30.10 BULIISA-HOIMA'!H33,'26.10 BULIISA-HOIMA-24h'!H33,'26.10 HOIMA-BULIISA-24h'!H33,'31.10 BULIISA-HOIMA'!H33)</f>
        <v>0</v>
      </c>
      <c r="I33" s="49">
        <f>AVERAGE('25.10 BULIISA-HOIMA'!I33,'27.10 BULIISA-HOIMA'!I33,'29.10 HOIMA-BULIISA'!I33,'30.10 BULIISA-HOIMA'!I33,'26.10 BULIISA-HOIMA-24h'!I33,'26.10 HOIMA-BULIISA-24h'!I33,'31.10 BULIISA-HOIMA'!I33)</f>
        <v>0.14285714285714285</v>
      </c>
      <c r="J33" s="49">
        <f>AVERAGE('25.10 BULIISA-HOIMA'!J33,'27.10 BULIISA-HOIMA'!J33,'29.10 HOIMA-BULIISA'!J33,'30.10 BULIISA-HOIMA'!J33,'26.10 BULIISA-HOIMA-24h'!J33,'26.10 HOIMA-BULIISA-24h'!J33,'31.10 BULIISA-HOIMA'!J33)</f>
        <v>0.14285714285714285</v>
      </c>
      <c r="K33" s="49">
        <f>AVERAGE('25.10 BULIISA-HOIMA'!K33,'27.10 BULIISA-HOIMA'!K33,'29.10 HOIMA-BULIISA'!K33,'30.10 BULIISA-HOIMA'!K33,'26.10 BULIISA-HOIMA-24h'!K33,'26.10 HOIMA-BULIISA-24h'!K33,'31.10 BULIISA-HOIMA'!K33)</f>
        <v>0</v>
      </c>
      <c r="L33" s="49">
        <f>AVERAGE('25.10 BULIISA-HOIMA'!L33,'27.10 BULIISA-HOIMA'!L33,'29.10 HOIMA-BULIISA'!L33,'30.10 BULIISA-HOIMA'!L33,'26.10 BULIISA-HOIMA-24h'!L33,'26.10 HOIMA-BULIISA-24h'!L33,'31.10 BULIISA-HOIMA'!L33)</f>
        <v>0</v>
      </c>
      <c r="M33" s="49">
        <f>AVERAGE('25.10 BULIISA-HOIMA'!M33,'27.10 BULIISA-HOIMA'!M33,'29.10 HOIMA-BULIISA'!M33,'30.10 BULIISA-HOIMA'!M33,'26.10 BULIISA-HOIMA-24h'!M33,'26.10 HOIMA-BULIISA-24h'!M33,'31.10 BULIISA-HOIMA'!M33)</f>
        <v>4</v>
      </c>
      <c r="N33" s="49">
        <f>AVERAGE('25.10 BULIISA-HOIMA'!N33,'27.10 BULIISA-HOIMA'!N33,'29.10 HOIMA-BULIISA'!N33,'30.10 BULIISA-HOIMA'!N33,'26.10 BULIISA-HOIMA-24h'!N33,'26.10 HOIMA-BULIISA-24h'!N33,'31.10 BULIISA-HOIMA'!N33)</f>
        <v>0</v>
      </c>
      <c r="O33" s="15">
        <f t="shared" si="0"/>
        <v>1.1428571428571428</v>
      </c>
      <c r="P33" s="15">
        <f t="shared" si="1"/>
        <v>5.1428571428571423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8.5</v>
      </c>
      <c r="AD33" s="34">
        <f t="shared" si="25"/>
        <v>0</v>
      </c>
      <c r="AE33" s="31">
        <f t="shared" si="25"/>
        <v>2</v>
      </c>
      <c r="AF33" s="31">
        <f t="shared" si="25"/>
        <v>10.5</v>
      </c>
    </row>
    <row r="34" spans="2:32" ht="23.1" customHeight="1" x14ac:dyDescent="0.25">
      <c r="B34" s="24" t="s">
        <v>61</v>
      </c>
      <c r="C34" s="49">
        <f>AVERAGE('25.10 BULIISA-HOIMA'!C34,'27.10 BULIISA-HOIMA'!C34,'29.10 HOIMA-BULIISA'!C34,'30.10 BULIISA-HOIMA'!C34,'26.10 BULIISA-HOIMA-24h'!C34,'26.10 HOIMA-BULIISA-24h'!C34,'31.10 BULIISA-HOIMA'!C34)</f>
        <v>0.2857142857142857</v>
      </c>
      <c r="D34" s="49">
        <f>AVERAGE('25.10 BULIISA-HOIMA'!D34,'27.10 BULIISA-HOIMA'!D34,'29.10 HOIMA-BULIISA'!D34,'30.10 BULIISA-HOIMA'!D34,'26.10 BULIISA-HOIMA-24h'!D34,'26.10 HOIMA-BULIISA-24h'!D34,'31.10 BULIISA-HOIMA'!D34)</f>
        <v>0</v>
      </c>
      <c r="E34" s="49">
        <f>AVERAGE('25.10 BULIISA-HOIMA'!E34,'27.10 BULIISA-HOIMA'!E34,'29.10 HOIMA-BULIISA'!E34,'30.10 BULIISA-HOIMA'!E34,'26.10 BULIISA-HOIMA-24h'!E34,'26.10 HOIMA-BULIISA-24h'!E34,'31.10 BULIISA-HOIMA'!E34)</f>
        <v>0.14285714285714285</v>
      </c>
      <c r="F34" s="49">
        <f>AVERAGE('25.10 BULIISA-HOIMA'!F34,'27.10 BULIISA-HOIMA'!F34,'29.10 HOIMA-BULIISA'!F34,'30.10 BULIISA-HOIMA'!F34,'26.10 BULIISA-HOIMA-24h'!F34,'26.10 HOIMA-BULIISA-24h'!F34,'31.10 BULIISA-HOIMA'!F34)</f>
        <v>1</v>
      </c>
      <c r="G34" s="49">
        <f>AVERAGE('25.10 BULIISA-HOIMA'!G34,'27.10 BULIISA-HOIMA'!G34,'29.10 HOIMA-BULIISA'!G34,'30.10 BULIISA-HOIMA'!G34,'26.10 BULIISA-HOIMA-24h'!G34,'26.10 HOIMA-BULIISA-24h'!G34,'31.10 BULIISA-HOIMA'!G34)</f>
        <v>0</v>
      </c>
      <c r="H34" s="49">
        <f>AVERAGE('25.10 BULIISA-HOIMA'!H34,'27.10 BULIISA-HOIMA'!H34,'29.10 HOIMA-BULIISA'!H34,'30.10 BULIISA-HOIMA'!H34,'26.10 BULIISA-HOIMA-24h'!H34,'26.10 HOIMA-BULIISA-24h'!H34,'31.10 BULIISA-HOIMA'!H34)</f>
        <v>0</v>
      </c>
      <c r="I34" s="49">
        <f>AVERAGE('25.10 BULIISA-HOIMA'!I34,'27.10 BULIISA-HOIMA'!I34,'29.10 HOIMA-BULIISA'!I34,'30.10 BULIISA-HOIMA'!I34,'26.10 BULIISA-HOIMA-24h'!I34,'26.10 HOIMA-BULIISA-24h'!I34,'31.10 BULIISA-HOIMA'!I34)</f>
        <v>0</v>
      </c>
      <c r="J34" s="49">
        <f>AVERAGE('25.10 BULIISA-HOIMA'!J34,'27.10 BULIISA-HOIMA'!J34,'29.10 HOIMA-BULIISA'!J34,'30.10 BULIISA-HOIMA'!J34,'26.10 BULIISA-HOIMA-24h'!J34,'26.10 HOIMA-BULIISA-24h'!J34,'31.10 BULIISA-HOIMA'!J34)</f>
        <v>0</v>
      </c>
      <c r="K34" s="49">
        <f>AVERAGE('25.10 BULIISA-HOIMA'!K34,'27.10 BULIISA-HOIMA'!K34,'29.10 HOIMA-BULIISA'!K34,'30.10 BULIISA-HOIMA'!K34,'26.10 BULIISA-HOIMA-24h'!K34,'26.10 HOIMA-BULIISA-24h'!K34,'31.10 BULIISA-HOIMA'!K34)</f>
        <v>0</v>
      </c>
      <c r="L34" s="49">
        <f>AVERAGE('25.10 BULIISA-HOIMA'!L34,'27.10 BULIISA-HOIMA'!L34,'29.10 HOIMA-BULIISA'!L34,'30.10 BULIISA-HOIMA'!L34,'26.10 BULIISA-HOIMA-24h'!L34,'26.10 HOIMA-BULIISA-24h'!L34,'31.10 BULIISA-HOIMA'!L34)</f>
        <v>0</v>
      </c>
      <c r="M34" s="49">
        <f>AVERAGE('25.10 BULIISA-HOIMA'!M34,'27.10 BULIISA-HOIMA'!M34,'29.10 HOIMA-BULIISA'!M34,'30.10 BULIISA-HOIMA'!M34,'26.10 BULIISA-HOIMA-24h'!M34,'26.10 HOIMA-BULIISA-24h'!M34,'31.10 BULIISA-HOIMA'!M34)</f>
        <v>3</v>
      </c>
      <c r="N34" s="49">
        <f>AVERAGE('25.10 BULIISA-HOIMA'!N34,'27.10 BULIISA-HOIMA'!N34,'29.10 HOIMA-BULIISA'!N34,'30.10 BULIISA-HOIMA'!N34,'26.10 BULIISA-HOIMA-24h'!N34,'26.10 HOIMA-BULIISA-24h'!N34,'31.10 BULIISA-HOIMA'!N34)</f>
        <v>0</v>
      </c>
      <c r="O34" s="15">
        <f t="shared" si="0"/>
        <v>1.4285714285714286</v>
      </c>
      <c r="P34" s="15">
        <f t="shared" si="1"/>
        <v>4.4285714285714288</v>
      </c>
      <c r="R34" s="38" t="s">
        <v>90</v>
      </c>
      <c r="S34" s="39">
        <f t="shared" ref="S34:AF34" si="26">MAX(S10:S12)</f>
        <v>1.1428571428571428</v>
      </c>
      <c r="T34" s="39">
        <f t="shared" si="26"/>
        <v>1.1428571428571428</v>
      </c>
      <c r="U34" s="39">
        <f t="shared" si="26"/>
        <v>2</v>
      </c>
      <c r="V34" s="39">
        <f t="shared" si="26"/>
        <v>4</v>
      </c>
      <c r="W34" s="39">
        <f t="shared" si="26"/>
        <v>0.14285714285714285</v>
      </c>
      <c r="X34" s="39">
        <f t="shared" si="26"/>
        <v>0</v>
      </c>
      <c r="Y34" s="39">
        <f t="shared" si="26"/>
        <v>0.5714285714285714</v>
      </c>
      <c r="Z34" s="39">
        <f t="shared" si="26"/>
        <v>0.85714285714285698</v>
      </c>
      <c r="AA34" s="39">
        <f t="shared" si="26"/>
        <v>0.42857142857142855</v>
      </c>
      <c r="AB34" s="39">
        <f t="shared" si="26"/>
        <v>0.14285714285714285</v>
      </c>
      <c r="AC34" s="39">
        <f t="shared" si="26"/>
        <v>22.571428571428569</v>
      </c>
      <c r="AD34" s="39">
        <f t="shared" si="26"/>
        <v>0</v>
      </c>
      <c r="AE34" s="40">
        <f t="shared" si="26"/>
        <v>8.2857142857142847</v>
      </c>
      <c r="AF34" s="40">
        <f t="shared" si="26"/>
        <v>30.857142857142854</v>
      </c>
    </row>
    <row r="35" spans="2:32" ht="23.1" customHeight="1" x14ac:dyDescent="0.25">
      <c r="B35" s="24" t="s">
        <v>62</v>
      </c>
      <c r="C35" s="49">
        <f>AVERAGE('25.10 BULIISA-HOIMA'!C35,'27.10 BULIISA-HOIMA'!C35,'29.10 HOIMA-BULIISA'!C35,'30.10 BULIISA-HOIMA'!C35,'26.10 BULIISA-HOIMA-24h'!C35,'26.10 HOIMA-BULIISA-24h'!C35,'31.10 BULIISA-HOIMA'!C35)</f>
        <v>0.2857142857142857</v>
      </c>
      <c r="D35" s="49">
        <f>AVERAGE('25.10 BULIISA-HOIMA'!D35,'27.10 BULIISA-HOIMA'!D35,'29.10 HOIMA-BULIISA'!D35,'30.10 BULIISA-HOIMA'!D35,'26.10 BULIISA-HOIMA-24h'!D35,'26.10 HOIMA-BULIISA-24h'!D35,'31.10 BULIISA-HOIMA'!D35)</f>
        <v>0</v>
      </c>
      <c r="E35" s="49">
        <f>AVERAGE('25.10 BULIISA-HOIMA'!E35,'27.10 BULIISA-HOIMA'!E35,'29.10 HOIMA-BULIISA'!E35,'30.10 BULIISA-HOIMA'!E35,'26.10 BULIISA-HOIMA-24h'!E35,'26.10 HOIMA-BULIISA-24h'!E35,'31.10 BULIISA-HOIMA'!E35)</f>
        <v>0.5714285714285714</v>
      </c>
      <c r="F35" s="49">
        <f>AVERAGE('25.10 BULIISA-HOIMA'!F35,'27.10 BULIISA-HOIMA'!F35,'29.10 HOIMA-BULIISA'!F35,'30.10 BULIISA-HOIMA'!F35,'26.10 BULIISA-HOIMA-24h'!F35,'26.10 HOIMA-BULIISA-24h'!F35,'31.10 BULIISA-HOIMA'!F35)</f>
        <v>0.7142857142857143</v>
      </c>
      <c r="G35" s="49">
        <f>AVERAGE('25.10 BULIISA-HOIMA'!G35,'27.10 BULIISA-HOIMA'!G35,'29.10 HOIMA-BULIISA'!G35,'30.10 BULIISA-HOIMA'!G35,'26.10 BULIISA-HOIMA-24h'!G35,'26.10 HOIMA-BULIISA-24h'!G35,'31.10 BULIISA-HOIMA'!G35)</f>
        <v>0</v>
      </c>
      <c r="H35" s="49">
        <f>AVERAGE('25.10 BULIISA-HOIMA'!H35,'27.10 BULIISA-HOIMA'!H35,'29.10 HOIMA-BULIISA'!H35,'30.10 BULIISA-HOIMA'!H35,'26.10 BULIISA-HOIMA-24h'!H35,'26.10 HOIMA-BULIISA-24h'!H35,'31.10 BULIISA-HOIMA'!H35)</f>
        <v>0</v>
      </c>
      <c r="I35" s="49">
        <f>AVERAGE('25.10 BULIISA-HOIMA'!I35,'27.10 BULIISA-HOIMA'!I35,'29.10 HOIMA-BULIISA'!I35,'30.10 BULIISA-HOIMA'!I35,'26.10 BULIISA-HOIMA-24h'!I35,'26.10 HOIMA-BULIISA-24h'!I35,'31.10 BULIISA-HOIMA'!I35)</f>
        <v>0</v>
      </c>
      <c r="J35" s="49">
        <f>AVERAGE('25.10 BULIISA-HOIMA'!J35,'27.10 BULIISA-HOIMA'!J35,'29.10 HOIMA-BULIISA'!J35,'30.10 BULIISA-HOIMA'!J35,'26.10 BULIISA-HOIMA-24h'!J35,'26.10 HOIMA-BULIISA-24h'!J35,'31.10 BULIISA-HOIMA'!J35)</f>
        <v>0</v>
      </c>
      <c r="K35" s="49">
        <f>AVERAGE('25.10 BULIISA-HOIMA'!K35,'27.10 BULIISA-HOIMA'!K35,'29.10 HOIMA-BULIISA'!K35,'30.10 BULIISA-HOIMA'!K35,'26.10 BULIISA-HOIMA-24h'!K35,'26.10 HOIMA-BULIISA-24h'!K35,'31.10 BULIISA-HOIMA'!K35)</f>
        <v>0.14285714285714285</v>
      </c>
      <c r="L35" s="49">
        <f>AVERAGE('25.10 BULIISA-HOIMA'!L35,'27.10 BULIISA-HOIMA'!L35,'29.10 HOIMA-BULIISA'!L35,'30.10 BULIISA-HOIMA'!L35,'26.10 BULIISA-HOIMA-24h'!L35,'26.10 HOIMA-BULIISA-24h'!L35,'31.10 BULIISA-HOIMA'!L35)</f>
        <v>0</v>
      </c>
      <c r="M35" s="49">
        <f>AVERAGE('25.10 BULIISA-HOIMA'!M35,'27.10 BULIISA-HOIMA'!M35,'29.10 HOIMA-BULIISA'!M35,'30.10 BULIISA-HOIMA'!M35,'26.10 BULIISA-HOIMA-24h'!M35,'26.10 HOIMA-BULIISA-24h'!M35,'31.10 BULIISA-HOIMA'!M35)</f>
        <v>4.8571428571428568</v>
      </c>
      <c r="N35" s="49">
        <f>AVERAGE('25.10 BULIISA-HOIMA'!N35,'27.10 BULIISA-HOIMA'!N35,'29.10 HOIMA-BULIISA'!N35,'30.10 BULIISA-HOIMA'!N35,'26.10 BULIISA-HOIMA-24h'!N35,'26.10 HOIMA-BULIISA-24h'!N35,'31.10 BULIISA-HOIMA'!N35)</f>
        <v>0</v>
      </c>
      <c r="O35" s="15">
        <f t="shared" si="0"/>
        <v>1.7142857142857142</v>
      </c>
      <c r="P35" s="15">
        <f t="shared" si="1"/>
        <v>6.5714285714285712</v>
      </c>
      <c r="R35" s="38" t="s">
        <v>91</v>
      </c>
      <c r="S35" s="39">
        <f t="shared" ref="S35:AF35" si="27">MAX(S13:S18)</f>
        <v>1.5714285714285714</v>
      </c>
      <c r="T35" s="39">
        <f t="shared" si="27"/>
        <v>0.71428571428571419</v>
      </c>
      <c r="U35" s="39">
        <f t="shared" si="27"/>
        <v>2</v>
      </c>
      <c r="V35" s="39">
        <f t="shared" si="27"/>
        <v>2.8571428571428572</v>
      </c>
      <c r="W35" s="39">
        <f t="shared" si="27"/>
        <v>0.14285714285714285</v>
      </c>
      <c r="X35" s="39">
        <f t="shared" si="27"/>
        <v>0.14285714285714285</v>
      </c>
      <c r="Y35" s="39">
        <f t="shared" si="27"/>
        <v>0.71428571428571419</v>
      </c>
      <c r="Z35" s="39">
        <f t="shared" si="27"/>
        <v>0.85714285714285698</v>
      </c>
      <c r="AA35" s="39">
        <f t="shared" si="27"/>
        <v>0.5714285714285714</v>
      </c>
      <c r="AB35" s="39">
        <f t="shared" si="27"/>
        <v>0.2857142857142857</v>
      </c>
      <c r="AC35" s="39">
        <f t="shared" si="27"/>
        <v>18.428571428571431</v>
      </c>
      <c r="AD35" s="39">
        <f t="shared" si="27"/>
        <v>0</v>
      </c>
      <c r="AE35" s="40">
        <f t="shared" si="27"/>
        <v>7.2857142857142847</v>
      </c>
      <c r="AF35" s="40">
        <f t="shared" si="27"/>
        <v>25.714285714285712</v>
      </c>
    </row>
    <row r="36" spans="2:32" ht="23.1" customHeight="1" x14ac:dyDescent="0.25">
      <c r="B36" s="24" t="s">
        <v>63</v>
      </c>
      <c r="C36" s="49">
        <f>AVERAGE('25.10 BULIISA-HOIMA'!C36,'27.10 BULIISA-HOIMA'!C36,'29.10 HOIMA-BULIISA'!C36,'30.10 BULIISA-HOIMA'!C36,'26.10 BULIISA-HOIMA-24h'!C36,'26.10 HOIMA-BULIISA-24h'!C36,'31.10 BULIISA-HOIMA'!C36)</f>
        <v>0.42857142857142855</v>
      </c>
      <c r="D36" s="49">
        <f>AVERAGE('25.10 BULIISA-HOIMA'!D36,'27.10 BULIISA-HOIMA'!D36,'29.10 HOIMA-BULIISA'!D36,'30.10 BULIISA-HOIMA'!D36,'26.10 BULIISA-HOIMA-24h'!D36,'26.10 HOIMA-BULIISA-24h'!D36,'31.10 BULIISA-HOIMA'!D36)</f>
        <v>0</v>
      </c>
      <c r="E36" s="49">
        <f>AVERAGE('25.10 BULIISA-HOIMA'!E36,'27.10 BULIISA-HOIMA'!E36,'29.10 HOIMA-BULIISA'!E36,'30.10 BULIISA-HOIMA'!E36,'26.10 BULIISA-HOIMA-24h'!E36,'26.10 HOIMA-BULIISA-24h'!E36,'31.10 BULIISA-HOIMA'!E36)</f>
        <v>0.14285714285714285</v>
      </c>
      <c r="F36" s="49">
        <f>AVERAGE('25.10 BULIISA-HOIMA'!F36,'27.10 BULIISA-HOIMA'!F36,'29.10 HOIMA-BULIISA'!F36,'30.10 BULIISA-HOIMA'!F36,'26.10 BULIISA-HOIMA-24h'!F36,'26.10 HOIMA-BULIISA-24h'!F36,'31.10 BULIISA-HOIMA'!F36)</f>
        <v>0.8571428571428571</v>
      </c>
      <c r="G36" s="49">
        <f>AVERAGE('25.10 BULIISA-HOIMA'!G36,'27.10 BULIISA-HOIMA'!G36,'29.10 HOIMA-BULIISA'!G36,'30.10 BULIISA-HOIMA'!G36,'26.10 BULIISA-HOIMA-24h'!G36,'26.10 HOIMA-BULIISA-24h'!G36,'31.10 BULIISA-HOIMA'!G36)</f>
        <v>0</v>
      </c>
      <c r="H36" s="49">
        <f>AVERAGE('25.10 BULIISA-HOIMA'!H36,'27.10 BULIISA-HOIMA'!H36,'29.10 HOIMA-BULIISA'!H36,'30.10 BULIISA-HOIMA'!H36,'26.10 BULIISA-HOIMA-24h'!H36,'26.10 HOIMA-BULIISA-24h'!H36,'31.10 BULIISA-HOIMA'!H36)</f>
        <v>0</v>
      </c>
      <c r="I36" s="49">
        <f>AVERAGE('25.10 BULIISA-HOIMA'!I36,'27.10 BULIISA-HOIMA'!I36,'29.10 HOIMA-BULIISA'!I36,'30.10 BULIISA-HOIMA'!I36,'26.10 BULIISA-HOIMA-24h'!I36,'26.10 HOIMA-BULIISA-24h'!I36,'31.10 BULIISA-HOIMA'!I36)</f>
        <v>0.14285714285714285</v>
      </c>
      <c r="J36" s="49">
        <f>AVERAGE('25.10 BULIISA-HOIMA'!J36,'27.10 BULIISA-HOIMA'!J36,'29.10 HOIMA-BULIISA'!J36,'30.10 BULIISA-HOIMA'!J36,'26.10 BULIISA-HOIMA-24h'!J36,'26.10 HOIMA-BULIISA-24h'!J36,'31.10 BULIISA-HOIMA'!J36)</f>
        <v>0</v>
      </c>
      <c r="K36" s="49">
        <f>AVERAGE('25.10 BULIISA-HOIMA'!K36,'27.10 BULIISA-HOIMA'!K36,'29.10 HOIMA-BULIISA'!K36,'30.10 BULIISA-HOIMA'!K36,'26.10 BULIISA-HOIMA-24h'!K36,'26.10 HOIMA-BULIISA-24h'!K36,'31.10 BULIISA-HOIMA'!K36)</f>
        <v>0</v>
      </c>
      <c r="L36" s="49">
        <f>AVERAGE('25.10 BULIISA-HOIMA'!L36,'27.10 BULIISA-HOIMA'!L36,'29.10 HOIMA-BULIISA'!L36,'30.10 BULIISA-HOIMA'!L36,'26.10 BULIISA-HOIMA-24h'!L36,'26.10 HOIMA-BULIISA-24h'!L36,'31.10 BULIISA-HOIMA'!L36)</f>
        <v>0</v>
      </c>
      <c r="M36" s="49">
        <f>AVERAGE('25.10 BULIISA-HOIMA'!M36,'27.10 BULIISA-HOIMA'!M36,'29.10 HOIMA-BULIISA'!M36,'30.10 BULIISA-HOIMA'!M36,'26.10 BULIISA-HOIMA-24h'!M36,'26.10 HOIMA-BULIISA-24h'!M36,'31.10 BULIISA-HOIMA'!M36)</f>
        <v>2.2857142857142856</v>
      </c>
      <c r="N36" s="49">
        <f>AVERAGE('25.10 BULIISA-HOIMA'!N36,'27.10 BULIISA-HOIMA'!N36,'29.10 HOIMA-BULIISA'!N36,'30.10 BULIISA-HOIMA'!N36,'26.10 BULIISA-HOIMA-24h'!N36,'26.10 HOIMA-BULIISA-24h'!N36,'31.10 BULIISA-HOIMA'!N36)</f>
        <v>0</v>
      </c>
      <c r="O36" s="15">
        <f t="shared" si="0"/>
        <v>1.5714285714285712</v>
      </c>
      <c r="P36" s="15">
        <f t="shared" si="1"/>
        <v>3.8571428571428568</v>
      </c>
      <c r="R36" s="38" t="s">
        <v>92</v>
      </c>
      <c r="S36" s="39">
        <f t="shared" ref="S36:AF36" si="28">MAX(S19:S21)</f>
        <v>1.4285714285714284</v>
      </c>
      <c r="T36" s="39">
        <f t="shared" si="28"/>
        <v>0.42857142857142855</v>
      </c>
      <c r="U36" s="39">
        <f t="shared" si="28"/>
        <v>1.5714285714285714</v>
      </c>
      <c r="V36" s="39">
        <f t="shared" si="28"/>
        <v>4</v>
      </c>
      <c r="W36" s="39">
        <f t="shared" si="28"/>
        <v>0</v>
      </c>
      <c r="X36" s="39">
        <f t="shared" si="28"/>
        <v>0</v>
      </c>
      <c r="Y36" s="39">
        <f t="shared" si="28"/>
        <v>0.5714285714285714</v>
      </c>
      <c r="Z36" s="39">
        <f t="shared" si="28"/>
        <v>0.5714285714285714</v>
      </c>
      <c r="AA36" s="39">
        <f t="shared" si="28"/>
        <v>0.5714285714285714</v>
      </c>
      <c r="AB36" s="39">
        <f t="shared" si="28"/>
        <v>0</v>
      </c>
      <c r="AC36" s="39">
        <f t="shared" si="28"/>
        <v>20.428571428571431</v>
      </c>
      <c r="AD36" s="39">
        <f t="shared" si="28"/>
        <v>0</v>
      </c>
      <c r="AE36" s="40">
        <f t="shared" si="28"/>
        <v>7.2857142857142856</v>
      </c>
      <c r="AF36" s="40">
        <f t="shared" si="28"/>
        <v>27</v>
      </c>
    </row>
    <row r="37" spans="2:32" ht="23.1" customHeight="1" x14ac:dyDescent="0.25">
      <c r="B37" s="23" t="s">
        <v>64</v>
      </c>
      <c r="C37" s="49">
        <f>AVERAGE('25.10 BULIISA-HOIMA'!C37,'27.10 BULIISA-HOIMA'!C37,'29.10 HOIMA-BULIISA'!C37,'30.10 BULIISA-HOIMA'!C37,'26.10 BULIISA-HOIMA-24h'!C37,'26.10 HOIMA-BULIISA-24h'!C37,'31.10 BULIISA-HOIMA'!C37)</f>
        <v>0.14285714285714285</v>
      </c>
      <c r="D37" s="49">
        <f>AVERAGE('25.10 BULIISA-HOIMA'!D37,'27.10 BULIISA-HOIMA'!D37,'29.10 HOIMA-BULIISA'!D37,'30.10 BULIISA-HOIMA'!D37,'26.10 BULIISA-HOIMA-24h'!D37,'26.10 HOIMA-BULIISA-24h'!D37,'31.10 BULIISA-HOIMA'!D37)</f>
        <v>0.14285714285714285</v>
      </c>
      <c r="E37" s="49">
        <f>AVERAGE('25.10 BULIISA-HOIMA'!E37,'27.10 BULIISA-HOIMA'!E37,'29.10 HOIMA-BULIISA'!E37,'30.10 BULIISA-HOIMA'!E37,'26.10 BULIISA-HOIMA-24h'!E37,'26.10 HOIMA-BULIISA-24h'!E37,'31.10 BULIISA-HOIMA'!E37)</f>
        <v>0.2857142857142857</v>
      </c>
      <c r="F37" s="49">
        <f>AVERAGE('25.10 BULIISA-HOIMA'!F37,'27.10 BULIISA-HOIMA'!F37,'29.10 HOIMA-BULIISA'!F37,'30.10 BULIISA-HOIMA'!F37,'26.10 BULIISA-HOIMA-24h'!F37,'26.10 HOIMA-BULIISA-24h'!F37,'31.10 BULIISA-HOIMA'!F37)</f>
        <v>0.2857142857142857</v>
      </c>
      <c r="G37" s="49">
        <f>AVERAGE('25.10 BULIISA-HOIMA'!G37,'27.10 BULIISA-HOIMA'!G37,'29.10 HOIMA-BULIISA'!G37,'30.10 BULIISA-HOIMA'!G37,'26.10 BULIISA-HOIMA-24h'!G37,'26.10 HOIMA-BULIISA-24h'!G37,'31.10 BULIISA-HOIMA'!G37)</f>
        <v>0</v>
      </c>
      <c r="H37" s="49">
        <f>AVERAGE('25.10 BULIISA-HOIMA'!H37,'27.10 BULIISA-HOIMA'!H37,'29.10 HOIMA-BULIISA'!H37,'30.10 BULIISA-HOIMA'!H37,'26.10 BULIISA-HOIMA-24h'!H37,'26.10 HOIMA-BULIISA-24h'!H37,'31.10 BULIISA-HOIMA'!H37)</f>
        <v>0</v>
      </c>
      <c r="I37" s="49">
        <f>AVERAGE('25.10 BULIISA-HOIMA'!I37,'27.10 BULIISA-HOIMA'!I37,'29.10 HOIMA-BULIISA'!I37,'30.10 BULIISA-HOIMA'!I37,'26.10 BULIISA-HOIMA-24h'!I37,'26.10 HOIMA-BULIISA-24h'!I37,'31.10 BULIISA-HOIMA'!I37)</f>
        <v>0.2857142857142857</v>
      </c>
      <c r="J37" s="49">
        <f>AVERAGE('25.10 BULIISA-HOIMA'!J37,'27.10 BULIISA-HOIMA'!J37,'29.10 HOIMA-BULIISA'!J37,'30.10 BULIISA-HOIMA'!J37,'26.10 BULIISA-HOIMA-24h'!J37,'26.10 HOIMA-BULIISA-24h'!J37,'31.10 BULIISA-HOIMA'!J37)</f>
        <v>0.14285714285714285</v>
      </c>
      <c r="K37" s="49">
        <f>AVERAGE('25.10 BULIISA-HOIMA'!K37,'27.10 BULIISA-HOIMA'!K37,'29.10 HOIMA-BULIISA'!K37,'30.10 BULIISA-HOIMA'!K37,'26.10 BULIISA-HOIMA-24h'!K37,'26.10 HOIMA-BULIISA-24h'!K37,'31.10 BULIISA-HOIMA'!K37)</f>
        <v>0</v>
      </c>
      <c r="L37" s="49">
        <f>AVERAGE('25.10 BULIISA-HOIMA'!L37,'27.10 BULIISA-HOIMA'!L37,'29.10 HOIMA-BULIISA'!L37,'30.10 BULIISA-HOIMA'!L37,'26.10 BULIISA-HOIMA-24h'!L37,'26.10 HOIMA-BULIISA-24h'!L37,'31.10 BULIISA-HOIMA'!L37)</f>
        <v>0</v>
      </c>
      <c r="M37" s="49">
        <f>AVERAGE('25.10 BULIISA-HOIMA'!M37,'27.10 BULIISA-HOIMA'!M37,'29.10 HOIMA-BULIISA'!M37,'30.10 BULIISA-HOIMA'!M37,'26.10 BULIISA-HOIMA-24h'!M37,'26.10 HOIMA-BULIISA-24h'!M37,'31.10 BULIISA-HOIMA'!M37)</f>
        <v>2.1428571428571428</v>
      </c>
      <c r="N37" s="49">
        <f>AVERAGE('25.10 BULIISA-HOIMA'!N37,'27.10 BULIISA-HOIMA'!N37,'29.10 HOIMA-BULIISA'!N37,'30.10 BULIISA-HOIMA'!N37,'26.10 BULIISA-HOIMA-24h'!N37,'26.10 HOIMA-BULIISA-24h'!N37,'31.10 BULIISA-HOIMA'!N37)</f>
        <v>0</v>
      </c>
      <c r="O37" s="15">
        <f t="shared" si="0"/>
        <v>1.2857142857142856</v>
      </c>
      <c r="P37" s="15">
        <f t="shared" si="1"/>
        <v>3.4285714285714284</v>
      </c>
      <c r="R37" s="37" t="s">
        <v>85</v>
      </c>
      <c r="S37" s="35">
        <f t="shared" ref="S37:AF37" si="29">SUM(S10:S12)</f>
        <v>2.5714285714285712</v>
      </c>
      <c r="T37" s="16">
        <f t="shared" si="29"/>
        <v>2.2857142857142856</v>
      </c>
      <c r="U37" s="16">
        <f t="shared" si="29"/>
        <v>4.4285714285714288</v>
      </c>
      <c r="V37" s="16">
        <f t="shared" si="29"/>
        <v>9.4285714285714288</v>
      </c>
      <c r="W37" s="16">
        <f t="shared" si="29"/>
        <v>0.14285714285714285</v>
      </c>
      <c r="X37" s="16">
        <f t="shared" si="29"/>
        <v>0</v>
      </c>
      <c r="Y37" s="16">
        <f t="shared" si="29"/>
        <v>1.2857142857142856</v>
      </c>
      <c r="Z37" s="16">
        <f t="shared" si="29"/>
        <v>1.2857142857142856</v>
      </c>
      <c r="AA37" s="16">
        <f t="shared" si="29"/>
        <v>0.71428571428571419</v>
      </c>
      <c r="AB37" s="16">
        <f t="shared" si="29"/>
        <v>0.14285714285714285</v>
      </c>
      <c r="AC37" s="16">
        <f t="shared" si="29"/>
        <v>53.714285714285708</v>
      </c>
      <c r="AD37" s="16">
        <f t="shared" si="29"/>
        <v>0</v>
      </c>
      <c r="AE37" s="32">
        <f t="shared" si="29"/>
        <v>22.285714285714285</v>
      </c>
      <c r="AF37" s="32">
        <f t="shared" si="29"/>
        <v>76</v>
      </c>
    </row>
    <row r="38" spans="2:32" ht="23.1" customHeight="1" x14ac:dyDescent="0.25">
      <c r="B38" s="24" t="s">
        <v>65</v>
      </c>
      <c r="C38" s="49">
        <f>AVERAGE('25.10 BULIISA-HOIMA'!C38,'27.10 BULIISA-HOIMA'!C38,'29.10 HOIMA-BULIISA'!C38,'30.10 BULIISA-HOIMA'!C38,'26.10 BULIISA-HOIMA-24h'!C38,'26.10 HOIMA-BULIISA-24h'!C38,'31.10 BULIISA-HOIMA'!C38)</f>
        <v>0.42857142857142855</v>
      </c>
      <c r="D38" s="49">
        <f>AVERAGE('25.10 BULIISA-HOIMA'!D38,'27.10 BULIISA-HOIMA'!D38,'29.10 HOIMA-BULIISA'!D38,'30.10 BULIISA-HOIMA'!D38,'26.10 BULIISA-HOIMA-24h'!D38,'26.10 HOIMA-BULIISA-24h'!D38,'31.10 BULIISA-HOIMA'!D38)</f>
        <v>0</v>
      </c>
      <c r="E38" s="49">
        <f>AVERAGE('25.10 BULIISA-HOIMA'!E38,'27.10 BULIISA-HOIMA'!E38,'29.10 HOIMA-BULIISA'!E38,'30.10 BULIISA-HOIMA'!E38,'26.10 BULIISA-HOIMA-24h'!E38,'26.10 HOIMA-BULIISA-24h'!E38,'31.10 BULIISA-HOIMA'!E38)</f>
        <v>0.2857142857142857</v>
      </c>
      <c r="F38" s="49">
        <f>AVERAGE('25.10 BULIISA-HOIMA'!F38,'27.10 BULIISA-HOIMA'!F38,'29.10 HOIMA-BULIISA'!F38,'30.10 BULIISA-HOIMA'!F38,'26.10 BULIISA-HOIMA-24h'!F38,'26.10 HOIMA-BULIISA-24h'!F38,'31.10 BULIISA-HOIMA'!F38)</f>
        <v>0.5714285714285714</v>
      </c>
      <c r="G38" s="49">
        <f>AVERAGE('25.10 BULIISA-HOIMA'!G38,'27.10 BULIISA-HOIMA'!G38,'29.10 HOIMA-BULIISA'!G38,'30.10 BULIISA-HOIMA'!G38,'26.10 BULIISA-HOIMA-24h'!G38,'26.10 HOIMA-BULIISA-24h'!G38,'31.10 BULIISA-HOIMA'!G38)</f>
        <v>0</v>
      </c>
      <c r="H38" s="49">
        <f>AVERAGE('25.10 BULIISA-HOIMA'!H38,'27.10 BULIISA-HOIMA'!H38,'29.10 HOIMA-BULIISA'!H38,'30.10 BULIISA-HOIMA'!H38,'26.10 BULIISA-HOIMA-24h'!H38,'26.10 HOIMA-BULIISA-24h'!H38,'31.10 BULIISA-HOIMA'!H38)</f>
        <v>0</v>
      </c>
      <c r="I38" s="49">
        <f>AVERAGE('25.10 BULIISA-HOIMA'!I38,'27.10 BULIISA-HOIMA'!I38,'29.10 HOIMA-BULIISA'!I38,'30.10 BULIISA-HOIMA'!I38,'26.10 BULIISA-HOIMA-24h'!I38,'26.10 HOIMA-BULIISA-24h'!I38,'31.10 BULIISA-HOIMA'!I38)</f>
        <v>0.2857142857142857</v>
      </c>
      <c r="J38" s="49">
        <f>AVERAGE('25.10 BULIISA-HOIMA'!J38,'27.10 BULIISA-HOIMA'!J38,'29.10 HOIMA-BULIISA'!J38,'30.10 BULIISA-HOIMA'!J38,'26.10 BULIISA-HOIMA-24h'!J38,'26.10 HOIMA-BULIISA-24h'!J38,'31.10 BULIISA-HOIMA'!J38)</f>
        <v>0</v>
      </c>
      <c r="K38" s="49">
        <f>AVERAGE('25.10 BULIISA-HOIMA'!K38,'27.10 BULIISA-HOIMA'!K38,'29.10 HOIMA-BULIISA'!K38,'30.10 BULIISA-HOIMA'!K38,'26.10 BULIISA-HOIMA-24h'!K38,'26.10 HOIMA-BULIISA-24h'!K38,'31.10 BULIISA-HOIMA'!K38)</f>
        <v>0</v>
      </c>
      <c r="L38" s="49">
        <f>AVERAGE('25.10 BULIISA-HOIMA'!L38,'27.10 BULIISA-HOIMA'!L38,'29.10 HOIMA-BULIISA'!L38,'30.10 BULIISA-HOIMA'!L38,'26.10 BULIISA-HOIMA-24h'!L38,'26.10 HOIMA-BULIISA-24h'!L38,'31.10 BULIISA-HOIMA'!L38)</f>
        <v>0</v>
      </c>
      <c r="M38" s="49">
        <f>AVERAGE('25.10 BULIISA-HOIMA'!M38,'27.10 BULIISA-HOIMA'!M38,'29.10 HOIMA-BULIISA'!M38,'30.10 BULIISA-HOIMA'!M38,'26.10 BULIISA-HOIMA-24h'!M38,'26.10 HOIMA-BULIISA-24h'!M38,'31.10 BULIISA-HOIMA'!M38)</f>
        <v>2.4285714285714284</v>
      </c>
      <c r="N38" s="49">
        <f>AVERAGE('25.10 BULIISA-HOIMA'!N38,'27.10 BULIISA-HOIMA'!N38,'29.10 HOIMA-BULIISA'!N38,'30.10 BULIISA-HOIMA'!N38,'26.10 BULIISA-HOIMA-24h'!N38,'26.10 HOIMA-BULIISA-24h'!N38,'31.10 BULIISA-HOIMA'!N38)</f>
        <v>0</v>
      </c>
      <c r="O38" s="15">
        <f t="shared" si="0"/>
        <v>1.5714285714285712</v>
      </c>
      <c r="P38" s="15">
        <f t="shared" si="1"/>
        <v>3.9999999999999996</v>
      </c>
      <c r="R38" s="28" t="s">
        <v>86</v>
      </c>
      <c r="S38" s="16">
        <f t="shared" ref="S38:AF38" si="30">SUM(S13:S18)</f>
        <v>6.4285714285714279</v>
      </c>
      <c r="T38" s="16">
        <f t="shared" si="30"/>
        <v>1.714285714285714</v>
      </c>
      <c r="U38" s="16">
        <f t="shared" si="30"/>
        <v>9.2857142857142847</v>
      </c>
      <c r="V38" s="16">
        <f t="shared" si="30"/>
        <v>14</v>
      </c>
      <c r="W38" s="16">
        <f t="shared" si="30"/>
        <v>0.14285714285714285</v>
      </c>
      <c r="X38" s="16">
        <f t="shared" si="30"/>
        <v>0.14285714285714285</v>
      </c>
      <c r="Y38" s="16">
        <f t="shared" si="30"/>
        <v>2.5714285714285712</v>
      </c>
      <c r="Z38" s="16">
        <f t="shared" si="30"/>
        <v>2.1428571428571423</v>
      </c>
      <c r="AA38" s="16">
        <f t="shared" si="30"/>
        <v>1.1428571428571428</v>
      </c>
      <c r="AB38" s="16">
        <f t="shared" si="30"/>
        <v>0.5714285714285714</v>
      </c>
      <c r="AC38" s="16">
        <f t="shared" si="30"/>
        <v>93.428571428571416</v>
      </c>
      <c r="AD38" s="16">
        <f t="shared" si="30"/>
        <v>0</v>
      </c>
      <c r="AE38" s="32">
        <f t="shared" si="30"/>
        <v>38.142857142857139</v>
      </c>
      <c r="AF38" s="32">
        <f t="shared" si="30"/>
        <v>131.57142857142856</v>
      </c>
    </row>
    <row r="39" spans="2:32" ht="23.1" customHeight="1" x14ac:dyDescent="0.25">
      <c r="B39" s="24" t="s">
        <v>66</v>
      </c>
      <c r="C39" s="49">
        <f>AVERAGE('25.10 BULIISA-HOIMA'!C39,'27.10 BULIISA-HOIMA'!C39,'29.10 HOIMA-BULIISA'!C39,'30.10 BULIISA-HOIMA'!C39,'26.10 BULIISA-HOIMA-24h'!C39,'26.10 HOIMA-BULIISA-24h'!C39,'31.10 BULIISA-HOIMA'!C39)</f>
        <v>0</v>
      </c>
      <c r="D39" s="49">
        <f>AVERAGE('25.10 BULIISA-HOIMA'!D39,'27.10 BULIISA-HOIMA'!D39,'29.10 HOIMA-BULIISA'!D39,'30.10 BULIISA-HOIMA'!D39,'26.10 BULIISA-HOIMA-24h'!D39,'26.10 HOIMA-BULIISA-24h'!D39,'31.10 BULIISA-HOIMA'!D39)</f>
        <v>0.14285714285714285</v>
      </c>
      <c r="E39" s="49">
        <f>AVERAGE('25.10 BULIISA-HOIMA'!E39,'27.10 BULIISA-HOIMA'!E39,'29.10 HOIMA-BULIISA'!E39,'30.10 BULIISA-HOIMA'!E39,'26.10 BULIISA-HOIMA-24h'!E39,'26.10 HOIMA-BULIISA-24h'!E39,'31.10 BULIISA-HOIMA'!E39)</f>
        <v>0.5714285714285714</v>
      </c>
      <c r="F39" s="49">
        <f>AVERAGE('25.10 BULIISA-HOIMA'!F39,'27.10 BULIISA-HOIMA'!F39,'29.10 HOIMA-BULIISA'!F39,'30.10 BULIISA-HOIMA'!F39,'26.10 BULIISA-HOIMA-24h'!F39,'26.10 HOIMA-BULIISA-24h'!F39,'31.10 BULIISA-HOIMA'!F39)</f>
        <v>0.2857142857142857</v>
      </c>
      <c r="G39" s="49">
        <f>AVERAGE('25.10 BULIISA-HOIMA'!G39,'27.10 BULIISA-HOIMA'!G39,'29.10 HOIMA-BULIISA'!G39,'30.10 BULIISA-HOIMA'!G39,'26.10 BULIISA-HOIMA-24h'!G39,'26.10 HOIMA-BULIISA-24h'!G39,'31.10 BULIISA-HOIMA'!G39)</f>
        <v>0</v>
      </c>
      <c r="H39" s="49">
        <f>AVERAGE('25.10 BULIISA-HOIMA'!H39,'27.10 BULIISA-HOIMA'!H39,'29.10 HOIMA-BULIISA'!H39,'30.10 BULIISA-HOIMA'!H39,'26.10 BULIISA-HOIMA-24h'!H39,'26.10 HOIMA-BULIISA-24h'!H39,'31.10 BULIISA-HOIMA'!H39)</f>
        <v>0</v>
      </c>
      <c r="I39" s="49">
        <f>AVERAGE('25.10 BULIISA-HOIMA'!I39,'27.10 BULIISA-HOIMA'!I39,'29.10 HOIMA-BULIISA'!I39,'30.10 BULIISA-HOIMA'!I39,'26.10 BULIISA-HOIMA-24h'!I39,'26.10 HOIMA-BULIISA-24h'!I39,'31.10 BULIISA-HOIMA'!I39)</f>
        <v>0.2857142857142857</v>
      </c>
      <c r="J39" s="49">
        <f>AVERAGE('25.10 BULIISA-HOIMA'!J39,'27.10 BULIISA-HOIMA'!J39,'29.10 HOIMA-BULIISA'!J39,'30.10 BULIISA-HOIMA'!J39,'26.10 BULIISA-HOIMA-24h'!J39,'26.10 HOIMA-BULIISA-24h'!J39,'31.10 BULIISA-HOIMA'!J39)</f>
        <v>0</v>
      </c>
      <c r="K39" s="49">
        <f>AVERAGE('25.10 BULIISA-HOIMA'!K39,'27.10 BULIISA-HOIMA'!K39,'29.10 HOIMA-BULIISA'!K39,'30.10 BULIISA-HOIMA'!K39,'26.10 BULIISA-HOIMA-24h'!K39,'26.10 HOIMA-BULIISA-24h'!K39,'31.10 BULIISA-HOIMA'!K39)</f>
        <v>0</v>
      </c>
      <c r="L39" s="49">
        <f>AVERAGE('25.10 BULIISA-HOIMA'!L39,'27.10 BULIISA-HOIMA'!L39,'29.10 HOIMA-BULIISA'!L39,'30.10 BULIISA-HOIMA'!L39,'26.10 BULIISA-HOIMA-24h'!L39,'26.10 HOIMA-BULIISA-24h'!L39,'31.10 BULIISA-HOIMA'!L39)</f>
        <v>0</v>
      </c>
      <c r="M39" s="49">
        <f>AVERAGE('25.10 BULIISA-HOIMA'!M39,'27.10 BULIISA-HOIMA'!M39,'29.10 HOIMA-BULIISA'!M39,'30.10 BULIISA-HOIMA'!M39,'26.10 BULIISA-HOIMA-24h'!M39,'26.10 HOIMA-BULIISA-24h'!M39,'31.10 BULIISA-HOIMA'!M39)</f>
        <v>3.4285714285714284</v>
      </c>
      <c r="N39" s="49">
        <f>AVERAGE('25.10 BULIISA-HOIMA'!N39,'27.10 BULIISA-HOIMA'!N39,'29.10 HOIMA-BULIISA'!N39,'30.10 BULIISA-HOIMA'!N39,'26.10 BULIISA-HOIMA-24h'!N39,'26.10 HOIMA-BULIISA-24h'!N39,'31.10 BULIISA-HOIMA'!N39)</f>
        <v>0</v>
      </c>
      <c r="O39" s="15">
        <f t="shared" si="0"/>
        <v>1.2857142857142856</v>
      </c>
      <c r="P39" s="15">
        <f t="shared" si="1"/>
        <v>4.7142857142857135</v>
      </c>
      <c r="R39" s="29" t="s">
        <v>87</v>
      </c>
      <c r="S39" s="16">
        <f t="shared" ref="S39:AF39" si="31">SUM(S19:S21)</f>
        <v>2.7142857142857135</v>
      </c>
      <c r="T39" s="16">
        <f t="shared" si="31"/>
        <v>0.8571428571428571</v>
      </c>
      <c r="U39" s="16">
        <f t="shared" si="31"/>
        <v>3.5714285714285712</v>
      </c>
      <c r="V39" s="16">
        <f t="shared" si="31"/>
        <v>8.4285714285714288</v>
      </c>
      <c r="W39" s="16">
        <f t="shared" si="31"/>
        <v>0</v>
      </c>
      <c r="X39" s="16">
        <f t="shared" si="31"/>
        <v>0</v>
      </c>
      <c r="Y39" s="16">
        <f t="shared" si="31"/>
        <v>1.2857142857142856</v>
      </c>
      <c r="Z39" s="16">
        <f t="shared" si="31"/>
        <v>0.8571428571428571</v>
      </c>
      <c r="AA39" s="16">
        <f t="shared" si="31"/>
        <v>1.2857142857142856</v>
      </c>
      <c r="AB39" s="16">
        <f t="shared" si="31"/>
        <v>0</v>
      </c>
      <c r="AC39" s="16">
        <f t="shared" si="31"/>
        <v>57.000000000000007</v>
      </c>
      <c r="AD39" s="16">
        <f t="shared" si="31"/>
        <v>0</v>
      </c>
      <c r="AE39" s="32">
        <f t="shared" si="31"/>
        <v>19</v>
      </c>
      <c r="AF39" s="32">
        <f t="shared" si="31"/>
        <v>76</v>
      </c>
    </row>
    <row r="40" spans="2:32" ht="23.1" customHeight="1" x14ac:dyDescent="0.25">
      <c r="B40" s="24" t="s">
        <v>67</v>
      </c>
      <c r="C40" s="49">
        <f>AVERAGE('25.10 BULIISA-HOIMA'!C40,'27.10 BULIISA-HOIMA'!C40,'29.10 HOIMA-BULIISA'!C40,'30.10 BULIISA-HOIMA'!C40,'26.10 BULIISA-HOIMA-24h'!C40,'26.10 HOIMA-BULIISA-24h'!C40,'31.10 BULIISA-HOIMA'!C40)</f>
        <v>0</v>
      </c>
      <c r="D40" s="49">
        <f>AVERAGE('25.10 BULIISA-HOIMA'!D40,'27.10 BULIISA-HOIMA'!D40,'29.10 HOIMA-BULIISA'!D40,'30.10 BULIISA-HOIMA'!D40,'26.10 BULIISA-HOIMA-24h'!D40,'26.10 HOIMA-BULIISA-24h'!D40,'31.10 BULIISA-HOIMA'!D40)</f>
        <v>0</v>
      </c>
      <c r="E40" s="49">
        <f>AVERAGE('25.10 BULIISA-HOIMA'!E40,'27.10 BULIISA-HOIMA'!E40,'29.10 HOIMA-BULIISA'!E40,'30.10 BULIISA-HOIMA'!E40,'26.10 BULIISA-HOIMA-24h'!E40,'26.10 HOIMA-BULIISA-24h'!E40,'31.10 BULIISA-HOIMA'!E40)</f>
        <v>0.42857142857142855</v>
      </c>
      <c r="F40" s="49">
        <f>AVERAGE('25.10 BULIISA-HOIMA'!F40,'27.10 BULIISA-HOIMA'!F40,'29.10 HOIMA-BULIISA'!F40,'30.10 BULIISA-HOIMA'!F40,'26.10 BULIISA-HOIMA-24h'!F40,'26.10 HOIMA-BULIISA-24h'!F40,'31.10 BULIISA-HOIMA'!F40)</f>
        <v>0.14285714285714285</v>
      </c>
      <c r="G40" s="49">
        <f>AVERAGE('25.10 BULIISA-HOIMA'!G40,'27.10 BULIISA-HOIMA'!G40,'29.10 HOIMA-BULIISA'!G40,'30.10 BULIISA-HOIMA'!G40,'26.10 BULIISA-HOIMA-24h'!G40,'26.10 HOIMA-BULIISA-24h'!G40,'31.10 BULIISA-HOIMA'!G40)</f>
        <v>0</v>
      </c>
      <c r="H40" s="49">
        <f>AVERAGE('25.10 BULIISA-HOIMA'!H40,'27.10 BULIISA-HOIMA'!H40,'29.10 HOIMA-BULIISA'!H40,'30.10 BULIISA-HOIMA'!H40,'26.10 BULIISA-HOIMA-24h'!H40,'26.10 HOIMA-BULIISA-24h'!H40,'31.10 BULIISA-HOIMA'!H40)</f>
        <v>0.14285714285714285</v>
      </c>
      <c r="I40" s="49">
        <f>AVERAGE('25.10 BULIISA-HOIMA'!I40,'27.10 BULIISA-HOIMA'!I40,'29.10 HOIMA-BULIISA'!I40,'30.10 BULIISA-HOIMA'!I40,'26.10 BULIISA-HOIMA-24h'!I40,'26.10 HOIMA-BULIISA-24h'!I40,'31.10 BULIISA-HOIMA'!I40)</f>
        <v>0</v>
      </c>
      <c r="J40" s="49">
        <f>AVERAGE('25.10 BULIISA-HOIMA'!J40,'27.10 BULIISA-HOIMA'!J40,'29.10 HOIMA-BULIISA'!J40,'30.10 BULIISA-HOIMA'!J40,'26.10 BULIISA-HOIMA-24h'!J40,'26.10 HOIMA-BULIISA-24h'!J40,'31.10 BULIISA-HOIMA'!J40)</f>
        <v>0</v>
      </c>
      <c r="K40" s="49">
        <f>AVERAGE('25.10 BULIISA-HOIMA'!K40,'27.10 BULIISA-HOIMA'!K40,'29.10 HOIMA-BULIISA'!K40,'30.10 BULIISA-HOIMA'!K40,'26.10 BULIISA-HOIMA-24h'!K40,'26.10 HOIMA-BULIISA-24h'!K40,'31.10 BULIISA-HOIMA'!K40)</f>
        <v>0</v>
      </c>
      <c r="L40" s="49">
        <f>AVERAGE('25.10 BULIISA-HOIMA'!L40,'27.10 BULIISA-HOIMA'!L40,'29.10 HOIMA-BULIISA'!L40,'30.10 BULIISA-HOIMA'!L40,'26.10 BULIISA-HOIMA-24h'!L40,'26.10 HOIMA-BULIISA-24h'!L40,'31.10 BULIISA-HOIMA'!L40)</f>
        <v>0</v>
      </c>
      <c r="M40" s="49">
        <f>AVERAGE('25.10 BULIISA-HOIMA'!M40,'27.10 BULIISA-HOIMA'!M40,'29.10 HOIMA-BULIISA'!M40,'30.10 BULIISA-HOIMA'!M40,'26.10 BULIISA-HOIMA-24h'!M40,'26.10 HOIMA-BULIISA-24h'!M40,'31.10 BULIISA-HOIMA'!M40)</f>
        <v>2.8571428571428572</v>
      </c>
      <c r="N40" s="49">
        <f>AVERAGE('25.10 BULIISA-HOIMA'!N40,'27.10 BULIISA-HOIMA'!N40,'29.10 HOIMA-BULIISA'!N40,'30.10 BULIISA-HOIMA'!N40,'26.10 BULIISA-HOIMA-24h'!N40,'26.10 HOIMA-BULIISA-24h'!N40,'31.10 BULIISA-HOIMA'!N40)</f>
        <v>0</v>
      </c>
      <c r="O40" s="15">
        <f t="shared" si="0"/>
        <v>0.71428571428571419</v>
      </c>
      <c r="P40" s="15">
        <f t="shared" si="1"/>
        <v>3.5714285714285712</v>
      </c>
      <c r="R40" s="5" t="s">
        <v>17</v>
      </c>
      <c r="S40" s="16">
        <f t="shared" ref="S40:AF40" si="32">SUM(S10:S21)</f>
        <v>11.714285714285714</v>
      </c>
      <c r="T40" s="16">
        <f t="shared" si="32"/>
        <v>4.8571428571428568</v>
      </c>
      <c r="U40" s="16">
        <f t="shared" si="32"/>
        <v>17.285714285714285</v>
      </c>
      <c r="V40" s="16">
        <f t="shared" si="32"/>
        <v>31.857142857142854</v>
      </c>
      <c r="W40" s="16">
        <f t="shared" si="32"/>
        <v>0.2857142857142857</v>
      </c>
      <c r="X40" s="16">
        <f t="shared" si="32"/>
        <v>0.14285714285714285</v>
      </c>
      <c r="Y40" s="16">
        <f t="shared" si="32"/>
        <v>5.1428571428571423</v>
      </c>
      <c r="Z40" s="16">
        <f t="shared" si="32"/>
        <v>4.2857142857142847</v>
      </c>
      <c r="AA40" s="16">
        <f t="shared" si="32"/>
        <v>3.1428571428571423</v>
      </c>
      <c r="AB40" s="16">
        <f t="shared" si="32"/>
        <v>0.71428571428571419</v>
      </c>
      <c r="AC40" s="16">
        <f t="shared" si="32"/>
        <v>204.14285714285711</v>
      </c>
      <c r="AD40" s="16">
        <f t="shared" si="32"/>
        <v>0</v>
      </c>
      <c r="AE40" s="32">
        <f t="shared" si="32"/>
        <v>79.428571428571416</v>
      </c>
      <c r="AF40" s="32">
        <f t="shared" si="32"/>
        <v>283.5714285714285</v>
      </c>
    </row>
    <row r="41" spans="2:32" ht="23.1" customHeight="1" x14ac:dyDescent="0.25">
      <c r="B41" s="23" t="s">
        <v>68</v>
      </c>
      <c r="C41" s="49">
        <f>AVERAGE('25.10 BULIISA-HOIMA'!C41,'27.10 BULIISA-HOIMA'!C41,'29.10 HOIMA-BULIISA'!C41,'30.10 BULIISA-HOIMA'!C41,'26.10 BULIISA-HOIMA-24h'!C41,'26.10 HOIMA-BULIISA-24h'!C41,'31.10 BULIISA-HOIMA'!C41)</f>
        <v>0.14285714285714285</v>
      </c>
      <c r="D41" s="49">
        <f>AVERAGE('25.10 BULIISA-HOIMA'!D41,'27.10 BULIISA-HOIMA'!D41,'29.10 HOIMA-BULIISA'!D41,'30.10 BULIISA-HOIMA'!D41,'26.10 BULIISA-HOIMA-24h'!D41,'26.10 HOIMA-BULIISA-24h'!D41,'31.10 BULIISA-HOIMA'!D41)</f>
        <v>0.14285714285714285</v>
      </c>
      <c r="E41" s="49">
        <f>AVERAGE('25.10 BULIISA-HOIMA'!E41,'27.10 BULIISA-HOIMA'!E41,'29.10 HOIMA-BULIISA'!E41,'30.10 BULIISA-HOIMA'!E41,'26.10 BULIISA-HOIMA-24h'!E41,'26.10 HOIMA-BULIISA-24h'!E41,'31.10 BULIISA-HOIMA'!E41)</f>
        <v>0.7142857142857143</v>
      </c>
      <c r="F41" s="49">
        <f>AVERAGE('25.10 BULIISA-HOIMA'!F41,'27.10 BULIISA-HOIMA'!F41,'29.10 HOIMA-BULIISA'!F41,'30.10 BULIISA-HOIMA'!F41,'26.10 BULIISA-HOIMA-24h'!F41,'26.10 HOIMA-BULIISA-24h'!F41,'31.10 BULIISA-HOIMA'!F41)</f>
        <v>1.4285714285714286</v>
      </c>
      <c r="G41" s="49">
        <f>AVERAGE('25.10 BULIISA-HOIMA'!G41,'27.10 BULIISA-HOIMA'!G41,'29.10 HOIMA-BULIISA'!G41,'30.10 BULIISA-HOIMA'!G41,'26.10 BULIISA-HOIMA-24h'!G41,'26.10 HOIMA-BULIISA-24h'!G41,'31.10 BULIISA-HOIMA'!G41)</f>
        <v>0</v>
      </c>
      <c r="H41" s="49">
        <f>AVERAGE('25.10 BULIISA-HOIMA'!H41,'27.10 BULIISA-HOIMA'!H41,'29.10 HOIMA-BULIISA'!H41,'30.10 BULIISA-HOIMA'!H41,'26.10 BULIISA-HOIMA-24h'!H41,'26.10 HOIMA-BULIISA-24h'!H41,'31.10 BULIISA-HOIMA'!H41)</f>
        <v>0</v>
      </c>
      <c r="I41" s="49">
        <f>AVERAGE('25.10 BULIISA-HOIMA'!I41,'27.10 BULIISA-HOIMA'!I41,'29.10 HOIMA-BULIISA'!I41,'30.10 BULIISA-HOIMA'!I41,'26.10 BULIISA-HOIMA-24h'!I41,'26.10 HOIMA-BULIISA-24h'!I41,'31.10 BULIISA-HOIMA'!I41)</f>
        <v>0.14285714285714285</v>
      </c>
      <c r="J41" s="49">
        <f>AVERAGE('25.10 BULIISA-HOIMA'!J41,'27.10 BULIISA-HOIMA'!J41,'29.10 HOIMA-BULIISA'!J41,'30.10 BULIISA-HOIMA'!J41,'26.10 BULIISA-HOIMA-24h'!J41,'26.10 HOIMA-BULIISA-24h'!J41,'31.10 BULIISA-HOIMA'!J41)</f>
        <v>0.5714285714285714</v>
      </c>
      <c r="K41" s="49">
        <f>AVERAGE('25.10 BULIISA-HOIMA'!K41,'27.10 BULIISA-HOIMA'!K41,'29.10 HOIMA-BULIISA'!K41,'30.10 BULIISA-HOIMA'!K41,'26.10 BULIISA-HOIMA-24h'!K41,'26.10 HOIMA-BULIISA-24h'!K41,'31.10 BULIISA-HOIMA'!K41)</f>
        <v>0</v>
      </c>
      <c r="L41" s="49">
        <f>AVERAGE('25.10 BULIISA-HOIMA'!L41,'27.10 BULIISA-HOIMA'!L41,'29.10 HOIMA-BULIISA'!L41,'30.10 BULIISA-HOIMA'!L41,'26.10 BULIISA-HOIMA-24h'!L41,'26.10 HOIMA-BULIISA-24h'!L41,'31.10 BULIISA-HOIMA'!L41)</f>
        <v>0.14285714285714285</v>
      </c>
      <c r="M41" s="49">
        <f>AVERAGE('25.10 BULIISA-HOIMA'!M41,'27.10 BULIISA-HOIMA'!M41,'29.10 HOIMA-BULIISA'!M41,'30.10 BULIISA-HOIMA'!M41,'26.10 BULIISA-HOIMA-24h'!M41,'26.10 HOIMA-BULIISA-24h'!M41,'31.10 BULIISA-HOIMA'!M41)</f>
        <v>3.5714285714285716</v>
      </c>
      <c r="N41" s="49">
        <f>AVERAGE('25.10 BULIISA-HOIMA'!N41,'27.10 BULIISA-HOIMA'!N41,'29.10 HOIMA-BULIISA'!N41,'30.10 BULIISA-HOIMA'!N41,'26.10 BULIISA-HOIMA-24h'!N41,'26.10 HOIMA-BULIISA-24h'!N41,'31.10 BULIISA-HOIMA'!N41)</f>
        <v>0</v>
      </c>
      <c r="O41" s="15">
        <f t="shared" si="0"/>
        <v>3.285714285714286</v>
      </c>
      <c r="P41" s="15">
        <f t="shared" si="1"/>
        <v>6.8571428571428577</v>
      </c>
      <c r="R41" s="5" t="s">
        <v>181</v>
      </c>
      <c r="S41" s="16">
        <f>SUM(S10:S33)</f>
        <v>13.214285714285714</v>
      </c>
      <c r="T41" s="16">
        <f t="shared" ref="T41:AD41" si="33">SUM(T10:T33)</f>
        <v>7.8571428571428568</v>
      </c>
      <c r="U41" s="16">
        <f t="shared" si="33"/>
        <v>18.785714285714285</v>
      </c>
      <c r="V41" s="16">
        <f t="shared" si="33"/>
        <v>38.357142857142854</v>
      </c>
      <c r="W41" s="16">
        <f t="shared" si="33"/>
        <v>0.7857142857142857</v>
      </c>
      <c r="X41" s="16">
        <f t="shared" si="33"/>
        <v>0.14285714285714285</v>
      </c>
      <c r="Y41" s="16">
        <f t="shared" si="33"/>
        <v>5.6428571428571423</v>
      </c>
      <c r="Z41" s="16">
        <f t="shared" si="33"/>
        <v>5.2857142857142847</v>
      </c>
      <c r="AA41" s="16">
        <f t="shared" si="33"/>
        <v>3.1428571428571423</v>
      </c>
      <c r="AB41" s="16">
        <f t="shared" si="33"/>
        <v>0.71428571428571419</v>
      </c>
      <c r="AC41" s="16">
        <f t="shared" si="33"/>
        <v>270.14285714285711</v>
      </c>
      <c r="AD41" s="16">
        <f t="shared" si="33"/>
        <v>0</v>
      </c>
      <c r="AE41" s="32">
        <f>SUM(AE10:AE33)</f>
        <v>93.928571428571416</v>
      </c>
      <c r="AF41" s="32">
        <f>SUM(AF10:AF33)</f>
        <v>364.0714285714285</v>
      </c>
    </row>
    <row r="42" spans="2:32" ht="23.1" customHeight="1" x14ac:dyDescent="0.25">
      <c r="B42" s="24" t="s">
        <v>69</v>
      </c>
      <c r="C42" s="49">
        <f>AVERAGE('25.10 BULIISA-HOIMA'!C42,'27.10 BULIISA-HOIMA'!C42,'29.10 HOIMA-BULIISA'!C42,'30.10 BULIISA-HOIMA'!C42,'26.10 BULIISA-HOIMA-24h'!C42,'26.10 HOIMA-BULIISA-24h'!C42,'31.10 BULIISA-HOIMA'!C42)</f>
        <v>0.14285714285714285</v>
      </c>
      <c r="D42" s="49">
        <f>AVERAGE('25.10 BULIISA-HOIMA'!D42,'27.10 BULIISA-HOIMA'!D42,'29.10 HOIMA-BULIISA'!D42,'30.10 BULIISA-HOIMA'!D42,'26.10 BULIISA-HOIMA-24h'!D42,'26.10 HOIMA-BULIISA-24h'!D42,'31.10 BULIISA-HOIMA'!D42)</f>
        <v>0</v>
      </c>
      <c r="E42" s="49">
        <f>AVERAGE('25.10 BULIISA-HOIMA'!E42,'27.10 BULIISA-HOIMA'!E42,'29.10 HOIMA-BULIISA'!E42,'30.10 BULIISA-HOIMA'!E42,'26.10 BULIISA-HOIMA-24h'!E42,'26.10 HOIMA-BULIISA-24h'!E42,'31.10 BULIISA-HOIMA'!E42)</f>
        <v>0.5714285714285714</v>
      </c>
      <c r="F42" s="49">
        <f>AVERAGE('25.10 BULIISA-HOIMA'!F42,'27.10 BULIISA-HOIMA'!F42,'29.10 HOIMA-BULIISA'!F42,'30.10 BULIISA-HOIMA'!F42,'26.10 BULIISA-HOIMA-24h'!F42,'26.10 HOIMA-BULIISA-24h'!F42,'31.10 BULIISA-HOIMA'!F42)</f>
        <v>0.2857142857142857</v>
      </c>
      <c r="G42" s="49">
        <f>AVERAGE('25.10 BULIISA-HOIMA'!G42,'27.10 BULIISA-HOIMA'!G42,'29.10 HOIMA-BULIISA'!G42,'30.10 BULIISA-HOIMA'!G42,'26.10 BULIISA-HOIMA-24h'!G42,'26.10 HOIMA-BULIISA-24h'!G42,'31.10 BULIISA-HOIMA'!G42)</f>
        <v>0</v>
      </c>
      <c r="H42" s="49">
        <f>AVERAGE('25.10 BULIISA-HOIMA'!H42,'27.10 BULIISA-HOIMA'!H42,'29.10 HOIMA-BULIISA'!H42,'30.10 BULIISA-HOIMA'!H42,'26.10 BULIISA-HOIMA-24h'!H42,'26.10 HOIMA-BULIISA-24h'!H42,'31.10 BULIISA-HOIMA'!H42)</f>
        <v>0</v>
      </c>
      <c r="I42" s="49">
        <f>AVERAGE('25.10 BULIISA-HOIMA'!I42,'27.10 BULIISA-HOIMA'!I42,'29.10 HOIMA-BULIISA'!I42,'30.10 BULIISA-HOIMA'!I42,'26.10 BULIISA-HOIMA-24h'!I42,'26.10 HOIMA-BULIISA-24h'!I42,'31.10 BULIISA-HOIMA'!I42)</f>
        <v>0.14285714285714285</v>
      </c>
      <c r="J42" s="49">
        <f>AVERAGE('25.10 BULIISA-HOIMA'!J42,'27.10 BULIISA-HOIMA'!J42,'29.10 HOIMA-BULIISA'!J42,'30.10 BULIISA-HOIMA'!J42,'26.10 BULIISA-HOIMA-24h'!J42,'26.10 HOIMA-BULIISA-24h'!J42,'31.10 BULIISA-HOIMA'!J42)</f>
        <v>0.2857142857142857</v>
      </c>
      <c r="K42" s="49">
        <f>AVERAGE('25.10 BULIISA-HOIMA'!K42,'27.10 BULIISA-HOIMA'!K42,'29.10 HOIMA-BULIISA'!K42,'30.10 BULIISA-HOIMA'!K42,'26.10 BULIISA-HOIMA-24h'!K42,'26.10 HOIMA-BULIISA-24h'!K42,'31.10 BULIISA-HOIMA'!K42)</f>
        <v>0</v>
      </c>
      <c r="L42" s="49">
        <f>AVERAGE('25.10 BULIISA-HOIMA'!L42,'27.10 BULIISA-HOIMA'!L42,'29.10 HOIMA-BULIISA'!L42,'30.10 BULIISA-HOIMA'!L42,'26.10 BULIISA-HOIMA-24h'!L42,'26.10 HOIMA-BULIISA-24h'!L42,'31.10 BULIISA-HOIMA'!L42)</f>
        <v>0.14285714285714285</v>
      </c>
      <c r="M42" s="49">
        <f>AVERAGE('25.10 BULIISA-HOIMA'!M42,'27.10 BULIISA-HOIMA'!M42,'29.10 HOIMA-BULIISA'!M42,'30.10 BULIISA-HOIMA'!M42,'26.10 BULIISA-HOIMA-24h'!M42,'26.10 HOIMA-BULIISA-24h'!M42,'31.10 BULIISA-HOIMA'!M42)</f>
        <v>3</v>
      </c>
      <c r="N42" s="49">
        <f>AVERAGE('25.10 BULIISA-HOIMA'!N42,'27.10 BULIISA-HOIMA'!N42,'29.10 HOIMA-BULIISA'!N42,'30.10 BULIISA-HOIMA'!N42,'26.10 BULIISA-HOIMA-24h'!N42,'26.10 HOIMA-BULIISA-24h'!N42,'31.10 BULIISA-HOIMA'!N42)</f>
        <v>0</v>
      </c>
      <c r="O42" s="15">
        <f t="shared" si="0"/>
        <v>1.5714285714285712</v>
      </c>
      <c r="P42" s="15">
        <f t="shared" si="1"/>
        <v>4.5714285714285712</v>
      </c>
      <c r="R42" s="5" t="s">
        <v>160</v>
      </c>
      <c r="S42" s="48">
        <f>S41/S40</f>
        <v>1.128048780487805</v>
      </c>
      <c r="T42" s="48">
        <f t="shared" ref="T42:AF42" si="34">T41/T40</f>
        <v>1.6176470588235294</v>
      </c>
      <c r="U42" s="48">
        <f t="shared" si="34"/>
        <v>1.0867768595041323</v>
      </c>
      <c r="V42" s="48">
        <f t="shared" si="34"/>
        <v>1.2040358744394619</v>
      </c>
      <c r="W42" s="48">
        <f t="shared" si="34"/>
        <v>2.75</v>
      </c>
      <c r="X42" s="48">
        <f t="shared" si="34"/>
        <v>1</v>
      </c>
      <c r="Y42" s="48">
        <f t="shared" si="34"/>
        <v>1.0972222222222223</v>
      </c>
      <c r="Z42" s="48">
        <f t="shared" si="34"/>
        <v>1.2333333333333334</v>
      </c>
      <c r="AA42" s="48">
        <f t="shared" si="34"/>
        <v>1</v>
      </c>
      <c r="AB42" s="48">
        <f t="shared" si="34"/>
        <v>1</v>
      </c>
      <c r="AC42" s="48">
        <f t="shared" si="34"/>
        <v>1.3233030090972708</v>
      </c>
      <c r="AD42" s="48" t="e">
        <f t="shared" si="34"/>
        <v>#DIV/0!</v>
      </c>
      <c r="AE42" s="51">
        <f t="shared" si="34"/>
        <v>1.1825539568345325</v>
      </c>
      <c r="AF42" s="51">
        <f t="shared" si="34"/>
        <v>1.2838790931989925</v>
      </c>
    </row>
    <row r="43" spans="2:32" ht="23.1" customHeight="1" x14ac:dyDescent="0.25">
      <c r="B43" s="23" t="s">
        <v>70</v>
      </c>
      <c r="C43" s="49">
        <f>AVERAGE('25.10 BULIISA-HOIMA'!C43,'27.10 BULIISA-HOIMA'!C43,'29.10 HOIMA-BULIISA'!C43,'30.10 BULIISA-HOIMA'!C43,'26.10 BULIISA-HOIMA-24h'!C43,'26.10 HOIMA-BULIISA-24h'!C43,'31.10 BULIISA-HOIMA'!C43)</f>
        <v>0.14285714285714285</v>
      </c>
      <c r="D43" s="49">
        <f>AVERAGE('25.10 BULIISA-HOIMA'!D43,'27.10 BULIISA-HOIMA'!D43,'29.10 HOIMA-BULIISA'!D43,'30.10 BULIISA-HOIMA'!D43,'26.10 BULIISA-HOIMA-24h'!D43,'26.10 HOIMA-BULIISA-24h'!D43,'31.10 BULIISA-HOIMA'!D43)</f>
        <v>0</v>
      </c>
      <c r="E43" s="49">
        <f>AVERAGE('25.10 BULIISA-HOIMA'!E43,'27.10 BULIISA-HOIMA'!E43,'29.10 HOIMA-BULIISA'!E43,'30.10 BULIISA-HOIMA'!E43,'26.10 BULIISA-HOIMA-24h'!E43,'26.10 HOIMA-BULIISA-24h'!E43,'31.10 BULIISA-HOIMA'!E43)</f>
        <v>0.42857142857142855</v>
      </c>
      <c r="F43" s="49">
        <f>AVERAGE('25.10 BULIISA-HOIMA'!F43,'27.10 BULIISA-HOIMA'!F43,'29.10 HOIMA-BULIISA'!F43,'30.10 BULIISA-HOIMA'!F43,'26.10 BULIISA-HOIMA-24h'!F43,'26.10 HOIMA-BULIISA-24h'!F43,'31.10 BULIISA-HOIMA'!F43)</f>
        <v>0.2857142857142857</v>
      </c>
      <c r="G43" s="49">
        <f>AVERAGE('25.10 BULIISA-HOIMA'!G43,'27.10 BULIISA-HOIMA'!G43,'29.10 HOIMA-BULIISA'!G43,'30.10 BULIISA-HOIMA'!G43,'26.10 BULIISA-HOIMA-24h'!G43,'26.10 HOIMA-BULIISA-24h'!G43,'31.10 BULIISA-HOIMA'!G43)</f>
        <v>0</v>
      </c>
      <c r="H43" s="49">
        <f>AVERAGE('25.10 BULIISA-HOIMA'!H43,'27.10 BULIISA-HOIMA'!H43,'29.10 HOIMA-BULIISA'!H43,'30.10 BULIISA-HOIMA'!H43,'26.10 BULIISA-HOIMA-24h'!H43,'26.10 HOIMA-BULIISA-24h'!H43,'31.10 BULIISA-HOIMA'!H43)</f>
        <v>0</v>
      </c>
      <c r="I43" s="49">
        <f>AVERAGE('25.10 BULIISA-HOIMA'!I43,'27.10 BULIISA-HOIMA'!I43,'29.10 HOIMA-BULIISA'!I43,'30.10 BULIISA-HOIMA'!I43,'26.10 BULIISA-HOIMA-24h'!I43,'26.10 HOIMA-BULIISA-24h'!I43,'31.10 BULIISA-HOIMA'!I43)</f>
        <v>0</v>
      </c>
      <c r="J43" s="49">
        <f>AVERAGE('25.10 BULIISA-HOIMA'!J43,'27.10 BULIISA-HOIMA'!J43,'29.10 HOIMA-BULIISA'!J43,'30.10 BULIISA-HOIMA'!J43,'26.10 BULIISA-HOIMA-24h'!J43,'26.10 HOIMA-BULIISA-24h'!J43,'31.10 BULIISA-HOIMA'!J43)</f>
        <v>0.42857142857142855</v>
      </c>
      <c r="K43" s="49">
        <f>AVERAGE('25.10 BULIISA-HOIMA'!K43,'27.10 BULIISA-HOIMA'!K43,'29.10 HOIMA-BULIISA'!K43,'30.10 BULIISA-HOIMA'!K43,'26.10 BULIISA-HOIMA-24h'!K43,'26.10 HOIMA-BULIISA-24h'!K43,'31.10 BULIISA-HOIMA'!K43)</f>
        <v>0.14285714285714285</v>
      </c>
      <c r="L43" s="49">
        <f>AVERAGE('25.10 BULIISA-HOIMA'!L43,'27.10 BULIISA-HOIMA'!L43,'29.10 HOIMA-BULIISA'!L43,'30.10 BULIISA-HOIMA'!L43,'26.10 BULIISA-HOIMA-24h'!L43,'26.10 HOIMA-BULIISA-24h'!L43,'31.10 BULIISA-HOIMA'!L43)</f>
        <v>0</v>
      </c>
      <c r="M43" s="49">
        <f>AVERAGE('25.10 BULIISA-HOIMA'!M43,'27.10 BULIISA-HOIMA'!M43,'29.10 HOIMA-BULIISA'!M43,'30.10 BULIISA-HOIMA'!M43,'26.10 BULIISA-HOIMA-24h'!M43,'26.10 HOIMA-BULIISA-24h'!M43,'31.10 BULIISA-HOIMA'!M43)</f>
        <v>2.5714285714285716</v>
      </c>
      <c r="N43" s="49">
        <f>AVERAGE('25.10 BULIISA-HOIMA'!N43,'27.10 BULIISA-HOIMA'!N43,'29.10 HOIMA-BULIISA'!N43,'30.10 BULIISA-HOIMA'!N43,'26.10 BULIISA-HOIMA-24h'!N43,'26.10 HOIMA-BULIISA-24h'!N43,'31.10 BULIISA-HOIMA'!N43)</f>
        <v>0</v>
      </c>
      <c r="O43" s="15">
        <f t="shared" si="0"/>
        <v>1.4285714285714284</v>
      </c>
      <c r="P43" s="15">
        <f t="shared" si="1"/>
        <v>4</v>
      </c>
    </row>
    <row r="44" spans="2:32" ht="23.1" customHeight="1" x14ac:dyDescent="0.25">
      <c r="B44" s="25" t="s">
        <v>71</v>
      </c>
      <c r="C44" s="49">
        <f>AVERAGE('25.10 BULIISA-HOIMA'!C44,'27.10 BULIISA-HOIMA'!C44,'29.10 HOIMA-BULIISA'!C44,'30.10 BULIISA-HOIMA'!C44,'26.10 BULIISA-HOIMA-24h'!C44,'26.10 HOIMA-BULIISA-24h'!C44,'31.10 BULIISA-HOIMA'!C44)</f>
        <v>0.5714285714285714</v>
      </c>
      <c r="D44" s="49">
        <f>AVERAGE('25.10 BULIISA-HOIMA'!D44,'27.10 BULIISA-HOIMA'!D44,'29.10 HOIMA-BULIISA'!D44,'30.10 BULIISA-HOIMA'!D44,'26.10 BULIISA-HOIMA-24h'!D44,'26.10 HOIMA-BULIISA-24h'!D44,'31.10 BULIISA-HOIMA'!D44)</f>
        <v>0</v>
      </c>
      <c r="E44" s="49">
        <f>AVERAGE('25.10 BULIISA-HOIMA'!E44,'27.10 BULIISA-HOIMA'!E44,'29.10 HOIMA-BULIISA'!E44,'30.10 BULIISA-HOIMA'!E44,'26.10 BULIISA-HOIMA-24h'!E44,'26.10 HOIMA-BULIISA-24h'!E44,'31.10 BULIISA-HOIMA'!E44)</f>
        <v>0.2857142857142857</v>
      </c>
      <c r="F44" s="49">
        <f>AVERAGE('25.10 BULIISA-HOIMA'!F44,'27.10 BULIISA-HOIMA'!F44,'29.10 HOIMA-BULIISA'!F44,'30.10 BULIISA-HOIMA'!F44,'26.10 BULIISA-HOIMA-24h'!F44,'26.10 HOIMA-BULIISA-24h'!F44,'31.10 BULIISA-HOIMA'!F44)</f>
        <v>1.1428571428571428</v>
      </c>
      <c r="G44" s="49">
        <f>AVERAGE('25.10 BULIISA-HOIMA'!G44,'27.10 BULIISA-HOIMA'!G44,'29.10 HOIMA-BULIISA'!G44,'30.10 BULIISA-HOIMA'!G44,'26.10 BULIISA-HOIMA-24h'!G44,'26.10 HOIMA-BULIISA-24h'!G44,'31.10 BULIISA-HOIMA'!G44)</f>
        <v>0</v>
      </c>
      <c r="H44" s="49">
        <f>AVERAGE('25.10 BULIISA-HOIMA'!H44,'27.10 BULIISA-HOIMA'!H44,'29.10 HOIMA-BULIISA'!H44,'30.10 BULIISA-HOIMA'!H44,'26.10 BULIISA-HOIMA-24h'!H44,'26.10 HOIMA-BULIISA-24h'!H44,'31.10 BULIISA-HOIMA'!H44)</f>
        <v>0</v>
      </c>
      <c r="I44" s="49">
        <f>AVERAGE('25.10 BULIISA-HOIMA'!I44,'27.10 BULIISA-HOIMA'!I44,'29.10 HOIMA-BULIISA'!I44,'30.10 BULIISA-HOIMA'!I44,'26.10 BULIISA-HOIMA-24h'!I44,'26.10 HOIMA-BULIISA-24h'!I44,'31.10 BULIISA-HOIMA'!I44)</f>
        <v>0.2857142857142857</v>
      </c>
      <c r="J44" s="49">
        <f>AVERAGE('25.10 BULIISA-HOIMA'!J44,'27.10 BULIISA-HOIMA'!J44,'29.10 HOIMA-BULIISA'!J44,'30.10 BULIISA-HOIMA'!J44,'26.10 BULIISA-HOIMA-24h'!J44,'26.10 HOIMA-BULIISA-24h'!J44,'31.10 BULIISA-HOIMA'!J44)</f>
        <v>0.14285714285714285</v>
      </c>
      <c r="K44" s="49">
        <f>AVERAGE('25.10 BULIISA-HOIMA'!K44,'27.10 BULIISA-HOIMA'!K44,'29.10 HOIMA-BULIISA'!K44,'30.10 BULIISA-HOIMA'!K44,'26.10 BULIISA-HOIMA-24h'!K44,'26.10 HOIMA-BULIISA-24h'!K44,'31.10 BULIISA-HOIMA'!K44)</f>
        <v>0</v>
      </c>
      <c r="L44" s="49">
        <f>AVERAGE('25.10 BULIISA-HOIMA'!L44,'27.10 BULIISA-HOIMA'!L44,'29.10 HOIMA-BULIISA'!L44,'30.10 BULIISA-HOIMA'!L44,'26.10 BULIISA-HOIMA-24h'!L44,'26.10 HOIMA-BULIISA-24h'!L44,'31.10 BULIISA-HOIMA'!L44)</f>
        <v>0</v>
      </c>
      <c r="M44" s="49">
        <f>AVERAGE('25.10 BULIISA-HOIMA'!M44,'27.10 BULIISA-HOIMA'!M44,'29.10 HOIMA-BULIISA'!M44,'30.10 BULIISA-HOIMA'!M44,'26.10 BULIISA-HOIMA-24h'!M44,'26.10 HOIMA-BULIISA-24h'!M44,'31.10 BULIISA-HOIMA'!M44)</f>
        <v>4.7142857142857144</v>
      </c>
      <c r="N44" s="49">
        <f>AVERAGE('25.10 BULIISA-HOIMA'!N44,'27.10 BULIISA-HOIMA'!N44,'29.10 HOIMA-BULIISA'!N44,'30.10 BULIISA-HOIMA'!N44,'26.10 BULIISA-HOIMA-24h'!N44,'26.10 HOIMA-BULIISA-24h'!N44,'31.10 BULIISA-HOIMA'!N44)</f>
        <v>0</v>
      </c>
      <c r="O44" s="15">
        <f t="shared" si="0"/>
        <v>2.4285714285714284</v>
      </c>
      <c r="P44" s="15">
        <f t="shared" si="1"/>
        <v>7.1428571428571423</v>
      </c>
    </row>
    <row r="45" spans="2:32" ht="23.1" customHeight="1" x14ac:dyDescent="0.25">
      <c r="B45" s="23" t="s">
        <v>72</v>
      </c>
      <c r="C45" s="49">
        <f>AVERAGE('25.10 BULIISA-HOIMA'!C45,'27.10 BULIISA-HOIMA'!C45,'29.10 HOIMA-BULIISA'!C45,'30.10 BULIISA-HOIMA'!C45,'26.10 BULIISA-HOIMA-24h'!C45,'26.10 HOIMA-BULIISA-24h'!C45,'31.10 BULIISA-HOIMA'!C45)</f>
        <v>0.42857142857142855</v>
      </c>
      <c r="D45" s="49">
        <f>AVERAGE('25.10 BULIISA-HOIMA'!D45,'27.10 BULIISA-HOIMA'!D45,'29.10 HOIMA-BULIISA'!D45,'30.10 BULIISA-HOIMA'!D45,'26.10 BULIISA-HOIMA-24h'!D45,'26.10 HOIMA-BULIISA-24h'!D45,'31.10 BULIISA-HOIMA'!D45)</f>
        <v>0</v>
      </c>
      <c r="E45" s="49">
        <f>AVERAGE('25.10 BULIISA-HOIMA'!E45,'27.10 BULIISA-HOIMA'!E45,'29.10 HOIMA-BULIISA'!E45,'30.10 BULIISA-HOIMA'!E45,'26.10 BULIISA-HOIMA-24h'!E45,'26.10 HOIMA-BULIISA-24h'!E45,'31.10 BULIISA-HOIMA'!E45)</f>
        <v>0.42857142857142855</v>
      </c>
      <c r="F45" s="49">
        <f>AVERAGE('25.10 BULIISA-HOIMA'!F45,'27.10 BULIISA-HOIMA'!F45,'29.10 HOIMA-BULIISA'!F45,'30.10 BULIISA-HOIMA'!F45,'26.10 BULIISA-HOIMA-24h'!F45,'26.10 HOIMA-BULIISA-24h'!F45,'31.10 BULIISA-HOIMA'!F45)</f>
        <v>0.7142857142857143</v>
      </c>
      <c r="G45" s="49">
        <f>AVERAGE('25.10 BULIISA-HOIMA'!G45,'27.10 BULIISA-HOIMA'!G45,'29.10 HOIMA-BULIISA'!G45,'30.10 BULIISA-HOIMA'!G45,'26.10 BULIISA-HOIMA-24h'!G45,'26.10 HOIMA-BULIISA-24h'!G45,'31.10 BULIISA-HOIMA'!G45)</f>
        <v>0</v>
      </c>
      <c r="H45" s="49">
        <f>AVERAGE('25.10 BULIISA-HOIMA'!H45,'27.10 BULIISA-HOIMA'!H45,'29.10 HOIMA-BULIISA'!H45,'30.10 BULIISA-HOIMA'!H45,'26.10 BULIISA-HOIMA-24h'!H45,'26.10 HOIMA-BULIISA-24h'!H45,'31.10 BULIISA-HOIMA'!H45)</f>
        <v>0</v>
      </c>
      <c r="I45" s="49">
        <f>AVERAGE('25.10 BULIISA-HOIMA'!I45,'27.10 BULIISA-HOIMA'!I45,'29.10 HOIMA-BULIISA'!I45,'30.10 BULIISA-HOIMA'!I45,'26.10 BULIISA-HOIMA-24h'!I45,'26.10 HOIMA-BULIISA-24h'!I45,'31.10 BULIISA-HOIMA'!I45)</f>
        <v>0.14285714285714285</v>
      </c>
      <c r="J45" s="49">
        <f>AVERAGE('25.10 BULIISA-HOIMA'!J45,'27.10 BULIISA-HOIMA'!J45,'29.10 HOIMA-BULIISA'!J45,'30.10 BULIISA-HOIMA'!J45,'26.10 BULIISA-HOIMA-24h'!J45,'26.10 HOIMA-BULIISA-24h'!J45,'31.10 BULIISA-HOIMA'!J45)</f>
        <v>0</v>
      </c>
      <c r="K45" s="49">
        <f>AVERAGE('25.10 BULIISA-HOIMA'!K45,'27.10 BULIISA-HOIMA'!K45,'29.10 HOIMA-BULIISA'!K45,'30.10 BULIISA-HOIMA'!K45,'26.10 BULIISA-HOIMA-24h'!K45,'26.10 HOIMA-BULIISA-24h'!K45,'31.10 BULIISA-HOIMA'!K45)</f>
        <v>0</v>
      </c>
      <c r="L45" s="49">
        <f>AVERAGE('25.10 BULIISA-HOIMA'!L45,'27.10 BULIISA-HOIMA'!L45,'29.10 HOIMA-BULIISA'!L45,'30.10 BULIISA-HOIMA'!L45,'26.10 BULIISA-HOIMA-24h'!L45,'26.10 HOIMA-BULIISA-24h'!L45,'31.10 BULIISA-HOIMA'!L45)</f>
        <v>0</v>
      </c>
      <c r="M45" s="49">
        <f>AVERAGE('25.10 BULIISA-HOIMA'!M45,'27.10 BULIISA-HOIMA'!M45,'29.10 HOIMA-BULIISA'!M45,'30.10 BULIISA-HOIMA'!M45,'26.10 BULIISA-HOIMA-24h'!M45,'26.10 HOIMA-BULIISA-24h'!M45,'31.10 BULIISA-HOIMA'!M45)</f>
        <v>5.7142857142857144</v>
      </c>
      <c r="N45" s="49">
        <f>AVERAGE('25.10 BULIISA-HOIMA'!N45,'27.10 BULIISA-HOIMA'!N45,'29.10 HOIMA-BULIISA'!N45,'30.10 BULIISA-HOIMA'!N45,'26.10 BULIISA-HOIMA-24h'!N45,'26.10 HOIMA-BULIISA-24h'!N45,'31.10 BULIISA-HOIMA'!N45)</f>
        <v>0</v>
      </c>
      <c r="O45" s="15">
        <f t="shared" si="0"/>
        <v>1.7142857142857142</v>
      </c>
      <c r="P45" s="15">
        <f t="shared" si="1"/>
        <v>7.4285714285714288</v>
      </c>
    </row>
    <row r="46" spans="2:32" ht="23.1" customHeight="1" x14ac:dyDescent="0.25">
      <c r="B46" s="24" t="s">
        <v>73</v>
      </c>
      <c r="C46" s="49">
        <f>AVERAGE('25.10 BULIISA-HOIMA'!C46,'27.10 BULIISA-HOIMA'!C46,'29.10 HOIMA-BULIISA'!C46,'30.10 BULIISA-HOIMA'!C46,'26.10 BULIISA-HOIMA-24h'!C46,'26.10 HOIMA-BULIISA-24h'!C46,'31.10 BULIISA-HOIMA'!C46)</f>
        <v>0.2857142857142857</v>
      </c>
      <c r="D46" s="49">
        <f>AVERAGE('25.10 BULIISA-HOIMA'!D46,'27.10 BULIISA-HOIMA'!D46,'29.10 HOIMA-BULIISA'!D46,'30.10 BULIISA-HOIMA'!D46,'26.10 BULIISA-HOIMA-24h'!D46,'26.10 HOIMA-BULIISA-24h'!D46,'31.10 BULIISA-HOIMA'!D46)</f>
        <v>0.2857142857142857</v>
      </c>
      <c r="E46" s="49">
        <f>AVERAGE('25.10 BULIISA-HOIMA'!E46,'27.10 BULIISA-HOIMA'!E46,'29.10 HOIMA-BULIISA'!E46,'30.10 BULIISA-HOIMA'!E46,'26.10 BULIISA-HOIMA-24h'!E46,'26.10 HOIMA-BULIISA-24h'!E46,'31.10 BULIISA-HOIMA'!E46)</f>
        <v>0.5714285714285714</v>
      </c>
      <c r="F46" s="49">
        <f>AVERAGE('25.10 BULIISA-HOIMA'!F46,'27.10 BULIISA-HOIMA'!F46,'29.10 HOIMA-BULIISA'!F46,'30.10 BULIISA-HOIMA'!F46,'26.10 BULIISA-HOIMA-24h'!F46,'26.10 HOIMA-BULIISA-24h'!F46,'31.10 BULIISA-HOIMA'!F46)</f>
        <v>1.1428571428571428</v>
      </c>
      <c r="G46" s="49">
        <f>AVERAGE('25.10 BULIISA-HOIMA'!G46,'27.10 BULIISA-HOIMA'!G46,'29.10 HOIMA-BULIISA'!G46,'30.10 BULIISA-HOIMA'!G46,'26.10 BULIISA-HOIMA-24h'!G46,'26.10 HOIMA-BULIISA-24h'!G46,'31.10 BULIISA-HOIMA'!G46)</f>
        <v>0</v>
      </c>
      <c r="H46" s="49">
        <f>AVERAGE('25.10 BULIISA-HOIMA'!H46,'27.10 BULIISA-HOIMA'!H46,'29.10 HOIMA-BULIISA'!H46,'30.10 BULIISA-HOIMA'!H46,'26.10 BULIISA-HOIMA-24h'!H46,'26.10 HOIMA-BULIISA-24h'!H46,'31.10 BULIISA-HOIMA'!H46)</f>
        <v>0</v>
      </c>
      <c r="I46" s="49">
        <f>AVERAGE('25.10 BULIISA-HOIMA'!I46,'27.10 BULIISA-HOIMA'!I46,'29.10 HOIMA-BULIISA'!I46,'30.10 BULIISA-HOIMA'!I46,'26.10 BULIISA-HOIMA-24h'!I46,'26.10 HOIMA-BULIISA-24h'!I46,'31.10 BULIISA-HOIMA'!I46)</f>
        <v>0.2857142857142857</v>
      </c>
      <c r="J46" s="49">
        <f>AVERAGE('25.10 BULIISA-HOIMA'!J46,'27.10 BULIISA-HOIMA'!J46,'29.10 HOIMA-BULIISA'!J46,'30.10 BULIISA-HOIMA'!J46,'26.10 BULIISA-HOIMA-24h'!J46,'26.10 HOIMA-BULIISA-24h'!J46,'31.10 BULIISA-HOIMA'!J46)</f>
        <v>0.2857142857142857</v>
      </c>
      <c r="K46" s="49">
        <f>AVERAGE('25.10 BULIISA-HOIMA'!K46,'27.10 BULIISA-HOIMA'!K46,'29.10 HOIMA-BULIISA'!K46,'30.10 BULIISA-HOIMA'!K46,'26.10 BULIISA-HOIMA-24h'!K46,'26.10 HOIMA-BULIISA-24h'!K46,'31.10 BULIISA-HOIMA'!K46)</f>
        <v>0.14285714285714285</v>
      </c>
      <c r="L46" s="49">
        <f>AVERAGE('25.10 BULIISA-HOIMA'!L46,'27.10 BULIISA-HOIMA'!L46,'29.10 HOIMA-BULIISA'!L46,'30.10 BULIISA-HOIMA'!L46,'26.10 BULIISA-HOIMA-24h'!L46,'26.10 HOIMA-BULIISA-24h'!L46,'31.10 BULIISA-HOIMA'!L46)</f>
        <v>0</v>
      </c>
      <c r="M46" s="49">
        <f>AVERAGE('25.10 BULIISA-HOIMA'!M46,'27.10 BULIISA-HOIMA'!M46,'29.10 HOIMA-BULIISA'!M46,'30.10 BULIISA-HOIMA'!M46,'26.10 BULIISA-HOIMA-24h'!M46,'26.10 HOIMA-BULIISA-24h'!M46,'31.10 BULIISA-HOIMA'!M46)</f>
        <v>4.2857142857142856</v>
      </c>
      <c r="N46" s="49">
        <f>AVERAGE('25.10 BULIISA-HOIMA'!N46,'27.10 BULIISA-HOIMA'!N46,'29.10 HOIMA-BULIISA'!N46,'30.10 BULIISA-HOIMA'!N46,'26.10 BULIISA-HOIMA-24h'!N46,'26.10 HOIMA-BULIISA-24h'!N46,'31.10 BULIISA-HOIMA'!N46)</f>
        <v>0</v>
      </c>
      <c r="O46" s="15">
        <f t="shared" si="0"/>
        <v>2.9999999999999996</v>
      </c>
      <c r="P46" s="15">
        <f t="shared" si="1"/>
        <v>7.2857142857142847</v>
      </c>
      <c r="R46" s="8"/>
      <c r="T46"/>
    </row>
    <row r="47" spans="2:32" ht="23.1" customHeight="1" x14ac:dyDescent="0.25">
      <c r="B47" s="24" t="s">
        <v>74</v>
      </c>
      <c r="C47" s="49">
        <f>AVERAGE('25.10 BULIISA-HOIMA'!C47,'27.10 BULIISA-HOIMA'!C47,'29.10 HOIMA-BULIISA'!C47,'30.10 BULIISA-HOIMA'!C47,'26.10 BULIISA-HOIMA-24h'!C47,'26.10 HOIMA-BULIISA-24h'!C47,'31.10 BULIISA-HOIMA'!C47)</f>
        <v>0.2857142857142857</v>
      </c>
      <c r="D47" s="49">
        <f>AVERAGE('25.10 BULIISA-HOIMA'!D47,'27.10 BULIISA-HOIMA'!D47,'29.10 HOIMA-BULIISA'!D47,'30.10 BULIISA-HOIMA'!D47,'26.10 BULIISA-HOIMA-24h'!D47,'26.10 HOIMA-BULIISA-24h'!D47,'31.10 BULIISA-HOIMA'!D47)</f>
        <v>0</v>
      </c>
      <c r="E47" s="49">
        <f>AVERAGE('25.10 BULIISA-HOIMA'!E47,'27.10 BULIISA-HOIMA'!E47,'29.10 HOIMA-BULIISA'!E47,'30.10 BULIISA-HOIMA'!E47,'26.10 BULIISA-HOIMA-24h'!E47,'26.10 HOIMA-BULIISA-24h'!E47,'31.10 BULIISA-HOIMA'!E47)</f>
        <v>0</v>
      </c>
      <c r="F47" s="49">
        <f>AVERAGE('25.10 BULIISA-HOIMA'!F47,'27.10 BULIISA-HOIMA'!F47,'29.10 HOIMA-BULIISA'!F47,'30.10 BULIISA-HOIMA'!F47,'26.10 BULIISA-HOIMA-24h'!F47,'26.10 HOIMA-BULIISA-24h'!F47,'31.10 BULIISA-HOIMA'!F47)</f>
        <v>1.2857142857142858</v>
      </c>
      <c r="G47" s="49">
        <f>AVERAGE('25.10 BULIISA-HOIMA'!G47,'27.10 BULIISA-HOIMA'!G47,'29.10 HOIMA-BULIISA'!G47,'30.10 BULIISA-HOIMA'!G47,'26.10 BULIISA-HOIMA-24h'!G47,'26.10 HOIMA-BULIISA-24h'!G47,'31.10 BULIISA-HOIMA'!G47)</f>
        <v>0</v>
      </c>
      <c r="H47" s="49">
        <f>AVERAGE('25.10 BULIISA-HOIMA'!H47,'27.10 BULIISA-HOIMA'!H47,'29.10 HOIMA-BULIISA'!H47,'30.10 BULIISA-HOIMA'!H47,'26.10 BULIISA-HOIMA-24h'!H47,'26.10 HOIMA-BULIISA-24h'!H47,'31.10 BULIISA-HOIMA'!H47)</f>
        <v>0</v>
      </c>
      <c r="I47" s="49">
        <f>AVERAGE('25.10 BULIISA-HOIMA'!I47,'27.10 BULIISA-HOIMA'!I47,'29.10 HOIMA-BULIISA'!I47,'30.10 BULIISA-HOIMA'!I47,'26.10 BULIISA-HOIMA-24h'!I47,'26.10 HOIMA-BULIISA-24h'!I47,'31.10 BULIISA-HOIMA'!I47)</f>
        <v>0</v>
      </c>
      <c r="J47" s="49">
        <f>AVERAGE('25.10 BULIISA-HOIMA'!J47,'27.10 BULIISA-HOIMA'!J47,'29.10 HOIMA-BULIISA'!J47,'30.10 BULIISA-HOIMA'!J47,'26.10 BULIISA-HOIMA-24h'!J47,'26.10 HOIMA-BULIISA-24h'!J47,'31.10 BULIISA-HOIMA'!J47)</f>
        <v>0.2857142857142857</v>
      </c>
      <c r="K47" s="49">
        <f>AVERAGE('25.10 BULIISA-HOIMA'!K47,'27.10 BULIISA-HOIMA'!K47,'29.10 HOIMA-BULIISA'!K47,'30.10 BULIISA-HOIMA'!K47,'26.10 BULIISA-HOIMA-24h'!K47,'26.10 HOIMA-BULIISA-24h'!K47,'31.10 BULIISA-HOIMA'!K47)</f>
        <v>0</v>
      </c>
      <c r="L47" s="49">
        <f>AVERAGE('25.10 BULIISA-HOIMA'!L47,'27.10 BULIISA-HOIMA'!L47,'29.10 HOIMA-BULIISA'!L47,'30.10 BULIISA-HOIMA'!L47,'26.10 BULIISA-HOIMA-24h'!L47,'26.10 HOIMA-BULIISA-24h'!L47,'31.10 BULIISA-HOIMA'!L47)</f>
        <v>0</v>
      </c>
      <c r="M47" s="49">
        <f>AVERAGE('25.10 BULIISA-HOIMA'!M47,'27.10 BULIISA-HOIMA'!M47,'29.10 HOIMA-BULIISA'!M47,'30.10 BULIISA-HOIMA'!M47,'26.10 BULIISA-HOIMA-24h'!M47,'26.10 HOIMA-BULIISA-24h'!M47,'31.10 BULIISA-HOIMA'!M47)</f>
        <v>5.2857142857142856</v>
      </c>
      <c r="N47" s="49">
        <f>AVERAGE('25.10 BULIISA-HOIMA'!N47,'27.10 BULIISA-HOIMA'!N47,'29.10 HOIMA-BULIISA'!N47,'30.10 BULIISA-HOIMA'!N47,'26.10 BULIISA-HOIMA-24h'!N47,'26.10 HOIMA-BULIISA-24h'!N47,'31.10 BULIISA-HOIMA'!N47)</f>
        <v>0</v>
      </c>
      <c r="O47" s="15">
        <f t="shared" si="0"/>
        <v>1.8571428571428572</v>
      </c>
      <c r="P47" s="15">
        <f t="shared" si="1"/>
        <v>7.1428571428571423</v>
      </c>
      <c r="R47" s="8"/>
      <c r="T47"/>
    </row>
    <row r="48" spans="2:32" ht="23.1" customHeight="1" x14ac:dyDescent="0.25">
      <c r="B48" s="24" t="s">
        <v>75</v>
      </c>
      <c r="C48" s="49">
        <f>AVERAGE('25.10 BULIISA-HOIMA'!C48,'27.10 BULIISA-HOIMA'!C48,'29.10 HOIMA-BULIISA'!C48,'30.10 BULIISA-HOIMA'!C48,'26.10 BULIISA-HOIMA-24h'!C48,'26.10 HOIMA-BULIISA-24h'!C48,'31.10 BULIISA-HOIMA'!C48)</f>
        <v>0.14285714285714285</v>
      </c>
      <c r="D48" s="49">
        <f>AVERAGE('25.10 BULIISA-HOIMA'!D48,'27.10 BULIISA-HOIMA'!D48,'29.10 HOIMA-BULIISA'!D48,'30.10 BULIISA-HOIMA'!D48,'26.10 BULIISA-HOIMA-24h'!D48,'26.10 HOIMA-BULIISA-24h'!D48,'31.10 BULIISA-HOIMA'!D48)</f>
        <v>0</v>
      </c>
      <c r="E48" s="49">
        <f>AVERAGE('25.10 BULIISA-HOIMA'!E48,'27.10 BULIISA-HOIMA'!E48,'29.10 HOIMA-BULIISA'!E48,'30.10 BULIISA-HOIMA'!E48,'26.10 BULIISA-HOIMA-24h'!E48,'26.10 HOIMA-BULIISA-24h'!E48,'31.10 BULIISA-HOIMA'!E48)</f>
        <v>0.2857142857142857</v>
      </c>
      <c r="F48" s="49">
        <f>AVERAGE('25.10 BULIISA-HOIMA'!F48,'27.10 BULIISA-HOIMA'!F48,'29.10 HOIMA-BULIISA'!F48,'30.10 BULIISA-HOIMA'!F48,'26.10 BULIISA-HOIMA-24h'!F48,'26.10 HOIMA-BULIISA-24h'!F48,'31.10 BULIISA-HOIMA'!F48)</f>
        <v>0.5714285714285714</v>
      </c>
      <c r="G48" s="49">
        <f>AVERAGE('25.10 BULIISA-HOIMA'!G48,'27.10 BULIISA-HOIMA'!G48,'29.10 HOIMA-BULIISA'!G48,'30.10 BULIISA-HOIMA'!G48,'26.10 BULIISA-HOIMA-24h'!G48,'26.10 HOIMA-BULIISA-24h'!G48,'31.10 BULIISA-HOIMA'!G48)</f>
        <v>0</v>
      </c>
      <c r="H48" s="49">
        <f>AVERAGE('25.10 BULIISA-HOIMA'!H48,'27.10 BULIISA-HOIMA'!H48,'29.10 HOIMA-BULIISA'!H48,'30.10 BULIISA-HOIMA'!H48,'26.10 BULIISA-HOIMA-24h'!H48,'26.10 HOIMA-BULIISA-24h'!H48,'31.10 BULIISA-HOIMA'!H48)</f>
        <v>0</v>
      </c>
      <c r="I48" s="49">
        <f>AVERAGE('25.10 BULIISA-HOIMA'!I48,'27.10 BULIISA-HOIMA'!I48,'29.10 HOIMA-BULIISA'!I48,'30.10 BULIISA-HOIMA'!I48,'26.10 BULIISA-HOIMA-24h'!I48,'26.10 HOIMA-BULIISA-24h'!I48,'31.10 BULIISA-HOIMA'!I48)</f>
        <v>0.14285714285714285</v>
      </c>
      <c r="J48" s="49">
        <f>AVERAGE('25.10 BULIISA-HOIMA'!J48,'27.10 BULIISA-HOIMA'!J48,'29.10 HOIMA-BULIISA'!J48,'30.10 BULIISA-HOIMA'!J48,'26.10 BULIISA-HOIMA-24h'!J48,'26.10 HOIMA-BULIISA-24h'!J48,'31.10 BULIISA-HOIMA'!J48)</f>
        <v>0</v>
      </c>
      <c r="K48" s="49">
        <f>AVERAGE('25.10 BULIISA-HOIMA'!K48,'27.10 BULIISA-HOIMA'!K48,'29.10 HOIMA-BULIISA'!K48,'30.10 BULIISA-HOIMA'!K48,'26.10 BULIISA-HOIMA-24h'!K48,'26.10 HOIMA-BULIISA-24h'!K48,'31.10 BULIISA-HOIMA'!K48)</f>
        <v>0</v>
      </c>
      <c r="L48" s="49">
        <f>AVERAGE('25.10 BULIISA-HOIMA'!L48,'27.10 BULIISA-HOIMA'!L48,'29.10 HOIMA-BULIISA'!L48,'30.10 BULIISA-HOIMA'!L48,'26.10 BULIISA-HOIMA-24h'!L48,'26.10 HOIMA-BULIISA-24h'!L48,'31.10 BULIISA-HOIMA'!L48)</f>
        <v>0</v>
      </c>
      <c r="M48" s="49">
        <f>AVERAGE('25.10 BULIISA-HOIMA'!M48,'27.10 BULIISA-HOIMA'!M48,'29.10 HOIMA-BULIISA'!M48,'30.10 BULIISA-HOIMA'!M48,'26.10 BULIISA-HOIMA-24h'!M48,'26.10 HOIMA-BULIISA-24h'!M48,'31.10 BULIISA-HOIMA'!M48)</f>
        <v>4.2857142857142856</v>
      </c>
      <c r="N48" s="49">
        <f>AVERAGE('25.10 BULIISA-HOIMA'!N48,'27.10 BULIISA-HOIMA'!N48,'29.10 HOIMA-BULIISA'!N48,'30.10 BULIISA-HOIMA'!N48,'26.10 BULIISA-HOIMA-24h'!N48,'26.10 HOIMA-BULIISA-24h'!N48,'31.10 BULIISA-HOIMA'!N48)</f>
        <v>0</v>
      </c>
      <c r="O48" s="15">
        <f t="shared" si="0"/>
        <v>1.1428571428571428</v>
      </c>
      <c r="P48" s="15">
        <f t="shared" si="1"/>
        <v>5.4285714285714288</v>
      </c>
      <c r="R48" s="8"/>
      <c r="T48"/>
    </row>
    <row r="49" spans="2:20" ht="23.1" customHeight="1" x14ac:dyDescent="0.25">
      <c r="B49" s="23" t="s">
        <v>76</v>
      </c>
      <c r="C49" s="49">
        <f>AVERAGE('25.10 BULIISA-HOIMA'!C49,'27.10 BULIISA-HOIMA'!C49,'29.10 HOIMA-BULIISA'!C49,'30.10 BULIISA-HOIMA'!C49,'26.10 BULIISA-HOIMA-24h'!C49,'26.10 HOIMA-BULIISA-24h'!C49,'31.10 BULIISA-HOIMA'!C49)</f>
        <v>0</v>
      </c>
      <c r="D49" s="49">
        <f>AVERAGE('25.10 BULIISA-HOIMA'!D49,'27.10 BULIISA-HOIMA'!D49,'29.10 HOIMA-BULIISA'!D49,'30.10 BULIISA-HOIMA'!D49,'26.10 BULIISA-HOIMA-24h'!D49,'26.10 HOIMA-BULIISA-24h'!D49,'31.10 BULIISA-HOIMA'!D49)</f>
        <v>0</v>
      </c>
      <c r="E49" s="49">
        <f>AVERAGE('25.10 BULIISA-HOIMA'!E49,'27.10 BULIISA-HOIMA'!E49,'29.10 HOIMA-BULIISA'!E49,'30.10 BULIISA-HOIMA'!E49,'26.10 BULIISA-HOIMA-24h'!E49,'26.10 HOIMA-BULIISA-24h'!E49,'31.10 BULIISA-HOIMA'!E49)</f>
        <v>0.14285714285714285</v>
      </c>
      <c r="F49" s="49">
        <f>AVERAGE('25.10 BULIISA-HOIMA'!F49,'27.10 BULIISA-HOIMA'!F49,'29.10 HOIMA-BULIISA'!F49,'30.10 BULIISA-HOIMA'!F49,'26.10 BULIISA-HOIMA-24h'!F49,'26.10 HOIMA-BULIISA-24h'!F49,'31.10 BULIISA-HOIMA'!F49)</f>
        <v>1</v>
      </c>
      <c r="G49" s="49">
        <f>AVERAGE('25.10 BULIISA-HOIMA'!G49,'27.10 BULIISA-HOIMA'!G49,'29.10 HOIMA-BULIISA'!G49,'30.10 BULIISA-HOIMA'!G49,'26.10 BULIISA-HOIMA-24h'!G49,'26.10 HOIMA-BULIISA-24h'!G49,'31.10 BULIISA-HOIMA'!G49)</f>
        <v>0</v>
      </c>
      <c r="H49" s="49">
        <f>AVERAGE('25.10 BULIISA-HOIMA'!H49,'27.10 BULIISA-HOIMA'!H49,'29.10 HOIMA-BULIISA'!H49,'30.10 BULIISA-HOIMA'!H49,'26.10 BULIISA-HOIMA-24h'!H49,'26.10 HOIMA-BULIISA-24h'!H49,'31.10 BULIISA-HOIMA'!H49)</f>
        <v>0</v>
      </c>
      <c r="I49" s="49">
        <f>AVERAGE('25.10 BULIISA-HOIMA'!I49,'27.10 BULIISA-HOIMA'!I49,'29.10 HOIMA-BULIISA'!I49,'30.10 BULIISA-HOIMA'!I49,'26.10 BULIISA-HOIMA-24h'!I49,'26.10 HOIMA-BULIISA-24h'!I49,'31.10 BULIISA-HOIMA'!I49)</f>
        <v>0</v>
      </c>
      <c r="J49" s="49">
        <f>AVERAGE('25.10 BULIISA-HOIMA'!J49,'27.10 BULIISA-HOIMA'!J49,'29.10 HOIMA-BULIISA'!J49,'30.10 BULIISA-HOIMA'!J49,'26.10 BULIISA-HOIMA-24h'!J49,'26.10 HOIMA-BULIISA-24h'!J49,'31.10 BULIISA-HOIMA'!J49)</f>
        <v>0</v>
      </c>
      <c r="K49" s="49">
        <f>AVERAGE('25.10 BULIISA-HOIMA'!K49,'27.10 BULIISA-HOIMA'!K49,'29.10 HOIMA-BULIISA'!K49,'30.10 BULIISA-HOIMA'!K49,'26.10 BULIISA-HOIMA-24h'!K49,'26.10 HOIMA-BULIISA-24h'!K49,'31.10 BULIISA-HOIMA'!K49)</f>
        <v>0.14285714285714285</v>
      </c>
      <c r="L49" s="49">
        <f>AVERAGE('25.10 BULIISA-HOIMA'!L49,'27.10 BULIISA-HOIMA'!L49,'29.10 HOIMA-BULIISA'!L49,'30.10 BULIISA-HOIMA'!L49,'26.10 BULIISA-HOIMA-24h'!L49,'26.10 HOIMA-BULIISA-24h'!L49,'31.10 BULIISA-HOIMA'!L49)</f>
        <v>0</v>
      </c>
      <c r="M49" s="49">
        <f>AVERAGE('25.10 BULIISA-HOIMA'!M49,'27.10 BULIISA-HOIMA'!M49,'29.10 HOIMA-BULIISA'!M49,'30.10 BULIISA-HOIMA'!M49,'26.10 BULIISA-HOIMA-24h'!M49,'26.10 HOIMA-BULIISA-24h'!M49,'31.10 BULIISA-HOIMA'!M49)</f>
        <v>5</v>
      </c>
      <c r="N49" s="49">
        <f>AVERAGE('25.10 BULIISA-HOIMA'!N49,'27.10 BULIISA-HOIMA'!N49,'29.10 HOIMA-BULIISA'!N49,'30.10 BULIISA-HOIMA'!N49,'26.10 BULIISA-HOIMA-24h'!N49,'26.10 HOIMA-BULIISA-24h'!N49,'31.10 BULIISA-HOIMA'!N49)</f>
        <v>0</v>
      </c>
      <c r="O49" s="15">
        <f t="shared" si="0"/>
        <v>1.2857142857142856</v>
      </c>
      <c r="P49" s="15">
        <f t="shared" si="1"/>
        <v>6.2857142857142856</v>
      </c>
      <c r="R49" s="8"/>
      <c r="T49"/>
    </row>
    <row r="50" spans="2:20" ht="23.1" customHeight="1" x14ac:dyDescent="0.25">
      <c r="B50" s="24" t="s">
        <v>77</v>
      </c>
      <c r="C50" s="49">
        <f>AVERAGE('25.10 BULIISA-HOIMA'!C50,'27.10 BULIISA-HOIMA'!C50,'29.10 HOIMA-BULIISA'!C50,'30.10 BULIISA-HOIMA'!C50,'26.10 BULIISA-HOIMA-24h'!C50,'26.10 HOIMA-BULIISA-24h'!C50,'31.10 BULIISA-HOIMA'!C50)</f>
        <v>0.14285714285714285</v>
      </c>
      <c r="D50" s="49">
        <f>AVERAGE('25.10 BULIISA-HOIMA'!D50,'27.10 BULIISA-HOIMA'!D50,'29.10 HOIMA-BULIISA'!D50,'30.10 BULIISA-HOIMA'!D50,'26.10 BULIISA-HOIMA-24h'!D50,'26.10 HOIMA-BULIISA-24h'!D50,'31.10 BULIISA-HOIMA'!D50)</f>
        <v>0</v>
      </c>
      <c r="E50" s="49">
        <f>AVERAGE('25.10 BULIISA-HOIMA'!E50,'27.10 BULIISA-HOIMA'!E50,'29.10 HOIMA-BULIISA'!E50,'30.10 BULIISA-HOIMA'!E50,'26.10 BULIISA-HOIMA-24h'!E50,'26.10 HOIMA-BULIISA-24h'!E50,'31.10 BULIISA-HOIMA'!E50)</f>
        <v>0.42857142857142855</v>
      </c>
      <c r="F50" s="49">
        <f>AVERAGE('25.10 BULIISA-HOIMA'!F50,'27.10 BULIISA-HOIMA'!F50,'29.10 HOIMA-BULIISA'!F50,'30.10 BULIISA-HOIMA'!F50,'26.10 BULIISA-HOIMA-24h'!F50,'26.10 HOIMA-BULIISA-24h'!F50,'31.10 BULIISA-HOIMA'!F50)</f>
        <v>0.8571428571428571</v>
      </c>
      <c r="G50" s="49">
        <f>AVERAGE('25.10 BULIISA-HOIMA'!G50,'27.10 BULIISA-HOIMA'!G50,'29.10 HOIMA-BULIISA'!G50,'30.10 BULIISA-HOIMA'!G50,'26.10 BULIISA-HOIMA-24h'!G50,'26.10 HOIMA-BULIISA-24h'!G50,'31.10 BULIISA-HOIMA'!G50)</f>
        <v>0</v>
      </c>
      <c r="H50" s="49">
        <f>AVERAGE('25.10 BULIISA-HOIMA'!H50,'27.10 BULIISA-HOIMA'!H50,'29.10 HOIMA-BULIISA'!H50,'30.10 BULIISA-HOIMA'!H50,'26.10 BULIISA-HOIMA-24h'!H50,'26.10 HOIMA-BULIISA-24h'!H50,'31.10 BULIISA-HOIMA'!H50)</f>
        <v>0</v>
      </c>
      <c r="I50" s="49">
        <f>AVERAGE('25.10 BULIISA-HOIMA'!I50,'27.10 BULIISA-HOIMA'!I50,'29.10 HOIMA-BULIISA'!I50,'30.10 BULIISA-HOIMA'!I50,'26.10 BULIISA-HOIMA-24h'!I50,'26.10 HOIMA-BULIISA-24h'!I50,'31.10 BULIISA-HOIMA'!I50)</f>
        <v>0.14285714285714285</v>
      </c>
      <c r="J50" s="49">
        <f>AVERAGE('25.10 BULIISA-HOIMA'!J50,'27.10 BULIISA-HOIMA'!J50,'29.10 HOIMA-BULIISA'!J50,'30.10 BULIISA-HOIMA'!J50,'26.10 BULIISA-HOIMA-24h'!J50,'26.10 HOIMA-BULIISA-24h'!J50,'31.10 BULIISA-HOIMA'!J50)</f>
        <v>0</v>
      </c>
      <c r="K50" s="49">
        <f>AVERAGE('25.10 BULIISA-HOIMA'!K50,'27.10 BULIISA-HOIMA'!K50,'29.10 HOIMA-BULIISA'!K50,'30.10 BULIISA-HOIMA'!K50,'26.10 BULIISA-HOIMA-24h'!K50,'26.10 HOIMA-BULIISA-24h'!K50,'31.10 BULIISA-HOIMA'!K50)</f>
        <v>0</v>
      </c>
      <c r="L50" s="49">
        <f>AVERAGE('25.10 BULIISA-HOIMA'!L50,'27.10 BULIISA-HOIMA'!L50,'29.10 HOIMA-BULIISA'!L50,'30.10 BULIISA-HOIMA'!L50,'26.10 BULIISA-HOIMA-24h'!L50,'26.10 HOIMA-BULIISA-24h'!L50,'31.10 BULIISA-HOIMA'!L50)</f>
        <v>0</v>
      </c>
      <c r="M50" s="49">
        <f>AVERAGE('25.10 BULIISA-HOIMA'!M50,'27.10 BULIISA-HOIMA'!M50,'29.10 HOIMA-BULIISA'!M50,'30.10 BULIISA-HOIMA'!M50,'26.10 BULIISA-HOIMA-24h'!M50,'26.10 HOIMA-BULIISA-24h'!M50,'31.10 BULIISA-HOIMA'!M50)</f>
        <v>3.2857142857142856</v>
      </c>
      <c r="N50" s="49">
        <f>AVERAGE('25.10 BULIISA-HOIMA'!N50,'27.10 BULIISA-HOIMA'!N50,'29.10 HOIMA-BULIISA'!N50,'30.10 BULIISA-HOIMA'!N50,'26.10 BULIISA-HOIMA-24h'!N50,'26.10 HOIMA-BULIISA-24h'!N50,'31.10 BULIISA-HOIMA'!N50)</f>
        <v>0</v>
      </c>
      <c r="O50" s="15">
        <f t="shared" si="0"/>
        <v>1.5714285714285712</v>
      </c>
      <c r="P50" s="15">
        <f t="shared" si="1"/>
        <v>4.8571428571428568</v>
      </c>
      <c r="R50" s="8"/>
      <c r="T50"/>
    </row>
    <row r="51" spans="2:20" ht="23.1" customHeight="1" x14ac:dyDescent="0.25">
      <c r="B51" s="24" t="s">
        <v>78</v>
      </c>
      <c r="C51" s="49">
        <f>AVERAGE('25.10 BULIISA-HOIMA'!C51,'27.10 BULIISA-HOIMA'!C51,'29.10 HOIMA-BULIISA'!C51,'30.10 BULIISA-HOIMA'!C51,'26.10 BULIISA-HOIMA-24h'!C51,'26.10 HOIMA-BULIISA-24h'!C51,'31.10 BULIISA-HOIMA'!C51)</f>
        <v>0.2857142857142857</v>
      </c>
      <c r="D51" s="49">
        <f>AVERAGE('25.10 BULIISA-HOIMA'!D51,'27.10 BULIISA-HOIMA'!D51,'29.10 HOIMA-BULIISA'!D51,'30.10 BULIISA-HOIMA'!D51,'26.10 BULIISA-HOIMA-24h'!D51,'26.10 HOIMA-BULIISA-24h'!D51,'31.10 BULIISA-HOIMA'!D51)</f>
        <v>0</v>
      </c>
      <c r="E51" s="49">
        <f>AVERAGE('25.10 BULIISA-HOIMA'!E51,'27.10 BULIISA-HOIMA'!E51,'29.10 HOIMA-BULIISA'!E51,'30.10 BULIISA-HOIMA'!E51,'26.10 BULIISA-HOIMA-24h'!E51,'26.10 HOIMA-BULIISA-24h'!E51,'31.10 BULIISA-HOIMA'!E51)</f>
        <v>0.14285714285714285</v>
      </c>
      <c r="F51" s="49">
        <f>AVERAGE('25.10 BULIISA-HOIMA'!F51,'27.10 BULIISA-HOIMA'!F51,'29.10 HOIMA-BULIISA'!F51,'30.10 BULIISA-HOIMA'!F51,'26.10 BULIISA-HOIMA-24h'!F51,'26.10 HOIMA-BULIISA-24h'!F51,'31.10 BULIISA-HOIMA'!F51)</f>
        <v>0.2857142857142857</v>
      </c>
      <c r="G51" s="49">
        <f>AVERAGE('25.10 BULIISA-HOIMA'!G51,'27.10 BULIISA-HOIMA'!G51,'29.10 HOIMA-BULIISA'!G51,'30.10 BULIISA-HOIMA'!G51,'26.10 BULIISA-HOIMA-24h'!G51,'26.10 HOIMA-BULIISA-24h'!G51,'31.10 BULIISA-HOIMA'!G51)</f>
        <v>0</v>
      </c>
      <c r="H51" s="49">
        <f>AVERAGE('25.10 BULIISA-HOIMA'!H51,'27.10 BULIISA-HOIMA'!H51,'29.10 HOIMA-BULIISA'!H51,'30.10 BULIISA-HOIMA'!H51,'26.10 BULIISA-HOIMA-24h'!H51,'26.10 HOIMA-BULIISA-24h'!H51,'31.10 BULIISA-HOIMA'!H51)</f>
        <v>0</v>
      </c>
      <c r="I51" s="49">
        <f>AVERAGE('25.10 BULIISA-HOIMA'!I51,'27.10 BULIISA-HOIMA'!I51,'29.10 HOIMA-BULIISA'!I51,'30.10 BULIISA-HOIMA'!I51,'26.10 BULIISA-HOIMA-24h'!I51,'26.10 HOIMA-BULIISA-24h'!I51,'31.10 BULIISA-HOIMA'!I51)</f>
        <v>0</v>
      </c>
      <c r="J51" s="49">
        <f>AVERAGE('25.10 BULIISA-HOIMA'!J51,'27.10 BULIISA-HOIMA'!J51,'29.10 HOIMA-BULIISA'!J51,'30.10 BULIISA-HOIMA'!J51,'26.10 BULIISA-HOIMA-24h'!J51,'26.10 HOIMA-BULIISA-24h'!J51,'31.10 BULIISA-HOIMA'!J51)</f>
        <v>0</v>
      </c>
      <c r="K51" s="49">
        <f>AVERAGE('25.10 BULIISA-HOIMA'!K51,'27.10 BULIISA-HOIMA'!K51,'29.10 HOIMA-BULIISA'!K51,'30.10 BULIISA-HOIMA'!K51,'26.10 BULIISA-HOIMA-24h'!K51,'26.10 HOIMA-BULIISA-24h'!K51,'31.10 BULIISA-HOIMA'!K51)</f>
        <v>0.14285714285714285</v>
      </c>
      <c r="L51" s="49">
        <f>AVERAGE('25.10 BULIISA-HOIMA'!L51,'27.10 BULIISA-HOIMA'!L51,'29.10 HOIMA-BULIISA'!L51,'30.10 BULIISA-HOIMA'!L51,'26.10 BULIISA-HOIMA-24h'!L51,'26.10 HOIMA-BULIISA-24h'!L51,'31.10 BULIISA-HOIMA'!L51)</f>
        <v>0</v>
      </c>
      <c r="M51" s="49">
        <f>AVERAGE('25.10 BULIISA-HOIMA'!M51,'27.10 BULIISA-HOIMA'!M51,'29.10 HOIMA-BULIISA'!M51,'30.10 BULIISA-HOIMA'!M51,'26.10 BULIISA-HOIMA-24h'!M51,'26.10 HOIMA-BULIISA-24h'!M51,'31.10 BULIISA-HOIMA'!M51)</f>
        <v>4.4285714285714288</v>
      </c>
      <c r="N51" s="49">
        <f>AVERAGE('25.10 BULIISA-HOIMA'!N51,'27.10 BULIISA-HOIMA'!N51,'29.10 HOIMA-BULIISA'!N51,'30.10 BULIISA-HOIMA'!N51,'26.10 BULIISA-HOIMA-24h'!N51,'26.10 HOIMA-BULIISA-24h'!N51,'31.10 BULIISA-HOIMA'!N51)</f>
        <v>0</v>
      </c>
      <c r="O51" s="15">
        <f t="shared" si="0"/>
        <v>0.85714285714285698</v>
      </c>
      <c r="P51" s="15">
        <f t="shared" si="1"/>
        <v>5.2857142857142856</v>
      </c>
      <c r="R51" s="8"/>
      <c r="T51"/>
    </row>
    <row r="52" spans="2:20" ht="23.1" customHeight="1" x14ac:dyDescent="0.25">
      <c r="B52" s="24" t="s">
        <v>79</v>
      </c>
      <c r="C52" s="49">
        <f>AVERAGE('25.10 BULIISA-HOIMA'!C52,'27.10 BULIISA-HOIMA'!C52,'29.10 HOIMA-BULIISA'!C52,'30.10 BULIISA-HOIMA'!C52,'26.10 BULIISA-HOIMA-24h'!C52,'26.10 HOIMA-BULIISA-24h'!C52,'31.10 BULIISA-HOIMA'!C52)</f>
        <v>0.2857142857142857</v>
      </c>
      <c r="D52" s="49">
        <f>AVERAGE('25.10 BULIISA-HOIMA'!D52,'27.10 BULIISA-HOIMA'!D52,'29.10 HOIMA-BULIISA'!D52,'30.10 BULIISA-HOIMA'!D52,'26.10 BULIISA-HOIMA-24h'!D52,'26.10 HOIMA-BULIISA-24h'!D52,'31.10 BULIISA-HOIMA'!D52)</f>
        <v>0.14285714285714285</v>
      </c>
      <c r="E52" s="49">
        <f>AVERAGE('25.10 BULIISA-HOIMA'!E52,'27.10 BULIISA-HOIMA'!E52,'29.10 HOIMA-BULIISA'!E52,'30.10 BULIISA-HOIMA'!E52,'26.10 BULIISA-HOIMA-24h'!E52,'26.10 HOIMA-BULIISA-24h'!E52,'31.10 BULIISA-HOIMA'!E52)</f>
        <v>0.5714285714285714</v>
      </c>
      <c r="F52" s="49">
        <f>AVERAGE('25.10 BULIISA-HOIMA'!F52,'27.10 BULIISA-HOIMA'!F52,'29.10 HOIMA-BULIISA'!F52,'30.10 BULIISA-HOIMA'!F52,'26.10 BULIISA-HOIMA-24h'!F52,'26.10 HOIMA-BULIISA-24h'!F52,'31.10 BULIISA-HOIMA'!F52)</f>
        <v>0.7142857142857143</v>
      </c>
      <c r="G52" s="49">
        <f>AVERAGE('25.10 BULIISA-HOIMA'!G52,'27.10 BULIISA-HOIMA'!G52,'29.10 HOIMA-BULIISA'!G52,'30.10 BULIISA-HOIMA'!G52,'26.10 BULIISA-HOIMA-24h'!G52,'26.10 HOIMA-BULIISA-24h'!G52,'31.10 BULIISA-HOIMA'!G52)</f>
        <v>0</v>
      </c>
      <c r="H52" s="49">
        <f>AVERAGE('25.10 BULIISA-HOIMA'!H52,'27.10 BULIISA-HOIMA'!H52,'29.10 HOIMA-BULIISA'!H52,'30.10 BULIISA-HOIMA'!H52,'26.10 BULIISA-HOIMA-24h'!H52,'26.10 HOIMA-BULIISA-24h'!H52,'31.10 BULIISA-HOIMA'!H52)</f>
        <v>0</v>
      </c>
      <c r="I52" s="49">
        <f>AVERAGE('25.10 BULIISA-HOIMA'!I52,'27.10 BULIISA-HOIMA'!I52,'29.10 HOIMA-BULIISA'!I52,'30.10 BULIISA-HOIMA'!I52,'26.10 BULIISA-HOIMA-24h'!I52,'26.10 HOIMA-BULIISA-24h'!I52,'31.10 BULIISA-HOIMA'!I52)</f>
        <v>0.2857142857142857</v>
      </c>
      <c r="J52" s="49">
        <f>AVERAGE('25.10 BULIISA-HOIMA'!J52,'27.10 BULIISA-HOIMA'!J52,'29.10 HOIMA-BULIISA'!J52,'30.10 BULIISA-HOIMA'!J52,'26.10 BULIISA-HOIMA-24h'!J52,'26.10 HOIMA-BULIISA-24h'!J52,'31.10 BULIISA-HOIMA'!J52)</f>
        <v>0</v>
      </c>
      <c r="K52" s="49">
        <f>AVERAGE('25.10 BULIISA-HOIMA'!K52,'27.10 BULIISA-HOIMA'!K52,'29.10 HOIMA-BULIISA'!K52,'30.10 BULIISA-HOIMA'!K52,'26.10 BULIISA-HOIMA-24h'!K52,'26.10 HOIMA-BULIISA-24h'!K52,'31.10 BULIISA-HOIMA'!K52)</f>
        <v>0.14285714285714285</v>
      </c>
      <c r="L52" s="49">
        <f>AVERAGE('25.10 BULIISA-HOIMA'!L52,'27.10 BULIISA-HOIMA'!L52,'29.10 HOIMA-BULIISA'!L52,'30.10 BULIISA-HOIMA'!L52,'26.10 BULIISA-HOIMA-24h'!L52,'26.10 HOIMA-BULIISA-24h'!L52,'31.10 BULIISA-HOIMA'!L52)</f>
        <v>0</v>
      </c>
      <c r="M52" s="49">
        <f>AVERAGE('25.10 BULIISA-HOIMA'!M52,'27.10 BULIISA-HOIMA'!M52,'29.10 HOIMA-BULIISA'!M52,'30.10 BULIISA-HOIMA'!M52,'26.10 BULIISA-HOIMA-24h'!M52,'26.10 HOIMA-BULIISA-24h'!M52,'31.10 BULIISA-HOIMA'!M52)</f>
        <v>4.1428571428571432</v>
      </c>
      <c r="N52" s="49">
        <f>AVERAGE('25.10 BULIISA-HOIMA'!N52,'27.10 BULIISA-HOIMA'!N52,'29.10 HOIMA-BULIISA'!N52,'30.10 BULIISA-HOIMA'!N52,'26.10 BULIISA-HOIMA-24h'!N52,'26.10 HOIMA-BULIISA-24h'!N52,'31.10 BULIISA-HOIMA'!N52)</f>
        <v>0</v>
      </c>
      <c r="O52" s="15">
        <f t="shared" si="0"/>
        <v>2.1428571428571428</v>
      </c>
      <c r="P52" s="15">
        <f t="shared" si="1"/>
        <v>6.2857142857142865</v>
      </c>
      <c r="R52" s="8"/>
      <c r="T52"/>
    </row>
    <row r="53" spans="2:20" ht="23.1" customHeight="1" x14ac:dyDescent="0.25">
      <c r="B53" s="23" t="s">
        <v>80</v>
      </c>
      <c r="C53" s="49">
        <f>AVERAGE('25.10 BULIISA-HOIMA'!C53,'27.10 BULIISA-HOIMA'!C53,'29.10 HOIMA-BULIISA'!C53,'30.10 BULIISA-HOIMA'!C53,'26.10 BULIISA-HOIMA-24h'!C53,'26.10 HOIMA-BULIISA-24h'!C53,'31.10 BULIISA-HOIMA'!C53)</f>
        <v>0.7142857142857143</v>
      </c>
      <c r="D53" s="49">
        <f>AVERAGE('25.10 BULIISA-HOIMA'!D53,'27.10 BULIISA-HOIMA'!D53,'29.10 HOIMA-BULIISA'!D53,'30.10 BULIISA-HOIMA'!D53,'26.10 BULIISA-HOIMA-24h'!D53,'26.10 HOIMA-BULIISA-24h'!D53,'31.10 BULIISA-HOIMA'!D53)</f>
        <v>0</v>
      </c>
      <c r="E53" s="49">
        <f>AVERAGE('25.10 BULIISA-HOIMA'!E53,'27.10 BULIISA-HOIMA'!E53,'29.10 HOIMA-BULIISA'!E53,'30.10 BULIISA-HOIMA'!E53,'26.10 BULIISA-HOIMA-24h'!E53,'26.10 HOIMA-BULIISA-24h'!E53,'31.10 BULIISA-HOIMA'!E53)</f>
        <v>0.42857142857142855</v>
      </c>
      <c r="F53" s="49">
        <f>AVERAGE('25.10 BULIISA-HOIMA'!F53,'27.10 BULIISA-HOIMA'!F53,'29.10 HOIMA-BULIISA'!F53,'30.10 BULIISA-HOIMA'!F53,'26.10 BULIISA-HOIMA-24h'!F53,'26.10 HOIMA-BULIISA-24h'!F53,'31.10 BULIISA-HOIMA'!F53)</f>
        <v>0.5714285714285714</v>
      </c>
      <c r="G53" s="49">
        <f>AVERAGE('25.10 BULIISA-HOIMA'!G53,'27.10 BULIISA-HOIMA'!G53,'29.10 HOIMA-BULIISA'!G53,'30.10 BULIISA-HOIMA'!G53,'26.10 BULIISA-HOIMA-24h'!G53,'26.10 HOIMA-BULIISA-24h'!G53,'31.10 BULIISA-HOIMA'!G53)</f>
        <v>0</v>
      </c>
      <c r="H53" s="49">
        <f>AVERAGE('25.10 BULIISA-HOIMA'!H53,'27.10 BULIISA-HOIMA'!H53,'29.10 HOIMA-BULIISA'!H53,'30.10 BULIISA-HOIMA'!H53,'26.10 BULIISA-HOIMA-24h'!H53,'26.10 HOIMA-BULIISA-24h'!H53,'31.10 BULIISA-HOIMA'!H53)</f>
        <v>0</v>
      </c>
      <c r="I53" s="49">
        <f>AVERAGE('25.10 BULIISA-HOIMA'!I53,'27.10 BULIISA-HOIMA'!I53,'29.10 HOIMA-BULIISA'!I53,'30.10 BULIISA-HOIMA'!I53,'26.10 BULIISA-HOIMA-24h'!I53,'26.10 HOIMA-BULIISA-24h'!I53,'31.10 BULIISA-HOIMA'!I53)</f>
        <v>0.14285714285714285</v>
      </c>
      <c r="J53" s="49">
        <f>AVERAGE('25.10 BULIISA-HOIMA'!J53,'27.10 BULIISA-HOIMA'!J53,'29.10 HOIMA-BULIISA'!J53,'30.10 BULIISA-HOIMA'!J53,'26.10 BULIISA-HOIMA-24h'!J53,'26.10 HOIMA-BULIISA-24h'!J53,'31.10 BULIISA-HOIMA'!J53)</f>
        <v>0</v>
      </c>
      <c r="K53" s="49">
        <f>AVERAGE('25.10 BULIISA-HOIMA'!K53,'27.10 BULIISA-HOIMA'!K53,'29.10 HOIMA-BULIISA'!K53,'30.10 BULIISA-HOIMA'!K53,'26.10 BULIISA-HOIMA-24h'!K53,'26.10 HOIMA-BULIISA-24h'!K53,'31.10 BULIISA-HOIMA'!K53)</f>
        <v>0.14285714285714285</v>
      </c>
      <c r="L53" s="49">
        <f>AVERAGE('25.10 BULIISA-HOIMA'!L53,'27.10 BULIISA-HOIMA'!L53,'29.10 HOIMA-BULIISA'!L53,'30.10 BULIISA-HOIMA'!L53,'26.10 BULIISA-HOIMA-24h'!L53,'26.10 HOIMA-BULIISA-24h'!L53,'31.10 BULIISA-HOIMA'!L53)</f>
        <v>0</v>
      </c>
      <c r="M53" s="49">
        <f>AVERAGE('25.10 BULIISA-HOIMA'!M53,'27.10 BULIISA-HOIMA'!M53,'29.10 HOIMA-BULIISA'!M53,'30.10 BULIISA-HOIMA'!M53,'26.10 BULIISA-HOIMA-24h'!M53,'26.10 HOIMA-BULIISA-24h'!M53,'31.10 BULIISA-HOIMA'!M53)</f>
        <v>8.5714285714285712</v>
      </c>
      <c r="N53" s="49">
        <f>AVERAGE('25.10 BULIISA-HOIMA'!N53,'27.10 BULIISA-HOIMA'!N53,'29.10 HOIMA-BULIISA'!N53,'30.10 BULIISA-HOIMA'!N53,'26.10 BULIISA-HOIMA-24h'!N53,'26.10 HOIMA-BULIISA-24h'!N53,'31.10 BULIISA-HOIMA'!N53)</f>
        <v>0</v>
      </c>
      <c r="O53" s="15">
        <f t="shared" si="0"/>
        <v>1.9999999999999998</v>
      </c>
      <c r="P53" s="15">
        <f t="shared" si="1"/>
        <v>10.571428571428571</v>
      </c>
      <c r="R53" s="8"/>
      <c r="T53"/>
    </row>
    <row r="54" spans="2:20" ht="23.1" customHeight="1" x14ac:dyDescent="0.25">
      <c r="B54" s="23" t="s">
        <v>81</v>
      </c>
      <c r="C54" s="49">
        <f>AVERAGE('25.10 BULIISA-HOIMA'!C54,'27.10 BULIISA-HOIMA'!C54,'29.10 HOIMA-BULIISA'!C54,'30.10 BULIISA-HOIMA'!C54,'26.10 BULIISA-HOIMA-24h'!C54,'26.10 HOIMA-BULIISA-24h'!C54,'31.10 BULIISA-HOIMA'!C54)</f>
        <v>0.2857142857142857</v>
      </c>
      <c r="D54" s="49">
        <f>AVERAGE('25.10 BULIISA-HOIMA'!D54,'27.10 BULIISA-HOIMA'!D54,'29.10 HOIMA-BULIISA'!D54,'30.10 BULIISA-HOIMA'!D54,'26.10 BULIISA-HOIMA-24h'!D54,'26.10 HOIMA-BULIISA-24h'!D54,'31.10 BULIISA-HOIMA'!D54)</f>
        <v>0</v>
      </c>
      <c r="E54" s="49">
        <f>AVERAGE('25.10 BULIISA-HOIMA'!E54,'27.10 BULIISA-HOIMA'!E54,'29.10 HOIMA-BULIISA'!E54,'30.10 BULIISA-HOIMA'!E54,'26.10 BULIISA-HOIMA-24h'!E54,'26.10 HOIMA-BULIISA-24h'!E54,'31.10 BULIISA-HOIMA'!E54)</f>
        <v>0.5714285714285714</v>
      </c>
      <c r="F54" s="49">
        <f>AVERAGE('25.10 BULIISA-HOIMA'!F54,'27.10 BULIISA-HOIMA'!F54,'29.10 HOIMA-BULIISA'!F54,'30.10 BULIISA-HOIMA'!F54,'26.10 BULIISA-HOIMA-24h'!F54,'26.10 HOIMA-BULIISA-24h'!F54,'31.10 BULIISA-HOIMA'!F54)</f>
        <v>0.7142857142857143</v>
      </c>
      <c r="G54" s="49">
        <f>AVERAGE('25.10 BULIISA-HOIMA'!G54,'27.10 BULIISA-HOIMA'!G54,'29.10 HOIMA-BULIISA'!G54,'30.10 BULIISA-HOIMA'!G54,'26.10 BULIISA-HOIMA-24h'!G54,'26.10 HOIMA-BULIISA-24h'!G54,'31.10 BULIISA-HOIMA'!G54)</f>
        <v>0</v>
      </c>
      <c r="H54" s="49">
        <f>AVERAGE('25.10 BULIISA-HOIMA'!H54,'27.10 BULIISA-HOIMA'!H54,'29.10 HOIMA-BULIISA'!H54,'30.10 BULIISA-HOIMA'!H54,'26.10 BULIISA-HOIMA-24h'!H54,'26.10 HOIMA-BULIISA-24h'!H54,'31.10 BULIISA-HOIMA'!H54)</f>
        <v>0</v>
      </c>
      <c r="I54" s="49">
        <f>AVERAGE('25.10 BULIISA-HOIMA'!I54,'27.10 BULIISA-HOIMA'!I54,'29.10 HOIMA-BULIISA'!I54,'30.10 BULIISA-HOIMA'!I54,'26.10 BULIISA-HOIMA-24h'!I54,'26.10 HOIMA-BULIISA-24h'!I54,'31.10 BULIISA-HOIMA'!I54)</f>
        <v>0.14285714285714285</v>
      </c>
      <c r="J54" s="49">
        <f>AVERAGE('25.10 BULIISA-HOIMA'!J54,'27.10 BULIISA-HOIMA'!J54,'29.10 HOIMA-BULIISA'!J54,'30.10 BULIISA-HOIMA'!J54,'26.10 BULIISA-HOIMA-24h'!J54,'26.10 HOIMA-BULIISA-24h'!J54,'31.10 BULIISA-HOIMA'!J54)</f>
        <v>0</v>
      </c>
      <c r="K54" s="49">
        <f>AVERAGE('25.10 BULIISA-HOIMA'!K54,'27.10 BULIISA-HOIMA'!K54,'29.10 HOIMA-BULIISA'!K54,'30.10 BULIISA-HOIMA'!K54,'26.10 BULIISA-HOIMA-24h'!K54,'26.10 HOIMA-BULIISA-24h'!K54,'31.10 BULIISA-HOIMA'!K54)</f>
        <v>0.14285714285714285</v>
      </c>
      <c r="L54" s="49">
        <f>AVERAGE('25.10 BULIISA-HOIMA'!L54,'27.10 BULIISA-HOIMA'!L54,'29.10 HOIMA-BULIISA'!L54,'30.10 BULIISA-HOIMA'!L54,'26.10 BULIISA-HOIMA-24h'!L54,'26.10 HOIMA-BULIISA-24h'!L54,'31.10 BULIISA-HOIMA'!L54)</f>
        <v>0</v>
      </c>
      <c r="M54" s="49">
        <f>AVERAGE('25.10 BULIISA-HOIMA'!M54,'27.10 BULIISA-HOIMA'!M54,'29.10 HOIMA-BULIISA'!M54,'30.10 BULIISA-HOIMA'!M54,'26.10 BULIISA-HOIMA-24h'!M54,'26.10 HOIMA-BULIISA-24h'!M54,'31.10 BULIISA-HOIMA'!M54)</f>
        <v>6.4285714285714288</v>
      </c>
      <c r="N54" s="49">
        <f>AVERAGE('25.10 BULIISA-HOIMA'!N54,'27.10 BULIISA-HOIMA'!N54,'29.10 HOIMA-BULIISA'!N54,'30.10 BULIISA-HOIMA'!N54,'26.10 BULIISA-HOIMA-24h'!N54,'26.10 HOIMA-BULIISA-24h'!N54,'31.10 BULIISA-HOIMA'!N54)</f>
        <v>0</v>
      </c>
      <c r="O54" s="15">
        <f t="shared" si="0"/>
        <v>1.857142857142857</v>
      </c>
      <c r="P54" s="15">
        <f t="shared" si="1"/>
        <v>8.2857142857142865</v>
      </c>
      <c r="R54" s="8"/>
      <c r="T54"/>
    </row>
    <row r="55" spans="2:20" ht="23.1" customHeight="1" x14ac:dyDescent="0.25">
      <c r="B55" s="23" t="s">
        <v>82</v>
      </c>
      <c r="C55" s="49">
        <f>AVERAGE('25.10 BULIISA-HOIMA'!C55,'27.10 BULIISA-HOIMA'!C55,'29.10 HOIMA-BULIISA'!C55,'30.10 BULIISA-HOIMA'!C55,'26.10 BULIISA-HOIMA-24h'!C55,'26.10 HOIMA-BULIISA-24h'!C55,'31.10 BULIISA-HOIMA'!C55)</f>
        <v>0.2857142857142857</v>
      </c>
      <c r="D55" s="49">
        <f>AVERAGE('25.10 BULIISA-HOIMA'!D55,'27.10 BULIISA-HOIMA'!D55,'29.10 HOIMA-BULIISA'!D55,'30.10 BULIISA-HOIMA'!D55,'26.10 BULIISA-HOIMA-24h'!D55,'26.10 HOIMA-BULIISA-24h'!D55,'31.10 BULIISA-HOIMA'!D55)</f>
        <v>0.2857142857142857</v>
      </c>
      <c r="E55" s="49">
        <f>AVERAGE('25.10 BULIISA-HOIMA'!E55,'27.10 BULIISA-HOIMA'!E55,'29.10 HOIMA-BULIISA'!E55,'30.10 BULIISA-HOIMA'!E55,'26.10 BULIISA-HOIMA-24h'!E55,'26.10 HOIMA-BULIISA-24h'!E55,'31.10 BULIISA-HOIMA'!E55)</f>
        <v>0.14285714285714285</v>
      </c>
      <c r="F55" s="49">
        <f>AVERAGE('25.10 BULIISA-HOIMA'!F55,'27.10 BULIISA-HOIMA'!F55,'29.10 HOIMA-BULIISA'!F55,'30.10 BULIISA-HOIMA'!F55,'26.10 BULIISA-HOIMA-24h'!F55,'26.10 HOIMA-BULIISA-24h'!F55,'31.10 BULIISA-HOIMA'!F55)</f>
        <v>0.8571428571428571</v>
      </c>
      <c r="G55" s="49">
        <f>AVERAGE('25.10 BULIISA-HOIMA'!G55,'27.10 BULIISA-HOIMA'!G55,'29.10 HOIMA-BULIISA'!G55,'30.10 BULIISA-HOIMA'!G55,'26.10 BULIISA-HOIMA-24h'!G55,'26.10 HOIMA-BULIISA-24h'!G55,'31.10 BULIISA-HOIMA'!G55)</f>
        <v>0</v>
      </c>
      <c r="H55" s="49">
        <f>AVERAGE('25.10 BULIISA-HOIMA'!H55,'27.10 BULIISA-HOIMA'!H55,'29.10 HOIMA-BULIISA'!H55,'30.10 BULIISA-HOIMA'!H55,'26.10 BULIISA-HOIMA-24h'!H55,'26.10 HOIMA-BULIISA-24h'!H55,'31.10 BULIISA-HOIMA'!H55)</f>
        <v>0</v>
      </c>
      <c r="I55" s="49">
        <f>AVERAGE('25.10 BULIISA-HOIMA'!I55,'27.10 BULIISA-HOIMA'!I55,'29.10 HOIMA-BULIISA'!I55,'30.10 BULIISA-HOIMA'!I55,'26.10 BULIISA-HOIMA-24h'!I55,'26.10 HOIMA-BULIISA-24h'!I55,'31.10 BULIISA-HOIMA'!I55)</f>
        <v>0</v>
      </c>
      <c r="J55" s="49">
        <f>AVERAGE('25.10 BULIISA-HOIMA'!J55,'27.10 BULIISA-HOIMA'!J55,'29.10 HOIMA-BULIISA'!J55,'30.10 BULIISA-HOIMA'!J55,'26.10 BULIISA-HOIMA-24h'!J55,'26.10 HOIMA-BULIISA-24h'!J55,'31.10 BULIISA-HOIMA'!J55)</f>
        <v>0</v>
      </c>
      <c r="K55" s="49">
        <f>AVERAGE('25.10 BULIISA-HOIMA'!K55,'27.10 BULIISA-HOIMA'!K55,'29.10 HOIMA-BULIISA'!K55,'30.10 BULIISA-HOIMA'!K55,'26.10 BULIISA-HOIMA-24h'!K55,'26.10 HOIMA-BULIISA-24h'!K55,'31.10 BULIISA-HOIMA'!K55)</f>
        <v>0.14285714285714285</v>
      </c>
      <c r="L55" s="49">
        <f>AVERAGE('25.10 BULIISA-HOIMA'!L55,'27.10 BULIISA-HOIMA'!L55,'29.10 HOIMA-BULIISA'!L55,'30.10 BULIISA-HOIMA'!L55,'26.10 BULIISA-HOIMA-24h'!L55,'26.10 HOIMA-BULIISA-24h'!L55,'31.10 BULIISA-HOIMA'!L55)</f>
        <v>0</v>
      </c>
      <c r="M55" s="49">
        <f>AVERAGE('25.10 BULIISA-HOIMA'!M55,'27.10 BULIISA-HOIMA'!M55,'29.10 HOIMA-BULIISA'!M55,'30.10 BULIISA-HOIMA'!M55,'26.10 BULIISA-HOIMA-24h'!M55,'26.10 HOIMA-BULIISA-24h'!M55,'31.10 BULIISA-HOIMA'!M55)</f>
        <v>4.2857142857142856</v>
      </c>
      <c r="N55" s="49">
        <f>AVERAGE('25.10 BULIISA-HOIMA'!N55,'27.10 BULIISA-HOIMA'!N55,'29.10 HOIMA-BULIISA'!N55,'30.10 BULIISA-HOIMA'!N55,'26.10 BULIISA-HOIMA-24h'!N55,'26.10 HOIMA-BULIISA-24h'!N55,'31.10 BULIISA-HOIMA'!N55)</f>
        <v>0</v>
      </c>
      <c r="O55" s="15">
        <f t="shared" si="0"/>
        <v>1.714285714285714</v>
      </c>
      <c r="P55" s="15">
        <f t="shared" si="1"/>
        <v>6</v>
      </c>
      <c r="R55" s="8"/>
      <c r="T55"/>
    </row>
    <row r="56" spans="2:20" ht="23.1" customHeight="1" x14ac:dyDescent="0.25">
      <c r="B56" s="23" t="s">
        <v>83</v>
      </c>
      <c r="C56" s="49">
        <f>AVERAGE('25.10 BULIISA-HOIMA'!C56,'27.10 BULIISA-HOIMA'!C56,'29.10 HOIMA-BULIISA'!C56,'30.10 BULIISA-HOIMA'!C56,'26.10 BULIISA-HOIMA-24h'!C56,'26.10 HOIMA-BULIISA-24h'!C56,'31.10 BULIISA-HOIMA'!C56)</f>
        <v>0</v>
      </c>
      <c r="D56" s="49">
        <f>AVERAGE('25.10 BULIISA-HOIMA'!D56,'27.10 BULIISA-HOIMA'!D56,'29.10 HOIMA-BULIISA'!D56,'30.10 BULIISA-HOIMA'!D56,'26.10 BULIISA-HOIMA-24h'!D56,'26.10 HOIMA-BULIISA-24h'!D56,'31.10 BULIISA-HOIMA'!D56)</f>
        <v>0</v>
      </c>
      <c r="E56" s="49">
        <f>AVERAGE('25.10 BULIISA-HOIMA'!E56,'27.10 BULIISA-HOIMA'!E56,'29.10 HOIMA-BULIISA'!E56,'30.10 BULIISA-HOIMA'!E56,'26.10 BULIISA-HOIMA-24h'!E56,'26.10 HOIMA-BULIISA-24h'!E56,'31.10 BULIISA-HOIMA'!E56)</f>
        <v>0.2857142857142857</v>
      </c>
      <c r="F56" s="49">
        <f>AVERAGE('25.10 BULIISA-HOIMA'!F56,'27.10 BULIISA-HOIMA'!F56,'29.10 HOIMA-BULIISA'!F56,'30.10 BULIISA-HOIMA'!F56,'26.10 BULIISA-HOIMA-24h'!F56,'26.10 HOIMA-BULIISA-24h'!F56,'31.10 BULIISA-HOIMA'!F56)</f>
        <v>0</v>
      </c>
      <c r="G56" s="49">
        <f>AVERAGE('25.10 BULIISA-HOIMA'!G56,'27.10 BULIISA-HOIMA'!G56,'29.10 HOIMA-BULIISA'!G56,'30.10 BULIISA-HOIMA'!G56,'26.10 BULIISA-HOIMA-24h'!G56,'26.10 HOIMA-BULIISA-24h'!G56,'31.10 BULIISA-HOIMA'!G56)</f>
        <v>0</v>
      </c>
      <c r="H56" s="49">
        <f>AVERAGE('25.10 BULIISA-HOIMA'!H56,'27.10 BULIISA-HOIMA'!H56,'29.10 HOIMA-BULIISA'!H56,'30.10 BULIISA-HOIMA'!H56,'26.10 BULIISA-HOIMA-24h'!H56,'26.10 HOIMA-BULIISA-24h'!H56,'31.10 BULIISA-HOIMA'!H56)</f>
        <v>0</v>
      </c>
      <c r="I56" s="49">
        <f>AVERAGE('25.10 BULIISA-HOIMA'!I56,'27.10 BULIISA-HOIMA'!I56,'29.10 HOIMA-BULIISA'!I56,'30.10 BULIISA-HOIMA'!I56,'26.10 BULIISA-HOIMA-24h'!I56,'26.10 HOIMA-BULIISA-24h'!I56,'31.10 BULIISA-HOIMA'!I56)</f>
        <v>0.14285714285714285</v>
      </c>
      <c r="J56" s="49">
        <f>AVERAGE('25.10 BULIISA-HOIMA'!J56,'27.10 BULIISA-HOIMA'!J56,'29.10 HOIMA-BULIISA'!J56,'30.10 BULIISA-HOIMA'!J56,'26.10 BULIISA-HOIMA-24h'!J56,'26.10 HOIMA-BULIISA-24h'!J56,'31.10 BULIISA-HOIMA'!J56)</f>
        <v>0.14285714285714285</v>
      </c>
      <c r="K56" s="49">
        <f>AVERAGE('25.10 BULIISA-HOIMA'!K56,'27.10 BULIISA-HOIMA'!K56,'29.10 HOIMA-BULIISA'!K56,'30.10 BULIISA-HOIMA'!K56,'26.10 BULIISA-HOIMA-24h'!K56,'26.10 HOIMA-BULIISA-24h'!K56,'31.10 BULIISA-HOIMA'!K56)</f>
        <v>0.14285714285714285</v>
      </c>
      <c r="L56" s="49">
        <f>AVERAGE('25.10 BULIISA-HOIMA'!L56,'27.10 BULIISA-HOIMA'!L56,'29.10 HOIMA-BULIISA'!L56,'30.10 BULIISA-HOIMA'!L56,'26.10 BULIISA-HOIMA-24h'!L56,'26.10 HOIMA-BULIISA-24h'!L56,'31.10 BULIISA-HOIMA'!L56)</f>
        <v>0</v>
      </c>
      <c r="M56" s="49">
        <f>AVERAGE('25.10 BULIISA-HOIMA'!M56,'27.10 BULIISA-HOIMA'!M56,'29.10 HOIMA-BULIISA'!M56,'30.10 BULIISA-HOIMA'!M56,'26.10 BULIISA-HOIMA-24h'!M56,'26.10 HOIMA-BULIISA-24h'!M56,'31.10 BULIISA-HOIMA'!M56)</f>
        <v>4</v>
      </c>
      <c r="N56" s="49">
        <f>AVERAGE('25.10 BULIISA-HOIMA'!N56,'27.10 BULIISA-HOIMA'!N56,'29.10 HOIMA-BULIISA'!N56,'30.10 BULIISA-HOIMA'!N56,'26.10 BULIISA-HOIMA-24h'!N56,'26.10 HOIMA-BULIISA-24h'!N56,'31.10 BULIISA-HOIMA'!N56)</f>
        <v>0</v>
      </c>
      <c r="O56" s="15">
        <f t="shared" si="0"/>
        <v>0.71428571428571419</v>
      </c>
      <c r="P56" s="15">
        <f t="shared" si="1"/>
        <v>4.7142857142857144</v>
      </c>
      <c r="R56" s="8"/>
      <c r="T56"/>
    </row>
    <row r="57" spans="2:20" ht="23.1" customHeight="1" x14ac:dyDescent="0.25">
      <c r="B57" s="23" t="s">
        <v>84</v>
      </c>
      <c r="C57" s="49">
        <f>AVERAGE('25.10 BULIISA-HOIMA'!C57,'27.10 BULIISA-HOIMA'!C57,'29.10 HOIMA-BULIISA'!C57,'30.10 BULIISA-HOIMA'!C57,'26.10 BULIISA-HOIMA-24h'!C57,'26.10 HOIMA-BULIISA-24h'!C57,'31.10 BULIISA-HOIMA'!C57)</f>
        <v>0</v>
      </c>
      <c r="D57" s="49">
        <f>AVERAGE('25.10 BULIISA-HOIMA'!D57,'27.10 BULIISA-HOIMA'!D57,'29.10 HOIMA-BULIISA'!D57,'30.10 BULIISA-HOIMA'!D57,'26.10 BULIISA-HOIMA-24h'!D57,'26.10 HOIMA-BULIISA-24h'!D57,'31.10 BULIISA-HOIMA'!D57)</f>
        <v>0.14285714285714285</v>
      </c>
      <c r="E57" s="49">
        <f>AVERAGE('25.10 BULIISA-HOIMA'!E57,'27.10 BULIISA-HOIMA'!E57,'29.10 HOIMA-BULIISA'!E57,'30.10 BULIISA-HOIMA'!E57,'26.10 BULIISA-HOIMA-24h'!E57,'26.10 HOIMA-BULIISA-24h'!E57,'31.10 BULIISA-HOIMA'!E57)</f>
        <v>0</v>
      </c>
      <c r="F57" s="49">
        <f>AVERAGE('25.10 BULIISA-HOIMA'!F57,'27.10 BULIISA-HOIMA'!F57,'29.10 HOIMA-BULIISA'!F57,'30.10 BULIISA-HOIMA'!F57,'26.10 BULIISA-HOIMA-24h'!F57,'26.10 HOIMA-BULIISA-24h'!F57,'31.10 BULIISA-HOIMA'!F57)</f>
        <v>0.42857142857142855</v>
      </c>
      <c r="G57" s="49">
        <f>AVERAGE('25.10 BULIISA-HOIMA'!G57,'27.10 BULIISA-HOIMA'!G57,'29.10 HOIMA-BULIISA'!G57,'30.10 BULIISA-HOIMA'!G57,'26.10 BULIISA-HOIMA-24h'!G57,'26.10 HOIMA-BULIISA-24h'!G57,'31.10 BULIISA-HOIMA'!G57)</f>
        <v>0</v>
      </c>
      <c r="H57" s="49">
        <f>AVERAGE('25.10 BULIISA-HOIMA'!H57,'27.10 BULIISA-HOIMA'!H57,'29.10 HOIMA-BULIISA'!H57,'30.10 BULIISA-HOIMA'!H57,'26.10 BULIISA-HOIMA-24h'!H57,'26.10 HOIMA-BULIISA-24h'!H57,'31.10 BULIISA-HOIMA'!H57)</f>
        <v>0</v>
      </c>
      <c r="I57" s="49">
        <f>AVERAGE('25.10 BULIISA-HOIMA'!I57,'27.10 BULIISA-HOIMA'!I57,'29.10 HOIMA-BULIISA'!I57,'30.10 BULIISA-HOIMA'!I57,'26.10 BULIISA-HOIMA-24h'!I57,'26.10 HOIMA-BULIISA-24h'!I57,'31.10 BULIISA-HOIMA'!I57)</f>
        <v>0</v>
      </c>
      <c r="J57" s="49">
        <f>AVERAGE('25.10 BULIISA-HOIMA'!J57,'27.10 BULIISA-HOIMA'!J57,'29.10 HOIMA-BULIISA'!J57,'30.10 BULIISA-HOIMA'!J57,'26.10 BULIISA-HOIMA-24h'!J57,'26.10 HOIMA-BULIISA-24h'!J57,'31.10 BULIISA-HOIMA'!J57)</f>
        <v>0.14285714285714285</v>
      </c>
      <c r="K57" s="49">
        <f>AVERAGE('25.10 BULIISA-HOIMA'!K57,'27.10 BULIISA-HOIMA'!K57,'29.10 HOIMA-BULIISA'!K57,'30.10 BULIISA-HOIMA'!K57,'26.10 BULIISA-HOIMA-24h'!K57,'26.10 HOIMA-BULIISA-24h'!K57,'31.10 BULIISA-HOIMA'!K57)</f>
        <v>0.14285714285714285</v>
      </c>
      <c r="L57" s="49">
        <f>AVERAGE('25.10 BULIISA-HOIMA'!L57,'27.10 BULIISA-HOIMA'!L57,'29.10 HOIMA-BULIISA'!L57,'30.10 BULIISA-HOIMA'!L57,'26.10 BULIISA-HOIMA-24h'!L57,'26.10 HOIMA-BULIISA-24h'!L57,'31.10 BULIISA-HOIMA'!L57)</f>
        <v>0</v>
      </c>
      <c r="M57" s="49">
        <f>AVERAGE('25.10 BULIISA-HOIMA'!M57,'27.10 BULIISA-HOIMA'!M57,'29.10 HOIMA-BULIISA'!M57,'30.10 BULIISA-HOIMA'!M57,'26.10 BULIISA-HOIMA-24h'!M57,'26.10 HOIMA-BULIISA-24h'!M57,'31.10 BULIISA-HOIMA'!M57)</f>
        <v>3</v>
      </c>
      <c r="N57" s="49">
        <f>AVERAGE('25.10 BULIISA-HOIMA'!N57,'27.10 BULIISA-HOIMA'!N57,'29.10 HOIMA-BULIISA'!N57,'30.10 BULIISA-HOIMA'!N57,'26.10 BULIISA-HOIMA-24h'!N57,'26.10 HOIMA-BULIISA-24h'!N57,'31.10 BULIISA-HOIMA'!N57)</f>
        <v>0</v>
      </c>
      <c r="O57" s="15">
        <f t="shared" si="0"/>
        <v>0.85714285714285698</v>
      </c>
      <c r="P57" s="15">
        <f t="shared" si="1"/>
        <v>3.8571428571428568</v>
      </c>
      <c r="R57" s="8"/>
      <c r="T57"/>
    </row>
    <row r="58" spans="2:20" ht="23.1" customHeight="1" x14ac:dyDescent="0.25">
      <c r="B58" s="23" t="s">
        <v>99</v>
      </c>
      <c r="C58" s="49">
        <f>AVERAGE('26.10 BULIISA-HOIMA-24h'!C58,'28.10 BULIISA-HOIMA-24h'!C58)</f>
        <v>1</v>
      </c>
      <c r="D58" s="49">
        <f>AVERAGE('26.10 BULIISA-HOIMA-24h'!D58,'28.10 BULIISA-HOIMA-24h'!D58)</f>
        <v>0</v>
      </c>
      <c r="E58" s="49">
        <f>AVERAGE('26.10 BULIISA-HOIMA-24h'!E58,'28.10 BULIISA-HOIMA-24h'!E58)</f>
        <v>0.5</v>
      </c>
      <c r="F58" s="49">
        <f>AVERAGE('26.10 BULIISA-HOIMA-24h'!F58,'28.10 BULIISA-HOIMA-24h'!F58)</f>
        <v>0.5</v>
      </c>
      <c r="G58" s="49">
        <f>AVERAGE('26.10 BULIISA-HOIMA-24h'!G58,'28.10 BULIISA-HOIMA-24h'!G58)</f>
        <v>0</v>
      </c>
      <c r="H58" s="49">
        <f>AVERAGE('26.10 BULIISA-HOIMA-24h'!H58,'28.10 BULIISA-HOIMA-24h'!H58)</f>
        <v>0</v>
      </c>
      <c r="I58" s="49">
        <f>AVERAGE('26.10 BULIISA-HOIMA-24h'!I58,'28.10 BULIISA-HOIMA-24h'!I58)</f>
        <v>0</v>
      </c>
      <c r="J58" s="49">
        <f>AVERAGE('26.10 BULIISA-HOIMA-24h'!J58,'28.10 BULIISA-HOIMA-24h'!J58)</f>
        <v>0</v>
      </c>
      <c r="K58" s="49">
        <f>AVERAGE('26.10 BULIISA-HOIMA-24h'!K58,'28.10 BULIISA-HOIMA-24h'!K58)</f>
        <v>0</v>
      </c>
      <c r="L58" s="49">
        <f>AVERAGE('26.10 BULIISA-HOIMA-24h'!L58,'28.10 BULIISA-HOIMA-24h'!L58)</f>
        <v>0</v>
      </c>
      <c r="M58" s="49">
        <f>AVERAGE('26.10 BULIISA-HOIMA-24h'!M58,'28.10 BULIISA-HOIMA-24h'!M58)</f>
        <v>5.5</v>
      </c>
      <c r="N58" s="49">
        <f>AVERAGE('26.10 BULIISA-HOIMA-24h'!N58,'28.10 BULIISA-HOIMA-24h'!N58)</f>
        <v>0</v>
      </c>
      <c r="O58" s="15">
        <f t="shared" si="0"/>
        <v>2</v>
      </c>
      <c r="P58" s="15">
        <f t="shared" si="1"/>
        <v>7.5</v>
      </c>
      <c r="R58" s="8"/>
      <c r="T58"/>
    </row>
    <row r="59" spans="2:20" ht="23.1" customHeight="1" x14ac:dyDescent="0.25">
      <c r="B59" s="23" t="s">
        <v>100</v>
      </c>
      <c r="C59" s="49">
        <f>AVERAGE('26.10 BULIISA-HOIMA-24h'!C59,'28.10 BULIISA-HOIMA-24h'!C59)</f>
        <v>0</v>
      </c>
      <c r="D59" s="49">
        <f>AVERAGE('26.10 BULIISA-HOIMA-24h'!D59,'28.10 BULIISA-HOIMA-24h'!D59)</f>
        <v>1</v>
      </c>
      <c r="E59" s="49">
        <f>AVERAGE('26.10 BULIISA-HOIMA-24h'!E59,'28.10 BULIISA-HOIMA-24h'!E59)</f>
        <v>0.5</v>
      </c>
      <c r="F59" s="49">
        <f>AVERAGE('26.10 BULIISA-HOIMA-24h'!F59,'28.10 BULIISA-HOIMA-24h'!F59)</f>
        <v>1</v>
      </c>
      <c r="G59" s="49">
        <f>AVERAGE('26.10 BULIISA-HOIMA-24h'!G59,'28.10 BULIISA-HOIMA-24h'!G59)</f>
        <v>0</v>
      </c>
      <c r="H59" s="49">
        <f>AVERAGE('26.10 BULIISA-HOIMA-24h'!H59,'28.10 BULIISA-HOIMA-24h'!H59)</f>
        <v>0</v>
      </c>
      <c r="I59" s="49">
        <f>AVERAGE('26.10 BULIISA-HOIMA-24h'!I59,'28.10 BULIISA-HOIMA-24h'!I59)</f>
        <v>0</v>
      </c>
      <c r="J59" s="49">
        <f>AVERAGE('26.10 BULIISA-HOIMA-24h'!J59,'28.10 BULIISA-HOIMA-24h'!J59)</f>
        <v>0</v>
      </c>
      <c r="K59" s="49">
        <f>AVERAGE('26.10 BULIISA-HOIMA-24h'!K59,'28.10 BULIISA-HOIMA-24h'!K59)</f>
        <v>0</v>
      </c>
      <c r="L59" s="49">
        <f>AVERAGE('26.10 BULIISA-HOIMA-24h'!L59,'28.10 BULIISA-HOIMA-24h'!L59)</f>
        <v>0</v>
      </c>
      <c r="M59" s="49">
        <f>AVERAGE('26.10 BULIISA-HOIMA-24h'!M59,'28.10 BULIISA-HOIMA-24h'!M59)</f>
        <v>6</v>
      </c>
      <c r="N59" s="49">
        <f>AVERAGE('26.10 BULIISA-HOIMA-24h'!N59,'28.10 BULIISA-HOIMA-24h'!N59)</f>
        <v>0</v>
      </c>
      <c r="O59" s="15">
        <f t="shared" si="0"/>
        <v>2.5</v>
      </c>
      <c r="P59" s="15">
        <f t="shared" si="1"/>
        <v>8.5</v>
      </c>
      <c r="R59" s="8"/>
      <c r="T59"/>
    </row>
    <row r="60" spans="2:20" ht="23.1" customHeight="1" x14ac:dyDescent="0.25">
      <c r="B60" s="23" t="s">
        <v>101</v>
      </c>
      <c r="C60" s="49">
        <f>AVERAGE('26.10 BULIISA-HOIMA-24h'!C60,'28.10 BULIISA-HOIMA-24h'!C60)</f>
        <v>0.5</v>
      </c>
      <c r="D60" s="49">
        <f>AVERAGE('26.10 BULIISA-HOIMA-24h'!D60,'28.10 BULIISA-HOIMA-24h'!D60)</f>
        <v>0</v>
      </c>
      <c r="E60" s="49">
        <f>AVERAGE('26.10 BULIISA-HOIMA-24h'!E60,'28.10 BULIISA-HOIMA-24h'!E60)</f>
        <v>0.5</v>
      </c>
      <c r="F60" s="49">
        <f>AVERAGE('26.10 BULIISA-HOIMA-24h'!F60,'28.10 BULIISA-HOIMA-24h'!F60)</f>
        <v>0</v>
      </c>
      <c r="G60" s="49">
        <f>AVERAGE('26.10 BULIISA-HOIMA-24h'!G60,'28.10 BULIISA-HOIMA-24h'!G60)</f>
        <v>0</v>
      </c>
      <c r="H60" s="49">
        <f>AVERAGE('26.10 BULIISA-HOIMA-24h'!H60,'28.10 BULIISA-HOIMA-24h'!H60)</f>
        <v>0</v>
      </c>
      <c r="I60" s="49">
        <f>AVERAGE('26.10 BULIISA-HOIMA-24h'!I60,'28.10 BULIISA-HOIMA-24h'!I60)</f>
        <v>0</v>
      </c>
      <c r="J60" s="49">
        <f>AVERAGE('26.10 BULIISA-HOIMA-24h'!J60,'28.10 BULIISA-HOIMA-24h'!J60)</f>
        <v>0.5</v>
      </c>
      <c r="K60" s="49">
        <f>AVERAGE('26.10 BULIISA-HOIMA-24h'!K60,'28.10 BULIISA-HOIMA-24h'!K60)</f>
        <v>0</v>
      </c>
      <c r="L60" s="49">
        <f>AVERAGE('26.10 BULIISA-HOIMA-24h'!L60,'28.10 BULIISA-HOIMA-24h'!L60)</f>
        <v>0</v>
      </c>
      <c r="M60" s="49">
        <f>AVERAGE('26.10 BULIISA-HOIMA-24h'!M60,'28.10 BULIISA-HOIMA-24h'!M60)</f>
        <v>5.5</v>
      </c>
      <c r="N60" s="49">
        <f>AVERAGE('26.10 BULIISA-HOIMA-24h'!N60,'28.10 BULIISA-HOIMA-24h'!N60)</f>
        <v>0</v>
      </c>
      <c r="O60" s="15">
        <f t="shared" si="0"/>
        <v>1.5</v>
      </c>
      <c r="P60" s="15">
        <f t="shared" si="1"/>
        <v>7</v>
      </c>
      <c r="R60" s="8"/>
      <c r="T60"/>
    </row>
    <row r="61" spans="2:20" ht="23.1" customHeight="1" x14ac:dyDescent="0.25">
      <c r="B61" s="23" t="s">
        <v>102</v>
      </c>
      <c r="C61" s="49">
        <f>AVERAGE('26.10 BULIISA-HOIMA-24h'!C61,'28.10 BULIISA-HOIMA-24h'!C61)</f>
        <v>0</v>
      </c>
      <c r="D61" s="49">
        <f>AVERAGE('26.10 BULIISA-HOIMA-24h'!D61,'28.10 BULIISA-HOIMA-24h'!D61)</f>
        <v>0</v>
      </c>
      <c r="E61" s="49">
        <f>AVERAGE('26.10 BULIISA-HOIMA-24h'!E61,'28.10 BULIISA-HOIMA-24h'!E61)</f>
        <v>0</v>
      </c>
      <c r="F61" s="49">
        <f>AVERAGE('26.10 BULIISA-HOIMA-24h'!F61,'28.10 BULIISA-HOIMA-24h'!F61)</f>
        <v>0</v>
      </c>
      <c r="G61" s="49">
        <f>AVERAGE('26.10 BULIISA-HOIMA-24h'!G61,'28.10 BULIISA-HOIMA-24h'!G61)</f>
        <v>0</v>
      </c>
      <c r="H61" s="49">
        <f>AVERAGE('26.10 BULIISA-HOIMA-24h'!H61,'28.10 BULIISA-HOIMA-24h'!H61)</f>
        <v>0</v>
      </c>
      <c r="I61" s="49">
        <f>AVERAGE('26.10 BULIISA-HOIMA-24h'!I61,'28.10 BULIISA-HOIMA-24h'!I61)</f>
        <v>0</v>
      </c>
      <c r="J61" s="49">
        <f>AVERAGE('26.10 BULIISA-HOIMA-24h'!J61,'28.10 BULIISA-HOIMA-24h'!J61)</f>
        <v>0</v>
      </c>
      <c r="K61" s="49">
        <f>AVERAGE('26.10 BULIISA-HOIMA-24h'!K61,'28.10 BULIISA-HOIMA-24h'!K61)</f>
        <v>0</v>
      </c>
      <c r="L61" s="49">
        <f>AVERAGE('26.10 BULIISA-HOIMA-24h'!L61,'28.10 BULIISA-HOIMA-24h'!L61)</f>
        <v>0</v>
      </c>
      <c r="M61" s="49">
        <f>AVERAGE('26.10 BULIISA-HOIMA-24h'!M61,'28.10 BULIISA-HOIMA-24h'!M61)</f>
        <v>2</v>
      </c>
      <c r="N61" s="49">
        <f>AVERAGE('26.10 BULIISA-HOIMA-24h'!N61,'28.10 BULIISA-HOIMA-24h'!N61)</f>
        <v>0</v>
      </c>
      <c r="O61" s="15">
        <f t="shared" si="0"/>
        <v>0</v>
      </c>
      <c r="P61" s="15">
        <f t="shared" si="1"/>
        <v>2</v>
      </c>
      <c r="R61" s="8"/>
      <c r="T61"/>
    </row>
    <row r="62" spans="2:20" ht="23.1" customHeight="1" x14ac:dyDescent="0.25">
      <c r="B62" s="23" t="s">
        <v>107</v>
      </c>
      <c r="C62" s="49">
        <f>AVERAGE('26.10 BULIISA-HOIMA-24h'!C62,'28.10 BULIISA-HOIMA-24h'!C62)</f>
        <v>0</v>
      </c>
      <c r="D62" s="49">
        <f>AVERAGE('26.10 BULIISA-HOIMA-24h'!D62,'28.10 BULIISA-HOIMA-24h'!D62)</f>
        <v>0.5</v>
      </c>
      <c r="E62" s="49">
        <f>AVERAGE('26.10 BULIISA-HOIMA-24h'!E62,'28.10 BULIISA-HOIMA-24h'!E62)</f>
        <v>0</v>
      </c>
      <c r="F62" s="49">
        <f>AVERAGE('26.10 BULIISA-HOIMA-24h'!F62,'28.10 BULIISA-HOIMA-24h'!F62)</f>
        <v>0</v>
      </c>
      <c r="G62" s="49">
        <f>AVERAGE('26.10 BULIISA-HOIMA-24h'!G62,'28.10 BULIISA-HOIMA-24h'!G62)</f>
        <v>0</v>
      </c>
      <c r="H62" s="49">
        <f>AVERAGE('26.10 BULIISA-HOIMA-24h'!H62,'28.10 BULIISA-HOIMA-24h'!H62)</f>
        <v>0</v>
      </c>
      <c r="I62" s="49">
        <f>AVERAGE('26.10 BULIISA-HOIMA-24h'!I62,'28.10 BULIISA-HOIMA-24h'!I62)</f>
        <v>0</v>
      </c>
      <c r="J62" s="49">
        <f>AVERAGE('26.10 BULIISA-HOIMA-24h'!J62,'28.10 BULIISA-HOIMA-24h'!J62)</f>
        <v>0</v>
      </c>
      <c r="K62" s="49">
        <f>AVERAGE('26.10 BULIISA-HOIMA-24h'!K62,'28.10 BULIISA-HOIMA-24h'!K62)</f>
        <v>0</v>
      </c>
      <c r="L62" s="49">
        <f>AVERAGE('26.10 BULIISA-HOIMA-24h'!L62,'28.10 BULIISA-HOIMA-24h'!L62)</f>
        <v>0</v>
      </c>
      <c r="M62" s="49">
        <f>AVERAGE('26.10 BULIISA-HOIMA-24h'!M62,'28.10 BULIISA-HOIMA-24h'!M62)</f>
        <v>6</v>
      </c>
      <c r="N62" s="49">
        <f>AVERAGE('26.10 BULIISA-HOIMA-24h'!N62,'28.10 BULIISA-HOIMA-24h'!N62)</f>
        <v>0</v>
      </c>
      <c r="O62" s="15">
        <f t="shared" si="0"/>
        <v>0.5</v>
      </c>
      <c r="P62" s="15">
        <f t="shared" si="1"/>
        <v>6.5</v>
      </c>
      <c r="R62" s="8"/>
      <c r="T62"/>
    </row>
    <row r="63" spans="2:20" ht="23.1" customHeight="1" x14ac:dyDescent="0.25">
      <c r="B63" s="23" t="s">
        <v>108</v>
      </c>
      <c r="C63" s="49">
        <f>AVERAGE('26.10 BULIISA-HOIMA-24h'!C63,'28.10 BULIISA-HOIMA-24h'!C63)</f>
        <v>0</v>
      </c>
      <c r="D63" s="49">
        <f>AVERAGE('26.10 BULIISA-HOIMA-24h'!D63,'28.10 BULIISA-HOIMA-24h'!D63)</f>
        <v>0</v>
      </c>
      <c r="E63" s="49">
        <f>AVERAGE('26.10 BULIISA-HOIMA-24h'!E63,'28.10 BULIISA-HOIMA-24h'!E63)</f>
        <v>0</v>
      </c>
      <c r="F63" s="49">
        <f>AVERAGE('26.10 BULIISA-HOIMA-24h'!F63,'28.10 BULIISA-HOIMA-24h'!F63)</f>
        <v>0.5</v>
      </c>
      <c r="G63" s="49">
        <f>AVERAGE('26.10 BULIISA-HOIMA-24h'!G63,'28.10 BULIISA-HOIMA-24h'!G63)</f>
        <v>0.5</v>
      </c>
      <c r="H63" s="49">
        <f>AVERAGE('26.10 BULIISA-HOIMA-24h'!H63,'28.10 BULIISA-HOIMA-24h'!H63)</f>
        <v>0</v>
      </c>
      <c r="I63" s="49">
        <f>AVERAGE('26.10 BULIISA-HOIMA-24h'!I63,'28.10 BULIISA-HOIMA-24h'!I63)</f>
        <v>0.5</v>
      </c>
      <c r="J63" s="49">
        <f>AVERAGE('26.10 BULIISA-HOIMA-24h'!J63,'28.10 BULIISA-HOIMA-24h'!J63)</f>
        <v>0</v>
      </c>
      <c r="K63" s="49">
        <f>AVERAGE('26.10 BULIISA-HOIMA-24h'!K63,'28.10 BULIISA-HOIMA-24h'!K63)</f>
        <v>0</v>
      </c>
      <c r="L63" s="49">
        <f>AVERAGE('26.10 BULIISA-HOIMA-24h'!L63,'28.10 BULIISA-HOIMA-24h'!L63)</f>
        <v>0</v>
      </c>
      <c r="M63" s="49">
        <f>AVERAGE('26.10 BULIISA-HOIMA-24h'!M63,'28.10 BULIISA-HOIMA-24h'!M63)</f>
        <v>1.5</v>
      </c>
      <c r="N63" s="49">
        <f>AVERAGE('26.10 BULIISA-HOIMA-24h'!N63,'28.10 BULIISA-HOIMA-24h'!N63)</f>
        <v>0</v>
      </c>
      <c r="O63" s="15">
        <f t="shared" si="0"/>
        <v>1.5</v>
      </c>
      <c r="P63" s="15">
        <f t="shared" si="1"/>
        <v>3</v>
      </c>
      <c r="R63" s="8"/>
      <c r="T63"/>
    </row>
    <row r="64" spans="2:20" ht="23.1" customHeight="1" x14ac:dyDescent="0.25">
      <c r="B64" s="23" t="s">
        <v>109</v>
      </c>
      <c r="C64" s="49">
        <f>AVERAGE('26.10 BULIISA-HOIMA-24h'!C64,'28.10 BULIISA-HOIMA-24h'!C64)</f>
        <v>0</v>
      </c>
      <c r="D64" s="49">
        <f>AVERAGE('26.10 BULIISA-HOIMA-24h'!D64,'28.10 BULIISA-HOIMA-24h'!D64)</f>
        <v>0</v>
      </c>
      <c r="E64" s="49">
        <f>AVERAGE('26.10 BULIISA-HOIMA-24h'!E64,'28.10 BULIISA-HOIMA-24h'!E64)</f>
        <v>0</v>
      </c>
      <c r="F64" s="49">
        <f>AVERAGE('26.10 BULIISA-HOIMA-24h'!F64,'28.10 BULIISA-HOIMA-24h'!F64)</f>
        <v>0</v>
      </c>
      <c r="G64" s="49">
        <f>AVERAGE('26.10 BULIISA-HOIMA-24h'!G64,'28.10 BULIISA-HOIMA-24h'!G64)</f>
        <v>0</v>
      </c>
      <c r="H64" s="49">
        <f>AVERAGE('26.10 BULIISA-HOIMA-24h'!H64,'28.10 BULIISA-HOIMA-24h'!H64)</f>
        <v>0</v>
      </c>
      <c r="I64" s="49">
        <f>AVERAGE('26.10 BULIISA-HOIMA-24h'!I64,'28.10 BULIISA-HOIMA-24h'!I64)</f>
        <v>0</v>
      </c>
      <c r="J64" s="49">
        <f>AVERAGE('26.10 BULIISA-HOIMA-24h'!J64,'28.10 BULIISA-HOIMA-24h'!J64)</f>
        <v>0</v>
      </c>
      <c r="K64" s="49">
        <f>AVERAGE('26.10 BULIISA-HOIMA-24h'!K64,'28.10 BULIISA-HOIMA-24h'!K64)</f>
        <v>0</v>
      </c>
      <c r="L64" s="49">
        <f>AVERAGE('26.10 BULIISA-HOIMA-24h'!L64,'28.10 BULIISA-HOIMA-24h'!L64)</f>
        <v>0</v>
      </c>
      <c r="M64" s="49">
        <f>AVERAGE('26.10 BULIISA-HOIMA-24h'!M64,'28.10 BULIISA-HOIMA-24h'!M64)</f>
        <v>1.5</v>
      </c>
      <c r="N64" s="49">
        <f>AVERAGE('26.10 BULIISA-HOIMA-24h'!N64,'28.10 BULIISA-HOIMA-24h'!N64)</f>
        <v>0</v>
      </c>
      <c r="O64" s="15">
        <f t="shared" si="0"/>
        <v>0</v>
      </c>
      <c r="P64" s="15">
        <f t="shared" si="1"/>
        <v>1.5</v>
      </c>
      <c r="R64" s="8"/>
      <c r="T64"/>
    </row>
    <row r="65" spans="2:20" ht="23.1" customHeight="1" x14ac:dyDescent="0.25">
      <c r="B65" s="23" t="s">
        <v>158</v>
      </c>
      <c r="C65" s="49">
        <f>AVERAGE('26.10 BULIISA-HOIMA-24h'!C65,'28.10 BULIISA-HOIMA-24h'!C65)</f>
        <v>0</v>
      </c>
      <c r="D65" s="49">
        <f>AVERAGE('26.10 BULIISA-HOIMA-24h'!D65,'28.10 BULIISA-HOIMA-24h'!D65)</f>
        <v>0</v>
      </c>
      <c r="E65" s="49">
        <f>AVERAGE('26.10 BULIISA-HOIMA-24h'!E65,'28.10 BULIISA-HOIMA-24h'!E65)</f>
        <v>0</v>
      </c>
      <c r="F65" s="49">
        <f>AVERAGE('26.10 BULIISA-HOIMA-24h'!F65,'28.10 BULIISA-HOIMA-24h'!F65)</f>
        <v>0.5</v>
      </c>
      <c r="G65" s="49">
        <f>AVERAGE('26.10 BULIISA-HOIMA-24h'!G65,'28.10 BULIISA-HOIMA-24h'!G65)</f>
        <v>0</v>
      </c>
      <c r="H65" s="49">
        <f>AVERAGE('26.10 BULIISA-HOIMA-24h'!H65,'28.10 BULIISA-HOIMA-24h'!H65)</f>
        <v>0</v>
      </c>
      <c r="I65" s="49">
        <f>AVERAGE('26.10 BULIISA-HOIMA-24h'!I65,'28.10 BULIISA-HOIMA-24h'!I65)</f>
        <v>0</v>
      </c>
      <c r="J65" s="49">
        <f>AVERAGE('26.10 BULIISA-HOIMA-24h'!J65,'28.10 BULIISA-HOIMA-24h'!J65)</f>
        <v>0</v>
      </c>
      <c r="K65" s="49">
        <f>AVERAGE('26.10 BULIISA-HOIMA-24h'!K65,'28.10 BULIISA-HOIMA-24h'!K65)</f>
        <v>0</v>
      </c>
      <c r="L65" s="49">
        <f>AVERAGE('26.10 BULIISA-HOIMA-24h'!L65,'28.10 BULIISA-HOIMA-24h'!L65)</f>
        <v>0</v>
      </c>
      <c r="M65" s="49">
        <f>AVERAGE('26.10 BULIISA-HOIMA-24h'!M65,'28.10 BULIISA-HOIMA-24h'!M65)</f>
        <v>3</v>
      </c>
      <c r="N65" s="49">
        <f>AVERAGE('26.10 BULIISA-HOIMA-24h'!N65,'28.10 BULIISA-HOIMA-24h'!N65)</f>
        <v>0</v>
      </c>
      <c r="O65" s="15">
        <f t="shared" si="0"/>
        <v>0.5</v>
      </c>
      <c r="P65" s="15">
        <f t="shared" si="1"/>
        <v>3.5</v>
      </c>
      <c r="R65" s="8"/>
      <c r="T65"/>
    </row>
    <row r="66" spans="2:20" ht="23.1" customHeight="1" x14ac:dyDescent="0.25">
      <c r="B66" s="23" t="s">
        <v>103</v>
      </c>
      <c r="C66" s="49">
        <f>AVERAGE('26.10 BULIISA-HOIMA-24h'!C66,'28.10 BULIISA-HOIMA-24h'!C66)</f>
        <v>0</v>
      </c>
      <c r="D66" s="49">
        <f>AVERAGE('26.10 BULIISA-HOIMA-24h'!D66,'28.10 BULIISA-HOIMA-24h'!D66)</f>
        <v>0</v>
      </c>
      <c r="E66" s="49">
        <f>AVERAGE('26.10 BULIISA-HOIMA-24h'!E66,'28.10 BULIISA-HOIMA-24h'!E66)</f>
        <v>0</v>
      </c>
      <c r="F66" s="49">
        <f>AVERAGE('26.10 BULIISA-HOIMA-24h'!F66,'28.10 BULIISA-HOIMA-24h'!F66)</f>
        <v>0</v>
      </c>
      <c r="G66" s="49">
        <f>AVERAGE('26.10 BULIISA-HOIMA-24h'!G66,'28.10 BULIISA-HOIMA-24h'!G66)</f>
        <v>0</v>
      </c>
      <c r="H66" s="49">
        <f>AVERAGE('26.10 BULIISA-HOIMA-24h'!H66,'28.10 BULIISA-HOIMA-24h'!H66)</f>
        <v>0</v>
      </c>
      <c r="I66" s="49">
        <f>AVERAGE('26.10 BULIISA-HOIMA-24h'!I66,'28.10 BULIISA-HOIMA-24h'!I66)</f>
        <v>0</v>
      </c>
      <c r="J66" s="49">
        <f>AVERAGE('26.10 BULIISA-HOIMA-24h'!J66,'28.10 BULIISA-HOIMA-24h'!J66)</f>
        <v>0</v>
      </c>
      <c r="K66" s="49">
        <f>AVERAGE('26.10 BULIISA-HOIMA-24h'!K66,'28.10 BULIISA-HOIMA-24h'!K66)</f>
        <v>0</v>
      </c>
      <c r="L66" s="49">
        <f>AVERAGE('26.10 BULIISA-HOIMA-24h'!L66,'28.10 BULIISA-HOIMA-24h'!L66)</f>
        <v>0</v>
      </c>
      <c r="M66" s="49">
        <f>AVERAGE('26.10 BULIISA-HOIMA-24h'!M66,'28.10 BULIISA-HOIMA-24h'!M66)</f>
        <v>1</v>
      </c>
      <c r="N66" s="49">
        <f>AVERAGE('26.10 BULIISA-HOIMA-24h'!N66,'28.10 BULIISA-HOIMA-24h'!N66)</f>
        <v>0</v>
      </c>
      <c r="O66" s="15">
        <f t="shared" si="0"/>
        <v>0</v>
      </c>
      <c r="P66" s="15">
        <f t="shared" si="1"/>
        <v>1</v>
      </c>
      <c r="R66" s="8"/>
      <c r="T66"/>
    </row>
    <row r="67" spans="2:20" ht="23.1" customHeight="1" x14ac:dyDescent="0.25">
      <c r="B67" s="23" t="s">
        <v>104</v>
      </c>
      <c r="C67" s="49">
        <f>AVERAGE('26.10 BULIISA-HOIMA-24h'!C67,'28.10 BULIISA-HOIMA-24h'!C67)</f>
        <v>0</v>
      </c>
      <c r="D67" s="49">
        <f>AVERAGE('26.10 BULIISA-HOIMA-24h'!D67,'28.10 BULIISA-HOIMA-24h'!D67)</f>
        <v>1</v>
      </c>
      <c r="E67" s="49">
        <f>AVERAGE('26.10 BULIISA-HOIMA-24h'!E67,'28.10 BULIISA-HOIMA-24h'!E67)</f>
        <v>0</v>
      </c>
      <c r="F67" s="49">
        <f>AVERAGE('26.10 BULIISA-HOIMA-24h'!F67,'28.10 BULIISA-HOIMA-24h'!F67)</f>
        <v>1.5</v>
      </c>
      <c r="G67" s="49">
        <f>AVERAGE('26.10 BULIISA-HOIMA-24h'!G67,'28.10 BULIISA-HOIMA-24h'!G67)</f>
        <v>0</v>
      </c>
      <c r="H67" s="49">
        <f>AVERAGE('26.10 BULIISA-HOIMA-24h'!H67,'28.10 BULIISA-HOIMA-24h'!H67)</f>
        <v>0</v>
      </c>
      <c r="I67" s="49">
        <f>AVERAGE('26.10 BULIISA-HOIMA-24h'!I67,'28.10 BULIISA-HOIMA-24h'!I67)</f>
        <v>0</v>
      </c>
      <c r="J67" s="49">
        <f>AVERAGE('26.10 BULIISA-HOIMA-24h'!J67,'28.10 BULIISA-HOIMA-24h'!J67)</f>
        <v>0</v>
      </c>
      <c r="K67" s="49">
        <f>AVERAGE('26.10 BULIISA-HOIMA-24h'!K67,'28.10 BULIISA-HOIMA-24h'!K67)</f>
        <v>0</v>
      </c>
      <c r="L67" s="49">
        <f>AVERAGE('26.10 BULIISA-HOIMA-24h'!L67,'28.10 BULIISA-HOIMA-24h'!L67)</f>
        <v>0</v>
      </c>
      <c r="M67" s="49">
        <f>AVERAGE('26.10 BULIISA-HOIMA-24h'!M67,'28.10 BULIISA-HOIMA-24h'!M67)</f>
        <v>1</v>
      </c>
      <c r="N67" s="49">
        <f>AVERAGE('26.10 BULIISA-HOIMA-24h'!N67,'28.10 BULIISA-HOIMA-24h'!N67)</f>
        <v>0</v>
      </c>
      <c r="O67" s="15">
        <f t="shared" si="0"/>
        <v>2.5</v>
      </c>
      <c r="P67" s="15">
        <f t="shared" si="1"/>
        <v>3.5</v>
      </c>
      <c r="R67" s="8"/>
      <c r="T67"/>
    </row>
    <row r="68" spans="2:20" ht="23.1" customHeight="1" x14ac:dyDescent="0.25">
      <c r="B68" s="23" t="s">
        <v>105</v>
      </c>
      <c r="C68" s="49">
        <f>AVERAGE('26.10 BULIISA-HOIMA-24h'!C68,'28.10 BULIISA-HOIMA-24h'!C68)</f>
        <v>0</v>
      </c>
      <c r="D68" s="49">
        <f>AVERAGE('26.10 BULIISA-HOIMA-24h'!D68,'28.10 BULIISA-HOIMA-24h'!D68)</f>
        <v>0.5</v>
      </c>
      <c r="E68" s="49">
        <f>AVERAGE('26.10 BULIISA-HOIMA-24h'!E68,'28.10 BULIISA-HOIMA-24h'!E68)</f>
        <v>0</v>
      </c>
      <c r="F68" s="49">
        <f>AVERAGE('26.10 BULIISA-HOIMA-24h'!F68,'28.10 BULIISA-HOIMA-24h'!F68)</f>
        <v>0</v>
      </c>
      <c r="G68" s="49">
        <f>AVERAGE('26.10 BULIISA-HOIMA-24h'!G68,'28.10 BULIISA-HOIMA-24h'!G68)</f>
        <v>0</v>
      </c>
      <c r="H68" s="49">
        <f>AVERAGE('26.10 BULIISA-HOIMA-24h'!H68,'28.10 BULIISA-HOIMA-24h'!H68)</f>
        <v>0</v>
      </c>
      <c r="I68" s="49">
        <f>AVERAGE('26.10 BULIISA-HOIMA-24h'!I68,'28.10 BULIISA-HOIMA-24h'!I68)</f>
        <v>0</v>
      </c>
      <c r="J68" s="49">
        <f>AVERAGE('26.10 BULIISA-HOIMA-24h'!J68,'28.10 BULIISA-HOIMA-24h'!J68)</f>
        <v>0</v>
      </c>
      <c r="K68" s="49">
        <f>AVERAGE('26.10 BULIISA-HOIMA-24h'!K68,'28.10 BULIISA-HOIMA-24h'!K68)</f>
        <v>0</v>
      </c>
      <c r="L68" s="49">
        <f>AVERAGE('26.10 BULIISA-HOIMA-24h'!L68,'28.10 BULIISA-HOIMA-24h'!L68)</f>
        <v>0</v>
      </c>
      <c r="M68" s="49">
        <f>AVERAGE('26.10 BULIISA-HOIMA-24h'!M68,'28.10 BULIISA-HOIMA-24h'!M68)</f>
        <v>0.5</v>
      </c>
      <c r="N68" s="49">
        <f>AVERAGE('26.10 BULIISA-HOIMA-24h'!N68,'28.10 BULIISA-HOIMA-24h'!N68)</f>
        <v>0</v>
      </c>
      <c r="O68" s="15">
        <f t="shared" si="0"/>
        <v>0.5</v>
      </c>
      <c r="P68" s="15">
        <f t="shared" si="1"/>
        <v>1</v>
      </c>
      <c r="R68" s="8"/>
      <c r="T68"/>
    </row>
    <row r="69" spans="2:20" ht="23.1" customHeight="1" x14ac:dyDescent="0.25">
      <c r="B69" s="23" t="s">
        <v>106</v>
      </c>
      <c r="C69" s="49">
        <f>AVERAGE('26.10 BULIISA-HOIMA-24h'!C69,'28.10 BULIISA-HOIMA-24h'!C69)</f>
        <v>0</v>
      </c>
      <c r="D69" s="49">
        <f>AVERAGE('26.10 BULIISA-HOIMA-24h'!D69,'28.10 BULIISA-HOIMA-24h'!D69)</f>
        <v>0</v>
      </c>
      <c r="E69" s="49">
        <f>AVERAGE('26.10 BULIISA-HOIMA-24h'!E69,'28.10 BULIISA-HOIMA-24h'!E69)</f>
        <v>0</v>
      </c>
      <c r="F69" s="49">
        <f>AVERAGE('26.10 BULIISA-HOIMA-24h'!F69,'28.10 BULIISA-HOIMA-24h'!F69)</f>
        <v>0</v>
      </c>
      <c r="G69" s="49">
        <f>AVERAGE('26.10 BULIISA-HOIMA-24h'!G69,'28.10 BULIISA-HOIMA-24h'!G69)</f>
        <v>0</v>
      </c>
      <c r="H69" s="49">
        <f>AVERAGE('26.10 BULIISA-HOIMA-24h'!H69,'28.10 BULIISA-HOIMA-24h'!H69)</f>
        <v>0</v>
      </c>
      <c r="I69" s="49">
        <f>AVERAGE('26.10 BULIISA-HOIMA-24h'!I69,'28.10 BULIISA-HOIMA-24h'!I69)</f>
        <v>0</v>
      </c>
      <c r="J69" s="49">
        <f>AVERAGE('26.10 BULIISA-HOIMA-24h'!J69,'28.10 BULIISA-HOIMA-24h'!J69)</f>
        <v>0</v>
      </c>
      <c r="K69" s="49">
        <f>AVERAGE('26.10 BULIISA-HOIMA-24h'!K69,'28.10 BULIISA-HOIMA-24h'!K69)</f>
        <v>0</v>
      </c>
      <c r="L69" s="49">
        <f>AVERAGE('26.10 BULIISA-HOIMA-24h'!L69,'28.10 BULIISA-HOIMA-24h'!L69)</f>
        <v>0</v>
      </c>
      <c r="M69" s="49">
        <f>AVERAGE('26.10 BULIISA-HOIMA-24h'!M69,'28.10 BULIISA-HOIMA-24h'!M69)</f>
        <v>4.5</v>
      </c>
      <c r="N69" s="49">
        <f>AVERAGE('26.10 BULIISA-HOIMA-24h'!N69,'28.10 BULIISA-HOIMA-24h'!N69)</f>
        <v>0</v>
      </c>
      <c r="O69" s="15">
        <f t="shared" si="0"/>
        <v>0</v>
      </c>
      <c r="P69" s="15">
        <f t="shared" si="1"/>
        <v>4.5</v>
      </c>
      <c r="R69" s="8"/>
      <c r="T69"/>
    </row>
    <row r="70" spans="2:20" ht="23.1" customHeight="1" x14ac:dyDescent="0.25">
      <c r="B70" s="23" t="s">
        <v>110</v>
      </c>
      <c r="C70" s="49">
        <f>AVERAGE('26.10 BULIISA-HOIMA-24h'!C70,'28.10 BULIISA-HOIMA-24h'!C70)</f>
        <v>0</v>
      </c>
      <c r="D70" s="49">
        <f>AVERAGE('26.10 BULIISA-HOIMA-24h'!D70,'28.10 BULIISA-HOIMA-24h'!D70)</f>
        <v>0</v>
      </c>
      <c r="E70" s="49">
        <f>AVERAGE('26.10 BULIISA-HOIMA-24h'!E70,'28.10 BULIISA-HOIMA-24h'!E70)</f>
        <v>0</v>
      </c>
      <c r="F70" s="49">
        <f>AVERAGE('26.10 BULIISA-HOIMA-24h'!F70,'28.10 BULIISA-HOIMA-24h'!F70)</f>
        <v>0</v>
      </c>
      <c r="G70" s="49">
        <f>AVERAGE('26.10 BULIISA-HOIMA-24h'!G70,'28.10 BULIISA-HOIMA-24h'!G70)</f>
        <v>0</v>
      </c>
      <c r="H70" s="49">
        <f>AVERAGE('26.10 BULIISA-HOIMA-24h'!H70,'28.10 BULIISA-HOIMA-24h'!H70)</f>
        <v>0</v>
      </c>
      <c r="I70" s="49">
        <f>AVERAGE('26.10 BULIISA-HOIMA-24h'!I70,'28.10 BULIISA-HOIMA-24h'!I70)</f>
        <v>0</v>
      </c>
      <c r="J70" s="49">
        <f>AVERAGE('26.10 BULIISA-HOIMA-24h'!J70,'28.10 BULIISA-HOIMA-24h'!J70)</f>
        <v>0</v>
      </c>
      <c r="K70" s="49">
        <f>AVERAGE('26.10 BULIISA-HOIMA-24h'!K70,'28.10 BULIISA-HOIMA-24h'!K70)</f>
        <v>0</v>
      </c>
      <c r="L70" s="49">
        <f>AVERAGE('26.10 BULIISA-HOIMA-24h'!L70,'28.10 BULIISA-HOIMA-24h'!L70)</f>
        <v>0</v>
      </c>
      <c r="M70" s="49">
        <f>AVERAGE('26.10 BULIISA-HOIMA-24h'!M70,'28.10 BULIISA-HOIMA-24h'!M70)</f>
        <v>2</v>
      </c>
      <c r="N70" s="49">
        <f>AVERAGE('26.10 BULIISA-HOIMA-24h'!N70,'28.10 BULIISA-HOIMA-24h'!N70)</f>
        <v>0</v>
      </c>
      <c r="O70" s="15">
        <f t="shared" si="0"/>
        <v>0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AVERAGE('26.10 BULIISA-HOIMA-24h'!C71,'28.10 BULIISA-HOIMA-24h'!C71)</f>
        <v>0</v>
      </c>
      <c r="D71" s="49">
        <f>AVERAGE('26.10 BULIISA-HOIMA-24h'!D71,'28.10 BULIISA-HOIMA-24h'!D71)</f>
        <v>0</v>
      </c>
      <c r="E71" s="49">
        <f>AVERAGE('26.10 BULIISA-HOIMA-24h'!E71,'28.10 BULIISA-HOIMA-24h'!E71)</f>
        <v>0</v>
      </c>
      <c r="F71" s="49">
        <f>AVERAGE('26.10 BULIISA-HOIMA-24h'!F71,'28.10 BULIISA-HOIMA-24h'!F71)</f>
        <v>0</v>
      </c>
      <c r="G71" s="49">
        <f>AVERAGE('26.10 BULIISA-HOIMA-24h'!G71,'28.10 BULIISA-HOIMA-24h'!G71)</f>
        <v>0</v>
      </c>
      <c r="H71" s="49">
        <f>AVERAGE('26.10 BULIISA-HOIMA-24h'!H71,'28.10 BULIISA-HOIMA-24h'!H71)</f>
        <v>0</v>
      </c>
      <c r="I71" s="49">
        <f>AVERAGE('26.10 BULIISA-HOIMA-24h'!I71,'28.10 BULIISA-HOIMA-24h'!I71)</f>
        <v>0</v>
      </c>
      <c r="J71" s="49">
        <f>AVERAGE('26.10 BULIISA-HOIMA-24h'!J71,'28.10 BULIISA-HOIMA-24h'!J71)</f>
        <v>0</v>
      </c>
      <c r="K71" s="49">
        <f>AVERAGE('26.10 BULIISA-HOIMA-24h'!K71,'28.10 BULIISA-HOIMA-24h'!K71)</f>
        <v>0</v>
      </c>
      <c r="L71" s="49">
        <f>AVERAGE('26.10 BULIISA-HOIMA-24h'!L71,'28.10 BULIISA-HOIMA-24h'!L71)</f>
        <v>0</v>
      </c>
      <c r="M71" s="49">
        <f>AVERAGE('26.10 BULIISA-HOIMA-24h'!M71,'28.10 BULIISA-HOIMA-24h'!M71)</f>
        <v>2</v>
      </c>
      <c r="N71" s="49">
        <f>AVERAGE('26.10 BULIISA-HOIMA-24h'!N71,'28.10 BULIISA-HOIMA-24h'!N71)</f>
        <v>0</v>
      </c>
      <c r="O71" s="15">
        <f t="shared" si="0"/>
        <v>0</v>
      </c>
      <c r="P71" s="15">
        <f t="shared" si="1"/>
        <v>2</v>
      </c>
      <c r="R71" s="8"/>
      <c r="T71"/>
    </row>
    <row r="72" spans="2:20" ht="23.1" customHeight="1" x14ac:dyDescent="0.25">
      <c r="B72" s="23" t="s">
        <v>112</v>
      </c>
      <c r="C72" s="49">
        <f>AVERAGE('26.10 BULIISA-HOIMA-24h'!C72,'28.10 BULIISA-HOIMA-24h'!C72)</f>
        <v>0</v>
      </c>
      <c r="D72" s="49">
        <f>AVERAGE('26.10 BULIISA-HOIMA-24h'!D72,'28.10 BULIISA-HOIMA-24h'!D72)</f>
        <v>0</v>
      </c>
      <c r="E72" s="49">
        <f>AVERAGE('26.10 BULIISA-HOIMA-24h'!E72,'28.10 BULIISA-HOIMA-24h'!E72)</f>
        <v>0</v>
      </c>
      <c r="F72" s="49">
        <f>AVERAGE('26.10 BULIISA-HOIMA-24h'!F72,'28.10 BULIISA-HOIMA-24h'!F72)</f>
        <v>0</v>
      </c>
      <c r="G72" s="49">
        <f>AVERAGE('26.10 BULIISA-HOIMA-24h'!G72,'28.10 BULIISA-HOIMA-24h'!G72)</f>
        <v>0</v>
      </c>
      <c r="H72" s="49">
        <f>AVERAGE('26.10 BULIISA-HOIMA-24h'!H72,'28.10 BULIISA-HOIMA-24h'!H72)</f>
        <v>0</v>
      </c>
      <c r="I72" s="49">
        <f>AVERAGE('26.10 BULIISA-HOIMA-24h'!I72,'28.10 BULIISA-HOIMA-24h'!I72)</f>
        <v>0</v>
      </c>
      <c r="J72" s="49">
        <f>AVERAGE('26.10 BULIISA-HOIMA-24h'!J72,'28.10 BULIISA-HOIMA-24h'!J72)</f>
        <v>0</v>
      </c>
      <c r="K72" s="49">
        <f>AVERAGE('26.10 BULIISA-HOIMA-24h'!K72,'28.10 BULIISA-HOIMA-24h'!K72)</f>
        <v>0</v>
      </c>
      <c r="L72" s="49">
        <f>AVERAGE('26.10 BULIISA-HOIMA-24h'!L72,'28.10 BULIISA-HOIMA-24h'!L72)</f>
        <v>0</v>
      </c>
      <c r="M72" s="49">
        <f>AVERAGE('26.10 BULIISA-HOIMA-24h'!M72,'28.10 BULIISA-HOIMA-24h'!M72)</f>
        <v>2.5</v>
      </c>
      <c r="N72" s="49">
        <f>AVERAGE('26.10 BULIISA-HOIMA-24h'!N72,'28.10 BULIISA-HOIMA-24h'!N72)</f>
        <v>0</v>
      </c>
      <c r="O72" s="15">
        <f t="shared" si="0"/>
        <v>0</v>
      </c>
      <c r="P72" s="15">
        <f t="shared" si="1"/>
        <v>2.5</v>
      </c>
      <c r="R72" s="8"/>
      <c r="T72"/>
    </row>
    <row r="73" spans="2:20" ht="23.1" customHeight="1" x14ac:dyDescent="0.25">
      <c r="B73" s="23" t="s">
        <v>113</v>
      </c>
      <c r="C73" s="49">
        <f>AVERAGE('26.10 BULIISA-HOIMA-24h'!C73,'28.10 BULIISA-HOIMA-24h'!C73)</f>
        <v>0</v>
      </c>
      <c r="D73" s="49">
        <f>AVERAGE('26.10 BULIISA-HOIMA-24h'!D73,'28.10 BULIISA-HOIMA-24h'!D73)</f>
        <v>0</v>
      </c>
      <c r="E73" s="49">
        <f>AVERAGE('26.10 BULIISA-HOIMA-24h'!E73,'28.10 BULIISA-HOIMA-24h'!E73)</f>
        <v>0</v>
      </c>
      <c r="F73" s="49">
        <f>AVERAGE('26.10 BULIISA-HOIMA-24h'!F73,'28.10 BULIISA-HOIMA-24h'!F73)</f>
        <v>0</v>
      </c>
      <c r="G73" s="49">
        <f>AVERAGE('26.10 BULIISA-HOIMA-24h'!G73,'28.10 BULIISA-HOIMA-24h'!G73)</f>
        <v>0</v>
      </c>
      <c r="H73" s="49">
        <f>AVERAGE('26.10 BULIISA-HOIMA-24h'!H73,'28.10 BULIISA-HOIMA-24h'!H73)</f>
        <v>0</v>
      </c>
      <c r="I73" s="49">
        <f>AVERAGE('26.10 BULIISA-HOIMA-24h'!I73,'28.10 BULIISA-HOIMA-24h'!I73)</f>
        <v>0</v>
      </c>
      <c r="J73" s="49">
        <f>AVERAGE('26.10 BULIISA-HOIMA-24h'!J73,'28.10 BULIISA-HOIMA-24h'!J73)</f>
        <v>0</v>
      </c>
      <c r="K73" s="49">
        <f>AVERAGE('26.10 BULIISA-HOIMA-24h'!K73,'28.10 BULIISA-HOIMA-24h'!K73)</f>
        <v>0</v>
      </c>
      <c r="L73" s="49">
        <f>AVERAGE('26.10 BULIISA-HOIMA-24h'!L73,'28.10 BULIISA-HOIMA-24h'!L73)</f>
        <v>0</v>
      </c>
      <c r="M73" s="49">
        <f>AVERAGE('26.10 BULIISA-HOIMA-24h'!M73,'28.10 BULIISA-HOIMA-24h'!M73)</f>
        <v>1</v>
      </c>
      <c r="N73" s="49">
        <f>AVERAGE('26.10 BULIISA-HOIMA-24h'!N73,'28.10 BULIISA-HOIMA-24h'!N73)</f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23" t="s">
        <v>114</v>
      </c>
      <c r="C74" s="49">
        <f>AVERAGE('26.10 BULIISA-HOIMA-24h'!C74,'28.10 BULIISA-HOIMA-24h'!C74)</f>
        <v>0</v>
      </c>
      <c r="D74" s="49">
        <f>AVERAGE('26.10 BULIISA-HOIMA-24h'!D74,'28.10 BULIISA-HOIMA-24h'!D74)</f>
        <v>0</v>
      </c>
      <c r="E74" s="49">
        <f>AVERAGE('26.10 BULIISA-HOIMA-24h'!E74,'28.10 BULIISA-HOIMA-24h'!E74)</f>
        <v>0</v>
      </c>
      <c r="F74" s="49">
        <f>AVERAGE('26.10 BULIISA-HOIMA-24h'!F74,'28.10 BULIISA-HOIMA-24h'!F74)</f>
        <v>0</v>
      </c>
      <c r="G74" s="49">
        <f>AVERAGE('26.10 BULIISA-HOIMA-24h'!G74,'28.10 BULIISA-HOIMA-24h'!G74)</f>
        <v>0</v>
      </c>
      <c r="H74" s="49">
        <f>AVERAGE('26.10 BULIISA-HOIMA-24h'!H74,'28.10 BULIISA-HOIMA-24h'!H74)</f>
        <v>0</v>
      </c>
      <c r="I74" s="49">
        <f>AVERAGE('26.10 BULIISA-HOIMA-24h'!I74,'28.10 BULIISA-HOIMA-24h'!I74)</f>
        <v>0</v>
      </c>
      <c r="J74" s="49">
        <f>AVERAGE('26.10 BULIISA-HOIMA-24h'!J74,'28.10 BULIISA-HOIMA-24h'!J74)</f>
        <v>0</v>
      </c>
      <c r="K74" s="49">
        <f>AVERAGE('26.10 BULIISA-HOIMA-24h'!K74,'28.10 BULIISA-HOIMA-24h'!K74)</f>
        <v>0</v>
      </c>
      <c r="L74" s="49">
        <f>AVERAGE('26.10 BULIISA-HOIMA-24h'!L74,'28.10 BULIISA-HOIMA-24h'!L74)</f>
        <v>0</v>
      </c>
      <c r="M74" s="49">
        <f>AVERAGE('26.10 BULIISA-HOIMA-24h'!M74,'28.10 BULIISA-HOIMA-24h'!M74)</f>
        <v>0</v>
      </c>
      <c r="N74" s="49">
        <f>AVERAGE('26.10 BULIISA-HOIMA-24h'!N74,'28.10 BULIISA-HOIMA-24h'!N74)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23" t="s">
        <v>115</v>
      </c>
      <c r="C75" s="49">
        <f>AVERAGE('26.10 BULIISA-HOIMA-24h'!C75,'28.10 BULIISA-HOIMA-24h'!C75)</f>
        <v>0</v>
      </c>
      <c r="D75" s="49">
        <f>AVERAGE('26.10 BULIISA-HOIMA-24h'!D75,'28.10 BULIISA-HOIMA-24h'!D75)</f>
        <v>0</v>
      </c>
      <c r="E75" s="49">
        <f>AVERAGE('26.10 BULIISA-HOIMA-24h'!E75,'28.10 BULIISA-HOIMA-24h'!E75)</f>
        <v>0</v>
      </c>
      <c r="F75" s="49">
        <f>AVERAGE('26.10 BULIISA-HOIMA-24h'!F75,'28.10 BULIISA-HOIMA-24h'!F75)</f>
        <v>0</v>
      </c>
      <c r="G75" s="49">
        <f>AVERAGE('26.10 BULIISA-HOIMA-24h'!G75,'28.10 BULIISA-HOIMA-24h'!G75)</f>
        <v>0</v>
      </c>
      <c r="H75" s="49">
        <f>AVERAGE('26.10 BULIISA-HOIMA-24h'!H75,'28.10 BULIISA-HOIMA-24h'!H75)</f>
        <v>0</v>
      </c>
      <c r="I75" s="49">
        <f>AVERAGE('26.10 BULIISA-HOIMA-24h'!I75,'28.10 BULIISA-HOIMA-24h'!I75)</f>
        <v>0</v>
      </c>
      <c r="J75" s="49">
        <f>AVERAGE('26.10 BULIISA-HOIMA-24h'!J75,'28.10 BULIISA-HOIMA-24h'!J75)</f>
        <v>0</v>
      </c>
      <c r="K75" s="49">
        <f>AVERAGE('26.10 BULIISA-HOIMA-24h'!K75,'28.10 BULIISA-HOIMA-24h'!K75)</f>
        <v>0</v>
      </c>
      <c r="L75" s="49">
        <f>AVERAGE('26.10 BULIISA-HOIMA-24h'!L75,'28.10 BULIISA-HOIMA-24h'!L75)</f>
        <v>0</v>
      </c>
      <c r="M75" s="49">
        <f>AVERAGE('26.10 BULIISA-HOIMA-24h'!M75,'28.10 BULIISA-HOIMA-24h'!M75)</f>
        <v>0</v>
      </c>
      <c r="N75" s="49">
        <f>AVERAGE('26.10 BULIISA-HOIMA-24h'!N75,'28.10 BULIISA-HOIMA-24h'!N75)</f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23" t="s">
        <v>116</v>
      </c>
      <c r="C76" s="49">
        <f>AVERAGE('26.10 BULIISA-HOIMA-24h'!C76,'28.10 BULIISA-HOIMA-24h'!C76)</f>
        <v>0</v>
      </c>
      <c r="D76" s="49">
        <f>AVERAGE('26.10 BULIISA-HOIMA-24h'!D76,'28.10 BULIISA-HOIMA-24h'!D76)</f>
        <v>0</v>
      </c>
      <c r="E76" s="49">
        <f>AVERAGE('26.10 BULIISA-HOIMA-24h'!E76,'28.10 BULIISA-HOIMA-24h'!E76)</f>
        <v>0</v>
      </c>
      <c r="F76" s="49">
        <f>AVERAGE('26.10 BULIISA-HOIMA-24h'!F76,'28.10 BULIISA-HOIMA-24h'!F76)</f>
        <v>0</v>
      </c>
      <c r="G76" s="49">
        <f>AVERAGE('26.10 BULIISA-HOIMA-24h'!G76,'28.10 BULIISA-HOIMA-24h'!G76)</f>
        <v>0</v>
      </c>
      <c r="H76" s="49">
        <f>AVERAGE('26.10 BULIISA-HOIMA-24h'!H76,'28.10 BULIISA-HOIMA-24h'!H76)</f>
        <v>0</v>
      </c>
      <c r="I76" s="49">
        <f>AVERAGE('26.10 BULIISA-HOIMA-24h'!I76,'28.10 BULIISA-HOIMA-24h'!I76)</f>
        <v>0</v>
      </c>
      <c r="J76" s="49">
        <f>AVERAGE('26.10 BULIISA-HOIMA-24h'!J76,'28.10 BULIISA-HOIMA-24h'!J76)</f>
        <v>0</v>
      </c>
      <c r="K76" s="49">
        <f>AVERAGE('26.10 BULIISA-HOIMA-24h'!K76,'28.10 BULIISA-HOIMA-24h'!K76)</f>
        <v>0</v>
      </c>
      <c r="L76" s="49">
        <f>AVERAGE('26.10 BULIISA-HOIMA-24h'!L76,'28.10 BULIISA-HOIMA-24h'!L76)</f>
        <v>0</v>
      </c>
      <c r="M76" s="49">
        <f>AVERAGE('26.10 BULIISA-HOIMA-24h'!M76,'28.10 BULIISA-HOIMA-24h'!M76)</f>
        <v>0.5</v>
      </c>
      <c r="N76" s="49">
        <f>AVERAGE('26.10 BULIISA-HOIMA-24h'!N76,'28.10 BULIISA-HOIMA-24h'!N76)</f>
        <v>0</v>
      </c>
      <c r="O76" s="15">
        <f t="shared" si="35"/>
        <v>0</v>
      </c>
      <c r="P76" s="15">
        <f t="shared" si="36"/>
        <v>0.5</v>
      </c>
      <c r="R76" s="8"/>
      <c r="T76"/>
    </row>
    <row r="77" spans="2:20" ht="23.1" customHeight="1" x14ac:dyDescent="0.25">
      <c r="B77" s="23" t="s">
        <v>117</v>
      </c>
      <c r="C77" s="49">
        <f>AVERAGE('26.10 BULIISA-HOIMA-24h'!C77,'28.10 BULIISA-HOIMA-24h'!C77)</f>
        <v>0</v>
      </c>
      <c r="D77" s="49">
        <f>AVERAGE('26.10 BULIISA-HOIMA-24h'!D77,'28.10 BULIISA-HOIMA-24h'!D77)</f>
        <v>0</v>
      </c>
      <c r="E77" s="49">
        <f>AVERAGE('26.10 BULIISA-HOIMA-24h'!E77,'28.10 BULIISA-HOIMA-24h'!E77)</f>
        <v>0</v>
      </c>
      <c r="F77" s="49">
        <f>AVERAGE('26.10 BULIISA-HOIMA-24h'!F77,'28.10 BULIISA-HOIMA-24h'!F77)</f>
        <v>0</v>
      </c>
      <c r="G77" s="49">
        <f>AVERAGE('26.10 BULIISA-HOIMA-24h'!G77,'28.10 BULIISA-HOIMA-24h'!G77)</f>
        <v>0</v>
      </c>
      <c r="H77" s="49">
        <f>AVERAGE('26.10 BULIISA-HOIMA-24h'!H77,'28.10 BULIISA-HOIMA-24h'!H77)</f>
        <v>0</v>
      </c>
      <c r="I77" s="49">
        <f>AVERAGE('26.10 BULIISA-HOIMA-24h'!I77,'28.10 BULIISA-HOIMA-24h'!I77)</f>
        <v>0</v>
      </c>
      <c r="J77" s="49">
        <f>AVERAGE('26.10 BULIISA-HOIMA-24h'!J77,'28.10 BULIISA-HOIMA-24h'!J77)</f>
        <v>0.5</v>
      </c>
      <c r="K77" s="49">
        <f>AVERAGE('26.10 BULIISA-HOIMA-24h'!K77,'28.10 BULIISA-HOIMA-24h'!K77)</f>
        <v>0</v>
      </c>
      <c r="L77" s="49">
        <f>AVERAGE('26.10 BULIISA-HOIMA-24h'!L77,'28.10 BULIISA-HOIMA-24h'!L77)</f>
        <v>0</v>
      </c>
      <c r="M77" s="49">
        <f>AVERAGE('26.10 BULIISA-HOIMA-24h'!M77,'28.10 BULIISA-HOIMA-24h'!M77)</f>
        <v>0</v>
      </c>
      <c r="N77" s="49">
        <f>AVERAGE('26.10 BULIISA-HOIMA-24h'!N77,'28.10 BULIISA-HOIMA-24h'!N77)</f>
        <v>0</v>
      </c>
      <c r="O77" s="15">
        <f t="shared" si="35"/>
        <v>0.5</v>
      </c>
      <c r="P77" s="15">
        <f t="shared" si="36"/>
        <v>0.5</v>
      </c>
      <c r="R77" s="8"/>
      <c r="T77"/>
    </row>
    <row r="78" spans="2:20" ht="23.1" customHeight="1" x14ac:dyDescent="0.25">
      <c r="B78" s="24" t="s">
        <v>118</v>
      </c>
      <c r="C78" s="49">
        <f>AVERAGE('26.10 BULIISA-HOIMA-24h'!C78,'28.10 BULIISA-HOIMA-24h'!C78)</f>
        <v>0</v>
      </c>
      <c r="D78" s="49">
        <f>AVERAGE('26.10 BULIISA-HOIMA-24h'!D78,'28.10 BULIISA-HOIMA-24h'!D78)</f>
        <v>0</v>
      </c>
      <c r="E78" s="49">
        <f>AVERAGE('26.10 BULIISA-HOIMA-24h'!E78,'28.10 BULIISA-HOIMA-24h'!E78)</f>
        <v>0</v>
      </c>
      <c r="F78" s="49">
        <f>AVERAGE('26.10 BULIISA-HOIMA-24h'!F78,'28.10 BULIISA-HOIMA-24h'!F78)</f>
        <v>0</v>
      </c>
      <c r="G78" s="49">
        <f>AVERAGE('26.10 BULIISA-HOIMA-24h'!G78,'28.10 BULIISA-HOIMA-24h'!G78)</f>
        <v>0</v>
      </c>
      <c r="H78" s="49">
        <f>AVERAGE('26.10 BULIISA-HOIMA-24h'!H78,'28.10 BULIISA-HOIMA-24h'!H78)</f>
        <v>0</v>
      </c>
      <c r="I78" s="49">
        <f>AVERAGE('26.10 BULIISA-HOIMA-24h'!I78,'28.10 BULIISA-HOIMA-24h'!I78)</f>
        <v>0</v>
      </c>
      <c r="J78" s="49">
        <f>AVERAGE('26.10 BULIISA-HOIMA-24h'!J78,'28.10 BULIISA-HOIMA-24h'!J78)</f>
        <v>0</v>
      </c>
      <c r="K78" s="49">
        <f>AVERAGE('26.10 BULIISA-HOIMA-24h'!K78,'28.10 BULIISA-HOIMA-24h'!K78)</f>
        <v>0</v>
      </c>
      <c r="L78" s="49">
        <f>AVERAGE('26.10 BULIISA-HOIMA-24h'!L78,'28.10 BULIISA-HOIMA-24h'!L78)</f>
        <v>0</v>
      </c>
      <c r="M78" s="49">
        <f>AVERAGE('26.10 BULIISA-HOIMA-24h'!M78,'28.10 BULIISA-HOIMA-24h'!M78)</f>
        <v>0.5</v>
      </c>
      <c r="N78" s="49">
        <f>AVERAGE('26.10 BULIISA-HOIMA-24h'!N78,'28.10 BULIISA-HOIMA-24h'!N78)</f>
        <v>0</v>
      </c>
      <c r="O78" s="15">
        <f t="shared" si="35"/>
        <v>0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AVERAGE('26.10 BULIISA-HOIMA-24h'!C79,'28.10 BULIISA-HOIMA-24h'!C79)</f>
        <v>0</v>
      </c>
      <c r="D79" s="49">
        <f>AVERAGE('26.10 BULIISA-HOIMA-24h'!D79,'28.10 BULIISA-HOIMA-24h'!D79)</f>
        <v>0</v>
      </c>
      <c r="E79" s="49">
        <f>AVERAGE('26.10 BULIISA-HOIMA-24h'!E79,'28.10 BULIISA-HOIMA-24h'!E79)</f>
        <v>0</v>
      </c>
      <c r="F79" s="49">
        <f>AVERAGE('26.10 BULIISA-HOIMA-24h'!F79,'28.10 BULIISA-HOIMA-24h'!F79)</f>
        <v>0</v>
      </c>
      <c r="G79" s="49">
        <f>AVERAGE('26.10 BULIISA-HOIMA-24h'!G79,'28.10 BULIISA-HOIMA-24h'!G79)</f>
        <v>0</v>
      </c>
      <c r="H79" s="49">
        <f>AVERAGE('26.10 BULIISA-HOIMA-24h'!H79,'28.10 BULIISA-HOIMA-24h'!H79)</f>
        <v>0</v>
      </c>
      <c r="I79" s="49">
        <f>AVERAGE('26.10 BULIISA-HOIMA-24h'!I79,'28.10 BULIISA-HOIMA-24h'!I79)</f>
        <v>0</v>
      </c>
      <c r="J79" s="49">
        <f>AVERAGE('26.10 BULIISA-HOIMA-24h'!J79,'28.10 BULIISA-HOIMA-24h'!J79)</f>
        <v>0</v>
      </c>
      <c r="K79" s="49">
        <f>AVERAGE('26.10 BULIISA-HOIMA-24h'!K79,'28.10 BULIISA-HOIMA-24h'!K79)</f>
        <v>0</v>
      </c>
      <c r="L79" s="49">
        <f>AVERAGE('26.10 BULIISA-HOIMA-24h'!L79,'28.10 BULIISA-HOIMA-24h'!L79)</f>
        <v>0</v>
      </c>
      <c r="M79" s="49">
        <f>AVERAGE('26.10 BULIISA-HOIMA-24h'!M79,'28.10 BULIISA-HOIMA-24h'!M79)</f>
        <v>0.5</v>
      </c>
      <c r="N79" s="49">
        <f>AVERAGE('26.10 BULIISA-HOIMA-24h'!N79,'28.10 BULIISA-HOIMA-24h'!N79)</f>
        <v>0</v>
      </c>
      <c r="O79" s="15">
        <f t="shared" si="35"/>
        <v>0</v>
      </c>
      <c r="P79" s="15">
        <f t="shared" si="36"/>
        <v>0.5</v>
      </c>
      <c r="R79" s="8"/>
      <c r="T79"/>
    </row>
    <row r="80" spans="2:20" ht="23.1" customHeight="1" x14ac:dyDescent="0.25">
      <c r="B80" s="25" t="s">
        <v>120</v>
      </c>
      <c r="C80" s="49">
        <f>AVERAGE('26.10 BULIISA-HOIMA-24h'!C80,'28.10 BULIISA-HOIMA-24h'!C80)</f>
        <v>0</v>
      </c>
      <c r="D80" s="49">
        <f>AVERAGE('26.10 BULIISA-HOIMA-24h'!D80,'28.10 BULIISA-HOIMA-24h'!D80)</f>
        <v>0</v>
      </c>
      <c r="E80" s="49">
        <f>AVERAGE('26.10 BULIISA-HOIMA-24h'!E80,'28.10 BULIISA-HOIMA-24h'!E80)</f>
        <v>0</v>
      </c>
      <c r="F80" s="49">
        <f>AVERAGE('26.10 BULIISA-HOIMA-24h'!F80,'28.10 BULIISA-HOIMA-24h'!F80)</f>
        <v>0</v>
      </c>
      <c r="G80" s="49">
        <f>AVERAGE('26.10 BULIISA-HOIMA-24h'!G80,'28.10 BULIISA-HOIMA-24h'!G80)</f>
        <v>0</v>
      </c>
      <c r="H80" s="49">
        <f>AVERAGE('26.10 BULIISA-HOIMA-24h'!H80,'28.10 BULIISA-HOIMA-24h'!H80)</f>
        <v>0</v>
      </c>
      <c r="I80" s="49">
        <f>AVERAGE('26.10 BULIISA-HOIMA-24h'!I80,'28.10 BULIISA-HOIMA-24h'!I80)</f>
        <v>0</v>
      </c>
      <c r="J80" s="49">
        <f>AVERAGE('26.10 BULIISA-HOIMA-24h'!J80,'28.10 BULIISA-HOIMA-24h'!J80)</f>
        <v>0</v>
      </c>
      <c r="K80" s="49">
        <f>AVERAGE('26.10 BULIISA-HOIMA-24h'!K80,'28.10 BULIISA-HOIMA-24h'!K80)</f>
        <v>0</v>
      </c>
      <c r="L80" s="49">
        <f>AVERAGE('26.10 BULIISA-HOIMA-24h'!L80,'28.10 BULIISA-HOIMA-24h'!L80)</f>
        <v>0</v>
      </c>
      <c r="M80" s="49">
        <f>AVERAGE('26.10 BULIISA-HOIMA-24h'!M80,'28.10 BULIISA-HOIMA-24h'!M80)</f>
        <v>0</v>
      </c>
      <c r="N80" s="49">
        <f>AVERAGE('26.10 BULIISA-HOIMA-24h'!N80,'28.10 BULIISA-HOIMA-24h'!N80)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AVERAGE('26.10 BULIISA-HOIMA-24h'!C81,'28.10 BULIISA-HOIMA-24h'!C81)</f>
        <v>0</v>
      </c>
      <c r="D81" s="49">
        <f>AVERAGE('26.10 BULIISA-HOIMA-24h'!D81,'28.10 BULIISA-HOIMA-24h'!D81)</f>
        <v>0</v>
      </c>
      <c r="E81" s="49">
        <f>AVERAGE('26.10 BULIISA-HOIMA-24h'!E81,'28.10 BULIISA-HOIMA-24h'!E81)</f>
        <v>0</v>
      </c>
      <c r="F81" s="49">
        <f>AVERAGE('26.10 BULIISA-HOIMA-24h'!F81,'28.10 BULIISA-HOIMA-24h'!F81)</f>
        <v>0</v>
      </c>
      <c r="G81" s="49">
        <f>AVERAGE('26.10 BULIISA-HOIMA-24h'!G81,'28.10 BULIISA-HOIMA-24h'!G81)</f>
        <v>0</v>
      </c>
      <c r="H81" s="49">
        <f>AVERAGE('26.10 BULIISA-HOIMA-24h'!H81,'28.10 BULIISA-HOIMA-24h'!H81)</f>
        <v>0</v>
      </c>
      <c r="I81" s="49">
        <f>AVERAGE('26.10 BULIISA-HOIMA-24h'!I81,'28.10 BULIISA-HOIMA-24h'!I81)</f>
        <v>0</v>
      </c>
      <c r="J81" s="49">
        <f>AVERAGE('26.10 BULIISA-HOIMA-24h'!J81,'28.10 BULIISA-HOIMA-24h'!J81)</f>
        <v>0</v>
      </c>
      <c r="K81" s="49">
        <f>AVERAGE('26.10 BULIISA-HOIMA-24h'!K81,'28.10 BULIISA-HOIMA-24h'!K81)</f>
        <v>0</v>
      </c>
      <c r="L81" s="49">
        <f>AVERAGE('26.10 BULIISA-HOIMA-24h'!L81,'28.10 BULIISA-HOIMA-24h'!L81)</f>
        <v>0</v>
      </c>
      <c r="M81" s="49">
        <f>AVERAGE('26.10 BULIISA-HOIMA-24h'!M81,'28.10 BULIISA-HOIMA-24h'!M81)</f>
        <v>0.5</v>
      </c>
      <c r="N81" s="49">
        <f>AVERAGE('26.10 BULIISA-HOIMA-24h'!N81,'28.10 BULIISA-HOIMA-24h'!N81)</f>
        <v>0</v>
      </c>
      <c r="O81" s="15">
        <f t="shared" si="35"/>
        <v>0</v>
      </c>
      <c r="P81" s="15">
        <f t="shared" si="36"/>
        <v>0.5</v>
      </c>
      <c r="R81" s="8"/>
      <c r="T81"/>
    </row>
    <row r="82" spans="2:20" ht="23.1" customHeight="1" x14ac:dyDescent="0.25">
      <c r="B82" s="24" t="s">
        <v>122</v>
      </c>
      <c r="C82" s="49">
        <f>AVERAGE('26.10 BULIISA-HOIMA-24h'!C82,'28.10 BULIISA-HOIMA-24h'!C82)</f>
        <v>0</v>
      </c>
      <c r="D82" s="49">
        <f>AVERAGE('26.10 BULIISA-HOIMA-24h'!D82,'28.10 BULIISA-HOIMA-24h'!D82)</f>
        <v>0</v>
      </c>
      <c r="E82" s="49">
        <f>AVERAGE('26.10 BULIISA-HOIMA-24h'!E82,'28.10 BULIISA-HOIMA-24h'!E82)</f>
        <v>0</v>
      </c>
      <c r="F82" s="49">
        <f>AVERAGE('26.10 BULIISA-HOIMA-24h'!F82,'28.10 BULIISA-HOIMA-24h'!F82)</f>
        <v>0</v>
      </c>
      <c r="G82" s="49">
        <f>AVERAGE('26.10 BULIISA-HOIMA-24h'!G82,'28.10 BULIISA-HOIMA-24h'!G82)</f>
        <v>0</v>
      </c>
      <c r="H82" s="49">
        <f>AVERAGE('26.10 BULIISA-HOIMA-24h'!H82,'28.10 BULIISA-HOIMA-24h'!H82)</f>
        <v>0</v>
      </c>
      <c r="I82" s="49">
        <f>AVERAGE('26.10 BULIISA-HOIMA-24h'!I82,'28.10 BULIISA-HOIMA-24h'!I82)</f>
        <v>0</v>
      </c>
      <c r="J82" s="49">
        <f>AVERAGE('26.10 BULIISA-HOIMA-24h'!J82,'28.10 BULIISA-HOIMA-24h'!J82)</f>
        <v>0</v>
      </c>
      <c r="K82" s="49">
        <f>AVERAGE('26.10 BULIISA-HOIMA-24h'!K82,'28.10 BULIISA-HOIMA-24h'!K82)</f>
        <v>0</v>
      </c>
      <c r="L82" s="49">
        <f>AVERAGE('26.10 BULIISA-HOIMA-24h'!L82,'28.10 BULIISA-HOIMA-24h'!L82)</f>
        <v>0</v>
      </c>
      <c r="M82" s="49">
        <f>AVERAGE('26.10 BULIISA-HOIMA-24h'!M82,'28.10 BULIISA-HOIMA-24h'!M82)</f>
        <v>0.5</v>
      </c>
      <c r="N82" s="49">
        <f>AVERAGE('26.10 BULIISA-HOIMA-24h'!N82,'28.10 BULIISA-HOIMA-24h'!N82)</f>
        <v>0</v>
      </c>
      <c r="O82" s="15">
        <f t="shared" si="35"/>
        <v>0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AVERAGE('26.10 BULIISA-HOIMA-24h'!C83,'28.10 BULIISA-HOIMA-24h'!C83)</f>
        <v>0</v>
      </c>
      <c r="D83" s="49">
        <f>AVERAGE('26.10 BULIISA-HOIMA-24h'!D83,'28.10 BULIISA-HOIMA-24h'!D83)</f>
        <v>0</v>
      </c>
      <c r="E83" s="49">
        <f>AVERAGE('26.10 BULIISA-HOIMA-24h'!E83,'28.10 BULIISA-HOIMA-24h'!E83)</f>
        <v>0</v>
      </c>
      <c r="F83" s="49">
        <f>AVERAGE('26.10 BULIISA-HOIMA-24h'!F83,'28.10 BULIISA-HOIMA-24h'!F83)</f>
        <v>0</v>
      </c>
      <c r="G83" s="49">
        <f>AVERAGE('26.10 BULIISA-HOIMA-24h'!G83,'28.10 BULIISA-HOIMA-24h'!G83)</f>
        <v>0</v>
      </c>
      <c r="H83" s="49">
        <f>AVERAGE('26.10 BULIISA-HOIMA-24h'!H83,'28.10 BULIISA-HOIMA-24h'!H83)</f>
        <v>0</v>
      </c>
      <c r="I83" s="49">
        <f>AVERAGE('26.10 BULIISA-HOIMA-24h'!I83,'28.10 BULIISA-HOIMA-24h'!I83)</f>
        <v>0</v>
      </c>
      <c r="J83" s="49">
        <f>AVERAGE('26.10 BULIISA-HOIMA-24h'!J83,'28.10 BULIISA-HOIMA-24h'!J83)</f>
        <v>0</v>
      </c>
      <c r="K83" s="49">
        <f>AVERAGE('26.10 BULIISA-HOIMA-24h'!K83,'28.10 BULIISA-HOIMA-24h'!K83)</f>
        <v>0</v>
      </c>
      <c r="L83" s="49">
        <f>AVERAGE('26.10 BULIISA-HOIMA-24h'!L83,'28.10 BULIISA-HOIMA-24h'!L83)</f>
        <v>0</v>
      </c>
      <c r="M83" s="49">
        <f>AVERAGE('26.10 BULIISA-HOIMA-24h'!M83,'28.10 BULIISA-HOIMA-24h'!M83)</f>
        <v>0.5</v>
      </c>
      <c r="N83" s="49">
        <f>AVERAGE('26.10 BULIISA-HOIMA-24h'!N83,'28.10 BULIISA-HOIMA-24h'!N83)</f>
        <v>0</v>
      </c>
      <c r="O83" s="15">
        <f t="shared" si="35"/>
        <v>0</v>
      </c>
      <c r="P83" s="15">
        <f t="shared" si="36"/>
        <v>0.5</v>
      </c>
      <c r="R83" s="8"/>
      <c r="T83"/>
    </row>
    <row r="84" spans="2:20" ht="23.1" customHeight="1" x14ac:dyDescent="0.25">
      <c r="B84" s="25" t="s">
        <v>124</v>
      </c>
      <c r="C84" s="49">
        <f>AVERAGE('26.10 BULIISA-HOIMA-24h'!C84,'28.10 BULIISA-HOIMA-24h'!C84)</f>
        <v>0</v>
      </c>
      <c r="D84" s="49">
        <f>AVERAGE('26.10 BULIISA-HOIMA-24h'!D84,'28.10 BULIISA-HOIMA-24h'!D84)</f>
        <v>0</v>
      </c>
      <c r="E84" s="49">
        <f>AVERAGE('26.10 BULIISA-HOIMA-24h'!E84,'28.10 BULIISA-HOIMA-24h'!E84)</f>
        <v>0</v>
      </c>
      <c r="F84" s="49">
        <f>AVERAGE('26.10 BULIISA-HOIMA-24h'!F84,'28.10 BULIISA-HOIMA-24h'!F84)</f>
        <v>0</v>
      </c>
      <c r="G84" s="49">
        <f>AVERAGE('26.10 BULIISA-HOIMA-24h'!G84,'28.10 BULIISA-HOIMA-24h'!G84)</f>
        <v>0</v>
      </c>
      <c r="H84" s="49">
        <f>AVERAGE('26.10 BULIISA-HOIMA-24h'!H84,'28.10 BULIISA-HOIMA-24h'!H84)</f>
        <v>0</v>
      </c>
      <c r="I84" s="49">
        <f>AVERAGE('26.10 BULIISA-HOIMA-24h'!I84,'28.10 BULIISA-HOIMA-24h'!I84)</f>
        <v>0</v>
      </c>
      <c r="J84" s="49">
        <f>AVERAGE('26.10 BULIISA-HOIMA-24h'!J84,'28.10 BULIISA-HOIMA-24h'!J84)</f>
        <v>0</v>
      </c>
      <c r="K84" s="49">
        <f>AVERAGE('26.10 BULIISA-HOIMA-24h'!K84,'28.10 BULIISA-HOIMA-24h'!K84)</f>
        <v>0</v>
      </c>
      <c r="L84" s="49">
        <f>AVERAGE('26.10 BULIISA-HOIMA-24h'!L84,'28.10 BULIISA-HOIMA-24h'!L84)</f>
        <v>0</v>
      </c>
      <c r="M84" s="49">
        <f>AVERAGE('26.10 BULIISA-HOIMA-24h'!M84,'28.10 BULIISA-HOIMA-24h'!M84)</f>
        <v>0</v>
      </c>
      <c r="N84" s="49">
        <f>AVERAGE('26.10 BULIISA-HOIMA-24h'!N84,'28.10 BULIISA-HOIMA-24h'!N84)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AVERAGE('26.10 BULIISA-HOIMA-24h'!C85,'28.10 BULIISA-HOIMA-24h'!C85)</f>
        <v>0</v>
      </c>
      <c r="D85" s="49">
        <f>AVERAGE('26.10 BULIISA-HOIMA-24h'!D85,'28.10 BULIISA-HOIMA-24h'!D85)</f>
        <v>0</v>
      </c>
      <c r="E85" s="49">
        <f>AVERAGE('26.10 BULIISA-HOIMA-24h'!E85,'28.10 BULIISA-HOIMA-24h'!E85)</f>
        <v>0</v>
      </c>
      <c r="F85" s="49">
        <f>AVERAGE('26.10 BULIISA-HOIMA-24h'!F85,'28.10 BULIISA-HOIMA-24h'!F85)</f>
        <v>0</v>
      </c>
      <c r="G85" s="49">
        <f>AVERAGE('26.10 BULIISA-HOIMA-24h'!G85,'28.10 BULIISA-HOIMA-24h'!G85)</f>
        <v>0</v>
      </c>
      <c r="H85" s="49">
        <f>AVERAGE('26.10 BULIISA-HOIMA-24h'!H85,'28.10 BULIISA-HOIMA-24h'!H85)</f>
        <v>0</v>
      </c>
      <c r="I85" s="49">
        <f>AVERAGE('26.10 BULIISA-HOIMA-24h'!I85,'28.10 BULIISA-HOIMA-24h'!I85)</f>
        <v>0</v>
      </c>
      <c r="J85" s="49">
        <f>AVERAGE('26.10 BULIISA-HOIMA-24h'!J85,'28.10 BULIISA-HOIMA-24h'!J85)</f>
        <v>0</v>
      </c>
      <c r="K85" s="49">
        <f>AVERAGE('26.10 BULIISA-HOIMA-24h'!K85,'28.10 BULIISA-HOIMA-24h'!K85)</f>
        <v>0</v>
      </c>
      <c r="L85" s="49">
        <f>AVERAGE('26.10 BULIISA-HOIMA-24h'!L85,'28.10 BULIISA-HOIMA-24h'!L85)</f>
        <v>0</v>
      </c>
      <c r="M85" s="49">
        <f>AVERAGE('26.10 BULIISA-HOIMA-24h'!M85,'28.10 BULIISA-HOIMA-24h'!M85)</f>
        <v>0.5</v>
      </c>
      <c r="N85" s="49">
        <f>AVERAGE('26.10 BULIISA-HOIMA-24h'!N85,'28.10 BULIISA-HOIMA-24h'!N85)</f>
        <v>0</v>
      </c>
      <c r="O85" s="15">
        <f t="shared" si="35"/>
        <v>0</v>
      </c>
      <c r="P85" s="15">
        <f t="shared" si="36"/>
        <v>0.5</v>
      </c>
      <c r="R85" s="8"/>
      <c r="T85"/>
    </row>
    <row r="86" spans="2:20" ht="23.1" customHeight="1" x14ac:dyDescent="0.25">
      <c r="B86" s="24" t="s">
        <v>126</v>
      </c>
      <c r="C86" s="49">
        <f>AVERAGE('26.10 BULIISA-HOIMA-24h'!C86,'28.10 BULIISA-HOIMA-24h'!C86)</f>
        <v>0</v>
      </c>
      <c r="D86" s="49">
        <f>AVERAGE('26.10 BULIISA-HOIMA-24h'!D86,'28.10 BULIISA-HOIMA-24h'!D86)</f>
        <v>0</v>
      </c>
      <c r="E86" s="49">
        <f>AVERAGE('26.10 BULIISA-HOIMA-24h'!E86,'28.10 BULIISA-HOIMA-24h'!E86)</f>
        <v>0</v>
      </c>
      <c r="F86" s="49">
        <f>AVERAGE('26.10 BULIISA-HOIMA-24h'!F86,'28.10 BULIISA-HOIMA-24h'!F86)</f>
        <v>0</v>
      </c>
      <c r="G86" s="49">
        <f>AVERAGE('26.10 BULIISA-HOIMA-24h'!G86,'28.10 BULIISA-HOIMA-24h'!G86)</f>
        <v>0</v>
      </c>
      <c r="H86" s="49">
        <f>AVERAGE('26.10 BULIISA-HOIMA-24h'!H86,'28.10 BULIISA-HOIMA-24h'!H86)</f>
        <v>0</v>
      </c>
      <c r="I86" s="49">
        <f>AVERAGE('26.10 BULIISA-HOIMA-24h'!I86,'28.10 BULIISA-HOIMA-24h'!I86)</f>
        <v>0</v>
      </c>
      <c r="J86" s="49">
        <f>AVERAGE('26.10 BULIISA-HOIMA-24h'!J86,'28.10 BULIISA-HOIMA-24h'!J86)</f>
        <v>0</v>
      </c>
      <c r="K86" s="49">
        <f>AVERAGE('26.10 BULIISA-HOIMA-24h'!K86,'28.10 BULIISA-HOIMA-24h'!K86)</f>
        <v>0</v>
      </c>
      <c r="L86" s="49">
        <f>AVERAGE('26.10 BULIISA-HOIMA-24h'!L86,'28.10 BULIISA-HOIMA-24h'!L86)</f>
        <v>0</v>
      </c>
      <c r="M86" s="49">
        <f>AVERAGE('26.10 BULIISA-HOIMA-24h'!M86,'28.10 BULIISA-HOIMA-24h'!M86)</f>
        <v>0.5</v>
      </c>
      <c r="N86" s="49">
        <f>AVERAGE('26.10 BULIISA-HOIMA-24h'!N86,'28.10 BULIISA-HOIMA-24h'!N86)</f>
        <v>0</v>
      </c>
      <c r="O86" s="15">
        <f t="shared" si="35"/>
        <v>0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AVERAGE('26.10 BULIISA-HOIMA-24h'!C87,'28.10 BULIISA-HOIMA-24h'!C87)</f>
        <v>0</v>
      </c>
      <c r="D87" s="49">
        <f>AVERAGE('26.10 BULIISA-HOIMA-24h'!D87,'28.10 BULIISA-HOIMA-24h'!D87)</f>
        <v>0</v>
      </c>
      <c r="E87" s="49">
        <f>AVERAGE('26.10 BULIISA-HOIMA-24h'!E87,'28.10 BULIISA-HOIMA-24h'!E87)</f>
        <v>0</v>
      </c>
      <c r="F87" s="49">
        <f>AVERAGE('26.10 BULIISA-HOIMA-24h'!F87,'28.10 BULIISA-HOIMA-24h'!F87)</f>
        <v>0</v>
      </c>
      <c r="G87" s="49">
        <f>AVERAGE('26.10 BULIISA-HOIMA-24h'!G87,'28.10 BULIISA-HOIMA-24h'!G87)</f>
        <v>0</v>
      </c>
      <c r="H87" s="49">
        <f>AVERAGE('26.10 BULIISA-HOIMA-24h'!H87,'28.10 BULIISA-HOIMA-24h'!H87)</f>
        <v>0</v>
      </c>
      <c r="I87" s="49">
        <f>AVERAGE('26.10 BULIISA-HOIMA-24h'!I87,'28.10 BULIISA-HOIMA-24h'!I87)</f>
        <v>0</v>
      </c>
      <c r="J87" s="49">
        <f>AVERAGE('26.10 BULIISA-HOIMA-24h'!J87,'28.10 BULIISA-HOIMA-24h'!J87)</f>
        <v>0</v>
      </c>
      <c r="K87" s="49">
        <f>AVERAGE('26.10 BULIISA-HOIMA-24h'!K87,'28.10 BULIISA-HOIMA-24h'!K87)</f>
        <v>0</v>
      </c>
      <c r="L87" s="49">
        <f>AVERAGE('26.10 BULIISA-HOIMA-24h'!L87,'28.10 BULIISA-HOIMA-24h'!L87)</f>
        <v>0</v>
      </c>
      <c r="M87" s="49">
        <f>AVERAGE('26.10 BULIISA-HOIMA-24h'!M87,'28.10 BULIISA-HOIMA-24h'!M87)</f>
        <v>1</v>
      </c>
      <c r="N87" s="49">
        <f>AVERAGE('26.10 BULIISA-HOIMA-24h'!N87,'28.10 BULIISA-HOIMA-24h'!N87)</f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AVERAGE('26.10 BULIISA-HOIMA-24h'!C88,'28.10 BULIISA-HOIMA-24h'!C88)</f>
        <v>0</v>
      </c>
      <c r="D88" s="49">
        <f>AVERAGE('26.10 BULIISA-HOIMA-24h'!D88,'28.10 BULIISA-HOIMA-24h'!D88)</f>
        <v>0</v>
      </c>
      <c r="E88" s="49">
        <f>AVERAGE('26.10 BULIISA-HOIMA-24h'!E88,'28.10 BULIISA-HOIMA-24h'!E88)</f>
        <v>0</v>
      </c>
      <c r="F88" s="49">
        <f>AVERAGE('26.10 BULIISA-HOIMA-24h'!F88,'28.10 BULIISA-HOIMA-24h'!F88)</f>
        <v>0</v>
      </c>
      <c r="G88" s="49">
        <f>AVERAGE('26.10 BULIISA-HOIMA-24h'!G88,'28.10 BULIISA-HOIMA-24h'!G88)</f>
        <v>0</v>
      </c>
      <c r="H88" s="49">
        <f>AVERAGE('26.10 BULIISA-HOIMA-24h'!H88,'28.10 BULIISA-HOIMA-24h'!H88)</f>
        <v>0</v>
      </c>
      <c r="I88" s="49">
        <f>AVERAGE('26.10 BULIISA-HOIMA-24h'!I88,'28.10 BULIISA-HOIMA-24h'!I88)</f>
        <v>0</v>
      </c>
      <c r="J88" s="49">
        <f>AVERAGE('26.10 BULIISA-HOIMA-24h'!J88,'28.10 BULIISA-HOIMA-24h'!J88)</f>
        <v>0</v>
      </c>
      <c r="K88" s="49">
        <f>AVERAGE('26.10 BULIISA-HOIMA-24h'!K88,'28.10 BULIISA-HOIMA-24h'!K88)</f>
        <v>0</v>
      </c>
      <c r="L88" s="49">
        <f>AVERAGE('26.10 BULIISA-HOIMA-24h'!L88,'28.10 BULIISA-HOIMA-24h'!L88)</f>
        <v>0</v>
      </c>
      <c r="M88" s="49">
        <f>AVERAGE('26.10 BULIISA-HOIMA-24h'!M88,'28.10 BULIISA-HOIMA-24h'!M88)</f>
        <v>0.5</v>
      </c>
      <c r="N88" s="49">
        <f>AVERAGE('26.10 BULIISA-HOIMA-24h'!N88,'28.10 BULIISA-HOIMA-24h'!N88)</f>
        <v>0</v>
      </c>
      <c r="O88" s="15">
        <f t="shared" si="35"/>
        <v>0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AVERAGE('26.10 BULIISA-HOIMA-24h'!C89,'28.10 BULIISA-HOIMA-24h'!C89)</f>
        <v>0</v>
      </c>
      <c r="D89" s="49">
        <f>AVERAGE('26.10 BULIISA-HOIMA-24h'!D89,'28.10 BULIISA-HOIMA-24h'!D89)</f>
        <v>0</v>
      </c>
      <c r="E89" s="49">
        <f>AVERAGE('26.10 BULIISA-HOIMA-24h'!E89,'28.10 BULIISA-HOIMA-24h'!E89)</f>
        <v>0</v>
      </c>
      <c r="F89" s="49">
        <f>AVERAGE('26.10 BULIISA-HOIMA-24h'!F89,'28.10 BULIISA-HOIMA-24h'!F89)</f>
        <v>0</v>
      </c>
      <c r="G89" s="49">
        <f>AVERAGE('26.10 BULIISA-HOIMA-24h'!G89,'28.10 BULIISA-HOIMA-24h'!G89)</f>
        <v>0</v>
      </c>
      <c r="H89" s="49">
        <f>AVERAGE('26.10 BULIISA-HOIMA-24h'!H89,'28.10 BULIISA-HOIMA-24h'!H89)</f>
        <v>0</v>
      </c>
      <c r="I89" s="49">
        <f>AVERAGE('26.10 BULIISA-HOIMA-24h'!I89,'28.10 BULIISA-HOIMA-24h'!I89)</f>
        <v>0</v>
      </c>
      <c r="J89" s="49">
        <f>AVERAGE('26.10 BULIISA-HOIMA-24h'!J89,'28.10 BULIISA-HOIMA-24h'!J89)</f>
        <v>0</v>
      </c>
      <c r="K89" s="49">
        <f>AVERAGE('26.10 BULIISA-HOIMA-24h'!K89,'28.10 BULIISA-HOIMA-24h'!K89)</f>
        <v>0</v>
      </c>
      <c r="L89" s="49">
        <f>AVERAGE('26.10 BULIISA-HOIMA-24h'!L89,'28.10 BULIISA-HOIMA-24h'!L89)</f>
        <v>0</v>
      </c>
      <c r="M89" s="49">
        <f>AVERAGE('26.10 BULIISA-HOIMA-24h'!M89,'28.10 BULIISA-HOIMA-24h'!M89)</f>
        <v>0</v>
      </c>
      <c r="N89" s="49">
        <f>AVERAGE('26.10 BULIISA-HOIMA-24h'!N89,'28.10 BULIISA-HOIMA-24h'!N89)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AVERAGE('26.10 BULIISA-HOIMA-24h'!C90,'28.10 BULIISA-HOIMA-24h'!C90)</f>
        <v>0</v>
      </c>
      <c r="D90" s="49">
        <f>AVERAGE('26.10 BULIISA-HOIMA-24h'!D90,'28.10 BULIISA-HOIMA-24h'!D90)</f>
        <v>0</v>
      </c>
      <c r="E90" s="49">
        <f>AVERAGE('26.10 BULIISA-HOIMA-24h'!E90,'28.10 BULIISA-HOIMA-24h'!E90)</f>
        <v>0</v>
      </c>
      <c r="F90" s="49">
        <f>AVERAGE('26.10 BULIISA-HOIMA-24h'!F90,'28.10 BULIISA-HOIMA-24h'!F90)</f>
        <v>0</v>
      </c>
      <c r="G90" s="49">
        <f>AVERAGE('26.10 BULIISA-HOIMA-24h'!G90,'28.10 BULIISA-HOIMA-24h'!G90)</f>
        <v>0</v>
      </c>
      <c r="H90" s="49">
        <f>AVERAGE('26.10 BULIISA-HOIMA-24h'!H90,'28.10 BULIISA-HOIMA-24h'!H90)</f>
        <v>0</v>
      </c>
      <c r="I90" s="49">
        <f>AVERAGE('26.10 BULIISA-HOIMA-24h'!I90,'28.10 BULIISA-HOIMA-24h'!I90)</f>
        <v>0</v>
      </c>
      <c r="J90" s="49">
        <f>AVERAGE('26.10 BULIISA-HOIMA-24h'!J90,'28.10 BULIISA-HOIMA-24h'!J90)</f>
        <v>0</v>
      </c>
      <c r="K90" s="49">
        <f>AVERAGE('26.10 BULIISA-HOIMA-24h'!K90,'28.10 BULIISA-HOIMA-24h'!K90)</f>
        <v>0</v>
      </c>
      <c r="L90" s="49">
        <f>AVERAGE('26.10 BULIISA-HOIMA-24h'!L90,'28.10 BULIISA-HOIMA-24h'!L90)</f>
        <v>0</v>
      </c>
      <c r="M90" s="49">
        <f>AVERAGE('26.10 BULIISA-HOIMA-24h'!M90,'28.10 BULIISA-HOIMA-24h'!M90)</f>
        <v>0.5</v>
      </c>
      <c r="N90" s="49">
        <f>AVERAGE('26.10 BULIISA-HOIMA-24h'!N90,'28.10 BULIISA-HOIMA-24h'!N90)</f>
        <v>0</v>
      </c>
      <c r="O90" s="15">
        <f t="shared" si="35"/>
        <v>0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AVERAGE('26.10 BULIISA-HOIMA-24h'!C91,'28.10 BULIISA-HOIMA-24h'!C91)</f>
        <v>0</v>
      </c>
      <c r="D91" s="49">
        <f>AVERAGE('26.10 BULIISA-HOIMA-24h'!D91,'28.10 BULIISA-HOIMA-24h'!D91)</f>
        <v>0</v>
      </c>
      <c r="E91" s="49">
        <f>AVERAGE('26.10 BULIISA-HOIMA-24h'!E91,'28.10 BULIISA-HOIMA-24h'!E91)</f>
        <v>0</v>
      </c>
      <c r="F91" s="49">
        <f>AVERAGE('26.10 BULIISA-HOIMA-24h'!F91,'28.10 BULIISA-HOIMA-24h'!F91)</f>
        <v>0</v>
      </c>
      <c r="G91" s="49">
        <f>AVERAGE('26.10 BULIISA-HOIMA-24h'!G91,'28.10 BULIISA-HOIMA-24h'!G91)</f>
        <v>0</v>
      </c>
      <c r="H91" s="49">
        <f>AVERAGE('26.10 BULIISA-HOIMA-24h'!H91,'28.10 BULIISA-HOIMA-24h'!H91)</f>
        <v>0</v>
      </c>
      <c r="I91" s="49">
        <f>AVERAGE('26.10 BULIISA-HOIMA-24h'!I91,'28.10 BULIISA-HOIMA-24h'!I91)</f>
        <v>0</v>
      </c>
      <c r="J91" s="49">
        <f>AVERAGE('26.10 BULIISA-HOIMA-24h'!J91,'28.10 BULIISA-HOIMA-24h'!J91)</f>
        <v>0</v>
      </c>
      <c r="K91" s="49">
        <f>AVERAGE('26.10 BULIISA-HOIMA-24h'!K91,'28.10 BULIISA-HOIMA-24h'!K91)</f>
        <v>0</v>
      </c>
      <c r="L91" s="49">
        <f>AVERAGE('26.10 BULIISA-HOIMA-24h'!L91,'28.10 BULIISA-HOIMA-24h'!L91)</f>
        <v>0</v>
      </c>
      <c r="M91" s="49">
        <f>AVERAGE('26.10 BULIISA-HOIMA-24h'!M91,'28.10 BULIISA-HOIMA-24h'!M91)</f>
        <v>0.5</v>
      </c>
      <c r="N91" s="49">
        <f>AVERAGE('26.10 BULIISA-HOIMA-24h'!N91,'28.10 BULIISA-HOIMA-24h'!N91)</f>
        <v>0</v>
      </c>
      <c r="O91" s="15">
        <f t="shared" si="35"/>
        <v>0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AVERAGE('26.10 BULIISA-HOIMA-24h'!C92,'28.10 BULIISA-HOIMA-24h'!C92)</f>
        <v>0</v>
      </c>
      <c r="D92" s="49">
        <f>AVERAGE('26.10 BULIISA-HOIMA-24h'!D92,'28.10 BULIISA-HOIMA-24h'!D92)</f>
        <v>0</v>
      </c>
      <c r="E92" s="49">
        <f>AVERAGE('26.10 BULIISA-HOIMA-24h'!E92,'28.10 BULIISA-HOIMA-24h'!E92)</f>
        <v>0</v>
      </c>
      <c r="F92" s="49">
        <f>AVERAGE('26.10 BULIISA-HOIMA-24h'!F92,'28.10 BULIISA-HOIMA-24h'!F92)</f>
        <v>0</v>
      </c>
      <c r="G92" s="49">
        <f>AVERAGE('26.10 BULIISA-HOIMA-24h'!G92,'28.10 BULIISA-HOIMA-24h'!G92)</f>
        <v>0</v>
      </c>
      <c r="H92" s="49">
        <f>AVERAGE('26.10 BULIISA-HOIMA-24h'!H92,'28.10 BULIISA-HOIMA-24h'!H92)</f>
        <v>0</v>
      </c>
      <c r="I92" s="49">
        <f>AVERAGE('26.10 BULIISA-HOIMA-24h'!I92,'28.10 BULIISA-HOIMA-24h'!I92)</f>
        <v>0</v>
      </c>
      <c r="J92" s="49">
        <f>AVERAGE('26.10 BULIISA-HOIMA-24h'!J92,'28.10 BULIISA-HOIMA-24h'!J92)</f>
        <v>0</v>
      </c>
      <c r="K92" s="49">
        <f>AVERAGE('26.10 BULIISA-HOIMA-24h'!K92,'28.10 BULIISA-HOIMA-24h'!K92)</f>
        <v>0</v>
      </c>
      <c r="L92" s="49">
        <f>AVERAGE('26.10 BULIISA-HOIMA-24h'!L92,'28.10 BULIISA-HOIMA-24h'!L92)</f>
        <v>0</v>
      </c>
      <c r="M92" s="49">
        <f>AVERAGE('26.10 BULIISA-HOIMA-24h'!M92,'28.10 BULIISA-HOIMA-24h'!M92)</f>
        <v>0</v>
      </c>
      <c r="N92" s="49">
        <f>AVERAGE('26.10 BULIISA-HOIMA-24h'!N92,'28.10 BULIISA-HOIMA-24h'!N92)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AVERAGE('26.10 BULIISA-HOIMA-24h'!C93,'28.10 BULIISA-HOIMA-24h'!C93)</f>
        <v>0</v>
      </c>
      <c r="D93" s="49">
        <f>AVERAGE('26.10 BULIISA-HOIMA-24h'!D93,'28.10 BULIISA-HOIMA-24h'!D93)</f>
        <v>0</v>
      </c>
      <c r="E93" s="49">
        <f>AVERAGE('26.10 BULIISA-HOIMA-24h'!E93,'28.10 BULIISA-HOIMA-24h'!E93)</f>
        <v>0</v>
      </c>
      <c r="F93" s="49">
        <f>AVERAGE('26.10 BULIISA-HOIMA-24h'!F93,'28.10 BULIISA-HOIMA-24h'!F93)</f>
        <v>0</v>
      </c>
      <c r="G93" s="49">
        <f>AVERAGE('26.10 BULIISA-HOIMA-24h'!G93,'28.10 BULIISA-HOIMA-24h'!G93)</f>
        <v>0</v>
      </c>
      <c r="H93" s="49">
        <f>AVERAGE('26.10 BULIISA-HOIMA-24h'!H93,'28.10 BULIISA-HOIMA-24h'!H93)</f>
        <v>0</v>
      </c>
      <c r="I93" s="49">
        <f>AVERAGE('26.10 BULIISA-HOIMA-24h'!I93,'28.10 BULIISA-HOIMA-24h'!I93)</f>
        <v>0</v>
      </c>
      <c r="J93" s="49">
        <f>AVERAGE('26.10 BULIISA-HOIMA-24h'!J93,'28.10 BULIISA-HOIMA-24h'!J93)</f>
        <v>0</v>
      </c>
      <c r="K93" s="49">
        <f>AVERAGE('26.10 BULIISA-HOIMA-24h'!K93,'28.10 BULIISA-HOIMA-24h'!K93)</f>
        <v>0</v>
      </c>
      <c r="L93" s="49">
        <f>AVERAGE('26.10 BULIISA-HOIMA-24h'!L93,'28.10 BULIISA-HOIMA-24h'!L93)</f>
        <v>0</v>
      </c>
      <c r="M93" s="49">
        <f>AVERAGE('26.10 BULIISA-HOIMA-24h'!M93,'28.10 BULIISA-HOIMA-24h'!M93)</f>
        <v>0.5</v>
      </c>
      <c r="N93" s="49">
        <f>AVERAGE('26.10 BULIISA-HOIMA-24h'!N93,'28.10 BULIISA-HOIMA-24h'!N93)</f>
        <v>0</v>
      </c>
      <c r="O93" s="15">
        <f t="shared" si="35"/>
        <v>0</v>
      </c>
      <c r="P93" s="15">
        <f t="shared" si="36"/>
        <v>0.5</v>
      </c>
      <c r="R93" s="8"/>
      <c r="T93"/>
    </row>
    <row r="94" spans="2:20" ht="23.1" customHeight="1" x14ac:dyDescent="0.25">
      <c r="B94" s="24" t="s">
        <v>134</v>
      </c>
      <c r="C94" s="49">
        <f>AVERAGE('26.10 BULIISA-HOIMA-24h'!C94,'28.10 BULIISA-HOIMA-24h'!C94)</f>
        <v>0</v>
      </c>
      <c r="D94" s="49">
        <f>AVERAGE('26.10 BULIISA-HOIMA-24h'!D94,'28.10 BULIISA-HOIMA-24h'!D94)</f>
        <v>0</v>
      </c>
      <c r="E94" s="49">
        <f>AVERAGE('26.10 BULIISA-HOIMA-24h'!E94,'28.10 BULIISA-HOIMA-24h'!E94)</f>
        <v>0</v>
      </c>
      <c r="F94" s="49">
        <f>AVERAGE('26.10 BULIISA-HOIMA-24h'!F94,'28.10 BULIISA-HOIMA-24h'!F94)</f>
        <v>0</v>
      </c>
      <c r="G94" s="49">
        <f>AVERAGE('26.10 BULIISA-HOIMA-24h'!G94,'28.10 BULIISA-HOIMA-24h'!G94)</f>
        <v>0</v>
      </c>
      <c r="H94" s="49">
        <f>AVERAGE('26.10 BULIISA-HOIMA-24h'!H94,'28.10 BULIISA-HOIMA-24h'!H94)</f>
        <v>0</v>
      </c>
      <c r="I94" s="49">
        <f>AVERAGE('26.10 BULIISA-HOIMA-24h'!I94,'28.10 BULIISA-HOIMA-24h'!I94)</f>
        <v>0</v>
      </c>
      <c r="J94" s="49">
        <f>AVERAGE('26.10 BULIISA-HOIMA-24h'!J94,'28.10 BULIISA-HOIMA-24h'!J94)</f>
        <v>0</v>
      </c>
      <c r="K94" s="49">
        <f>AVERAGE('26.10 BULIISA-HOIMA-24h'!K94,'28.10 BULIISA-HOIMA-24h'!K94)</f>
        <v>0</v>
      </c>
      <c r="L94" s="49">
        <f>AVERAGE('26.10 BULIISA-HOIMA-24h'!L94,'28.10 BULIISA-HOIMA-24h'!L94)</f>
        <v>0</v>
      </c>
      <c r="M94" s="49">
        <f>AVERAGE('26.10 BULIISA-HOIMA-24h'!M94,'28.10 BULIISA-HOIMA-24h'!M94)</f>
        <v>1</v>
      </c>
      <c r="N94" s="49">
        <f>AVERAGE('26.10 BULIISA-HOIMA-24h'!N94,'28.10 BULIISA-HOIMA-24h'!N94)</f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AVERAGE('26.10 BULIISA-HOIMA-24h'!C95,'28.10 BULIISA-HOIMA-24h'!C95)</f>
        <v>0</v>
      </c>
      <c r="D95" s="49">
        <f>AVERAGE('26.10 BULIISA-HOIMA-24h'!D95,'28.10 BULIISA-HOIMA-24h'!D95)</f>
        <v>0</v>
      </c>
      <c r="E95" s="49">
        <f>AVERAGE('26.10 BULIISA-HOIMA-24h'!E95,'28.10 BULIISA-HOIMA-24h'!E95)</f>
        <v>0</v>
      </c>
      <c r="F95" s="49">
        <f>AVERAGE('26.10 BULIISA-HOIMA-24h'!F95,'28.10 BULIISA-HOIMA-24h'!F95)</f>
        <v>0</v>
      </c>
      <c r="G95" s="49">
        <f>AVERAGE('26.10 BULIISA-HOIMA-24h'!G95,'28.10 BULIISA-HOIMA-24h'!G95)</f>
        <v>0</v>
      </c>
      <c r="H95" s="49">
        <f>AVERAGE('26.10 BULIISA-HOIMA-24h'!H95,'28.10 BULIISA-HOIMA-24h'!H95)</f>
        <v>0</v>
      </c>
      <c r="I95" s="49">
        <f>AVERAGE('26.10 BULIISA-HOIMA-24h'!I95,'28.10 BULIISA-HOIMA-24h'!I95)</f>
        <v>0</v>
      </c>
      <c r="J95" s="49">
        <f>AVERAGE('26.10 BULIISA-HOIMA-24h'!J95,'28.10 BULIISA-HOIMA-24h'!J95)</f>
        <v>0</v>
      </c>
      <c r="K95" s="49">
        <f>AVERAGE('26.10 BULIISA-HOIMA-24h'!K95,'28.10 BULIISA-HOIMA-24h'!K95)</f>
        <v>0</v>
      </c>
      <c r="L95" s="49">
        <f>AVERAGE('26.10 BULIISA-HOIMA-24h'!L95,'28.10 BULIISA-HOIMA-24h'!L95)</f>
        <v>0</v>
      </c>
      <c r="M95" s="49">
        <f>AVERAGE('26.10 BULIISA-HOIMA-24h'!M95,'28.10 BULIISA-HOIMA-24h'!M95)</f>
        <v>0.5</v>
      </c>
      <c r="N95" s="49">
        <f>AVERAGE('26.10 BULIISA-HOIMA-24h'!N95,'28.10 BULIISA-HOIMA-24h'!N95)</f>
        <v>0</v>
      </c>
      <c r="O95" s="15">
        <f t="shared" si="35"/>
        <v>0</v>
      </c>
      <c r="P95" s="15">
        <f t="shared" si="36"/>
        <v>0.5</v>
      </c>
      <c r="R95" s="8"/>
      <c r="T95"/>
    </row>
    <row r="96" spans="2:20" ht="23.1" customHeight="1" x14ac:dyDescent="0.25">
      <c r="B96" s="25" t="s">
        <v>136</v>
      </c>
      <c r="C96" s="49">
        <f>AVERAGE('26.10 BULIISA-HOIMA-24h'!C96,'28.10 BULIISA-HOIMA-24h'!C96)</f>
        <v>0</v>
      </c>
      <c r="D96" s="49">
        <f>AVERAGE('26.10 BULIISA-HOIMA-24h'!D96,'28.10 BULIISA-HOIMA-24h'!D96)</f>
        <v>0</v>
      </c>
      <c r="E96" s="49">
        <f>AVERAGE('26.10 BULIISA-HOIMA-24h'!E96,'28.10 BULIISA-HOIMA-24h'!E96)</f>
        <v>0</v>
      </c>
      <c r="F96" s="49">
        <f>AVERAGE('26.10 BULIISA-HOIMA-24h'!F96,'28.10 BULIISA-HOIMA-24h'!F96)</f>
        <v>0</v>
      </c>
      <c r="G96" s="49">
        <f>AVERAGE('26.10 BULIISA-HOIMA-24h'!G96,'28.10 BULIISA-HOIMA-24h'!G96)</f>
        <v>0</v>
      </c>
      <c r="H96" s="49">
        <f>AVERAGE('26.10 BULIISA-HOIMA-24h'!H96,'28.10 BULIISA-HOIMA-24h'!H96)</f>
        <v>0</v>
      </c>
      <c r="I96" s="49">
        <f>AVERAGE('26.10 BULIISA-HOIMA-24h'!I96,'28.10 BULIISA-HOIMA-24h'!I96)</f>
        <v>0</v>
      </c>
      <c r="J96" s="49">
        <f>AVERAGE('26.10 BULIISA-HOIMA-24h'!J96,'28.10 BULIISA-HOIMA-24h'!J96)</f>
        <v>0</v>
      </c>
      <c r="K96" s="49">
        <f>AVERAGE('26.10 BULIISA-HOIMA-24h'!K96,'28.10 BULIISA-HOIMA-24h'!K96)</f>
        <v>0</v>
      </c>
      <c r="L96" s="49">
        <f>AVERAGE('26.10 BULIISA-HOIMA-24h'!L96,'28.10 BULIISA-HOIMA-24h'!L96)</f>
        <v>0</v>
      </c>
      <c r="M96" s="49">
        <f>AVERAGE('26.10 BULIISA-HOIMA-24h'!M96,'28.10 BULIISA-HOIMA-24h'!M96)</f>
        <v>0</v>
      </c>
      <c r="N96" s="49">
        <f>AVERAGE('26.10 BULIISA-HOIMA-24h'!N96,'28.10 BULIISA-HOIMA-24h'!N96)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AVERAGE('26.10 BULIISA-HOIMA-24h'!C97,'28.10 BULIISA-HOIMA-24h'!C97)</f>
        <v>0</v>
      </c>
      <c r="D97" s="49">
        <f>AVERAGE('26.10 BULIISA-HOIMA-24h'!D97,'28.10 BULIISA-HOIMA-24h'!D97)</f>
        <v>0</v>
      </c>
      <c r="E97" s="49">
        <f>AVERAGE('26.10 BULIISA-HOIMA-24h'!E97,'28.10 BULIISA-HOIMA-24h'!E97)</f>
        <v>0</v>
      </c>
      <c r="F97" s="49">
        <f>AVERAGE('26.10 BULIISA-HOIMA-24h'!F97,'28.10 BULIISA-HOIMA-24h'!F97)</f>
        <v>0</v>
      </c>
      <c r="G97" s="49">
        <f>AVERAGE('26.10 BULIISA-HOIMA-24h'!G97,'28.10 BULIISA-HOIMA-24h'!G97)</f>
        <v>0</v>
      </c>
      <c r="H97" s="49">
        <f>AVERAGE('26.10 BULIISA-HOIMA-24h'!H97,'28.10 BULIISA-HOIMA-24h'!H97)</f>
        <v>0</v>
      </c>
      <c r="I97" s="49">
        <f>AVERAGE('26.10 BULIISA-HOIMA-24h'!I97,'28.10 BULIISA-HOIMA-24h'!I97)</f>
        <v>0</v>
      </c>
      <c r="J97" s="49">
        <f>AVERAGE('26.10 BULIISA-HOIMA-24h'!J97,'28.10 BULIISA-HOIMA-24h'!J97)</f>
        <v>0</v>
      </c>
      <c r="K97" s="49">
        <f>AVERAGE('26.10 BULIISA-HOIMA-24h'!K97,'28.10 BULIISA-HOIMA-24h'!K97)</f>
        <v>0</v>
      </c>
      <c r="L97" s="49">
        <f>AVERAGE('26.10 BULIISA-HOIMA-24h'!L97,'28.10 BULIISA-HOIMA-24h'!L97)</f>
        <v>0</v>
      </c>
      <c r="M97" s="49">
        <f>AVERAGE('26.10 BULIISA-HOIMA-24h'!M97,'28.10 BULIISA-HOIMA-24h'!M97)</f>
        <v>1</v>
      </c>
      <c r="N97" s="49">
        <f>AVERAGE('26.10 BULIISA-HOIMA-24h'!N97,'28.10 BULIISA-HOIMA-24h'!N97)</f>
        <v>0</v>
      </c>
      <c r="O97" s="15">
        <f t="shared" si="35"/>
        <v>0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AVERAGE('26.10 BULIISA-HOIMA-24h'!C98,'28.10 BULIISA-HOIMA-24h'!C98)</f>
        <v>0</v>
      </c>
      <c r="D98" s="49">
        <f>AVERAGE('26.10 BULIISA-HOIMA-24h'!D98,'28.10 BULIISA-HOIMA-24h'!D98)</f>
        <v>0</v>
      </c>
      <c r="E98" s="49">
        <f>AVERAGE('26.10 BULIISA-HOIMA-24h'!E98,'28.10 BULIISA-HOIMA-24h'!E98)</f>
        <v>0</v>
      </c>
      <c r="F98" s="49">
        <f>AVERAGE('26.10 BULIISA-HOIMA-24h'!F98,'28.10 BULIISA-HOIMA-24h'!F98)</f>
        <v>0</v>
      </c>
      <c r="G98" s="49">
        <f>AVERAGE('26.10 BULIISA-HOIMA-24h'!G98,'28.10 BULIISA-HOIMA-24h'!G98)</f>
        <v>0</v>
      </c>
      <c r="H98" s="49">
        <f>AVERAGE('26.10 BULIISA-HOIMA-24h'!H98,'28.10 BULIISA-HOIMA-24h'!H98)</f>
        <v>0</v>
      </c>
      <c r="I98" s="49">
        <f>AVERAGE('26.10 BULIISA-HOIMA-24h'!I98,'28.10 BULIISA-HOIMA-24h'!I98)</f>
        <v>0</v>
      </c>
      <c r="J98" s="49">
        <f>AVERAGE('26.10 BULIISA-HOIMA-24h'!J98,'28.10 BULIISA-HOIMA-24h'!J98)</f>
        <v>0</v>
      </c>
      <c r="K98" s="49">
        <f>AVERAGE('26.10 BULIISA-HOIMA-24h'!K98,'28.10 BULIISA-HOIMA-24h'!K98)</f>
        <v>0</v>
      </c>
      <c r="L98" s="49">
        <f>AVERAGE('26.10 BULIISA-HOIMA-24h'!L98,'28.10 BULIISA-HOIMA-24h'!L98)</f>
        <v>0</v>
      </c>
      <c r="M98" s="49">
        <f>AVERAGE('26.10 BULIISA-HOIMA-24h'!M98,'28.10 BULIISA-HOIMA-24h'!M98)</f>
        <v>0.5</v>
      </c>
      <c r="N98" s="49">
        <f>AVERAGE('26.10 BULIISA-HOIMA-24h'!N98,'28.10 BULIISA-HOIMA-24h'!N98)</f>
        <v>0</v>
      </c>
      <c r="O98" s="15">
        <f t="shared" si="35"/>
        <v>0</v>
      </c>
      <c r="P98" s="15">
        <f t="shared" si="36"/>
        <v>0.5</v>
      </c>
      <c r="R98" s="8"/>
      <c r="T98"/>
    </row>
    <row r="99" spans="2:20" ht="23.1" customHeight="1" x14ac:dyDescent="0.25">
      <c r="B99" s="23" t="s">
        <v>139</v>
      </c>
      <c r="C99" s="49">
        <f>AVERAGE('26.10 BULIISA-HOIMA-24h'!C99,'28.10 BULIISA-HOIMA-24h'!C99)</f>
        <v>0</v>
      </c>
      <c r="D99" s="49">
        <f>AVERAGE('26.10 BULIISA-HOIMA-24h'!D99,'28.10 BULIISA-HOIMA-24h'!D99)</f>
        <v>0</v>
      </c>
      <c r="E99" s="49">
        <f>AVERAGE('26.10 BULIISA-HOIMA-24h'!E99,'28.10 BULIISA-HOIMA-24h'!E99)</f>
        <v>0</v>
      </c>
      <c r="F99" s="49">
        <f>AVERAGE('26.10 BULIISA-HOIMA-24h'!F99,'28.10 BULIISA-HOIMA-24h'!F99)</f>
        <v>0</v>
      </c>
      <c r="G99" s="49">
        <f>AVERAGE('26.10 BULIISA-HOIMA-24h'!G99,'28.10 BULIISA-HOIMA-24h'!G99)</f>
        <v>0</v>
      </c>
      <c r="H99" s="49">
        <f>AVERAGE('26.10 BULIISA-HOIMA-24h'!H99,'28.10 BULIISA-HOIMA-24h'!H99)</f>
        <v>0</v>
      </c>
      <c r="I99" s="49">
        <f>AVERAGE('26.10 BULIISA-HOIMA-24h'!I99,'28.10 BULIISA-HOIMA-24h'!I99)</f>
        <v>0</v>
      </c>
      <c r="J99" s="49">
        <f>AVERAGE('26.10 BULIISA-HOIMA-24h'!J99,'28.10 BULIISA-HOIMA-24h'!J99)</f>
        <v>0</v>
      </c>
      <c r="K99" s="49">
        <f>AVERAGE('26.10 BULIISA-HOIMA-24h'!K99,'28.10 BULIISA-HOIMA-24h'!K99)</f>
        <v>0</v>
      </c>
      <c r="L99" s="49">
        <f>AVERAGE('26.10 BULIISA-HOIMA-24h'!L99,'28.10 BULIISA-HOIMA-24h'!L99)</f>
        <v>0</v>
      </c>
      <c r="M99" s="49">
        <f>AVERAGE('26.10 BULIISA-HOIMA-24h'!M99,'28.10 BULIISA-HOIMA-24h'!M99)</f>
        <v>0.5</v>
      </c>
      <c r="N99" s="49">
        <f>AVERAGE('26.10 BULIISA-HOIMA-24h'!N99,'28.10 BULIISA-HOIMA-24h'!N99)</f>
        <v>0</v>
      </c>
      <c r="O99" s="15">
        <f t="shared" si="35"/>
        <v>0</v>
      </c>
      <c r="P99" s="15">
        <f t="shared" si="36"/>
        <v>0.5</v>
      </c>
      <c r="R99" s="8"/>
      <c r="T99"/>
    </row>
    <row r="100" spans="2:20" ht="23.1" customHeight="1" x14ac:dyDescent="0.25">
      <c r="B100" s="25" t="s">
        <v>140</v>
      </c>
      <c r="C100" s="49">
        <f>AVERAGE('26.10 BULIISA-HOIMA-24h'!C100,'28.10 BULIISA-HOIMA-24h'!C100)</f>
        <v>0</v>
      </c>
      <c r="D100" s="49">
        <f>AVERAGE('26.10 BULIISA-HOIMA-24h'!D100,'28.10 BULIISA-HOIMA-24h'!D100)</f>
        <v>0</v>
      </c>
      <c r="E100" s="49">
        <f>AVERAGE('26.10 BULIISA-HOIMA-24h'!E100,'28.10 BULIISA-HOIMA-24h'!E100)</f>
        <v>0</v>
      </c>
      <c r="F100" s="49">
        <f>AVERAGE('26.10 BULIISA-HOIMA-24h'!F100,'28.10 BULIISA-HOIMA-24h'!F100)</f>
        <v>0.5</v>
      </c>
      <c r="G100" s="49">
        <f>AVERAGE('26.10 BULIISA-HOIMA-24h'!G100,'28.10 BULIISA-HOIMA-24h'!G100)</f>
        <v>0</v>
      </c>
      <c r="H100" s="49">
        <f>AVERAGE('26.10 BULIISA-HOIMA-24h'!H100,'28.10 BULIISA-HOIMA-24h'!H100)</f>
        <v>0</v>
      </c>
      <c r="I100" s="49">
        <f>AVERAGE('26.10 BULIISA-HOIMA-24h'!I100,'28.10 BULIISA-HOIMA-24h'!I100)</f>
        <v>0</v>
      </c>
      <c r="J100" s="49">
        <f>AVERAGE('26.10 BULIISA-HOIMA-24h'!J100,'28.10 BULIISA-HOIMA-24h'!J100)</f>
        <v>0</v>
      </c>
      <c r="K100" s="49">
        <f>AVERAGE('26.10 BULIISA-HOIMA-24h'!K100,'28.10 BULIISA-HOIMA-24h'!K100)</f>
        <v>0</v>
      </c>
      <c r="L100" s="49">
        <f>AVERAGE('26.10 BULIISA-HOIMA-24h'!L100,'28.10 BULIISA-HOIMA-24h'!L100)</f>
        <v>0</v>
      </c>
      <c r="M100" s="49">
        <f>AVERAGE('26.10 BULIISA-HOIMA-24h'!M100,'28.10 BULIISA-HOIMA-24h'!M100)</f>
        <v>0.5</v>
      </c>
      <c r="N100" s="49">
        <f>AVERAGE('26.10 BULIISA-HOIMA-24h'!N100,'28.10 BULIISA-HOIMA-24h'!N100)</f>
        <v>0</v>
      </c>
      <c r="O100" s="15">
        <f t="shared" si="35"/>
        <v>0.5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AVERAGE('26.10 BULIISA-HOIMA-24h'!C101,'28.10 BULIISA-HOIMA-24h'!C101)</f>
        <v>0</v>
      </c>
      <c r="D101" s="49">
        <f>AVERAGE('26.10 BULIISA-HOIMA-24h'!D101,'28.10 BULIISA-HOIMA-24h'!D101)</f>
        <v>0</v>
      </c>
      <c r="E101" s="49">
        <f>AVERAGE('26.10 BULIISA-HOIMA-24h'!E101,'28.10 BULIISA-HOIMA-24h'!E101)</f>
        <v>0</v>
      </c>
      <c r="F101" s="49">
        <f>AVERAGE('26.10 BULIISA-HOIMA-24h'!F101,'28.10 BULIISA-HOIMA-24h'!F101)</f>
        <v>0</v>
      </c>
      <c r="G101" s="49">
        <f>AVERAGE('26.10 BULIISA-HOIMA-24h'!G101,'28.10 BULIISA-HOIMA-24h'!G101)</f>
        <v>0</v>
      </c>
      <c r="H101" s="49">
        <f>AVERAGE('26.10 BULIISA-HOIMA-24h'!H101,'28.10 BULIISA-HOIMA-24h'!H101)</f>
        <v>0</v>
      </c>
      <c r="I101" s="49">
        <f>AVERAGE('26.10 BULIISA-HOIMA-24h'!I101,'28.10 BULIISA-HOIMA-24h'!I101)</f>
        <v>0</v>
      </c>
      <c r="J101" s="49">
        <f>AVERAGE('26.10 BULIISA-HOIMA-24h'!J101,'28.10 BULIISA-HOIMA-24h'!J101)</f>
        <v>0</v>
      </c>
      <c r="K101" s="49">
        <f>AVERAGE('26.10 BULIISA-HOIMA-24h'!K101,'28.10 BULIISA-HOIMA-24h'!K101)</f>
        <v>0</v>
      </c>
      <c r="L101" s="49">
        <f>AVERAGE('26.10 BULIISA-HOIMA-24h'!L101,'28.10 BULIISA-HOIMA-24h'!L101)</f>
        <v>0</v>
      </c>
      <c r="M101" s="49">
        <f>AVERAGE('26.10 BULIISA-HOIMA-24h'!M101,'28.10 BULIISA-HOIMA-24h'!M101)</f>
        <v>1</v>
      </c>
      <c r="N101" s="49">
        <f>AVERAGE('26.10 BULIISA-HOIMA-24h'!N101,'28.10 BULIISA-HOIMA-24h'!N101)</f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24" t="s">
        <v>142</v>
      </c>
      <c r="C102" s="49">
        <f>AVERAGE('26.10 BULIISA-HOIMA-24h'!C102,'28.10 BULIISA-HOIMA-24h'!C102)</f>
        <v>0</v>
      </c>
      <c r="D102" s="49">
        <f>AVERAGE('26.10 BULIISA-HOIMA-24h'!D102,'28.10 BULIISA-HOIMA-24h'!D102)</f>
        <v>0</v>
      </c>
      <c r="E102" s="49">
        <f>AVERAGE('26.10 BULIISA-HOIMA-24h'!E102,'28.10 BULIISA-HOIMA-24h'!E102)</f>
        <v>0</v>
      </c>
      <c r="F102" s="49">
        <f>AVERAGE('26.10 BULIISA-HOIMA-24h'!F102,'28.10 BULIISA-HOIMA-24h'!F102)</f>
        <v>0.5</v>
      </c>
      <c r="G102" s="49">
        <f>AVERAGE('26.10 BULIISA-HOIMA-24h'!G102,'28.10 BULIISA-HOIMA-24h'!G102)</f>
        <v>0</v>
      </c>
      <c r="H102" s="49">
        <f>AVERAGE('26.10 BULIISA-HOIMA-24h'!H102,'28.10 BULIISA-HOIMA-24h'!H102)</f>
        <v>0</v>
      </c>
      <c r="I102" s="49">
        <f>AVERAGE('26.10 BULIISA-HOIMA-24h'!I102,'28.10 BULIISA-HOIMA-24h'!I102)</f>
        <v>0</v>
      </c>
      <c r="J102" s="49">
        <f>AVERAGE('26.10 BULIISA-HOIMA-24h'!J102,'28.10 BULIISA-HOIMA-24h'!J102)</f>
        <v>0</v>
      </c>
      <c r="K102" s="49">
        <f>AVERAGE('26.10 BULIISA-HOIMA-24h'!K102,'28.10 BULIISA-HOIMA-24h'!K102)</f>
        <v>0</v>
      </c>
      <c r="L102" s="49">
        <f>AVERAGE('26.10 BULIISA-HOIMA-24h'!L102,'28.10 BULIISA-HOIMA-24h'!L102)</f>
        <v>0</v>
      </c>
      <c r="M102" s="49">
        <f>AVERAGE('26.10 BULIISA-HOIMA-24h'!M102,'28.10 BULIISA-HOIMA-24h'!M102)</f>
        <v>0.5</v>
      </c>
      <c r="N102" s="49">
        <f>AVERAGE('26.10 BULIISA-HOIMA-24h'!N102,'28.10 BULIISA-HOIMA-24h'!N102)</f>
        <v>0</v>
      </c>
      <c r="O102" s="15">
        <f t="shared" si="35"/>
        <v>0.5</v>
      </c>
      <c r="P102" s="15">
        <f t="shared" si="36"/>
        <v>1</v>
      </c>
      <c r="R102" s="8"/>
      <c r="T102"/>
    </row>
    <row r="103" spans="2:20" ht="23.1" customHeight="1" x14ac:dyDescent="0.25">
      <c r="B103" s="23" t="s">
        <v>143</v>
      </c>
      <c r="C103" s="49">
        <f>AVERAGE('26.10 BULIISA-HOIMA-24h'!C103,'28.10 BULIISA-HOIMA-24h'!C103)</f>
        <v>0</v>
      </c>
      <c r="D103" s="49">
        <f>AVERAGE('26.10 BULIISA-HOIMA-24h'!D103,'28.10 BULIISA-HOIMA-24h'!D103)</f>
        <v>0</v>
      </c>
      <c r="E103" s="49">
        <f>AVERAGE('26.10 BULIISA-HOIMA-24h'!E103,'28.10 BULIISA-HOIMA-24h'!E103)</f>
        <v>0</v>
      </c>
      <c r="F103" s="49">
        <f>AVERAGE('26.10 BULIISA-HOIMA-24h'!F103,'28.10 BULIISA-HOIMA-24h'!F103)</f>
        <v>1</v>
      </c>
      <c r="G103" s="49">
        <f>AVERAGE('26.10 BULIISA-HOIMA-24h'!G103,'28.10 BULIISA-HOIMA-24h'!G103)</f>
        <v>0</v>
      </c>
      <c r="H103" s="49">
        <f>AVERAGE('26.10 BULIISA-HOIMA-24h'!H103,'28.10 BULIISA-HOIMA-24h'!H103)</f>
        <v>0</v>
      </c>
      <c r="I103" s="49">
        <f>AVERAGE('26.10 BULIISA-HOIMA-24h'!I103,'28.10 BULIISA-HOIMA-24h'!I103)</f>
        <v>0</v>
      </c>
      <c r="J103" s="49">
        <f>AVERAGE('26.10 BULIISA-HOIMA-24h'!J103,'28.10 BULIISA-HOIMA-24h'!J103)</f>
        <v>0</v>
      </c>
      <c r="K103" s="49">
        <f>AVERAGE('26.10 BULIISA-HOIMA-24h'!K103,'28.10 BULIISA-HOIMA-24h'!K103)</f>
        <v>0</v>
      </c>
      <c r="L103" s="49">
        <f>AVERAGE('26.10 BULIISA-HOIMA-24h'!L103,'28.10 BULIISA-HOIMA-24h'!L103)</f>
        <v>0</v>
      </c>
      <c r="M103" s="49">
        <f>AVERAGE('26.10 BULIISA-HOIMA-24h'!M103,'28.10 BULIISA-HOIMA-24h'!M103)</f>
        <v>2</v>
      </c>
      <c r="N103" s="49">
        <f>AVERAGE('26.10 BULIISA-HOIMA-24h'!N103,'28.10 BULIISA-HOIMA-24h'!N103)</f>
        <v>0</v>
      </c>
      <c r="O103" s="15">
        <f t="shared" si="35"/>
        <v>1</v>
      </c>
      <c r="P103" s="15">
        <f t="shared" si="36"/>
        <v>3</v>
      </c>
      <c r="R103" s="8"/>
      <c r="T103"/>
    </row>
    <row r="104" spans="2:20" ht="23.1" customHeight="1" x14ac:dyDescent="0.25">
      <c r="B104" s="25" t="s">
        <v>144</v>
      </c>
      <c r="C104" s="49">
        <f>AVERAGE('26.10 BULIISA-HOIMA-24h'!C104,'28.10 BULIISA-HOIMA-24h'!C104)</f>
        <v>0</v>
      </c>
      <c r="D104" s="49">
        <f>AVERAGE('26.10 BULIISA-HOIMA-24h'!D104,'28.10 BULIISA-HOIMA-24h'!D104)</f>
        <v>0</v>
      </c>
      <c r="E104" s="49">
        <f>AVERAGE('26.10 BULIISA-HOIMA-24h'!E104,'28.10 BULIISA-HOIMA-24h'!E104)</f>
        <v>0</v>
      </c>
      <c r="F104" s="49">
        <f>AVERAGE('26.10 BULIISA-HOIMA-24h'!F104,'28.10 BULIISA-HOIMA-24h'!F104)</f>
        <v>0</v>
      </c>
      <c r="G104" s="49">
        <f>AVERAGE('26.10 BULIISA-HOIMA-24h'!G104,'28.10 BULIISA-HOIMA-24h'!G104)</f>
        <v>0</v>
      </c>
      <c r="H104" s="49">
        <f>AVERAGE('26.10 BULIISA-HOIMA-24h'!H104,'28.10 BULIISA-HOIMA-24h'!H104)</f>
        <v>0</v>
      </c>
      <c r="I104" s="49">
        <f>AVERAGE('26.10 BULIISA-HOIMA-24h'!I104,'28.10 BULIISA-HOIMA-24h'!I104)</f>
        <v>0</v>
      </c>
      <c r="J104" s="49">
        <f>AVERAGE('26.10 BULIISA-HOIMA-24h'!J104,'28.10 BULIISA-HOIMA-24h'!J104)</f>
        <v>0</v>
      </c>
      <c r="K104" s="49">
        <f>AVERAGE('26.10 BULIISA-HOIMA-24h'!K104,'28.10 BULIISA-HOIMA-24h'!K104)</f>
        <v>0</v>
      </c>
      <c r="L104" s="49">
        <f>AVERAGE('26.10 BULIISA-HOIMA-24h'!L104,'28.10 BULIISA-HOIMA-24h'!L104)</f>
        <v>0</v>
      </c>
      <c r="M104" s="49">
        <f>AVERAGE('26.10 BULIISA-HOIMA-24h'!M104,'28.10 BULIISA-HOIMA-24h'!M104)</f>
        <v>1</v>
      </c>
      <c r="N104" s="49">
        <f>AVERAGE('26.10 BULIISA-HOIMA-24h'!N104,'28.10 BULIISA-HOIMA-24h'!N104)</f>
        <v>0</v>
      </c>
      <c r="O104" s="15">
        <f t="shared" si="35"/>
        <v>0</v>
      </c>
      <c r="P104" s="15">
        <f t="shared" si="36"/>
        <v>1</v>
      </c>
      <c r="R104" s="8"/>
      <c r="T104"/>
    </row>
    <row r="105" spans="2:20" ht="23.1" customHeight="1" x14ac:dyDescent="0.25">
      <c r="B105" s="23" t="s">
        <v>145</v>
      </c>
      <c r="C105" s="49">
        <f>AVERAGE('26.10 BULIISA-HOIMA-24h'!C105,'28.10 BULIISA-HOIMA-24h'!C105)</f>
        <v>0</v>
      </c>
      <c r="D105" s="49">
        <f>AVERAGE('26.10 BULIISA-HOIMA-24h'!D105,'28.10 BULIISA-HOIMA-24h'!D105)</f>
        <v>0</v>
      </c>
      <c r="E105" s="49">
        <f>AVERAGE('26.10 BULIISA-HOIMA-24h'!E105,'28.10 BULIISA-HOIMA-24h'!E105)</f>
        <v>0</v>
      </c>
      <c r="F105" s="49">
        <f>AVERAGE('26.10 BULIISA-HOIMA-24h'!F105,'28.10 BULIISA-HOIMA-24h'!F105)</f>
        <v>0.5</v>
      </c>
      <c r="G105" s="49">
        <f>AVERAGE('26.10 BULIISA-HOIMA-24h'!G105,'28.10 BULIISA-HOIMA-24h'!G105)</f>
        <v>0</v>
      </c>
      <c r="H105" s="49">
        <f>AVERAGE('26.10 BULIISA-HOIMA-24h'!H105,'28.10 BULIISA-HOIMA-24h'!H105)</f>
        <v>0</v>
      </c>
      <c r="I105" s="49">
        <f>AVERAGE('26.10 BULIISA-HOIMA-24h'!I105,'28.10 BULIISA-HOIMA-24h'!I105)</f>
        <v>0</v>
      </c>
      <c r="J105" s="49">
        <f>AVERAGE('26.10 BULIISA-HOIMA-24h'!J105,'28.10 BULIISA-HOIMA-24h'!J105)</f>
        <v>0</v>
      </c>
      <c r="K105" s="49">
        <f>AVERAGE('26.10 BULIISA-HOIMA-24h'!K105,'28.10 BULIISA-HOIMA-24h'!K105)</f>
        <v>0</v>
      </c>
      <c r="L105" s="49">
        <f>AVERAGE('26.10 BULIISA-HOIMA-24h'!L105,'28.10 BULIISA-HOIMA-24h'!L105)</f>
        <v>0</v>
      </c>
      <c r="M105" s="49">
        <f>AVERAGE('26.10 BULIISA-HOIMA-24h'!M105,'28.10 BULIISA-HOIMA-24h'!M105)</f>
        <v>5</v>
      </c>
      <c r="N105" s="49">
        <f>AVERAGE('26.10 BULIISA-HOIMA-24h'!N105,'28.10 BULIISA-HOIMA-24h'!N105)</f>
        <v>0</v>
      </c>
      <c r="O105" s="15">
        <f t="shared" si="35"/>
        <v>0.5</v>
      </c>
      <c r="P105" s="15">
        <f t="shared" si="36"/>
        <v>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13.214285714285719</v>
      </c>
      <c r="D106" s="16">
        <f t="shared" ref="D106:P106" si="37">SUM(D10:D105)</f>
        <v>7.8571428571428568</v>
      </c>
      <c r="E106" s="16">
        <f t="shared" si="37"/>
        <v>18.785714285714285</v>
      </c>
      <c r="F106" s="16">
        <f t="shared" si="37"/>
        <v>38.357142857142861</v>
      </c>
      <c r="G106" s="16">
        <f t="shared" si="37"/>
        <v>0.7857142857142857</v>
      </c>
      <c r="H106" s="16">
        <f t="shared" si="37"/>
        <v>0.14285714285714285</v>
      </c>
      <c r="I106" s="16">
        <f t="shared" si="37"/>
        <v>5.6428571428571432</v>
      </c>
      <c r="J106" s="16">
        <f t="shared" si="37"/>
        <v>5.2857142857142856</v>
      </c>
      <c r="K106" s="16">
        <f t="shared" si="37"/>
        <v>3.1428571428571419</v>
      </c>
      <c r="L106" s="16">
        <f t="shared" si="37"/>
        <v>0.71428571428571419</v>
      </c>
      <c r="M106" s="16">
        <f t="shared" si="37"/>
        <v>270.14285714285711</v>
      </c>
      <c r="N106" s="16">
        <f t="shared" si="37"/>
        <v>0</v>
      </c>
      <c r="O106" s="16">
        <f t="shared" si="37"/>
        <v>93.928571428571431</v>
      </c>
      <c r="P106" s="16">
        <f t="shared" si="37"/>
        <v>364.0714285714285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3.6295860309986286E-2</v>
      </c>
      <c r="D107" s="43">
        <f t="shared" si="38"/>
        <v>2.1581322346478325E-2</v>
      </c>
      <c r="E107" s="43">
        <f t="shared" si="38"/>
        <v>5.1598979792034538E-2</v>
      </c>
      <c r="F107" s="43">
        <f t="shared" si="38"/>
        <v>0.10535609181871693</v>
      </c>
      <c r="G107" s="43">
        <f t="shared" si="38"/>
        <v>2.1581322346478325E-3</v>
      </c>
      <c r="H107" s="43">
        <f t="shared" si="38"/>
        <v>3.9238767902687863E-4</v>
      </c>
      <c r="I107" s="43">
        <f t="shared" si="38"/>
        <v>1.5499313321561707E-2</v>
      </c>
      <c r="J107" s="43">
        <f t="shared" si="38"/>
        <v>1.451834412399451E-2</v>
      </c>
      <c r="K107" s="43">
        <f t="shared" si="38"/>
        <v>8.6325289385913266E-3</v>
      </c>
      <c r="L107" s="43">
        <f t="shared" si="38"/>
        <v>1.961938395134393E-3</v>
      </c>
      <c r="M107" s="43">
        <f t="shared" si="38"/>
        <v>0.74200510103982742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0.14068441064638787</v>
      </c>
      <c r="D108" s="44">
        <f t="shared" ref="D108:N108" si="39">D106/$O$106</f>
        <v>8.3650190114068435E-2</v>
      </c>
      <c r="E108" s="44">
        <f t="shared" si="39"/>
        <v>0.19999999999999998</v>
      </c>
      <c r="F108" s="44">
        <f t="shared" si="39"/>
        <v>0.40836501901140687</v>
      </c>
      <c r="G108" s="44">
        <f t="shared" si="39"/>
        <v>8.3650190114068438E-3</v>
      </c>
      <c r="H108" s="44">
        <f t="shared" si="39"/>
        <v>1.520912547528517E-3</v>
      </c>
      <c r="I108" s="44">
        <f t="shared" si="39"/>
        <v>6.007604562737643E-2</v>
      </c>
      <c r="J108" s="44">
        <f t="shared" si="39"/>
        <v>5.6273764258555133E-2</v>
      </c>
      <c r="K108" s="44">
        <f t="shared" si="39"/>
        <v>3.3460076045627368E-2</v>
      </c>
      <c r="L108" s="44">
        <f t="shared" si="39"/>
        <v>7.6045627376425846E-3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37" zoomScale="60" workbookViewId="0">
      <selection activeCell="AE46" sqref="AE45:AE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'31.10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3" t="s">
        <v>162</v>
      </c>
      <c r="E5" s="64"/>
      <c r="F5" s="41" t="s">
        <v>1</v>
      </c>
      <c r="G5" s="61" t="str">
        <f>'31.10 HOIMA-BULIISA'!G5:H5</f>
        <v>KISIABI</v>
      </c>
      <c r="H5" s="62"/>
      <c r="I5" s="14"/>
      <c r="J5" s="2" t="s">
        <v>5</v>
      </c>
      <c r="K5" s="61" t="str">
        <f>'31.10 HOIMA-BULIISA'!K5:L5</f>
        <v>CATHY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'31.10 HOIMA-BULIISA'!D6:E6</f>
        <v>HOIMA</v>
      </c>
      <c r="E6" s="62"/>
      <c r="F6" s="2" t="s">
        <v>2</v>
      </c>
      <c r="G6" s="61" t="str">
        <f>'31.10 HOIMA-BULIISA'!G6:H6</f>
        <v>BULIISA</v>
      </c>
      <c r="H6" s="62"/>
      <c r="J6" s="2" t="s">
        <v>21</v>
      </c>
      <c r="K6" s="61" t="str">
        <f>'31.10 HOIMA-BULIISA'!K6:L6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HOIMA-BULIISA'!C10,'27.10 HOIMA-BULIISA'!C10,'29.10 BULIISA-HOIMA'!C10,'30.10 HOIMA-BULIISA'!C10,'28.10 BULIISA-HOIMA-24h'!C10,'28.10 HOIMA-BULIISA-24h'!C10,'31.10 HOIMA-BULIISA'!C10)</f>
        <v>0.14285714285714285</v>
      </c>
      <c r="D10" s="49">
        <f>AVERAGE('25.10 HOIMA-BULIISA'!D10,'27.10 HOIMA-BULIISA'!D10,'29.10 BULIISA-HOIMA'!D10,'30.10 HOIMA-BULIISA'!D10,'28.10 BULIISA-HOIMA-24h'!D10,'28.10 HOIMA-BULIISA-24h'!D10,'31.10 HOIMA-BULIISA'!D10)</f>
        <v>0</v>
      </c>
      <c r="E10" s="49">
        <f>AVERAGE('25.10 HOIMA-BULIISA'!E10,'27.10 HOIMA-BULIISA'!E10,'29.10 BULIISA-HOIMA'!E10,'30.10 HOIMA-BULIISA'!E10,'28.10 BULIISA-HOIMA-24h'!E10,'28.10 HOIMA-BULIISA-24h'!E10,'31.10 HOIMA-BULIISA'!E10)</f>
        <v>0.7142857142857143</v>
      </c>
      <c r="F10" s="49">
        <f>AVERAGE('25.10 HOIMA-BULIISA'!F10,'27.10 HOIMA-BULIISA'!F10,'29.10 BULIISA-HOIMA'!F10,'30.10 HOIMA-BULIISA'!F10,'28.10 BULIISA-HOIMA-24h'!F10,'28.10 HOIMA-BULIISA-24h'!F10,'31.10 HOIMA-BULIISA'!F10)</f>
        <v>0.7142857142857143</v>
      </c>
      <c r="G10" s="49">
        <f>AVERAGE('25.10 HOIMA-BULIISA'!G10,'27.10 HOIMA-BULIISA'!G10,'29.10 BULIISA-HOIMA'!G10,'30.10 HOIMA-BULIISA'!G10,'28.10 BULIISA-HOIMA-24h'!G10,'28.10 HOIMA-BULIISA-24h'!G10,'31.10 HOIMA-BULIISA'!G10)</f>
        <v>0</v>
      </c>
      <c r="H10" s="49">
        <f>AVERAGE('25.10 HOIMA-BULIISA'!H10,'27.10 HOIMA-BULIISA'!H10,'29.10 BULIISA-HOIMA'!H10,'30.10 HOIMA-BULIISA'!H10,'28.10 BULIISA-HOIMA-24h'!H10,'28.10 HOIMA-BULIISA-24h'!H10,'31.10 HOIMA-BULIISA'!H10)</f>
        <v>0</v>
      </c>
      <c r="I10" s="49">
        <f>AVERAGE('25.10 HOIMA-BULIISA'!I10,'27.10 HOIMA-BULIISA'!I10,'29.10 BULIISA-HOIMA'!I10,'30.10 HOIMA-BULIISA'!I10,'28.10 BULIISA-HOIMA-24h'!I10,'28.10 HOIMA-BULIISA-24h'!I10,'31.10 HOIMA-BULIISA'!I10)</f>
        <v>0</v>
      </c>
      <c r="J10" s="49">
        <f>AVERAGE('25.10 HOIMA-BULIISA'!J10,'27.10 HOIMA-BULIISA'!J10,'29.10 BULIISA-HOIMA'!J10,'30.10 HOIMA-BULIISA'!J10,'28.10 BULIISA-HOIMA-24h'!J10,'28.10 HOIMA-BULIISA-24h'!J10,'31.10 HOIMA-BULIISA'!J10)</f>
        <v>0</v>
      </c>
      <c r="K10" s="49">
        <f>AVERAGE('25.10 HOIMA-BULIISA'!K10,'27.10 HOIMA-BULIISA'!K10,'29.10 BULIISA-HOIMA'!K10,'30.10 HOIMA-BULIISA'!K10,'28.10 BULIISA-HOIMA-24h'!K10,'28.10 HOIMA-BULIISA-24h'!K10,'31.10 HOIMA-BULIISA'!K10)</f>
        <v>0.14285714285714285</v>
      </c>
      <c r="L10" s="49">
        <f>AVERAGE('25.10 HOIMA-BULIISA'!L10,'27.10 HOIMA-BULIISA'!L10,'29.10 BULIISA-HOIMA'!L10,'30.10 HOIMA-BULIISA'!L10,'28.10 BULIISA-HOIMA-24h'!L10,'28.10 HOIMA-BULIISA-24h'!L10,'31.10 HOIMA-BULIISA'!L10)</f>
        <v>0</v>
      </c>
      <c r="M10" s="49">
        <f>AVERAGE('25.10 HOIMA-BULIISA'!M10,'27.10 HOIMA-BULIISA'!M10,'29.10 BULIISA-HOIMA'!M10,'30.10 HOIMA-BULIISA'!M10,'28.10 BULIISA-HOIMA-24h'!M10,'28.10 HOIMA-BULIISA-24h'!M10,'31.10 HOIMA-BULIISA'!M10)</f>
        <v>4</v>
      </c>
      <c r="N10" s="49">
        <f>AVERAGE('25.10 HOIMA-BULIISA'!N10,'27.10 HOIMA-BULIISA'!N10,'29.10 BULIISA-HOIMA'!N10,'30.10 HOIMA-BULIISA'!N10,'28.10 BULIISA-HOIMA-24h'!N10,'28.10 HOIMA-BULIISA-24h'!N10,'31.10 HOIMA-BULIISA'!N10)</f>
        <v>0</v>
      </c>
      <c r="O10" s="15">
        <f t="shared" ref="O10:O73" si="0">SUM(C10:L10,N10)</f>
        <v>1.7142857142857144</v>
      </c>
      <c r="P10" s="15">
        <f t="shared" ref="P10:P73" si="1">SUM(C10:N10)</f>
        <v>5.7142857142857144</v>
      </c>
      <c r="R10" s="1" t="s">
        <v>6</v>
      </c>
      <c r="S10" s="17">
        <f t="shared" ref="S10:AF10" si="2">SUM(C10:C13)</f>
        <v>0.42857142857142855</v>
      </c>
      <c r="T10" s="17">
        <f t="shared" si="2"/>
        <v>0.5714285714285714</v>
      </c>
      <c r="U10" s="17">
        <f t="shared" si="2"/>
        <v>1.5714285714285712</v>
      </c>
      <c r="V10" s="17">
        <f t="shared" si="2"/>
        <v>2.5714285714285712</v>
      </c>
      <c r="W10" s="17">
        <f t="shared" si="2"/>
        <v>0.14285714285714285</v>
      </c>
      <c r="X10" s="17">
        <f t="shared" si="2"/>
        <v>0</v>
      </c>
      <c r="Y10" s="17">
        <f t="shared" si="2"/>
        <v>0.14285714285714285</v>
      </c>
      <c r="Z10" s="17">
        <f t="shared" si="2"/>
        <v>0.5714285714285714</v>
      </c>
      <c r="AA10" s="17">
        <f t="shared" si="2"/>
        <v>0.42857142857142855</v>
      </c>
      <c r="AB10" s="17">
        <f t="shared" si="2"/>
        <v>0</v>
      </c>
      <c r="AC10" s="17">
        <f t="shared" si="2"/>
        <v>14.857142857142858</v>
      </c>
      <c r="AD10" s="17">
        <f t="shared" si="2"/>
        <v>0</v>
      </c>
      <c r="AE10" s="31">
        <f t="shared" si="2"/>
        <v>6.4285714285714279</v>
      </c>
      <c r="AF10" s="31">
        <f t="shared" si="2"/>
        <v>21.285714285714285</v>
      </c>
    </row>
    <row r="11" spans="2:32" s="6" customFormat="1" ht="23.1" customHeight="1" x14ac:dyDescent="0.25">
      <c r="B11" s="23" t="s">
        <v>38</v>
      </c>
      <c r="C11" s="49">
        <f>AVERAGE('25.10 HOIMA-BULIISA'!C11,'27.10 HOIMA-BULIISA'!C11,'29.10 BULIISA-HOIMA'!C11,'30.10 HOIMA-BULIISA'!C11,'28.10 BULIISA-HOIMA-24h'!C11,'28.10 HOIMA-BULIISA-24h'!C11,'31.10 HOIMA-BULIISA'!C11)</f>
        <v>0.2857142857142857</v>
      </c>
      <c r="D11" s="49">
        <f>AVERAGE('25.10 HOIMA-BULIISA'!D11,'27.10 HOIMA-BULIISA'!D11,'29.10 BULIISA-HOIMA'!D11,'30.10 HOIMA-BULIISA'!D11,'28.10 BULIISA-HOIMA-24h'!D11,'28.10 HOIMA-BULIISA-24h'!D11,'31.10 HOIMA-BULIISA'!D11)</f>
        <v>0</v>
      </c>
      <c r="E11" s="49">
        <f>AVERAGE('25.10 HOIMA-BULIISA'!E11,'27.10 HOIMA-BULIISA'!E11,'29.10 BULIISA-HOIMA'!E11,'30.10 HOIMA-BULIISA'!E11,'28.10 BULIISA-HOIMA-24h'!E11,'28.10 HOIMA-BULIISA-24h'!E11,'31.10 HOIMA-BULIISA'!E11)</f>
        <v>0.42857142857142855</v>
      </c>
      <c r="F11" s="49">
        <f>AVERAGE('25.10 HOIMA-BULIISA'!F11,'27.10 HOIMA-BULIISA'!F11,'29.10 BULIISA-HOIMA'!F11,'30.10 HOIMA-BULIISA'!F11,'28.10 BULIISA-HOIMA-24h'!F11,'28.10 HOIMA-BULIISA-24h'!F11,'31.10 HOIMA-BULIISA'!F11)</f>
        <v>0.2857142857142857</v>
      </c>
      <c r="G11" s="49">
        <f>AVERAGE('25.10 HOIMA-BULIISA'!G11,'27.10 HOIMA-BULIISA'!G11,'29.10 BULIISA-HOIMA'!G11,'30.10 HOIMA-BULIISA'!G11,'28.10 BULIISA-HOIMA-24h'!G11,'28.10 HOIMA-BULIISA-24h'!G11,'31.10 HOIMA-BULIISA'!G11)</f>
        <v>0</v>
      </c>
      <c r="H11" s="49">
        <f>AVERAGE('25.10 HOIMA-BULIISA'!H11,'27.10 HOIMA-BULIISA'!H11,'29.10 BULIISA-HOIMA'!H11,'30.10 HOIMA-BULIISA'!H11,'28.10 BULIISA-HOIMA-24h'!H11,'28.10 HOIMA-BULIISA-24h'!H11,'31.10 HOIMA-BULIISA'!H11)</f>
        <v>0</v>
      </c>
      <c r="I11" s="49">
        <f>AVERAGE('25.10 HOIMA-BULIISA'!I11,'27.10 HOIMA-BULIISA'!I11,'29.10 BULIISA-HOIMA'!I11,'30.10 HOIMA-BULIISA'!I11,'28.10 BULIISA-HOIMA-24h'!I11,'28.10 HOIMA-BULIISA-24h'!I11,'31.10 HOIMA-BULIISA'!I11)</f>
        <v>0.14285714285714285</v>
      </c>
      <c r="J11" s="49">
        <f>AVERAGE('25.10 HOIMA-BULIISA'!J11,'27.10 HOIMA-BULIISA'!J11,'29.10 BULIISA-HOIMA'!J11,'30.10 HOIMA-BULIISA'!J11,'28.10 BULIISA-HOIMA-24h'!J11,'28.10 HOIMA-BULIISA-24h'!J11,'31.10 HOIMA-BULIISA'!J11)</f>
        <v>0.14285714285714285</v>
      </c>
      <c r="K11" s="49">
        <f>AVERAGE('25.10 HOIMA-BULIISA'!K11,'27.10 HOIMA-BULIISA'!K11,'29.10 BULIISA-HOIMA'!K11,'30.10 HOIMA-BULIISA'!K11,'28.10 BULIISA-HOIMA-24h'!K11,'28.10 HOIMA-BULIISA-24h'!K11,'31.10 HOIMA-BULIISA'!K11)</f>
        <v>0.2857142857142857</v>
      </c>
      <c r="L11" s="49">
        <f>AVERAGE('25.10 HOIMA-BULIISA'!L11,'27.10 HOIMA-BULIISA'!L11,'29.10 BULIISA-HOIMA'!L11,'30.10 HOIMA-BULIISA'!L11,'28.10 BULIISA-HOIMA-24h'!L11,'28.10 HOIMA-BULIISA-24h'!L11,'31.10 HOIMA-BULIISA'!L11)</f>
        <v>0</v>
      </c>
      <c r="M11" s="49">
        <f>AVERAGE('25.10 HOIMA-BULIISA'!M11,'27.10 HOIMA-BULIISA'!M11,'29.10 BULIISA-HOIMA'!M11,'30.10 HOIMA-BULIISA'!M11,'28.10 BULIISA-HOIMA-24h'!M11,'28.10 HOIMA-BULIISA-24h'!M11,'31.10 HOIMA-BULIISA'!M11)</f>
        <v>3.7142857142857144</v>
      </c>
      <c r="N11" s="49">
        <f>AVERAGE('25.10 HOIMA-BULIISA'!N11,'27.10 HOIMA-BULIISA'!N11,'29.10 BULIISA-HOIMA'!N11,'30.10 HOIMA-BULIISA'!N11,'28.10 BULIISA-HOIMA-24h'!N11,'28.10 HOIMA-BULIISA-24h'!N11,'31.10 HOIMA-BULIISA'!N11)</f>
        <v>0</v>
      </c>
      <c r="O11" s="15">
        <f t="shared" si="0"/>
        <v>1.5714285714285712</v>
      </c>
      <c r="P11" s="15">
        <f t="shared" si="1"/>
        <v>5.2857142857142856</v>
      </c>
      <c r="R11" s="1" t="s">
        <v>7</v>
      </c>
      <c r="S11" s="17">
        <f t="shared" ref="S11:AF11" si="3">SUM(C14:C17)</f>
        <v>1.2857142857142856</v>
      </c>
      <c r="T11" s="17">
        <f t="shared" si="3"/>
        <v>0</v>
      </c>
      <c r="U11" s="17">
        <f t="shared" si="3"/>
        <v>2.1428571428571428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0.5714285714285714</v>
      </c>
      <c r="Z11" s="17">
        <f t="shared" si="3"/>
        <v>0.2857142857142857</v>
      </c>
      <c r="AA11" s="17">
        <f t="shared" si="3"/>
        <v>0.14285714285714285</v>
      </c>
      <c r="AB11" s="17">
        <f t="shared" si="3"/>
        <v>0.2857142857142857</v>
      </c>
      <c r="AC11" s="17">
        <f t="shared" si="3"/>
        <v>18</v>
      </c>
      <c r="AD11" s="17">
        <f t="shared" si="3"/>
        <v>0</v>
      </c>
      <c r="AE11" s="31">
        <f t="shared" si="3"/>
        <v>7.7142857142857144</v>
      </c>
      <c r="AF11" s="31">
        <f t="shared" si="3"/>
        <v>25.714285714285715</v>
      </c>
    </row>
    <row r="12" spans="2:32" ht="23.1" customHeight="1" x14ac:dyDescent="0.25">
      <c r="B12" s="23" t="s">
        <v>39</v>
      </c>
      <c r="C12" s="49">
        <f>AVERAGE('25.10 HOIMA-BULIISA'!C12,'27.10 HOIMA-BULIISA'!C12,'29.10 BULIISA-HOIMA'!C12,'30.10 HOIMA-BULIISA'!C12,'28.10 BULIISA-HOIMA-24h'!C12,'28.10 HOIMA-BULIISA-24h'!C12,'31.10 HOIMA-BULIISA'!C12)</f>
        <v>0</v>
      </c>
      <c r="D12" s="49">
        <f>AVERAGE('25.10 HOIMA-BULIISA'!D12,'27.10 HOIMA-BULIISA'!D12,'29.10 BULIISA-HOIMA'!D12,'30.10 HOIMA-BULIISA'!D12,'28.10 BULIISA-HOIMA-24h'!D12,'28.10 HOIMA-BULIISA-24h'!D12,'31.10 HOIMA-BULIISA'!D12)</f>
        <v>0.14285714285714285</v>
      </c>
      <c r="E12" s="49">
        <f>AVERAGE('25.10 HOIMA-BULIISA'!E12,'27.10 HOIMA-BULIISA'!E12,'29.10 BULIISA-HOIMA'!E12,'30.10 HOIMA-BULIISA'!E12,'28.10 BULIISA-HOIMA-24h'!E12,'28.10 HOIMA-BULIISA-24h'!E12,'31.10 HOIMA-BULIISA'!E12)</f>
        <v>0.14285714285714285</v>
      </c>
      <c r="F12" s="49">
        <f>AVERAGE('25.10 HOIMA-BULIISA'!F12,'27.10 HOIMA-BULIISA'!F12,'29.10 BULIISA-HOIMA'!F12,'30.10 HOIMA-BULIISA'!F12,'28.10 BULIISA-HOIMA-24h'!F12,'28.10 HOIMA-BULIISA-24h'!F12,'31.10 HOIMA-BULIISA'!F12)</f>
        <v>1</v>
      </c>
      <c r="G12" s="49">
        <f>AVERAGE('25.10 HOIMA-BULIISA'!G12,'27.10 HOIMA-BULIISA'!G12,'29.10 BULIISA-HOIMA'!G12,'30.10 HOIMA-BULIISA'!G12,'28.10 BULIISA-HOIMA-24h'!G12,'28.10 HOIMA-BULIISA-24h'!G12,'31.10 HOIMA-BULIISA'!G12)</f>
        <v>0</v>
      </c>
      <c r="H12" s="49">
        <f>AVERAGE('25.10 HOIMA-BULIISA'!H12,'27.10 HOIMA-BULIISA'!H12,'29.10 BULIISA-HOIMA'!H12,'30.10 HOIMA-BULIISA'!H12,'28.10 BULIISA-HOIMA-24h'!H12,'28.10 HOIMA-BULIISA-24h'!H12,'31.10 HOIMA-BULIISA'!H12)</f>
        <v>0</v>
      </c>
      <c r="I12" s="49">
        <f>AVERAGE('25.10 HOIMA-BULIISA'!I12,'27.10 HOIMA-BULIISA'!I12,'29.10 BULIISA-HOIMA'!I12,'30.10 HOIMA-BULIISA'!I12,'28.10 BULIISA-HOIMA-24h'!I12,'28.10 HOIMA-BULIISA-24h'!I12,'31.10 HOIMA-BULIISA'!I12)</f>
        <v>0</v>
      </c>
      <c r="J12" s="49">
        <f>AVERAGE('25.10 HOIMA-BULIISA'!J12,'27.10 HOIMA-BULIISA'!J12,'29.10 BULIISA-HOIMA'!J12,'30.10 HOIMA-BULIISA'!J12,'28.10 BULIISA-HOIMA-24h'!J12,'28.10 HOIMA-BULIISA-24h'!J12,'31.10 HOIMA-BULIISA'!J12)</f>
        <v>0</v>
      </c>
      <c r="K12" s="49">
        <f>AVERAGE('25.10 HOIMA-BULIISA'!K12,'27.10 HOIMA-BULIISA'!K12,'29.10 BULIISA-HOIMA'!K12,'30.10 HOIMA-BULIISA'!K12,'28.10 BULIISA-HOIMA-24h'!K12,'28.10 HOIMA-BULIISA-24h'!K12,'31.10 HOIMA-BULIISA'!K12)</f>
        <v>0</v>
      </c>
      <c r="L12" s="49">
        <f>AVERAGE('25.10 HOIMA-BULIISA'!L12,'27.10 HOIMA-BULIISA'!L12,'29.10 BULIISA-HOIMA'!L12,'30.10 HOIMA-BULIISA'!L12,'28.10 BULIISA-HOIMA-24h'!L12,'28.10 HOIMA-BULIISA-24h'!L12,'31.10 HOIMA-BULIISA'!L12)</f>
        <v>0</v>
      </c>
      <c r="M12" s="49">
        <f>AVERAGE('25.10 HOIMA-BULIISA'!M12,'27.10 HOIMA-BULIISA'!M12,'29.10 BULIISA-HOIMA'!M12,'30.10 HOIMA-BULIISA'!M12,'28.10 BULIISA-HOIMA-24h'!M12,'28.10 HOIMA-BULIISA-24h'!M12,'31.10 HOIMA-BULIISA'!M12)</f>
        <v>3.5714285714285716</v>
      </c>
      <c r="N12" s="49">
        <f>AVERAGE('25.10 HOIMA-BULIISA'!N12,'27.10 HOIMA-BULIISA'!N12,'29.10 BULIISA-HOIMA'!N12,'30.10 HOIMA-BULIISA'!N12,'28.10 BULIISA-HOIMA-24h'!N12,'28.10 HOIMA-BULIISA-24h'!N12,'31.10 HOIMA-BULIISA'!N12)</f>
        <v>0</v>
      </c>
      <c r="O12" s="15">
        <f t="shared" si="0"/>
        <v>1.2857142857142856</v>
      </c>
      <c r="P12" s="15">
        <f t="shared" si="1"/>
        <v>4.8571428571428577</v>
      </c>
      <c r="R12" s="1" t="s">
        <v>8</v>
      </c>
      <c r="S12" s="17">
        <f t="shared" ref="S12:AF12" si="4">SUM(C18:C21)</f>
        <v>1.2857142857142856</v>
      </c>
      <c r="T12" s="17">
        <f t="shared" si="4"/>
        <v>0.42857142857142855</v>
      </c>
      <c r="U12" s="17">
        <f t="shared" si="4"/>
        <v>1.5714285714285712</v>
      </c>
      <c r="V12" s="17">
        <f t="shared" si="4"/>
        <v>3.7619047619047619</v>
      </c>
      <c r="W12" s="17">
        <f t="shared" si="4"/>
        <v>0</v>
      </c>
      <c r="X12" s="17">
        <f t="shared" si="4"/>
        <v>0.14285714285714285</v>
      </c>
      <c r="Y12" s="17">
        <f t="shared" si="4"/>
        <v>0.5714285714285714</v>
      </c>
      <c r="Z12" s="17">
        <f t="shared" si="4"/>
        <v>0.42857142857142855</v>
      </c>
      <c r="AA12" s="17">
        <f t="shared" si="4"/>
        <v>0.5714285714285714</v>
      </c>
      <c r="AB12" s="17">
        <f t="shared" si="4"/>
        <v>0</v>
      </c>
      <c r="AC12" s="17">
        <f t="shared" si="4"/>
        <v>17.857142857142858</v>
      </c>
      <c r="AD12" s="17">
        <f t="shared" si="4"/>
        <v>0</v>
      </c>
      <c r="AE12" s="31">
        <f t="shared" si="4"/>
        <v>8.761904761904761</v>
      </c>
      <c r="AF12" s="31">
        <f t="shared" si="4"/>
        <v>26.61904761904762</v>
      </c>
    </row>
    <row r="13" spans="2:32" ht="23.1" customHeight="1" x14ac:dyDescent="0.25">
      <c r="B13" s="23" t="s">
        <v>40</v>
      </c>
      <c r="C13" s="49">
        <f>AVERAGE('25.10 HOIMA-BULIISA'!C13,'27.10 HOIMA-BULIISA'!C13,'29.10 BULIISA-HOIMA'!C13,'30.10 HOIMA-BULIISA'!C13,'28.10 BULIISA-HOIMA-24h'!C13,'28.10 HOIMA-BULIISA-24h'!C13,'31.10 HOIMA-BULIISA'!C13)</f>
        <v>0</v>
      </c>
      <c r="D13" s="49">
        <f>AVERAGE('25.10 HOIMA-BULIISA'!D13,'27.10 HOIMA-BULIISA'!D13,'29.10 BULIISA-HOIMA'!D13,'30.10 HOIMA-BULIISA'!D13,'28.10 BULIISA-HOIMA-24h'!D13,'28.10 HOIMA-BULIISA-24h'!D13,'31.10 HOIMA-BULIISA'!D13)</f>
        <v>0.42857142857142855</v>
      </c>
      <c r="E13" s="49">
        <f>AVERAGE('25.10 HOIMA-BULIISA'!E13,'27.10 HOIMA-BULIISA'!E13,'29.10 BULIISA-HOIMA'!E13,'30.10 HOIMA-BULIISA'!E13,'28.10 BULIISA-HOIMA-24h'!E13,'28.10 HOIMA-BULIISA-24h'!E13,'31.10 HOIMA-BULIISA'!E13)</f>
        <v>0.2857142857142857</v>
      </c>
      <c r="F13" s="49">
        <f>AVERAGE('25.10 HOIMA-BULIISA'!F13,'27.10 HOIMA-BULIISA'!F13,'29.10 BULIISA-HOIMA'!F13,'30.10 HOIMA-BULIISA'!F13,'28.10 BULIISA-HOIMA-24h'!F13,'28.10 HOIMA-BULIISA-24h'!F13,'31.10 HOIMA-BULIISA'!F13)</f>
        <v>0.5714285714285714</v>
      </c>
      <c r="G13" s="49">
        <f>AVERAGE('25.10 HOIMA-BULIISA'!G13,'27.10 HOIMA-BULIISA'!G13,'29.10 BULIISA-HOIMA'!G13,'30.10 HOIMA-BULIISA'!G13,'28.10 BULIISA-HOIMA-24h'!G13,'28.10 HOIMA-BULIISA-24h'!G13,'31.10 HOIMA-BULIISA'!G13)</f>
        <v>0.14285714285714285</v>
      </c>
      <c r="H13" s="49">
        <f>AVERAGE('25.10 HOIMA-BULIISA'!H13,'27.10 HOIMA-BULIISA'!H13,'29.10 BULIISA-HOIMA'!H13,'30.10 HOIMA-BULIISA'!H13,'28.10 BULIISA-HOIMA-24h'!H13,'28.10 HOIMA-BULIISA-24h'!H13,'31.10 HOIMA-BULIISA'!H13)</f>
        <v>0</v>
      </c>
      <c r="I13" s="49">
        <f>AVERAGE('25.10 HOIMA-BULIISA'!I13,'27.10 HOIMA-BULIISA'!I13,'29.10 BULIISA-HOIMA'!I13,'30.10 HOIMA-BULIISA'!I13,'28.10 BULIISA-HOIMA-24h'!I13,'28.10 HOIMA-BULIISA-24h'!I13,'31.10 HOIMA-BULIISA'!I13)</f>
        <v>0</v>
      </c>
      <c r="J13" s="49">
        <f>AVERAGE('25.10 HOIMA-BULIISA'!J13,'27.10 HOIMA-BULIISA'!J13,'29.10 BULIISA-HOIMA'!J13,'30.10 HOIMA-BULIISA'!J13,'28.10 BULIISA-HOIMA-24h'!J13,'28.10 HOIMA-BULIISA-24h'!J13,'31.10 HOIMA-BULIISA'!J13)</f>
        <v>0.42857142857142855</v>
      </c>
      <c r="K13" s="49">
        <f>AVERAGE('25.10 HOIMA-BULIISA'!K13,'27.10 HOIMA-BULIISA'!K13,'29.10 BULIISA-HOIMA'!K13,'30.10 HOIMA-BULIISA'!K13,'28.10 BULIISA-HOIMA-24h'!K13,'28.10 HOIMA-BULIISA-24h'!K13,'31.10 HOIMA-BULIISA'!K13)</f>
        <v>0</v>
      </c>
      <c r="L13" s="49">
        <f>AVERAGE('25.10 HOIMA-BULIISA'!L13,'27.10 HOIMA-BULIISA'!L13,'29.10 BULIISA-HOIMA'!L13,'30.10 HOIMA-BULIISA'!L13,'28.10 BULIISA-HOIMA-24h'!L13,'28.10 HOIMA-BULIISA-24h'!L13,'31.10 HOIMA-BULIISA'!L13)</f>
        <v>0</v>
      </c>
      <c r="M13" s="49">
        <f>AVERAGE('25.10 HOIMA-BULIISA'!M13,'27.10 HOIMA-BULIISA'!M13,'29.10 BULIISA-HOIMA'!M13,'30.10 HOIMA-BULIISA'!M13,'28.10 BULIISA-HOIMA-24h'!M13,'28.10 HOIMA-BULIISA-24h'!M13,'31.10 HOIMA-BULIISA'!M13)</f>
        <v>3.5714285714285716</v>
      </c>
      <c r="N13" s="49">
        <f>AVERAGE('25.10 HOIMA-BULIISA'!N13,'27.10 HOIMA-BULIISA'!N13,'29.10 BULIISA-HOIMA'!N13,'30.10 HOIMA-BULIISA'!N13,'28.10 BULIISA-HOIMA-24h'!N13,'28.10 HOIMA-BULIISA-24h'!N13,'31.10 HOIMA-BULIISA'!N13)</f>
        <v>0</v>
      </c>
      <c r="O13" s="15">
        <f t="shared" si="0"/>
        <v>1.857142857142857</v>
      </c>
      <c r="P13" s="15">
        <f t="shared" si="1"/>
        <v>5.4285714285714288</v>
      </c>
      <c r="R13" s="1" t="s">
        <v>9</v>
      </c>
      <c r="S13" s="17">
        <f t="shared" ref="S13:AF13" si="5">SUM(C22:C25)</f>
        <v>1.1428571428571428</v>
      </c>
      <c r="T13" s="17">
        <f t="shared" si="5"/>
        <v>0.2857142857142857</v>
      </c>
      <c r="U13" s="17">
        <f t="shared" si="5"/>
        <v>2.1428571428571428</v>
      </c>
      <c r="V13" s="17">
        <f t="shared" si="5"/>
        <v>3.1428571428571423</v>
      </c>
      <c r="W13" s="17">
        <f t="shared" si="5"/>
        <v>0.14285714285714285</v>
      </c>
      <c r="X13" s="17">
        <f t="shared" si="5"/>
        <v>0</v>
      </c>
      <c r="Y13" s="17">
        <f t="shared" si="5"/>
        <v>0.14285714285714285</v>
      </c>
      <c r="Z13" s="17">
        <f t="shared" si="5"/>
        <v>0.42857142857142855</v>
      </c>
      <c r="AA13" s="17">
        <f t="shared" si="5"/>
        <v>0.2857142857142857</v>
      </c>
      <c r="AB13" s="17">
        <f t="shared" si="5"/>
        <v>0</v>
      </c>
      <c r="AC13" s="17">
        <f t="shared" si="5"/>
        <v>17.857142857142854</v>
      </c>
      <c r="AD13" s="17">
        <f t="shared" si="5"/>
        <v>0</v>
      </c>
      <c r="AE13" s="31">
        <f t="shared" si="5"/>
        <v>7.7142857142857135</v>
      </c>
      <c r="AF13" s="31">
        <f t="shared" si="5"/>
        <v>25.571428571428569</v>
      </c>
    </row>
    <row r="14" spans="2:32" ht="23.1" customHeight="1" x14ac:dyDescent="0.25">
      <c r="B14" s="23" t="s">
        <v>41</v>
      </c>
      <c r="C14" s="49">
        <f>AVERAGE('25.10 HOIMA-BULIISA'!C14,'27.10 HOIMA-BULIISA'!C14,'29.10 BULIISA-HOIMA'!C14,'30.10 HOIMA-BULIISA'!C14,'28.10 BULIISA-HOIMA-24h'!C14,'28.10 HOIMA-BULIISA-24h'!C14,'31.10 HOIMA-BULIISA'!C14)</f>
        <v>0</v>
      </c>
      <c r="D14" s="49">
        <f>AVERAGE('25.10 HOIMA-BULIISA'!D14,'27.10 HOIMA-BULIISA'!D14,'29.10 BULIISA-HOIMA'!D14,'30.10 HOIMA-BULIISA'!D14,'28.10 BULIISA-HOIMA-24h'!D14,'28.10 HOIMA-BULIISA-24h'!D14,'31.10 HOIMA-BULIISA'!D14)</f>
        <v>0</v>
      </c>
      <c r="E14" s="49">
        <f>AVERAGE('25.10 HOIMA-BULIISA'!E14,'27.10 HOIMA-BULIISA'!E14,'29.10 BULIISA-HOIMA'!E14,'30.10 HOIMA-BULIISA'!E14,'28.10 BULIISA-HOIMA-24h'!E14,'28.10 HOIMA-BULIISA-24h'!E14,'31.10 HOIMA-BULIISA'!E14)</f>
        <v>0.2857142857142857</v>
      </c>
      <c r="F14" s="49">
        <f>AVERAGE('25.10 HOIMA-BULIISA'!F14,'27.10 HOIMA-BULIISA'!F14,'29.10 BULIISA-HOIMA'!F14,'30.10 HOIMA-BULIISA'!F14,'28.10 BULIISA-HOIMA-24h'!F14,'28.10 HOIMA-BULIISA-24h'!F14,'31.10 HOIMA-BULIISA'!F14)</f>
        <v>1.1428571428571428</v>
      </c>
      <c r="G14" s="49">
        <f>AVERAGE('25.10 HOIMA-BULIISA'!G14,'27.10 HOIMA-BULIISA'!G14,'29.10 BULIISA-HOIMA'!G14,'30.10 HOIMA-BULIISA'!G14,'28.10 BULIISA-HOIMA-24h'!G14,'28.10 HOIMA-BULIISA-24h'!G14,'31.10 HOIMA-BULIISA'!G14)</f>
        <v>0</v>
      </c>
      <c r="H14" s="49">
        <f>AVERAGE('25.10 HOIMA-BULIISA'!H14,'27.10 HOIMA-BULIISA'!H14,'29.10 BULIISA-HOIMA'!H14,'30.10 HOIMA-BULIISA'!H14,'28.10 BULIISA-HOIMA-24h'!H14,'28.10 HOIMA-BULIISA-24h'!H14,'31.10 HOIMA-BULIISA'!H14)</f>
        <v>0</v>
      </c>
      <c r="I14" s="49">
        <f>AVERAGE('25.10 HOIMA-BULIISA'!I14,'27.10 HOIMA-BULIISA'!I14,'29.10 BULIISA-HOIMA'!I14,'30.10 HOIMA-BULIISA'!I14,'28.10 BULIISA-HOIMA-24h'!I14,'28.10 HOIMA-BULIISA-24h'!I14,'31.10 HOIMA-BULIISA'!I14)</f>
        <v>0.14285714285714285</v>
      </c>
      <c r="J14" s="49">
        <f>AVERAGE('25.10 HOIMA-BULIISA'!J14,'27.10 HOIMA-BULIISA'!J14,'29.10 BULIISA-HOIMA'!J14,'30.10 HOIMA-BULIISA'!J14,'28.10 BULIISA-HOIMA-24h'!J14,'28.10 HOIMA-BULIISA-24h'!J14,'31.10 HOIMA-BULIISA'!J14)</f>
        <v>0</v>
      </c>
      <c r="K14" s="49">
        <f>AVERAGE('25.10 HOIMA-BULIISA'!K14,'27.10 HOIMA-BULIISA'!K14,'29.10 BULIISA-HOIMA'!K14,'30.10 HOIMA-BULIISA'!K14,'28.10 BULIISA-HOIMA-24h'!K14,'28.10 HOIMA-BULIISA-24h'!K14,'31.10 HOIMA-BULIISA'!K14)</f>
        <v>0</v>
      </c>
      <c r="L14" s="49">
        <f>AVERAGE('25.10 HOIMA-BULIISA'!L14,'27.10 HOIMA-BULIISA'!L14,'29.10 BULIISA-HOIMA'!L14,'30.10 HOIMA-BULIISA'!L14,'28.10 BULIISA-HOIMA-24h'!L14,'28.10 HOIMA-BULIISA-24h'!L14,'31.10 HOIMA-BULIISA'!L14)</f>
        <v>0</v>
      </c>
      <c r="M14" s="49">
        <f>AVERAGE('25.10 HOIMA-BULIISA'!M14,'27.10 HOIMA-BULIISA'!M14,'29.10 BULIISA-HOIMA'!M14,'30.10 HOIMA-BULIISA'!M14,'28.10 BULIISA-HOIMA-24h'!M14,'28.10 HOIMA-BULIISA-24h'!M14,'31.10 HOIMA-BULIISA'!M14)</f>
        <v>4</v>
      </c>
      <c r="N14" s="49">
        <f>AVERAGE('25.10 HOIMA-BULIISA'!N14,'27.10 HOIMA-BULIISA'!N14,'29.10 BULIISA-HOIMA'!N14,'30.10 HOIMA-BULIISA'!N14,'28.10 BULIISA-HOIMA-24h'!N14,'28.10 HOIMA-BULIISA-24h'!N14,'31.10 HOIMA-BULIISA'!N14)</f>
        <v>0</v>
      </c>
      <c r="O14" s="15">
        <f t="shared" si="0"/>
        <v>1.5714285714285712</v>
      </c>
      <c r="P14" s="15">
        <f t="shared" si="1"/>
        <v>5.5714285714285712</v>
      </c>
      <c r="R14" s="1" t="s">
        <v>10</v>
      </c>
      <c r="S14" s="17">
        <f t="shared" ref="S14:AF14" si="6">SUM(C26:C29)</f>
        <v>1</v>
      </c>
      <c r="T14" s="17">
        <f t="shared" si="6"/>
        <v>0.5714285714285714</v>
      </c>
      <c r="U14" s="17">
        <f t="shared" si="6"/>
        <v>1.7142857142857144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0.14285714285714285</v>
      </c>
      <c r="Z14" s="17">
        <f t="shared" si="6"/>
        <v>0.42857142857142855</v>
      </c>
      <c r="AA14" s="17">
        <f t="shared" si="6"/>
        <v>0.14285714285714285</v>
      </c>
      <c r="AB14" s="17">
        <f t="shared" si="6"/>
        <v>0.2857142857142857</v>
      </c>
      <c r="AC14" s="17">
        <f t="shared" si="6"/>
        <v>16</v>
      </c>
      <c r="AD14" s="17">
        <f t="shared" si="6"/>
        <v>0</v>
      </c>
      <c r="AE14" s="31">
        <f t="shared" si="6"/>
        <v>6.2857142857142847</v>
      </c>
      <c r="AF14" s="31">
        <f t="shared" si="6"/>
        <v>22.285714285714285</v>
      </c>
    </row>
    <row r="15" spans="2:32" ht="23.1" customHeight="1" x14ac:dyDescent="0.25">
      <c r="B15" s="23" t="s">
        <v>42</v>
      </c>
      <c r="C15" s="49">
        <f>AVERAGE('25.10 HOIMA-BULIISA'!C15,'27.10 HOIMA-BULIISA'!C15,'29.10 BULIISA-HOIMA'!C15,'30.10 HOIMA-BULIISA'!C15,'28.10 BULIISA-HOIMA-24h'!C15,'28.10 HOIMA-BULIISA-24h'!C15,'31.10 HOIMA-BULIISA'!C15)</f>
        <v>0.2857142857142857</v>
      </c>
      <c r="D15" s="49">
        <f>AVERAGE('25.10 HOIMA-BULIISA'!D15,'27.10 HOIMA-BULIISA'!D15,'29.10 BULIISA-HOIMA'!D15,'30.10 HOIMA-BULIISA'!D15,'28.10 BULIISA-HOIMA-24h'!D15,'28.10 HOIMA-BULIISA-24h'!D15,'31.10 HOIMA-BULIISA'!D15)</f>
        <v>0</v>
      </c>
      <c r="E15" s="49">
        <f>AVERAGE('25.10 HOIMA-BULIISA'!E15,'27.10 HOIMA-BULIISA'!E15,'29.10 BULIISA-HOIMA'!E15,'30.10 HOIMA-BULIISA'!E15,'28.10 BULIISA-HOIMA-24h'!E15,'28.10 HOIMA-BULIISA-24h'!E15,'31.10 HOIMA-BULIISA'!E15)</f>
        <v>0.5714285714285714</v>
      </c>
      <c r="F15" s="49">
        <f>AVERAGE('25.10 HOIMA-BULIISA'!F15,'27.10 HOIMA-BULIISA'!F15,'29.10 BULIISA-HOIMA'!F15,'30.10 HOIMA-BULIISA'!F15,'28.10 BULIISA-HOIMA-24h'!F15,'28.10 HOIMA-BULIISA-24h'!F15,'31.10 HOIMA-BULIISA'!F15)</f>
        <v>0.7142857142857143</v>
      </c>
      <c r="G15" s="49">
        <f>AVERAGE('25.10 HOIMA-BULIISA'!G15,'27.10 HOIMA-BULIISA'!G15,'29.10 BULIISA-HOIMA'!G15,'30.10 HOIMA-BULIISA'!G15,'28.10 BULIISA-HOIMA-24h'!G15,'28.10 HOIMA-BULIISA-24h'!G15,'31.10 HOIMA-BULIISA'!G15)</f>
        <v>0</v>
      </c>
      <c r="H15" s="49">
        <f>AVERAGE('25.10 HOIMA-BULIISA'!H15,'27.10 HOIMA-BULIISA'!H15,'29.10 BULIISA-HOIMA'!H15,'30.10 HOIMA-BULIISA'!H15,'28.10 BULIISA-HOIMA-24h'!H15,'28.10 HOIMA-BULIISA-24h'!H15,'31.10 HOIMA-BULIISA'!H15)</f>
        <v>0</v>
      </c>
      <c r="I15" s="49">
        <f>AVERAGE('25.10 HOIMA-BULIISA'!I15,'27.10 HOIMA-BULIISA'!I15,'29.10 BULIISA-HOIMA'!I15,'30.10 HOIMA-BULIISA'!I15,'28.10 BULIISA-HOIMA-24h'!I15,'28.10 HOIMA-BULIISA-24h'!I15,'31.10 HOIMA-BULIISA'!I15)</f>
        <v>0.2857142857142857</v>
      </c>
      <c r="J15" s="49">
        <f>AVERAGE('25.10 HOIMA-BULIISA'!J15,'27.10 HOIMA-BULIISA'!J15,'29.10 BULIISA-HOIMA'!J15,'30.10 HOIMA-BULIISA'!J15,'28.10 BULIISA-HOIMA-24h'!J15,'28.10 HOIMA-BULIISA-24h'!J15,'31.10 HOIMA-BULIISA'!J15)</f>
        <v>0</v>
      </c>
      <c r="K15" s="49">
        <f>AVERAGE('25.10 HOIMA-BULIISA'!K15,'27.10 HOIMA-BULIISA'!K15,'29.10 BULIISA-HOIMA'!K15,'30.10 HOIMA-BULIISA'!K15,'28.10 BULIISA-HOIMA-24h'!K15,'28.10 HOIMA-BULIISA-24h'!K15,'31.10 HOIMA-BULIISA'!K15)</f>
        <v>0</v>
      </c>
      <c r="L15" s="49">
        <f>AVERAGE('25.10 HOIMA-BULIISA'!L15,'27.10 HOIMA-BULIISA'!L15,'29.10 BULIISA-HOIMA'!L15,'30.10 HOIMA-BULIISA'!L15,'28.10 BULIISA-HOIMA-24h'!L15,'28.10 HOIMA-BULIISA-24h'!L15,'31.10 HOIMA-BULIISA'!L15)</f>
        <v>0</v>
      </c>
      <c r="M15" s="49">
        <f>AVERAGE('25.10 HOIMA-BULIISA'!M15,'27.10 HOIMA-BULIISA'!M15,'29.10 BULIISA-HOIMA'!M15,'30.10 HOIMA-BULIISA'!M15,'28.10 BULIISA-HOIMA-24h'!M15,'28.10 HOIMA-BULIISA-24h'!M15,'31.10 HOIMA-BULIISA'!M15)</f>
        <v>5.1428571428571432</v>
      </c>
      <c r="N15" s="49">
        <f>AVERAGE('25.10 HOIMA-BULIISA'!N15,'27.10 HOIMA-BULIISA'!N15,'29.10 BULIISA-HOIMA'!N15,'30.10 HOIMA-BULIISA'!N15,'28.10 BULIISA-HOIMA-24h'!N15,'28.10 HOIMA-BULIISA-24h'!N15,'31.10 HOIMA-BULIISA'!N15)</f>
        <v>0</v>
      </c>
      <c r="O15" s="15">
        <f t="shared" si="0"/>
        <v>1.8571428571428572</v>
      </c>
      <c r="P15" s="15">
        <f t="shared" si="1"/>
        <v>7</v>
      </c>
      <c r="R15" s="1" t="s">
        <v>11</v>
      </c>
      <c r="S15" s="17">
        <f t="shared" ref="S15:AF15" si="7">SUM(C30:C33)</f>
        <v>1</v>
      </c>
      <c r="T15" s="17">
        <f t="shared" si="7"/>
        <v>0.71428571428571419</v>
      </c>
      <c r="U15" s="17">
        <f t="shared" si="7"/>
        <v>1.5714285714285714</v>
      </c>
      <c r="V15" s="17">
        <f t="shared" si="7"/>
        <v>3.4285714285714288</v>
      </c>
      <c r="W15" s="17">
        <f t="shared" si="7"/>
        <v>0.14285714285714285</v>
      </c>
      <c r="X15" s="17">
        <f t="shared" si="7"/>
        <v>0</v>
      </c>
      <c r="Y15" s="17">
        <f t="shared" si="7"/>
        <v>0</v>
      </c>
      <c r="Z15" s="17">
        <f t="shared" si="7"/>
        <v>0.2857142857142857</v>
      </c>
      <c r="AA15" s="17">
        <f t="shared" si="7"/>
        <v>0</v>
      </c>
      <c r="AB15" s="17">
        <f t="shared" si="7"/>
        <v>0.14285714285714285</v>
      </c>
      <c r="AC15" s="17">
        <f t="shared" si="7"/>
        <v>15.142857142857142</v>
      </c>
      <c r="AD15" s="17">
        <f t="shared" si="7"/>
        <v>0</v>
      </c>
      <c r="AE15" s="31">
        <f t="shared" si="7"/>
        <v>7.2857142857142856</v>
      </c>
      <c r="AF15" s="31">
        <f t="shared" si="7"/>
        <v>22.428571428571423</v>
      </c>
    </row>
    <row r="16" spans="2:32" ht="23.1" customHeight="1" x14ac:dyDescent="0.25">
      <c r="B16" s="23" t="s">
        <v>43</v>
      </c>
      <c r="C16" s="49">
        <f>AVERAGE('25.10 HOIMA-BULIISA'!C16,'27.10 HOIMA-BULIISA'!C16,'29.10 BULIISA-HOIMA'!C16,'30.10 HOIMA-BULIISA'!C16,'28.10 BULIISA-HOIMA-24h'!C16,'28.10 HOIMA-BULIISA-24h'!C16,'31.10 HOIMA-BULIISA'!C16)</f>
        <v>0.42857142857142855</v>
      </c>
      <c r="D16" s="49">
        <f>AVERAGE('25.10 HOIMA-BULIISA'!D16,'27.10 HOIMA-BULIISA'!D16,'29.10 BULIISA-HOIMA'!D16,'30.10 HOIMA-BULIISA'!D16,'28.10 BULIISA-HOIMA-24h'!D16,'28.10 HOIMA-BULIISA-24h'!D16,'31.10 HOIMA-BULIISA'!D16)</f>
        <v>0</v>
      </c>
      <c r="E16" s="49">
        <f>AVERAGE('25.10 HOIMA-BULIISA'!E16,'27.10 HOIMA-BULIISA'!E16,'29.10 BULIISA-HOIMA'!E16,'30.10 HOIMA-BULIISA'!E16,'28.10 BULIISA-HOIMA-24h'!E16,'28.10 HOIMA-BULIISA-24h'!E16,'31.10 HOIMA-BULIISA'!E16)</f>
        <v>0.7142857142857143</v>
      </c>
      <c r="F16" s="49">
        <f>AVERAGE('25.10 HOIMA-BULIISA'!F16,'27.10 HOIMA-BULIISA'!F16,'29.10 BULIISA-HOIMA'!F16,'30.10 HOIMA-BULIISA'!F16,'28.10 BULIISA-HOIMA-24h'!F16,'28.10 HOIMA-BULIISA-24h'!F16,'31.10 HOIMA-BULIISA'!F16)</f>
        <v>0.7142857142857143</v>
      </c>
      <c r="G16" s="49">
        <f>AVERAGE('25.10 HOIMA-BULIISA'!G16,'27.10 HOIMA-BULIISA'!G16,'29.10 BULIISA-HOIMA'!G16,'30.10 HOIMA-BULIISA'!G16,'28.10 BULIISA-HOIMA-24h'!G16,'28.10 HOIMA-BULIISA-24h'!G16,'31.10 HOIMA-BULIISA'!G16)</f>
        <v>0</v>
      </c>
      <c r="H16" s="49">
        <f>AVERAGE('25.10 HOIMA-BULIISA'!H16,'27.10 HOIMA-BULIISA'!H16,'29.10 BULIISA-HOIMA'!H16,'30.10 HOIMA-BULIISA'!H16,'28.10 BULIISA-HOIMA-24h'!H16,'28.10 HOIMA-BULIISA-24h'!H16,'31.10 HOIMA-BULIISA'!H16)</f>
        <v>0</v>
      </c>
      <c r="I16" s="49">
        <f>AVERAGE('25.10 HOIMA-BULIISA'!I16,'27.10 HOIMA-BULIISA'!I16,'29.10 BULIISA-HOIMA'!I16,'30.10 HOIMA-BULIISA'!I16,'28.10 BULIISA-HOIMA-24h'!I16,'28.10 HOIMA-BULIISA-24h'!I16,'31.10 HOIMA-BULIISA'!I16)</f>
        <v>0</v>
      </c>
      <c r="J16" s="49">
        <f>AVERAGE('25.10 HOIMA-BULIISA'!J16,'27.10 HOIMA-BULIISA'!J16,'29.10 BULIISA-HOIMA'!J16,'30.10 HOIMA-BULIISA'!J16,'28.10 BULIISA-HOIMA-24h'!J16,'28.10 HOIMA-BULIISA-24h'!J16,'31.10 HOIMA-BULIISA'!J16)</f>
        <v>0</v>
      </c>
      <c r="K16" s="49">
        <f>AVERAGE('25.10 HOIMA-BULIISA'!K16,'27.10 HOIMA-BULIISA'!K16,'29.10 BULIISA-HOIMA'!K16,'30.10 HOIMA-BULIISA'!K16,'28.10 BULIISA-HOIMA-24h'!K16,'28.10 HOIMA-BULIISA-24h'!K16,'31.10 HOIMA-BULIISA'!K16)</f>
        <v>0.14285714285714285</v>
      </c>
      <c r="L16" s="49">
        <f>AVERAGE('25.10 HOIMA-BULIISA'!L16,'27.10 HOIMA-BULIISA'!L16,'29.10 BULIISA-HOIMA'!L16,'30.10 HOIMA-BULIISA'!L16,'28.10 BULIISA-HOIMA-24h'!L16,'28.10 HOIMA-BULIISA-24h'!L16,'31.10 HOIMA-BULIISA'!L16)</f>
        <v>0</v>
      </c>
      <c r="M16" s="49">
        <f>AVERAGE('25.10 HOIMA-BULIISA'!M16,'27.10 HOIMA-BULIISA'!M16,'29.10 BULIISA-HOIMA'!M16,'30.10 HOIMA-BULIISA'!M16,'28.10 BULIISA-HOIMA-24h'!M16,'28.10 HOIMA-BULIISA-24h'!M16,'31.10 HOIMA-BULIISA'!M16)</f>
        <v>4.5714285714285712</v>
      </c>
      <c r="N16" s="49">
        <f>AVERAGE('25.10 HOIMA-BULIISA'!N16,'27.10 HOIMA-BULIISA'!N16,'29.10 BULIISA-HOIMA'!N16,'30.10 HOIMA-BULIISA'!N16,'28.10 BULIISA-HOIMA-24h'!N16,'28.10 HOIMA-BULIISA-24h'!N16,'31.10 HOIMA-BULIISA'!N16)</f>
        <v>0</v>
      </c>
      <c r="O16" s="15">
        <f t="shared" si="0"/>
        <v>2</v>
      </c>
      <c r="P16" s="15">
        <f t="shared" si="1"/>
        <v>6.5714285714285712</v>
      </c>
      <c r="R16" s="1" t="s">
        <v>12</v>
      </c>
      <c r="S16" s="17">
        <f t="shared" ref="S16:AF16" si="8">SUM(C34:C37)</f>
        <v>0.71428571428571419</v>
      </c>
      <c r="T16" s="17">
        <f t="shared" si="8"/>
        <v>0.42857142857142855</v>
      </c>
      <c r="U16" s="17">
        <f t="shared" si="8"/>
        <v>2.1428571428571428</v>
      </c>
      <c r="V16" s="17">
        <f t="shared" si="8"/>
        <v>2.8571428571428572</v>
      </c>
      <c r="W16" s="17">
        <f t="shared" si="8"/>
        <v>0</v>
      </c>
      <c r="X16" s="17">
        <f t="shared" si="8"/>
        <v>0</v>
      </c>
      <c r="Y16" s="17">
        <f t="shared" si="8"/>
        <v>0.14285714285714285</v>
      </c>
      <c r="Z16" s="17">
        <f t="shared" si="8"/>
        <v>0.2857142857142857</v>
      </c>
      <c r="AA16" s="17">
        <f t="shared" si="8"/>
        <v>0</v>
      </c>
      <c r="AB16" s="17">
        <f t="shared" si="8"/>
        <v>0</v>
      </c>
      <c r="AC16" s="17">
        <f t="shared" si="8"/>
        <v>13.142857142857142</v>
      </c>
      <c r="AD16" s="17">
        <f t="shared" si="8"/>
        <v>0</v>
      </c>
      <c r="AE16" s="31">
        <f t="shared" si="8"/>
        <v>6.5714285714285712</v>
      </c>
      <c r="AF16" s="31">
        <f t="shared" si="8"/>
        <v>19.714285714285715</v>
      </c>
    </row>
    <row r="17" spans="2:32" ht="23.1" customHeight="1" x14ac:dyDescent="0.25">
      <c r="B17" s="23" t="s">
        <v>44</v>
      </c>
      <c r="C17" s="49">
        <f>AVERAGE('25.10 HOIMA-BULIISA'!C17,'27.10 HOIMA-BULIISA'!C17,'29.10 BULIISA-HOIMA'!C17,'30.10 HOIMA-BULIISA'!C17,'28.10 BULIISA-HOIMA-24h'!C17,'28.10 HOIMA-BULIISA-24h'!C17,'31.10 HOIMA-BULIISA'!C17)</f>
        <v>0.5714285714285714</v>
      </c>
      <c r="D17" s="49">
        <f>AVERAGE('25.10 HOIMA-BULIISA'!D17,'27.10 HOIMA-BULIISA'!D17,'29.10 BULIISA-HOIMA'!D17,'30.10 HOIMA-BULIISA'!D17,'28.10 BULIISA-HOIMA-24h'!D17,'28.10 HOIMA-BULIISA-24h'!D17,'31.10 HOIMA-BULIISA'!D17)</f>
        <v>0</v>
      </c>
      <c r="E17" s="49">
        <f>AVERAGE('25.10 HOIMA-BULIISA'!E17,'27.10 HOIMA-BULIISA'!E17,'29.10 BULIISA-HOIMA'!E17,'30.10 HOIMA-BULIISA'!E17,'28.10 BULIISA-HOIMA-24h'!E17,'28.10 HOIMA-BULIISA-24h'!E17,'31.10 HOIMA-BULIISA'!E17)</f>
        <v>0.5714285714285714</v>
      </c>
      <c r="F17" s="49">
        <f>AVERAGE('25.10 HOIMA-BULIISA'!F17,'27.10 HOIMA-BULIISA'!F17,'29.10 BULIISA-HOIMA'!F17,'30.10 HOIMA-BULIISA'!F17,'28.10 BULIISA-HOIMA-24h'!F17,'28.10 HOIMA-BULIISA-24h'!F17,'31.10 HOIMA-BULIISA'!F17)</f>
        <v>0.42857142857142855</v>
      </c>
      <c r="G17" s="49">
        <f>AVERAGE('25.10 HOIMA-BULIISA'!G17,'27.10 HOIMA-BULIISA'!G17,'29.10 BULIISA-HOIMA'!G17,'30.10 HOIMA-BULIISA'!G17,'28.10 BULIISA-HOIMA-24h'!G17,'28.10 HOIMA-BULIISA-24h'!G17,'31.10 HOIMA-BULIISA'!G17)</f>
        <v>0</v>
      </c>
      <c r="H17" s="49">
        <f>AVERAGE('25.10 HOIMA-BULIISA'!H17,'27.10 HOIMA-BULIISA'!H17,'29.10 BULIISA-HOIMA'!H17,'30.10 HOIMA-BULIISA'!H17,'28.10 BULIISA-HOIMA-24h'!H17,'28.10 HOIMA-BULIISA-24h'!H17,'31.10 HOIMA-BULIISA'!H17)</f>
        <v>0</v>
      </c>
      <c r="I17" s="49">
        <f>AVERAGE('25.10 HOIMA-BULIISA'!I17,'27.10 HOIMA-BULIISA'!I17,'29.10 BULIISA-HOIMA'!I17,'30.10 HOIMA-BULIISA'!I17,'28.10 BULIISA-HOIMA-24h'!I17,'28.10 HOIMA-BULIISA-24h'!I17,'31.10 HOIMA-BULIISA'!I17)</f>
        <v>0.14285714285714285</v>
      </c>
      <c r="J17" s="49">
        <f>AVERAGE('25.10 HOIMA-BULIISA'!J17,'27.10 HOIMA-BULIISA'!J17,'29.10 BULIISA-HOIMA'!J17,'30.10 HOIMA-BULIISA'!J17,'28.10 BULIISA-HOIMA-24h'!J17,'28.10 HOIMA-BULIISA-24h'!J17,'31.10 HOIMA-BULIISA'!J17)</f>
        <v>0.2857142857142857</v>
      </c>
      <c r="K17" s="49">
        <f>AVERAGE('25.10 HOIMA-BULIISA'!K17,'27.10 HOIMA-BULIISA'!K17,'29.10 BULIISA-HOIMA'!K17,'30.10 HOIMA-BULIISA'!K17,'28.10 BULIISA-HOIMA-24h'!K17,'28.10 HOIMA-BULIISA-24h'!K17,'31.10 HOIMA-BULIISA'!K17)</f>
        <v>0</v>
      </c>
      <c r="L17" s="49">
        <f>AVERAGE('25.10 HOIMA-BULIISA'!L17,'27.10 HOIMA-BULIISA'!L17,'29.10 BULIISA-HOIMA'!L17,'30.10 HOIMA-BULIISA'!L17,'28.10 BULIISA-HOIMA-24h'!L17,'28.10 HOIMA-BULIISA-24h'!L17,'31.10 HOIMA-BULIISA'!L17)</f>
        <v>0.2857142857142857</v>
      </c>
      <c r="M17" s="49">
        <f>AVERAGE('25.10 HOIMA-BULIISA'!M17,'27.10 HOIMA-BULIISA'!M17,'29.10 BULIISA-HOIMA'!M17,'30.10 HOIMA-BULIISA'!M17,'28.10 BULIISA-HOIMA-24h'!M17,'28.10 HOIMA-BULIISA-24h'!M17,'31.10 HOIMA-BULIISA'!M17)</f>
        <v>4.2857142857142856</v>
      </c>
      <c r="N17" s="49">
        <f>AVERAGE('25.10 HOIMA-BULIISA'!N17,'27.10 HOIMA-BULIISA'!N17,'29.10 BULIISA-HOIMA'!N17,'30.10 HOIMA-BULIISA'!N17,'28.10 BULIISA-HOIMA-24h'!N17,'28.10 HOIMA-BULIISA-24h'!N17,'31.10 HOIMA-BULIISA'!N17)</f>
        <v>0</v>
      </c>
      <c r="O17" s="15">
        <f t="shared" si="0"/>
        <v>2.2857142857142856</v>
      </c>
      <c r="P17" s="15">
        <f t="shared" si="1"/>
        <v>6.5714285714285712</v>
      </c>
      <c r="R17" s="1" t="s">
        <v>13</v>
      </c>
      <c r="S17" s="17">
        <f t="shared" ref="S17:AF17" si="9">SUM(C38:C41)</f>
        <v>0.8571428571428571</v>
      </c>
      <c r="T17" s="17">
        <f t="shared" si="9"/>
        <v>0.42857142857142855</v>
      </c>
      <c r="U17" s="17">
        <f t="shared" si="9"/>
        <v>2.1428571428571428</v>
      </c>
      <c r="V17" s="17">
        <f t="shared" si="9"/>
        <v>3</v>
      </c>
      <c r="W17" s="17">
        <f t="shared" si="9"/>
        <v>0.42857142857142855</v>
      </c>
      <c r="X17" s="17">
        <f t="shared" si="9"/>
        <v>0</v>
      </c>
      <c r="Y17" s="17">
        <f t="shared" si="9"/>
        <v>0.42857142857142855</v>
      </c>
      <c r="Z17" s="17">
        <f t="shared" si="9"/>
        <v>0.2857142857142857</v>
      </c>
      <c r="AA17" s="17">
        <f t="shared" si="9"/>
        <v>0.42857142857142855</v>
      </c>
      <c r="AB17" s="17">
        <f t="shared" si="9"/>
        <v>0</v>
      </c>
      <c r="AC17" s="17">
        <f t="shared" si="9"/>
        <v>12.571428571428569</v>
      </c>
      <c r="AD17" s="17">
        <f t="shared" si="9"/>
        <v>0</v>
      </c>
      <c r="AE17" s="31">
        <f t="shared" si="9"/>
        <v>8</v>
      </c>
      <c r="AF17" s="31">
        <f t="shared" si="9"/>
        <v>20.571428571428573</v>
      </c>
    </row>
    <row r="18" spans="2:32" ht="23.1" customHeight="1" x14ac:dyDescent="0.25">
      <c r="B18" s="23" t="s">
        <v>45</v>
      </c>
      <c r="C18" s="49">
        <f>AVERAGE('25.10 HOIMA-BULIISA'!C18,'27.10 HOIMA-BULIISA'!C18,'29.10 BULIISA-HOIMA'!C18,'30.10 HOIMA-BULIISA'!C18,'28.10 BULIISA-HOIMA-24h'!C18,'28.10 HOIMA-BULIISA-24h'!C18,'31.10 HOIMA-BULIISA'!C18)</f>
        <v>0.42857142857142855</v>
      </c>
      <c r="D18" s="49">
        <f>AVERAGE('25.10 HOIMA-BULIISA'!D18,'27.10 HOIMA-BULIISA'!D18,'29.10 BULIISA-HOIMA'!D18,'30.10 HOIMA-BULIISA'!D18,'28.10 BULIISA-HOIMA-24h'!D18,'28.10 HOIMA-BULIISA-24h'!D18,'31.10 HOIMA-BULIISA'!D18)</f>
        <v>0.14285714285714285</v>
      </c>
      <c r="E18" s="49">
        <f>AVERAGE('25.10 HOIMA-BULIISA'!E18,'27.10 HOIMA-BULIISA'!E18,'29.10 BULIISA-HOIMA'!E18,'30.10 HOIMA-BULIISA'!E18,'28.10 BULIISA-HOIMA-24h'!E18,'28.10 HOIMA-BULIISA-24h'!E18,'31.10 HOIMA-BULIISA'!E18)</f>
        <v>0.5714285714285714</v>
      </c>
      <c r="F18" s="49">
        <f>AVERAGE('25.10 HOIMA-BULIISA'!F18,'27.10 HOIMA-BULIISA'!F18,'29.10 BULIISA-HOIMA'!F18,'30.10 HOIMA-BULIISA'!F18,'28.10 BULIISA-HOIMA-24h'!F18,'28.10 HOIMA-BULIISA-24h'!F18,'31.10 HOIMA-BULIISA'!F18)</f>
        <v>0.8571428571428571</v>
      </c>
      <c r="G18" s="49">
        <f>AVERAGE('25.10 HOIMA-BULIISA'!G18,'27.10 HOIMA-BULIISA'!G18,'29.10 BULIISA-HOIMA'!G18,'30.10 HOIMA-BULIISA'!G18,'28.10 BULIISA-HOIMA-24h'!G18,'28.10 HOIMA-BULIISA-24h'!G18,'31.10 HOIMA-BULIISA'!G18)</f>
        <v>0</v>
      </c>
      <c r="H18" s="49">
        <f>AVERAGE('25.10 HOIMA-BULIISA'!H18,'27.10 HOIMA-BULIISA'!H18,'29.10 BULIISA-HOIMA'!H18,'30.10 HOIMA-BULIISA'!H18,'28.10 BULIISA-HOIMA-24h'!H18,'28.10 HOIMA-BULIISA-24h'!H18,'31.10 HOIMA-BULIISA'!H18)</f>
        <v>0</v>
      </c>
      <c r="I18" s="49">
        <f>AVERAGE('25.10 HOIMA-BULIISA'!I18,'27.10 HOIMA-BULIISA'!I18,'29.10 BULIISA-HOIMA'!I18,'30.10 HOIMA-BULIISA'!I18,'28.10 BULIISA-HOIMA-24h'!I18,'28.10 HOIMA-BULIISA-24h'!I18,'31.10 HOIMA-BULIISA'!I18)</f>
        <v>0.14285714285714285</v>
      </c>
      <c r="J18" s="49">
        <f>AVERAGE('25.10 HOIMA-BULIISA'!J18,'27.10 HOIMA-BULIISA'!J18,'29.10 BULIISA-HOIMA'!J18,'30.10 HOIMA-BULIISA'!J18,'28.10 BULIISA-HOIMA-24h'!J18,'28.10 HOIMA-BULIISA-24h'!J18,'31.10 HOIMA-BULIISA'!J18)</f>
        <v>0</v>
      </c>
      <c r="K18" s="49">
        <f>AVERAGE('25.10 HOIMA-BULIISA'!K18,'27.10 HOIMA-BULIISA'!K18,'29.10 BULIISA-HOIMA'!K18,'30.10 HOIMA-BULIISA'!K18,'28.10 BULIISA-HOIMA-24h'!K18,'28.10 HOIMA-BULIISA-24h'!K18,'31.10 HOIMA-BULIISA'!K18)</f>
        <v>0.14285714285714285</v>
      </c>
      <c r="L18" s="49">
        <f>AVERAGE('25.10 HOIMA-BULIISA'!L18,'27.10 HOIMA-BULIISA'!L18,'29.10 BULIISA-HOIMA'!L18,'30.10 HOIMA-BULIISA'!L18,'28.10 BULIISA-HOIMA-24h'!L18,'28.10 HOIMA-BULIISA-24h'!L18,'31.10 HOIMA-BULIISA'!L18)</f>
        <v>0</v>
      </c>
      <c r="M18" s="49">
        <f>AVERAGE('25.10 HOIMA-BULIISA'!M18,'27.10 HOIMA-BULIISA'!M18,'29.10 BULIISA-HOIMA'!M18,'30.10 HOIMA-BULIISA'!M18,'28.10 BULIISA-HOIMA-24h'!M18,'28.10 HOIMA-BULIISA-24h'!M18,'31.10 HOIMA-BULIISA'!M18)</f>
        <v>5.5714285714285712</v>
      </c>
      <c r="N18" s="49">
        <f>AVERAGE('25.10 HOIMA-BULIISA'!N18,'27.10 HOIMA-BULIISA'!N18,'29.10 BULIISA-HOIMA'!N18,'30.10 HOIMA-BULIISA'!N18,'28.10 BULIISA-HOIMA-24h'!N18,'28.10 HOIMA-BULIISA-24h'!N18,'31.10 HOIMA-BULIISA'!N18)</f>
        <v>0</v>
      </c>
      <c r="O18" s="15">
        <f t="shared" si="0"/>
        <v>2.2857142857142856</v>
      </c>
      <c r="P18" s="15">
        <f t="shared" si="1"/>
        <v>7.8571428571428568</v>
      </c>
      <c r="R18" s="1" t="s">
        <v>14</v>
      </c>
      <c r="S18" s="17">
        <f t="shared" ref="S18:AF18" si="10">SUM(C42:C45)</f>
        <v>1.1428571428571428</v>
      </c>
      <c r="T18" s="17">
        <f t="shared" si="10"/>
        <v>0.42857142857142855</v>
      </c>
      <c r="U18" s="17">
        <f t="shared" si="10"/>
        <v>1.714285714285714</v>
      </c>
      <c r="V18" s="17">
        <f t="shared" si="10"/>
        <v>3.1428571428571428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0.2857142857142857</v>
      </c>
      <c r="AA18" s="17">
        <f t="shared" si="10"/>
        <v>0.2857142857142857</v>
      </c>
      <c r="AB18" s="17">
        <f t="shared" si="10"/>
        <v>0</v>
      </c>
      <c r="AC18" s="17">
        <f t="shared" si="10"/>
        <v>18</v>
      </c>
      <c r="AD18" s="17">
        <f t="shared" si="10"/>
        <v>0</v>
      </c>
      <c r="AE18" s="31">
        <f t="shared" si="10"/>
        <v>7</v>
      </c>
      <c r="AF18" s="31">
        <f t="shared" si="10"/>
        <v>25</v>
      </c>
    </row>
    <row r="19" spans="2:32" ht="23.1" customHeight="1" x14ac:dyDescent="0.25">
      <c r="B19" s="23" t="s">
        <v>46</v>
      </c>
      <c r="C19" s="49">
        <f>AVERAGE('25.10 HOIMA-BULIISA'!C19,'27.10 HOIMA-BULIISA'!C19,'29.10 BULIISA-HOIMA'!C19,'30.10 HOIMA-BULIISA'!C19,'28.10 BULIISA-HOIMA-24h'!C19,'28.10 HOIMA-BULIISA-24h'!C19,'31.10 HOIMA-BULIISA'!C19)</f>
        <v>0</v>
      </c>
      <c r="D19" s="49">
        <f>AVERAGE('25.10 HOIMA-BULIISA'!D19,'27.10 HOIMA-BULIISA'!D19,'29.10 BULIISA-HOIMA'!D19,'30.10 HOIMA-BULIISA'!D19,'28.10 BULIISA-HOIMA-24h'!D19,'28.10 HOIMA-BULIISA-24h'!D19,'31.10 HOIMA-BULIISA'!D19)</f>
        <v>0.14285714285714285</v>
      </c>
      <c r="E19" s="49">
        <f>AVERAGE('25.10 HOIMA-BULIISA'!E19,'27.10 HOIMA-BULIISA'!E19,'29.10 BULIISA-HOIMA'!E19,'30.10 HOIMA-BULIISA'!E19,'28.10 BULIISA-HOIMA-24h'!E19,'28.10 HOIMA-BULIISA-24h'!E19,'31.10 HOIMA-BULIISA'!E19)</f>
        <v>0.2857142857142857</v>
      </c>
      <c r="F19" s="49">
        <f>AVERAGE('25.10 HOIMA-BULIISA'!F19,'27.10 HOIMA-BULIISA'!F19,'29.10 BULIISA-HOIMA'!F19,'30.10 HOIMA-BULIISA'!F19,'28.10 BULIISA-HOIMA-24h'!F19,'28.10 HOIMA-BULIISA-24h'!F19,'31.10 HOIMA-BULIISA'!F19)</f>
        <v>1.3333333333333333</v>
      </c>
      <c r="G19" s="49">
        <f>AVERAGE('25.10 HOIMA-BULIISA'!G19,'27.10 HOIMA-BULIISA'!G19,'29.10 BULIISA-HOIMA'!G19,'30.10 HOIMA-BULIISA'!G19,'28.10 BULIISA-HOIMA-24h'!G19,'28.10 HOIMA-BULIISA-24h'!G19,'31.10 HOIMA-BULIISA'!G19)</f>
        <v>0</v>
      </c>
      <c r="H19" s="49">
        <f>AVERAGE('25.10 HOIMA-BULIISA'!H19,'27.10 HOIMA-BULIISA'!H19,'29.10 BULIISA-HOIMA'!H19,'30.10 HOIMA-BULIISA'!H19,'28.10 BULIISA-HOIMA-24h'!H19,'28.10 HOIMA-BULIISA-24h'!H19,'31.10 HOIMA-BULIISA'!H19)</f>
        <v>0</v>
      </c>
      <c r="I19" s="49">
        <f>AVERAGE('25.10 HOIMA-BULIISA'!I19,'27.10 HOIMA-BULIISA'!I19,'29.10 BULIISA-HOIMA'!I19,'30.10 HOIMA-BULIISA'!I19,'28.10 BULIISA-HOIMA-24h'!I19,'28.10 HOIMA-BULIISA-24h'!I19,'31.10 HOIMA-BULIISA'!I19)</f>
        <v>0.14285714285714285</v>
      </c>
      <c r="J19" s="49">
        <f>AVERAGE('25.10 HOIMA-BULIISA'!J19,'27.10 HOIMA-BULIISA'!J19,'29.10 BULIISA-HOIMA'!J19,'30.10 HOIMA-BULIISA'!J19,'28.10 BULIISA-HOIMA-24h'!J19,'28.10 HOIMA-BULIISA-24h'!J19,'31.10 HOIMA-BULIISA'!J19)</f>
        <v>0.2857142857142857</v>
      </c>
      <c r="K19" s="49">
        <f>AVERAGE('25.10 HOIMA-BULIISA'!K19,'27.10 HOIMA-BULIISA'!K19,'29.10 BULIISA-HOIMA'!K19,'30.10 HOIMA-BULIISA'!K19,'28.10 BULIISA-HOIMA-24h'!K19,'28.10 HOIMA-BULIISA-24h'!K19,'31.10 HOIMA-BULIISA'!K19)</f>
        <v>0.14285714285714285</v>
      </c>
      <c r="L19" s="49">
        <f>AVERAGE('25.10 HOIMA-BULIISA'!L19,'27.10 HOIMA-BULIISA'!L19,'29.10 BULIISA-HOIMA'!L19,'30.10 HOIMA-BULIISA'!L19,'28.10 BULIISA-HOIMA-24h'!L19,'28.10 HOIMA-BULIISA-24h'!L19,'31.10 HOIMA-BULIISA'!L19)</f>
        <v>0</v>
      </c>
      <c r="M19" s="49">
        <f>AVERAGE('25.10 HOIMA-BULIISA'!M19,'27.10 HOIMA-BULIISA'!M19,'29.10 BULIISA-HOIMA'!M19,'30.10 HOIMA-BULIISA'!M19,'28.10 BULIISA-HOIMA-24h'!M19,'28.10 HOIMA-BULIISA-24h'!M19,'31.10 HOIMA-BULIISA'!M19)</f>
        <v>5.5714285714285712</v>
      </c>
      <c r="N19" s="49">
        <f>AVERAGE('25.10 HOIMA-BULIISA'!N19,'27.10 HOIMA-BULIISA'!N19,'29.10 BULIISA-HOIMA'!N19,'30.10 HOIMA-BULIISA'!N19,'28.10 BULIISA-HOIMA-24h'!N19,'28.10 HOIMA-BULIISA-24h'!N19,'31.10 HOIMA-BULIISA'!N19)</f>
        <v>0</v>
      </c>
      <c r="O19" s="15">
        <f t="shared" si="0"/>
        <v>2.333333333333333</v>
      </c>
      <c r="P19" s="15">
        <f t="shared" si="1"/>
        <v>7.9047619047619042</v>
      </c>
      <c r="R19" s="1" t="s">
        <v>15</v>
      </c>
      <c r="S19" s="17">
        <f t="shared" ref="S19:AF19" si="11">SUM(C46:C49)</f>
        <v>1.4285714285714284</v>
      </c>
      <c r="T19" s="17">
        <f t="shared" si="11"/>
        <v>0.2857142857142857</v>
      </c>
      <c r="U19" s="17">
        <f t="shared" si="11"/>
        <v>1.5714285714285714</v>
      </c>
      <c r="V19" s="17">
        <f t="shared" si="11"/>
        <v>3.1428571428571432</v>
      </c>
      <c r="W19" s="17">
        <f t="shared" si="11"/>
        <v>0</v>
      </c>
      <c r="X19" s="17">
        <f t="shared" si="11"/>
        <v>0</v>
      </c>
      <c r="Y19" s="17">
        <f t="shared" si="11"/>
        <v>1.5714285714285712</v>
      </c>
      <c r="Z19" s="17">
        <f t="shared" si="11"/>
        <v>0.71428571428571419</v>
      </c>
      <c r="AA19" s="17">
        <f t="shared" si="11"/>
        <v>0.8571428571428571</v>
      </c>
      <c r="AB19" s="17">
        <f t="shared" si="11"/>
        <v>0</v>
      </c>
      <c r="AC19" s="17">
        <f t="shared" si="11"/>
        <v>15.428571428571427</v>
      </c>
      <c r="AD19" s="17">
        <f t="shared" si="11"/>
        <v>0</v>
      </c>
      <c r="AE19" s="31">
        <f t="shared" si="11"/>
        <v>9.5714285714285694</v>
      </c>
      <c r="AF19" s="31">
        <f t="shared" si="11"/>
        <v>25</v>
      </c>
    </row>
    <row r="20" spans="2:32" ht="23.1" customHeight="1" x14ac:dyDescent="0.25">
      <c r="B20" s="23" t="s">
        <v>47</v>
      </c>
      <c r="C20" s="49">
        <f>AVERAGE('25.10 HOIMA-BULIISA'!C20,'27.10 HOIMA-BULIISA'!C20,'29.10 BULIISA-HOIMA'!C20,'30.10 HOIMA-BULIISA'!C20,'28.10 BULIISA-HOIMA-24h'!C20,'28.10 HOIMA-BULIISA-24h'!C20,'31.10 HOIMA-BULIISA'!C20)</f>
        <v>0.42857142857142855</v>
      </c>
      <c r="D20" s="49">
        <f>AVERAGE('25.10 HOIMA-BULIISA'!D20,'27.10 HOIMA-BULIISA'!D20,'29.10 BULIISA-HOIMA'!D20,'30.10 HOIMA-BULIISA'!D20,'28.10 BULIISA-HOIMA-24h'!D20,'28.10 HOIMA-BULIISA-24h'!D20,'31.10 HOIMA-BULIISA'!D20)</f>
        <v>0</v>
      </c>
      <c r="E20" s="49">
        <f>AVERAGE('25.10 HOIMA-BULIISA'!E20,'27.10 HOIMA-BULIISA'!E20,'29.10 BULIISA-HOIMA'!E20,'30.10 HOIMA-BULIISA'!E20,'28.10 BULIISA-HOIMA-24h'!E20,'28.10 HOIMA-BULIISA-24h'!E20,'31.10 HOIMA-BULIISA'!E20)</f>
        <v>0.5714285714285714</v>
      </c>
      <c r="F20" s="49">
        <f>AVERAGE('25.10 HOIMA-BULIISA'!F20,'27.10 HOIMA-BULIISA'!F20,'29.10 BULIISA-HOIMA'!F20,'30.10 HOIMA-BULIISA'!F20,'28.10 BULIISA-HOIMA-24h'!F20,'28.10 HOIMA-BULIISA-24h'!F20,'31.10 HOIMA-BULIISA'!F20)</f>
        <v>1</v>
      </c>
      <c r="G20" s="49">
        <f>AVERAGE('25.10 HOIMA-BULIISA'!G20,'27.10 HOIMA-BULIISA'!G20,'29.10 BULIISA-HOIMA'!G20,'30.10 HOIMA-BULIISA'!G20,'28.10 BULIISA-HOIMA-24h'!G20,'28.10 HOIMA-BULIISA-24h'!G20,'31.10 HOIMA-BULIISA'!G20)</f>
        <v>0</v>
      </c>
      <c r="H20" s="49">
        <f>AVERAGE('25.10 HOIMA-BULIISA'!H20,'27.10 HOIMA-BULIISA'!H20,'29.10 BULIISA-HOIMA'!H20,'30.10 HOIMA-BULIISA'!H20,'28.10 BULIISA-HOIMA-24h'!H20,'28.10 HOIMA-BULIISA-24h'!H20,'31.10 HOIMA-BULIISA'!H20)</f>
        <v>0</v>
      </c>
      <c r="I20" s="49">
        <f>AVERAGE('25.10 HOIMA-BULIISA'!I20,'27.10 HOIMA-BULIISA'!I20,'29.10 BULIISA-HOIMA'!I20,'30.10 HOIMA-BULIISA'!I20,'28.10 BULIISA-HOIMA-24h'!I20,'28.10 HOIMA-BULIISA-24h'!I20,'31.10 HOIMA-BULIISA'!I20)</f>
        <v>0.2857142857142857</v>
      </c>
      <c r="J20" s="49">
        <f>AVERAGE('25.10 HOIMA-BULIISA'!J20,'27.10 HOIMA-BULIISA'!J20,'29.10 BULIISA-HOIMA'!J20,'30.10 HOIMA-BULIISA'!J20,'28.10 BULIISA-HOIMA-24h'!J20,'28.10 HOIMA-BULIISA-24h'!J20,'31.10 HOIMA-BULIISA'!J20)</f>
        <v>0</v>
      </c>
      <c r="K20" s="49">
        <f>AVERAGE('25.10 HOIMA-BULIISA'!K20,'27.10 HOIMA-BULIISA'!K20,'29.10 BULIISA-HOIMA'!K20,'30.10 HOIMA-BULIISA'!K20,'28.10 BULIISA-HOIMA-24h'!K20,'28.10 HOIMA-BULIISA-24h'!K20,'31.10 HOIMA-BULIISA'!K20)</f>
        <v>0</v>
      </c>
      <c r="L20" s="49">
        <f>AVERAGE('25.10 HOIMA-BULIISA'!L20,'27.10 HOIMA-BULIISA'!L20,'29.10 BULIISA-HOIMA'!L20,'30.10 HOIMA-BULIISA'!L20,'28.10 BULIISA-HOIMA-24h'!L20,'28.10 HOIMA-BULIISA-24h'!L20,'31.10 HOIMA-BULIISA'!L20)</f>
        <v>0</v>
      </c>
      <c r="M20" s="49">
        <f>AVERAGE('25.10 HOIMA-BULIISA'!M20,'27.10 HOIMA-BULIISA'!M20,'29.10 BULIISA-HOIMA'!M20,'30.10 HOIMA-BULIISA'!M20,'28.10 BULIISA-HOIMA-24h'!M20,'28.10 HOIMA-BULIISA-24h'!M20,'31.10 HOIMA-BULIISA'!M20)</f>
        <v>3</v>
      </c>
      <c r="N20" s="49">
        <f>AVERAGE('25.10 HOIMA-BULIISA'!N20,'27.10 HOIMA-BULIISA'!N20,'29.10 BULIISA-HOIMA'!N20,'30.10 HOIMA-BULIISA'!N20,'28.10 BULIISA-HOIMA-24h'!N20,'28.10 HOIMA-BULIISA-24h'!N20,'31.10 HOIMA-BULIISA'!N20)</f>
        <v>0</v>
      </c>
      <c r="O20" s="15">
        <f t="shared" si="0"/>
        <v>2.2857142857142856</v>
      </c>
      <c r="P20" s="15">
        <f t="shared" si="1"/>
        <v>5.2857142857142856</v>
      </c>
      <c r="R20" s="1" t="s">
        <v>16</v>
      </c>
      <c r="S20" s="17">
        <f t="shared" ref="S20:AF20" si="12">SUM(C50:C53)</f>
        <v>1.1428571428571428</v>
      </c>
      <c r="T20" s="17">
        <f t="shared" si="12"/>
        <v>0.71428571428571419</v>
      </c>
      <c r="U20" s="17">
        <f t="shared" si="12"/>
        <v>0.5714285714285714</v>
      </c>
      <c r="V20" s="17">
        <f t="shared" si="12"/>
        <v>2.4285714285714284</v>
      </c>
      <c r="W20" s="17">
        <f t="shared" si="12"/>
        <v>0</v>
      </c>
      <c r="X20" s="17">
        <f t="shared" si="12"/>
        <v>0</v>
      </c>
      <c r="Y20" s="17">
        <f t="shared" si="12"/>
        <v>0.14285714285714285</v>
      </c>
      <c r="Z20" s="17">
        <f t="shared" si="12"/>
        <v>0.14285714285714285</v>
      </c>
      <c r="AA20" s="17">
        <f t="shared" si="12"/>
        <v>0.2857142857142857</v>
      </c>
      <c r="AB20" s="17">
        <f t="shared" si="12"/>
        <v>0</v>
      </c>
      <c r="AC20" s="17">
        <f t="shared" si="12"/>
        <v>18</v>
      </c>
      <c r="AD20" s="17">
        <f t="shared" si="12"/>
        <v>0</v>
      </c>
      <c r="AE20" s="31">
        <f t="shared" si="12"/>
        <v>5.4285714285714279</v>
      </c>
      <c r="AF20" s="31">
        <f t="shared" si="12"/>
        <v>23.428571428571427</v>
      </c>
    </row>
    <row r="21" spans="2:32" ht="23.1" customHeight="1" x14ac:dyDescent="0.25">
      <c r="B21" s="23" t="s">
        <v>48</v>
      </c>
      <c r="C21" s="49">
        <f>AVERAGE('25.10 HOIMA-BULIISA'!C21,'27.10 HOIMA-BULIISA'!C21,'29.10 BULIISA-HOIMA'!C21,'30.10 HOIMA-BULIISA'!C21,'28.10 BULIISA-HOIMA-24h'!C21,'28.10 HOIMA-BULIISA-24h'!C21,'31.10 HOIMA-BULIISA'!C21)</f>
        <v>0.42857142857142855</v>
      </c>
      <c r="D21" s="49">
        <f>AVERAGE('25.10 HOIMA-BULIISA'!D21,'27.10 HOIMA-BULIISA'!D21,'29.10 BULIISA-HOIMA'!D21,'30.10 HOIMA-BULIISA'!D21,'28.10 BULIISA-HOIMA-24h'!D21,'28.10 HOIMA-BULIISA-24h'!D21,'31.10 HOIMA-BULIISA'!D21)</f>
        <v>0.14285714285714285</v>
      </c>
      <c r="E21" s="49">
        <f>AVERAGE('25.10 HOIMA-BULIISA'!E21,'27.10 HOIMA-BULIISA'!E21,'29.10 BULIISA-HOIMA'!E21,'30.10 HOIMA-BULIISA'!E21,'28.10 BULIISA-HOIMA-24h'!E21,'28.10 HOIMA-BULIISA-24h'!E21,'31.10 HOIMA-BULIISA'!E21)</f>
        <v>0.14285714285714285</v>
      </c>
      <c r="F21" s="49">
        <f>AVERAGE('25.10 HOIMA-BULIISA'!F21,'27.10 HOIMA-BULIISA'!F21,'29.10 BULIISA-HOIMA'!F21,'30.10 HOIMA-BULIISA'!F21,'28.10 BULIISA-HOIMA-24h'!F21,'28.10 HOIMA-BULIISA-24h'!F21,'31.10 HOIMA-BULIISA'!F21)</f>
        <v>0.5714285714285714</v>
      </c>
      <c r="G21" s="49">
        <f>AVERAGE('25.10 HOIMA-BULIISA'!G21,'27.10 HOIMA-BULIISA'!G21,'29.10 BULIISA-HOIMA'!G21,'30.10 HOIMA-BULIISA'!G21,'28.10 BULIISA-HOIMA-24h'!G21,'28.10 HOIMA-BULIISA-24h'!G21,'31.10 HOIMA-BULIISA'!G21)</f>
        <v>0</v>
      </c>
      <c r="H21" s="49">
        <f>AVERAGE('25.10 HOIMA-BULIISA'!H21,'27.10 HOIMA-BULIISA'!H21,'29.10 BULIISA-HOIMA'!H21,'30.10 HOIMA-BULIISA'!H21,'28.10 BULIISA-HOIMA-24h'!H21,'28.10 HOIMA-BULIISA-24h'!H21,'31.10 HOIMA-BULIISA'!H21)</f>
        <v>0.14285714285714285</v>
      </c>
      <c r="I21" s="49">
        <f>AVERAGE('25.10 HOIMA-BULIISA'!I21,'27.10 HOIMA-BULIISA'!I21,'29.10 BULIISA-HOIMA'!I21,'30.10 HOIMA-BULIISA'!I21,'28.10 BULIISA-HOIMA-24h'!I21,'28.10 HOIMA-BULIISA-24h'!I21,'31.10 HOIMA-BULIISA'!I21)</f>
        <v>0</v>
      </c>
      <c r="J21" s="49">
        <f>AVERAGE('25.10 HOIMA-BULIISA'!J21,'27.10 HOIMA-BULIISA'!J21,'29.10 BULIISA-HOIMA'!J21,'30.10 HOIMA-BULIISA'!J21,'28.10 BULIISA-HOIMA-24h'!J21,'28.10 HOIMA-BULIISA-24h'!J21,'31.10 HOIMA-BULIISA'!J21)</f>
        <v>0.14285714285714285</v>
      </c>
      <c r="K21" s="49">
        <f>AVERAGE('25.10 HOIMA-BULIISA'!K21,'27.10 HOIMA-BULIISA'!K21,'29.10 BULIISA-HOIMA'!K21,'30.10 HOIMA-BULIISA'!K21,'28.10 BULIISA-HOIMA-24h'!K21,'28.10 HOIMA-BULIISA-24h'!K21,'31.10 HOIMA-BULIISA'!K21)</f>
        <v>0.2857142857142857</v>
      </c>
      <c r="L21" s="49">
        <f>AVERAGE('25.10 HOIMA-BULIISA'!L21,'27.10 HOIMA-BULIISA'!L21,'29.10 BULIISA-HOIMA'!L21,'30.10 HOIMA-BULIISA'!L21,'28.10 BULIISA-HOIMA-24h'!L21,'28.10 HOIMA-BULIISA-24h'!L21,'31.10 HOIMA-BULIISA'!L21)</f>
        <v>0</v>
      </c>
      <c r="M21" s="49">
        <f>AVERAGE('25.10 HOIMA-BULIISA'!M21,'27.10 HOIMA-BULIISA'!M21,'29.10 BULIISA-HOIMA'!M21,'30.10 HOIMA-BULIISA'!M21,'28.10 BULIISA-HOIMA-24h'!M21,'28.10 HOIMA-BULIISA-24h'!M21,'31.10 HOIMA-BULIISA'!M21)</f>
        <v>3.7142857142857144</v>
      </c>
      <c r="N21" s="49">
        <f>AVERAGE('25.10 HOIMA-BULIISA'!N21,'27.10 HOIMA-BULIISA'!N21,'29.10 BULIISA-HOIMA'!N21,'30.10 HOIMA-BULIISA'!N21,'28.10 BULIISA-HOIMA-24h'!N21,'28.10 HOIMA-BULIISA-24h'!N21,'31.10 HOIMA-BULIISA'!N21)</f>
        <v>0</v>
      </c>
      <c r="O21" s="15">
        <f t="shared" si="0"/>
        <v>1.8571428571428568</v>
      </c>
      <c r="P21" s="15">
        <f t="shared" si="1"/>
        <v>5.5714285714285712</v>
      </c>
      <c r="R21" s="1" t="s">
        <v>20</v>
      </c>
      <c r="S21" s="34">
        <f t="shared" ref="S21:AF21" si="13">SUM(C54:C57)</f>
        <v>0.71428571428571419</v>
      </c>
      <c r="T21" s="17">
        <f t="shared" si="13"/>
        <v>0.99999999999999978</v>
      </c>
      <c r="U21" s="17">
        <f t="shared" si="13"/>
        <v>1.2857142857142858</v>
      </c>
      <c r="V21" s="17">
        <f t="shared" si="13"/>
        <v>2.2857142857142856</v>
      </c>
      <c r="W21" s="17">
        <f t="shared" si="13"/>
        <v>0</v>
      </c>
      <c r="X21" s="17">
        <f t="shared" si="13"/>
        <v>0</v>
      </c>
      <c r="Y21" s="17">
        <f t="shared" si="13"/>
        <v>0.42857142857142855</v>
      </c>
      <c r="Z21" s="17">
        <f t="shared" si="13"/>
        <v>0.2857142857142857</v>
      </c>
      <c r="AA21" s="17">
        <f t="shared" si="13"/>
        <v>0.2857142857142857</v>
      </c>
      <c r="AB21" s="17">
        <f t="shared" si="13"/>
        <v>0</v>
      </c>
      <c r="AC21" s="17">
        <f t="shared" si="13"/>
        <v>19.571428571428569</v>
      </c>
      <c r="AD21" s="17">
        <f t="shared" si="13"/>
        <v>0</v>
      </c>
      <c r="AE21" s="31">
        <f t="shared" si="13"/>
        <v>6.2857142857142856</v>
      </c>
      <c r="AF21" s="31">
        <f t="shared" si="13"/>
        <v>25.857142857142854</v>
      </c>
    </row>
    <row r="22" spans="2:32" ht="23.1" customHeight="1" x14ac:dyDescent="0.25">
      <c r="B22" s="23" t="s">
        <v>49</v>
      </c>
      <c r="C22" s="49">
        <f>AVERAGE('25.10 HOIMA-BULIISA'!C22,'27.10 HOIMA-BULIISA'!C22,'29.10 BULIISA-HOIMA'!C22,'30.10 HOIMA-BULIISA'!C22,'28.10 BULIISA-HOIMA-24h'!C22,'28.10 HOIMA-BULIISA-24h'!C22,'31.10 HOIMA-BULIISA'!C22)</f>
        <v>0</v>
      </c>
      <c r="D22" s="49">
        <f>AVERAGE('25.10 HOIMA-BULIISA'!D22,'27.10 HOIMA-BULIISA'!D22,'29.10 BULIISA-HOIMA'!D22,'30.10 HOIMA-BULIISA'!D22,'28.10 BULIISA-HOIMA-24h'!D22,'28.10 HOIMA-BULIISA-24h'!D22,'31.10 HOIMA-BULIISA'!D22)</f>
        <v>0</v>
      </c>
      <c r="E22" s="49">
        <f>AVERAGE('25.10 HOIMA-BULIISA'!E22,'27.10 HOIMA-BULIISA'!E22,'29.10 BULIISA-HOIMA'!E22,'30.10 HOIMA-BULIISA'!E22,'28.10 BULIISA-HOIMA-24h'!E22,'28.10 HOIMA-BULIISA-24h'!E22,'31.10 HOIMA-BULIISA'!E22)</f>
        <v>0.8571428571428571</v>
      </c>
      <c r="F22" s="49">
        <f>AVERAGE('25.10 HOIMA-BULIISA'!F22,'27.10 HOIMA-BULIISA'!F22,'29.10 BULIISA-HOIMA'!F22,'30.10 HOIMA-BULIISA'!F22,'28.10 BULIISA-HOIMA-24h'!F22,'28.10 HOIMA-BULIISA-24h'!F22,'31.10 HOIMA-BULIISA'!F22)</f>
        <v>0.5714285714285714</v>
      </c>
      <c r="G22" s="49">
        <f>AVERAGE('25.10 HOIMA-BULIISA'!G22,'27.10 HOIMA-BULIISA'!G22,'29.10 BULIISA-HOIMA'!G22,'30.10 HOIMA-BULIISA'!G22,'28.10 BULIISA-HOIMA-24h'!G22,'28.10 HOIMA-BULIISA-24h'!G22,'31.10 HOIMA-BULIISA'!G22)</f>
        <v>0</v>
      </c>
      <c r="H22" s="49">
        <f>AVERAGE('25.10 HOIMA-BULIISA'!H22,'27.10 HOIMA-BULIISA'!H22,'29.10 BULIISA-HOIMA'!H22,'30.10 HOIMA-BULIISA'!H22,'28.10 BULIISA-HOIMA-24h'!H22,'28.10 HOIMA-BULIISA-24h'!H22,'31.10 HOIMA-BULIISA'!H22)</f>
        <v>0</v>
      </c>
      <c r="I22" s="49">
        <f>AVERAGE('25.10 HOIMA-BULIISA'!I22,'27.10 HOIMA-BULIISA'!I22,'29.10 BULIISA-HOIMA'!I22,'30.10 HOIMA-BULIISA'!I22,'28.10 BULIISA-HOIMA-24h'!I22,'28.10 HOIMA-BULIISA-24h'!I22,'31.10 HOIMA-BULIISA'!I22)</f>
        <v>0.14285714285714285</v>
      </c>
      <c r="J22" s="49">
        <f>AVERAGE('25.10 HOIMA-BULIISA'!J22,'27.10 HOIMA-BULIISA'!J22,'29.10 BULIISA-HOIMA'!J22,'30.10 HOIMA-BULIISA'!J22,'28.10 BULIISA-HOIMA-24h'!J22,'28.10 HOIMA-BULIISA-24h'!J22,'31.10 HOIMA-BULIISA'!J22)</f>
        <v>0.2857142857142857</v>
      </c>
      <c r="K22" s="49">
        <f>AVERAGE('25.10 HOIMA-BULIISA'!K22,'27.10 HOIMA-BULIISA'!K22,'29.10 BULIISA-HOIMA'!K22,'30.10 HOIMA-BULIISA'!K22,'28.10 BULIISA-HOIMA-24h'!K22,'28.10 HOIMA-BULIISA-24h'!K22,'31.10 HOIMA-BULIISA'!K22)</f>
        <v>0</v>
      </c>
      <c r="L22" s="49">
        <f>AVERAGE('25.10 HOIMA-BULIISA'!L22,'27.10 HOIMA-BULIISA'!L22,'29.10 BULIISA-HOIMA'!L22,'30.10 HOIMA-BULIISA'!L22,'28.10 BULIISA-HOIMA-24h'!L22,'28.10 HOIMA-BULIISA-24h'!L22,'31.10 HOIMA-BULIISA'!L22)</f>
        <v>0</v>
      </c>
      <c r="M22" s="49">
        <f>AVERAGE('25.10 HOIMA-BULIISA'!M22,'27.10 HOIMA-BULIISA'!M22,'29.10 BULIISA-HOIMA'!M22,'30.10 HOIMA-BULIISA'!M22,'28.10 BULIISA-HOIMA-24h'!M22,'28.10 HOIMA-BULIISA-24h'!M22,'31.10 HOIMA-BULIISA'!M22)</f>
        <v>5.2857142857142856</v>
      </c>
      <c r="N22" s="49">
        <f>AVERAGE('25.10 HOIMA-BULIISA'!N22,'27.10 HOIMA-BULIISA'!N22,'29.10 BULIISA-HOIMA'!N22,'30.10 HOIMA-BULIISA'!N22,'28.10 BULIISA-HOIMA-24h'!N22,'28.10 HOIMA-BULIISA-24h'!N22,'31.10 HOIMA-BULIISA'!N22)</f>
        <v>0</v>
      </c>
      <c r="O22" s="15">
        <f t="shared" si="0"/>
        <v>1.8571428571428568</v>
      </c>
      <c r="P22" s="15">
        <f t="shared" si="1"/>
        <v>7.1428571428571423</v>
      </c>
      <c r="R22" s="1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0.5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0.5</v>
      </c>
      <c r="AA22" s="34">
        <f t="shared" si="14"/>
        <v>0</v>
      </c>
      <c r="AB22" s="34">
        <f t="shared" si="14"/>
        <v>0</v>
      </c>
      <c r="AC22" s="34">
        <f t="shared" si="14"/>
        <v>19.5</v>
      </c>
      <c r="AD22" s="34">
        <f t="shared" si="14"/>
        <v>0</v>
      </c>
      <c r="AE22" s="31">
        <f t="shared" si="14"/>
        <v>3</v>
      </c>
      <c r="AF22" s="31">
        <f t="shared" si="14"/>
        <v>22.5</v>
      </c>
    </row>
    <row r="23" spans="2:32" ht="23.1" customHeight="1" x14ac:dyDescent="0.25">
      <c r="B23" s="23" t="s">
        <v>50</v>
      </c>
      <c r="C23" s="49">
        <f>AVERAGE('25.10 HOIMA-BULIISA'!C23,'27.10 HOIMA-BULIISA'!C23,'29.10 BULIISA-HOIMA'!C23,'30.10 HOIMA-BULIISA'!C23,'28.10 BULIISA-HOIMA-24h'!C23,'28.10 HOIMA-BULIISA-24h'!C23,'31.10 HOIMA-BULIISA'!C23)</f>
        <v>0.42857142857142855</v>
      </c>
      <c r="D23" s="49">
        <f>AVERAGE('25.10 HOIMA-BULIISA'!D23,'27.10 HOIMA-BULIISA'!D23,'29.10 BULIISA-HOIMA'!D23,'30.10 HOIMA-BULIISA'!D23,'28.10 BULIISA-HOIMA-24h'!D23,'28.10 HOIMA-BULIISA-24h'!D23,'31.10 HOIMA-BULIISA'!D23)</f>
        <v>0.14285714285714285</v>
      </c>
      <c r="E23" s="49">
        <f>AVERAGE('25.10 HOIMA-BULIISA'!E23,'27.10 HOIMA-BULIISA'!E23,'29.10 BULIISA-HOIMA'!E23,'30.10 HOIMA-BULIISA'!E23,'28.10 BULIISA-HOIMA-24h'!E23,'28.10 HOIMA-BULIISA-24h'!E23,'31.10 HOIMA-BULIISA'!E23)</f>
        <v>0.42857142857142855</v>
      </c>
      <c r="F23" s="49">
        <f>AVERAGE('25.10 HOIMA-BULIISA'!F23,'27.10 HOIMA-BULIISA'!F23,'29.10 BULIISA-HOIMA'!F23,'30.10 HOIMA-BULIISA'!F23,'28.10 BULIISA-HOIMA-24h'!F23,'28.10 HOIMA-BULIISA-24h'!F23,'31.10 HOIMA-BULIISA'!F23)</f>
        <v>0.5714285714285714</v>
      </c>
      <c r="G23" s="49">
        <f>AVERAGE('25.10 HOIMA-BULIISA'!G23,'27.10 HOIMA-BULIISA'!G23,'29.10 BULIISA-HOIMA'!G23,'30.10 HOIMA-BULIISA'!G23,'28.10 BULIISA-HOIMA-24h'!G23,'28.10 HOIMA-BULIISA-24h'!G23,'31.10 HOIMA-BULIISA'!G23)</f>
        <v>0</v>
      </c>
      <c r="H23" s="49">
        <f>AVERAGE('25.10 HOIMA-BULIISA'!H23,'27.10 HOIMA-BULIISA'!H23,'29.10 BULIISA-HOIMA'!H23,'30.10 HOIMA-BULIISA'!H23,'28.10 BULIISA-HOIMA-24h'!H23,'28.10 HOIMA-BULIISA-24h'!H23,'31.10 HOIMA-BULIISA'!H23)</f>
        <v>0</v>
      </c>
      <c r="I23" s="49">
        <f>AVERAGE('25.10 HOIMA-BULIISA'!I23,'27.10 HOIMA-BULIISA'!I23,'29.10 BULIISA-HOIMA'!I23,'30.10 HOIMA-BULIISA'!I23,'28.10 BULIISA-HOIMA-24h'!I23,'28.10 HOIMA-BULIISA-24h'!I23,'31.10 HOIMA-BULIISA'!I23)</f>
        <v>0</v>
      </c>
      <c r="J23" s="49">
        <f>AVERAGE('25.10 HOIMA-BULIISA'!J23,'27.10 HOIMA-BULIISA'!J23,'29.10 BULIISA-HOIMA'!J23,'30.10 HOIMA-BULIISA'!J23,'28.10 BULIISA-HOIMA-24h'!J23,'28.10 HOIMA-BULIISA-24h'!J23,'31.10 HOIMA-BULIISA'!J23)</f>
        <v>0</v>
      </c>
      <c r="K23" s="49">
        <f>AVERAGE('25.10 HOIMA-BULIISA'!K23,'27.10 HOIMA-BULIISA'!K23,'29.10 BULIISA-HOIMA'!K23,'30.10 HOIMA-BULIISA'!K23,'28.10 BULIISA-HOIMA-24h'!K23,'28.10 HOIMA-BULIISA-24h'!K23,'31.10 HOIMA-BULIISA'!K23)</f>
        <v>0.14285714285714285</v>
      </c>
      <c r="L23" s="49">
        <f>AVERAGE('25.10 HOIMA-BULIISA'!L23,'27.10 HOIMA-BULIISA'!L23,'29.10 BULIISA-HOIMA'!L23,'30.10 HOIMA-BULIISA'!L23,'28.10 BULIISA-HOIMA-24h'!L23,'28.10 HOIMA-BULIISA-24h'!L23,'31.10 HOIMA-BULIISA'!L23)</f>
        <v>0</v>
      </c>
      <c r="M23" s="49">
        <f>AVERAGE('25.10 HOIMA-BULIISA'!M23,'27.10 HOIMA-BULIISA'!M23,'29.10 BULIISA-HOIMA'!M23,'30.10 HOIMA-BULIISA'!M23,'28.10 BULIISA-HOIMA-24h'!M23,'28.10 HOIMA-BULIISA-24h'!M23,'31.10 HOIMA-BULIISA'!M23)</f>
        <v>5</v>
      </c>
      <c r="N23" s="49">
        <f>AVERAGE('25.10 HOIMA-BULIISA'!N23,'27.10 HOIMA-BULIISA'!N23,'29.10 BULIISA-HOIMA'!N23,'30.10 HOIMA-BULIISA'!N23,'28.10 BULIISA-HOIMA-24h'!N23,'28.10 HOIMA-BULIISA-24h'!N23,'31.10 HOIMA-BULIISA'!N23)</f>
        <v>0</v>
      </c>
      <c r="O23" s="15">
        <f t="shared" si="0"/>
        <v>1.7142857142857142</v>
      </c>
      <c r="P23" s="15">
        <f t="shared" si="1"/>
        <v>6.7142857142857144</v>
      </c>
      <c r="R23" s="1" t="s">
        <v>147</v>
      </c>
      <c r="S23" s="34">
        <f>SUM(C62:C65)</f>
        <v>0.5</v>
      </c>
      <c r="T23" s="34">
        <f t="shared" ref="T23:AF23" si="15">SUM(D62:D65)</f>
        <v>0.5</v>
      </c>
      <c r="U23" s="34">
        <f t="shared" si="15"/>
        <v>0</v>
      </c>
      <c r="V23" s="34">
        <f t="shared" si="15"/>
        <v>1.5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0.5</v>
      </c>
      <c r="AA23" s="34">
        <f t="shared" si="15"/>
        <v>0.5</v>
      </c>
      <c r="AB23" s="34">
        <f t="shared" si="15"/>
        <v>0</v>
      </c>
      <c r="AC23" s="34">
        <f t="shared" si="15"/>
        <v>11</v>
      </c>
      <c r="AD23" s="34">
        <f t="shared" si="15"/>
        <v>0</v>
      </c>
      <c r="AE23" s="31">
        <f t="shared" si="15"/>
        <v>3.5</v>
      </c>
      <c r="AF23" s="31">
        <f t="shared" si="15"/>
        <v>14.5</v>
      </c>
    </row>
    <row r="24" spans="2:32" ht="23.1" customHeight="1" x14ac:dyDescent="0.25">
      <c r="B24" s="23" t="s">
        <v>51</v>
      </c>
      <c r="C24" s="49">
        <f>AVERAGE('25.10 HOIMA-BULIISA'!C24,'27.10 HOIMA-BULIISA'!C24,'29.10 BULIISA-HOIMA'!C24,'30.10 HOIMA-BULIISA'!C24,'28.10 BULIISA-HOIMA-24h'!C24,'28.10 HOIMA-BULIISA-24h'!C24,'31.10 HOIMA-BULIISA'!C24)</f>
        <v>0.14285714285714285</v>
      </c>
      <c r="D24" s="49">
        <f>AVERAGE('25.10 HOIMA-BULIISA'!D24,'27.10 HOIMA-BULIISA'!D24,'29.10 BULIISA-HOIMA'!D24,'30.10 HOIMA-BULIISA'!D24,'28.10 BULIISA-HOIMA-24h'!D24,'28.10 HOIMA-BULIISA-24h'!D24,'31.10 HOIMA-BULIISA'!D24)</f>
        <v>0</v>
      </c>
      <c r="E24" s="49">
        <f>AVERAGE('25.10 HOIMA-BULIISA'!E24,'27.10 HOIMA-BULIISA'!E24,'29.10 BULIISA-HOIMA'!E24,'30.10 HOIMA-BULIISA'!E24,'28.10 BULIISA-HOIMA-24h'!E24,'28.10 HOIMA-BULIISA-24h'!E24,'31.10 HOIMA-BULIISA'!E24)</f>
        <v>0.5714285714285714</v>
      </c>
      <c r="F24" s="49">
        <f>AVERAGE('25.10 HOIMA-BULIISA'!F24,'27.10 HOIMA-BULIISA'!F24,'29.10 BULIISA-HOIMA'!F24,'30.10 HOIMA-BULIISA'!F24,'28.10 BULIISA-HOIMA-24h'!F24,'28.10 HOIMA-BULIISA-24h'!F24,'31.10 HOIMA-BULIISA'!F24)</f>
        <v>1.4285714285714286</v>
      </c>
      <c r="G24" s="49">
        <f>AVERAGE('25.10 HOIMA-BULIISA'!G24,'27.10 HOIMA-BULIISA'!G24,'29.10 BULIISA-HOIMA'!G24,'30.10 HOIMA-BULIISA'!G24,'28.10 BULIISA-HOIMA-24h'!G24,'28.10 HOIMA-BULIISA-24h'!G24,'31.10 HOIMA-BULIISA'!G24)</f>
        <v>0</v>
      </c>
      <c r="H24" s="49">
        <f>AVERAGE('25.10 HOIMA-BULIISA'!H24,'27.10 HOIMA-BULIISA'!H24,'29.10 BULIISA-HOIMA'!H24,'30.10 HOIMA-BULIISA'!H24,'28.10 BULIISA-HOIMA-24h'!H24,'28.10 HOIMA-BULIISA-24h'!H24,'31.10 HOIMA-BULIISA'!H24)</f>
        <v>0</v>
      </c>
      <c r="I24" s="49">
        <f>AVERAGE('25.10 HOIMA-BULIISA'!I24,'27.10 HOIMA-BULIISA'!I24,'29.10 BULIISA-HOIMA'!I24,'30.10 HOIMA-BULIISA'!I24,'28.10 BULIISA-HOIMA-24h'!I24,'28.10 HOIMA-BULIISA-24h'!I24,'31.10 HOIMA-BULIISA'!I24)</f>
        <v>0</v>
      </c>
      <c r="J24" s="49">
        <f>AVERAGE('25.10 HOIMA-BULIISA'!J24,'27.10 HOIMA-BULIISA'!J24,'29.10 BULIISA-HOIMA'!J24,'30.10 HOIMA-BULIISA'!J24,'28.10 BULIISA-HOIMA-24h'!J24,'28.10 HOIMA-BULIISA-24h'!J24,'31.10 HOIMA-BULIISA'!J24)</f>
        <v>0</v>
      </c>
      <c r="K24" s="49">
        <f>AVERAGE('25.10 HOIMA-BULIISA'!K24,'27.10 HOIMA-BULIISA'!K24,'29.10 BULIISA-HOIMA'!K24,'30.10 HOIMA-BULIISA'!K24,'28.10 BULIISA-HOIMA-24h'!K24,'28.10 HOIMA-BULIISA-24h'!K24,'31.10 HOIMA-BULIISA'!K24)</f>
        <v>0</v>
      </c>
      <c r="L24" s="49">
        <f>AVERAGE('25.10 HOIMA-BULIISA'!L24,'27.10 HOIMA-BULIISA'!L24,'29.10 BULIISA-HOIMA'!L24,'30.10 HOIMA-BULIISA'!L24,'28.10 BULIISA-HOIMA-24h'!L24,'28.10 HOIMA-BULIISA-24h'!L24,'31.10 HOIMA-BULIISA'!L24)</f>
        <v>0</v>
      </c>
      <c r="M24" s="49">
        <f>AVERAGE('25.10 HOIMA-BULIISA'!M24,'27.10 HOIMA-BULIISA'!M24,'29.10 BULIISA-HOIMA'!M24,'30.10 HOIMA-BULIISA'!M24,'28.10 BULIISA-HOIMA-24h'!M24,'28.10 HOIMA-BULIISA-24h'!M24,'31.10 HOIMA-BULIISA'!M24)</f>
        <v>3</v>
      </c>
      <c r="N24" s="49">
        <f>AVERAGE('25.10 HOIMA-BULIISA'!N24,'27.10 HOIMA-BULIISA'!N24,'29.10 BULIISA-HOIMA'!N24,'30.10 HOIMA-BULIISA'!N24,'28.10 BULIISA-HOIMA-24h'!N24,'28.10 HOIMA-BULIISA-24h'!N24,'31.10 HOIMA-BULIISA'!N24)</f>
        <v>0</v>
      </c>
      <c r="O24" s="15">
        <f t="shared" si="0"/>
        <v>2.1428571428571428</v>
      </c>
      <c r="P24" s="15">
        <f t="shared" si="1"/>
        <v>5.1428571428571423</v>
      </c>
      <c r="R24" s="1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11</v>
      </c>
      <c r="AD24" s="34">
        <f t="shared" si="16"/>
        <v>0</v>
      </c>
      <c r="AE24" s="31">
        <f t="shared" si="16"/>
        <v>1</v>
      </c>
      <c r="AF24" s="31">
        <f t="shared" si="16"/>
        <v>12</v>
      </c>
    </row>
    <row r="25" spans="2:32" ht="23.1" customHeight="1" x14ac:dyDescent="0.25">
      <c r="B25" s="23" t="s">
        <v>52</v>
      </c>
      <c r="C25" s="49">
        <f>AVERAGE('25.10 HOIMA-BULIISA'!C25,'27.10 HOIMA-BULIISA'!C25,'29.10 BULIISA-HOIMA'!C25,'30.10 HOIMA-BULIISA'!C25,'28.10 BULIISA-HOIMA-24h'!C25,'28.10 HOIMA-BULIISA-24h'!C25,'31.10 HOIMA-BULIISA'!C25)</f>
        <v>0.5714285714285714</v>
      </c>
      <c r="D25" s="49">
        <f>AVERAGE('25.10 HOIMA-BULIISA'!D25,'27.10 HOIMA-BULIISA'!D25,'29.10 BULIISA-HOIMA'!D25,'30.10 HOIMA-BULIISA'!D25,'28.10 BULIISA-HOIMA-24h'!D25,'28.10 HOIMA-BULIISA-24h'!D25,'31.10 HOIMA-BULIISA'!D25)</f>
        <v>0.14285714285714285</v>
      </c>
      <c r="E25" s="49">
        <f>AVERAGE('25.10 HOIMA-BULIISA'!E25,'27.10 HOIMA-BULIISA'!E25,'29.10 BULIISA-HOIMA'!E25,'30.10 HOIMA-BULIISA'!E25,'28.10 BULIISA-HOIMA-24h'!E25,'28.10 HOIMA-BULIISA-24h'!E25,'31.10 HOIMA-BULIISA'!E25)</f>
        <v>0.2857142857142857</v>
      </c>
      <c r="F25" s="49">
        <f>AVERAGE('25.10 HOIMA-BULIISA'!F25,'27.10 HOIMA-BULIISA'!F25,'29.10 BULIISA-HOIMA'!F25,'30.10 HOIMA-BULIISA'!F25,'28.10 BULIISA-HOIMA-24h'!F25,'28.10 HOIMA-BULIISA-24h'!F25,'31.10 HOIMA-BULIISA'!F25)</f>
        <v>0.5714285714285714</v>
      </c>
      <c r="G25" s="49">
        <f>AVERAGE('25.10 HOIMA-BULIISA'!G25,'27.10 HOIMA-BULIISA'!G25,'29.10 BULIISA-HOIMA'!G25,'30.10 HOIMA-BULIISA'!G25,'28.10 BULIISA-HOIMA-24h'!G25,'28.10 HOIMA-BULIISA-24h'!G25,'31.10 HOIMA-BULIISA'!G25)</f>
        <v>0.14285714285714285</v>
      </c>
      <c r="H25" s="49">
        <f>AVERAGE('25.10 HOIMA-BULIISA'!H25,'27.10 HOIMA-BULIISA'!H25,'29.10 BULIISA-HOIMA'!H25,'30.10 HOIMA-BULIISA'!H25,'28.10 BULIISA-HOIMA-24h'!H25,'28.10 HOIMA-BULIISA-24h'!H25,'31.10 HOIMA-BULIISA'!H25)</f>
        <v>0</v>
      </c>
      <c r="I25" s="49">
        <f>AVERAGE('25.10 HOIMA-BULIISA'!I25,'27.10 HOIMA-BULIISA'!I25,'29.10 BULIISA-HOIMA'!I25,'30.10 HOIMA-BULIISA'!I25,'28.10 BULIISA-HOIMA-24h'!I25,'28.10 HOIMA-BULIISA-24h'!I25,'31.10 HOIMA-BULIISA'!I25)</f>
        <v>0</v>
      </c>
      <c r="J25" s="49">
        <f>AVERAGE('25.10 HOIMA-BULIISA'!J25,'27.10 HOIMA-BULIISA'!J25,'29.10 BULIISA-HOIMA'!J25,'30.10 HOIMA-BULIISA'!J25,'28.10 BULIISA-HOIMA-24h'!J25,'28.10 HOIMA-BULIISA-24h'!J25,'31.10 HOIMA-BULIISA'!J25)</f>
        <v>0.14285714285714285</v>
      </c>
      <c r="K25" s="49">
        <f>AVERAGE('25.10 HOIMA-BULIISA'!K25,'27.10 HOIMA-BULIISA'!K25,'29.10 BULIISA-HOIMA'!K25,'30.10 HOIMA-BULIISA'!K25,'28.10 BULIISA-HOIMA-24h'!K25,'28.10 HOIMA-BULIISA-24h'!K25,'31.10 HOIMA-BULIISA'!K25)</f>
        <v>0.14285714285714285</v>
      </c>
      <c r="L25" s="49">
        <f>AVERAGE('25.10 HOIMA-BULIISA'!L25,'27.10 HOIMA-BULIISA'!L25,'29.10 BULIISA-HOIMA'!L25,'30.10 HOIMA-BULIISA'!L25,'28.10 BULIISA-HOIMA-24h'!L25,'28.10 HOIMA-BULIISA-24h'!L25,'31.10 HOIMA-BULIISA'!L25)</f>
        <v>0</v>
      </c>
      <c r="M25" s="49">
        <f>AVERAGE('25.10 HOIMA-BULIISA'!M25,'27.10 HOIMA-BULIISA'!M25,'29.10 BULIISA-HOIMA'!M25,'30.10 HOIMA-BULIISA'!M25,'28.10 BULIISA-HOIMA-24h'!M25,'28.10 HOIMA-BULIISA-24h'!M25,'31.10 HOIMA-BULIISA'!M25)</f>
        <v>4.5714285714285712</v>
      </c>
      <c r="N25" s="49">
        <f>AVERAGE('25.10 HOIMA-BULIISA'!N25,'27.10 HOIMA-BULIISA'!N25,'29.10 BULIISA-HOIMA'!N25,'30.10 HOIMA-BULIISA'!N25,'28.10 BULIISA-HOIMA-24h'!N25,'28.10 HOIMA-BULIISA-24h'!N25,'31.10 HOIMA-BULIISA'!N25)</f>
        <v>0</v>
      </c>
      <c r="O25" s="15">
        <f t="shared" si="0"/>
        <v>1.9999999999999996</v>
      </c>
      <c r="P25" s="15">
        <f t="shared" si="1"/>
        <v>6.5714285714285712</v>
      </c>
      <c r="R25" s="1" t="s">
        <v>149</v>
      </c>
      <c r="S25" s="34">
        <f>SUM(C70:C73)</f>
        <v>0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0.5</v>
      </c>
      <c r="AA25" s="34">
        <f t="shared" si="17"/>
        <v>1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3</v>
      </c>
      <c r="AF25" s="31">
        <f t="shared" si="17"/>
        <v>6</v>
      </c>
    </row>
    <row r="26" spans="2:32" ht="23.1" customHeight="1" x14ac:dyDescent="0.25">
      <c r="B26" s="23" t="s">
        <v>53</v>
      </c>
      <c r="C26" s="49">
        <f>AVERAGE('25.10 HOIMA-BULIISA'!C26,'27.10 HOIMA-BULIISA'!C26,'29.10 BULIISA-HOIMA'!C26,'30.10 HOIMA-BULIISA'!C26,'28.10 BULIISA-HOIMA-24h'!C26,'28.10 HOIMA-BULIISA-24h'!C26,'31.10 HOIMA-BULIISA'!C26)</f>
        <v>0.14285714285714285</v>
      </c>
      <c r="D26" s="49">
        <f>AVERAGE('25.10 HOIMA-BULIISA'!D26,'27.10 HOIMA-BULIISA'!D26,'29.10 BULIISA-HOIMA'!D26,'30.10 HOIMA-BULIISA'!D26,'28.10 BULIISA-HOIMA-24h'!D26,'28.10 HOIMA-BULIISA-24h'!D26,'31.10 HOIMA-BULIISA'!D26)</f>
        <v>0</v>
      </c>
      <c r="E26" s="49">
        <f>AVERAGE('25.10 HOIMA-BULIISA'!E26,'27.10 HOIMA-BULIISA'!E26,'29.10 BULIISA-HOIMA'!E26,'30.10 HOIMA-BULIISA'!E26,'28.10 BULIISA-HOIMA-24h'!E26,'28.10 HOIMA-BULIISA-24h'!E26,'31.10 HOIMA-BULIISA'!E26)</f>
        <v>0</v>
      </c>
      <c r="F26" s="49">
        <f>AVERAGE('25.10 HOIMA-BULIISA'!F26,'27.10 HOIMA-BULIISA'!F26,'29.10 BULIISA-HOIMA'!F26,'30.10 HOIMA-BULIISA'!F26,'28.10 BULIISA-HOIMA-24h'!F26,'28.10 HOIMA-BULIISA-24h'!F26,'31.10 HOIMA-BULIISA'!F26)</f>
        <v>0.5714285714285714</v>
      </c>
      <c r="G26" s="49">
        <f>AVERAGE('25.10 HOIMA-BULIISA'!G26,'27.10 HOIMA-BULIISA'!G26,'29.10 BULIISA-HOIMA'!G26,'30.10 HOIMA-BULIISA'!G26,'28.10 BULIISA-HOIMA-24h'!G26,'28.10 HOIMA-BULIISA-24h'!G26,'31.10 HOIMA-BULIISA'!G26)</f>
        <v>0</v>
      </c>
      <c r="H26" s="49">
        <f>AVERAGE('25.10 HOIMA-BULIISA'!H26,'27.10 HOIMA-BULIISA'!H26,'29.10 BULIISA-HOIMA'!H26,'30.10 HOIMA-BULIISA'!H26,'28.10 BULIISA-HOIMA-24h'!H26,'28.10 HOIMA-BULIISA-24h'!H26,'31.10 HOIMA-BULIISA'!H26)</f>
        <v>0</v>
      </c>
      <c r="I26" s="49">
        <f>AVERAGE('25.10 HOIMA-BULIISA'!I26,'27.10 HOIMA-BULIISA'!I26,'29.10 BULIISA-HOIMA'!I26,'30.10 HOIMA-BULIISA'!I26,'28.10 BULIISA-HOIMA-24h'!I26,'28.10 HOIMA-BULIISA-24h'!I26,'31.10 HOIMA-BULIISA'!I26)</f>
        <v>0</v>
      </c>
      <c r="J26" s="49">
        <f>AVERAGE('25.10 HOIMA-BULIISA'!J26,'27.10 HOIMA-BULIISA'!J26,'29.10 BULIISA-HOIMA'!J26,'30.10 HOIMA-BULIISA'!J26,'28.10 BULIISA-HOIMA-24h'!J26,'28.10 HOIMA-BULIISA-24h'!J26,'31.10 HOIMA-BULIISA'!J26)</f>
        <v>0</v>
      </c>
      <c r="K26" s="49">
        <f>AVERAGE('25.10 HOIMA-BULIISA'!K26,'27.10 HOIMA-BULIISA'!K26,'29.10 BULIISA-HOIMA'!K26,'30.10 HOIMA-BULIISA'!K26,'28.10 BULIISA-HOIMA-24h'!K26,'28.10 HOIMA-BULIISA-24h'!K26,'31.10 HOIMA-BULIISA'!K26)</f>
        <v>0.14285714285714285</v>
      </c>
      <c r="L26" s="49">
        <f>AVERAGE('25.10 HOIMA-BULIISA'!L26,'27.10 HOIMA-BULIISA'!L26,'29.10 BULIISA-HOIMA'!L26,'30.10 HOIMA-BULIISA'!L26,'28.10 BULIISA-HOIMA-24h'!L26,'28.10 HOIMA-BULIISA-24h'!L26,'31.10 HOIMA-BULIISA'!L26)</f>
        <v>0</v>
      </c>
      <c r="M26" s="49">
        <f>AVERAGE('25.10 HOIMA-BULIISA'!M26,'27.10 HOIMA-BULIISA'!M26,'29.10 BULIISA-HOIMA'!M26,'30.10 HOIMA-BULIISA'!M26,'28.10 BULIISA-HOIMA-24h'!M26,'28.10 HOIMA-BULIISA-24h'!M26,'31.10 HOIMA-BULIISA'!M26)</f>
        <v>2.1428571428571428</v>
      </c>
      <c r="N26" s="49">
        <f>AVERAGE('25.10 HOIMA-BULIISA'!N26,'27.10 HOIMA-BULIISA'!N26,'29.10 BULIISA-HOIMA'!N26,'30.10 HOIMA-BULIISA'!N26,'28.10 BULIISA-HOIMA-24h'!N26,'28.10 HOIMA-BULIISA-24h'!N26,'31.10 HOIMA-BULIISA'!N26)</f>
        <v>0</v>
      </c>
      <c r="O26" s="15">
        <f t="shared" si="0"/>
        <v>0.85714285714285698</v>
      </c>
      <c r="P26" s="15">
        <f t="shared" si="1"/>
        <v>3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0.5</v>
      </c>
      <c r="AD26" s="34">
        <f t="shared" si="18"/>
        <v>0</v>
      </c>
      <c r="AE26" s="31">
        <f t="shared" si="18"/>
        <v>0</v>
      </c>
      <c r="AF26" s="31">
        <f t="shared" si="18"/>
        <v>0.5</v>
      </c>
    </row>
    <row r="27" spans="2:32" ht="23.1" customHeight="1" x14ac:dyDescent="0.25">
      <c r="B27" s="23" t="s">
        <v>54</v>
      </c>
      <c r="C27" s="49">
        <f>AVERAGE('25.10 HOIMA-BULIISA'!C27,'27.10 HOIMA-BULIISA'!C27,'29.10 BULIISA-HOIMA'!C27,'30.10 HOIMA-BULIISA'!C27,'28.10 BULIISA-HOIMA-24h'!C27,'28.10 HOIMA-BULIISA-24h'!C27,'31.10 HOIMA-BULIISA'!C27)</f>
        <v>0.42857142857142855</v>
      </c>
      <c r="D27" s="49">
        <f>AVERAGE('25.10 HOIMA-BULIISA'!D27,'27.10 HOIMA-BULIISA'!D27,'29.10 BULIISA-HOIMA'!D27,'30.10 HOIMA-BULIISA'!D27,'28.10 BULIISA-HOIMA-24h'!D27,'28.10 HOIMA-BULIISA-24h'!D27,'31.10 HOIMA-BULIISA'!D27)</f>
        <v>0.2857142857142857</v>
      </c>
      <c r="E27" s="49">
        <f>AVERAGE('25.10 HOIMA-BULIISA'!E27,'27.10 HOIMA-BULIISA'!E27,'29.10 BULIISA-HOIMA'!E27,'30.10 HOIMA-BULIISA'!E27,'28.10 BULIISA-HOIMA-24h'!E27,'28.10 HOIMA-BULIISA-24h'!E27,'31.10 HOIMA-BULIISA'!E27)</f>
        <v>0</v>
      </c>
      <c r="F27" s="49">
        <f>AVERAGE('25.10 HOIMA-BULIISA'!F27,'27.10 HOIMA-BULIISA'!F27,'29.10 BULIISA-HOIMA'!F27,'30.10 HOIMA-BULIISA'!F27,'28.10 BULIISA-HOIMA-24h'!F27,'28.10 HOIMA-BULIISA-24h'!F27,'31.10 HOIMA-BULIISA'!F27)</f>
        <v>0.7142857142857143</v>
      </c>
      <c r="G27" s="49">
        <f>AVERAGE('25.10 HOIMA-BULIISA'!G27,'27.10 HOIMA-BULIISA'!G27,'29.10 BULIISA-HOIMA'!G27,'30.10 HOIMA-BULIISA'!G27,'28.10 BULIISA-HOIMA-24h'!G27,'28.10 HOIMA-BULIISA-24h'!G27,'31.10 HOIMA-BULIISA'!G27)</f>
        <v>0</v>
      </c>
      <c r="H27" s="49">
        <f>AVERAGE('25.10 HOIMA-BULIISA'!H27,'27.10 HOIMA-BULIISA'!H27,'29.10 BULIISA-HOIMA'!H27,'30.10 HOIMA-BULIISA'!H27,'28.10 BULIISA-HOIMA-24h'!H27,'28.10 HOIMA-BULIISA-24h'!H27,'31.10 HOIMA-BULIISA'!H27)</f>
        <v>0</v>
      </c>
      <c r="I27" s="49">
        <f>AVERAGE('25.10 HOIMA-BULIISA'!I27,'27.10 HOIMA-BULIISA'!I27,'29.10 BULIISA-HOIMA'!I27,'30.10 HOIMA-BULIISA'!I27,'28.10 BULIISA-HOIMA-24h'!I27,'28.10 HOIMA-BULIISA-24h'!I27,'31.10 HOIMA-BULIISA'!I27)</f>
        <v>0.14285714285714285</v>
      </c>
      <c r="J27" s="49">
        <f>AVERAGE('25.10 HOIMA-BULIISA'!J27,'27.10 HOIMA-BULIISA'!J27,'29.10 BULIISA-HOIMA'!J27,'30.10 HOIMA-BULIISA'!J27,'28.10 BULIISA-HOIMA-24h'!J27,'28.10 HOIMA-BULIISA-24h'!J27,'31.10 HOIMA-BULIISA'!J27)</f>
        <v>0.14285714285714285</v>
      </c>
      <c r="K27" s="49">
        <f>AVERAGE('25.10 HOIMA-BULIISA'!K27,'27.10 HOIMA-BULIISA'!K27,'29.10 BULIISA-HOIMA'!K27,'30.10 HOIMA-BULIISA'!K27,'28.10 BULIISA-HOIMA-24h'!K27,'28.10 HOIMA-BULIISA-24h'!K27,'31.10 HOIMA-BULIISA'!K27)</f>
        <v>0</v>
      </c>
      <c r="L27" s="49">
        <f>AVERAGE('25.10 HOIMA-BULIISA'!L27,'27.10 HOIMA-BULIISA'!L27,'29.10 BULIISA-HOIMA'!L27,'30.10 HOIMA-BULIISA'!L27,'28.10 BULIISA-HOIMA-24h'!L27,'28.10 HOIMA-BULIISA-24h'!L27,'31.10 HOIMA-BULIISA'!L27)</f>
        <v>0</v>
      </c>
      <c r="M27" s="49">
        <f>AVERAGE('25.10 HOIMA-BULIISA'!M27,'27.10 HOIMA-BULIISA'!M27,'29.10 BULIISA-HOIMA'!M27,'30.10 HOIMA-BULIISA'!M27,'28.10 BULIISA-HOIMA-24h'!M27,'28.10 HOIMA-BULIISA-24h'!M27,'31.10 HOIMA-BULIISA'!M27)</f>
        <v>4.5714285714285712</v>
      </c>
      <c r="N27" s="49">
        <f>AVERAGE('25.10 HOIMA-BULIISA'!N27,'27.10 HOIMA-BULIISA'!N27,'29.10 BULIISA-HOIMA'!N27,'30.10 HOIMA-BULIISA'!N27,'28.10 BULIISA-HOIMA-24h'!N27,'28.10 HOIMA-BULIISA-24h'!N27,'31.10 HOIMA-BULIISA'!N27)</f>
        <v>0</v>
      </c>
      <c r="O27" s="15">
        <f t="shared" si="0"/>
        <v>1.714285714285714</v>
      </c>
      <c r="P27" s="15">
        <f t="shared" si="1"/>
        <v>6.2857142857142847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23" t="s">
        <v>55</v>
      </c>
      <c r="C28" s="49">
        <f>AVERAGE('25.10 HOIMA-BULIISA'!C28,'27.10 HOIMA-BULIISA'!C28,'29.10 BULIISA-HOIMA'!C28,'30.10 HOIMA-BULIISA'!C28,'28.10 BULIISA-HOIMA-24h'!C28,'28.10 HOIMA-BULIISA-24h'!C28,'31.10 HOIMA-BULIISA'!C28)</f>
        <v>0.2857142857142857</v>
      </c>
      <c r="D28" s="49">
        <f>AVERAGE('25.10 HOIMA-BULIISA'!D28,'27.10 HOIMA-BULIISA'!D28,'29.10 BULIISA-HOIMA'!D28,'30.10 HOIMA-BULIISA'!D28,'28.10 BULIISA-HOIMA-24h'!D28,'28.10 HOIMA-BULIISA-24h'!D28,'31.10 HOIMA-BULIISA'!D28)</f>
        <v>0.14285714285714285</v>
      </c>
      <c r="E28" s="49">
        <f>AVERAGE('25.10 HOIMA-BULIISA'!E28,'27.10 HOIMA-BULIISA'!E28,'29.10 BULIISA-HOIMA'!E28,'30.10 HOIMA-BULIISA'!E28,'28.10 BULIISA-HOIMA-24h'!E28,'28.10 HOIMA-BULIISA-24h'!E28,'31.10 HOIMA-BULIISA'!E28)</f>
        <v>0.42857142857142855</v>
      </c>
      <c r="F28" s="49">
        <f>AVERAGE('25.10 HOIMA-BULIISA'!F28,'27.10 HOIMA-BULIISA'!F28,'29.10 BULIISA-HOIMA'!F28,'30.10 HOIMA-BULIISA'!F28,'28.10 BULIISA-HOIMA-24h'!F28,'28.10 HOIMA-BULIISA-24h'!F28,'31.10 HOIMA-BULIISA'!F28)</f>
        <v>0.42857142857142855</v>
      </c>
      <c r="G28" s="49">
        <f>AVERAGE('25.10 HOIMA-BULIISA'!G28,'27.10 HOIMA-BULIISA'!G28,'29.10 BULIISA-HOIMA'!G28,'30.10 HOIMA-BULIISA'!G28,'28.10 BULIISA-HOIMA-24h'!G28,'28.10 HOIMA-BULIISA-24h'!G28,'31.10 HOIMA-BULIISA'!G28)</f>
        <v>0</v>
      </c>
      <c r="H28" s="49">
        <f>AVERAGE('25.10 HOIMA-BULIISA'!H28,'27.10 HOIMA-BULIISA'!H28,'29.10 BULIISA-HOIMA'!H28,'30.10 HOIMA-BULIISA'!H28,'28.10 BULIISA-HOIMA-24h'!H28,'28.10 HOIMA-BULIISA-24h'!H28,'31.10 HOIMA-BULIISA'!H28)</f>
        <v>0</v>
      </c>
      <c r="I28" s="49">
        <f>AVERAGE('25.10 HOIMA-BULIISA'!I28,'27.10 HOIMA-BULIISA'!I28,'29.10 BULIISA-HOIMA'!I28,'30.10 HOIMA-BULIISA'!I28,'28.10 BULIISA-HOIMA-24h'!I28,'28.10 HOIMA-BULIISA-24h'!I28,'31.10 HOIMA-BULIISA'!I28)</f>
        <v>0</v>
      </c>
      <c r="J28" s="49">
        <f>AVERAGE('25.10 HOIMA-BULIISA'!J28,'27.10 HOIMA-BULIISA'!J28,'29.10 BULIISA-HOIMA'!J28,'30.10 HOIMA-BULIISA'!J28,'28.10 BULIISA-HOIMA-24h'!J28,'28.10 HOIMA-BULIISA-24h'!J28,'31.10 HOIMA-BULIISA'!J28)</f>
        <v>0</v>
      </c>
      <c r="K28" s="49">
        <f>AVERAGE('25.10 HOIMA-BULIISA'!K28,'27.10 HOIMA-BULIISA'!K28,'29.10 BULIISA-HOIMA'!K28,'30.10 HOIMA-BULIISA'!K28,'28.10 BULIISA-HOIMA-24h'!K28,'28.10 HOIMA-BULIISA-24h'!K28,'31.10 HOIMA-BULIISA'!K28)</f>
        <v>0</v>
      </c>
      <c r="L28" s="49">
        <f>AVERAGE('25.10 HOIMA-BULIISA'!L28,'27.10 HOIMA-BULIISA'!L28,'29.10 BULIISA-HOIMA'!L28,'30.10 HOIMA-BULIISA'!L28,'28.10 BULIISA-HOIMA-24h'!L28,'28.10 HOIMA-BULIISA-24h'!L28,'31.10 HOIMA-BULIISA'!L28)</f>
        <v>0.2857142857142857</v>
      </c>
      <c r="M28" s="49">
        <f>AVERAGE('25.10 HOIMA-BULIISA'!M28,'27.10 HOIMA-BULIISA'!M28,'29.10 BULIISA-HOIMA'!M28,'30.10 HOIMA-BULIISA'!M28,'28.10 BULIISA-HOIMA-24h'!M28,'28.10 HOIMA-BULIISA-24h'!M28,'31.10 HOIMA-BULIISA'!M28)</f>
        <v>4.4285714285714288</v>
      </c>
      <c r="N28" s="49">
        <f>AVERAGE('25.10 HOIMA-BULIISA'!N28,'27.10 HOIMA-BULIISA'!N28,'29.10 BULIISA-HOIMA'!N28,'30.10 HOIMA-BULIISA'!N28,'28.10 BULIISA-HOIMA-24h'!N28,'28.10 HOIMA-BULIISA-24h'!N28,'31.10 HOIMA-BULIISA'!N28)</f>
        <v>0</v>
      </c>
      <c r="O28" s="15">
        <f t="shared" si="0"/>
        <v>1.5714285714285712</v>
      </c>
      <c r="P28" s="15">
        <f t="shared" si="1"/>
        <v>6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0.5</v>
      </c>
      <c r="AF28" s="31">
        <f t="shared" si="20"/>
        <v>0.5</v>
      </c>
    </row>
    <row r="29" spans="2:32" ht="23.1" customHeight="1" x14ac:dyDescent="0.25">
      <c r="B29" s="23" t="s">
        <v>56</v>
      </c>
      <c r="C29" s="49">
        <f>AVERAGE('25.10 HOIMA-BULIISA'!C29,'27.10 HOIMA-BULIISA'!C29,'29.10 BULIISA-HOIMA'!C29,'30.10 HOIMA-BULIISA'!C29,'28.10 BULIISA-HOIMA-24h'!C29,'28.10 HOIMA-BULIISA-24h'!C29,'31.10 HOIMA-BULIISA'!C29)</f>
        <v>0.14285714285714285</v>
      </c>
      <c r="D29" s="49">
        <f>AVERAGE('25.10 HOIMA-BULIISA'!D29,'27.10 HOIMA-BULIISA'!D29,'29.10 BULIISA-HOIMA'!D29,'30.10 HOIMA-BULIISA'!D29,'28.10 BULIISA-HOIMA-24h'!D29,'28.10 HOIMA-BULIISA-24h'!D29,'31.10 HOIMA-BULIISA'!D29)</f>
        <v>0.14285714285714285</v>
      </c>
      <c r="E29" s="49">
        <f>AVERAGE('25.10 HOIMA-BULIISA'!E29,'27.10 HOIMA-BULIISA'!E29,'29.10 BULIISA-HOIMA'!E29,'30.10 HOIMA-BULIISA'!E29,'28.10 BULIISA-HOIMA-24h'!E29,'28.10 HOIMA-BULIISA-24h'!E29,'31.10 HOIMA-BULIISA'!E29)</f>
        <v>1.2857142857142858</v>
      </c>
      <c r="F29" s="49">
        <f>AVERAGE('25.10 HOIMA-BULIISA'!F29,'27.10 HOIMA-BULIISA'!F29,'29.10 BULIISA-HOIMA'!F29,'30.10 HOIMA-BULIISA'!F29,'28.10 BULIISA-HOIMA-24h'!F29,'28.10 HOIMA-BULIISA-24h'!F29,'31.10 HOIMA-BULIISA'!F29)</f>
        <v>0.2857142857142857</v>
      </c>
      <c r="G29" s="49">
        <f>AVERAGE('25.10 HOIMA-BULIISA'!G29,'27.10 HOIMA-BULIISA'!G29,'29.10 BULIISA-HOIMA'!G29,'30.10 HOIMA-BULIISA'!G29,'28.10 BULIISA-HOIMA-24h'!G29,'28.10 HOIMA-BULIISA-24h'!G29,'31.10 HOIMA-BULIISA'!G29)</f>
        <v>0</v>
      </c>
      <c r="H29" s="49">
        <f>AVERAGE('25.10 HOIMA-BULIISA'!H29,'27.10 HOIMA-BULIISA'!H29,'29.10 BULIISA-HOIMA'!H29,'30.10 HOIMA-BULIISA'!H29,'28.10 BULIISA-HOIMA-24h'!H29,'28.10 HOIMA-BULIISA-24h'!H29,'31.10 HOIMA-BULIISA'!H29)</f>
        <v>0</v>
      </c>
      <c r="I29" s="49">
        <f>AVERAGE('25.10 HOIMA-BULIISA'!I29,'27.10 HOIMA-BULIISA'!I29,'29.10 BULIISA-HOIMA'!I29,'30.10 HOIMA-BULIISA'!I29,'28.10 BULIISA-HOIMA-24h'!I29,'28.10 HOIMA-BULIISA-24h'!I29,'31.10 HOIMA-BULIISA'!I29)</f>
        <v>0</v>
      </c>
      <c r="J29" s="49">
        <f>AVERAGE('25.10 HOIMA-BULIISA'!J29,'27.10 HOIMA-BULIISA'!J29,'29.10 BULIISA-HOIMA'!J29,'30.10 HOIMA-BULIISA'!J29,'28.10 BULIISA-HOIMA-24h'!J29,'28.10 HOIMA-BULIISA-24h'!J29,'31.10 HOIMA-BULIISA'!J29)</f>
        <v>0.2857142857142857</v>
      </c>
      <c r="K29" s="49">
        <f>AVERAGE('25.10 HOIMA-BULIISA'!K29,'27.10 HOIMA-BULIISA'!K29,'29.10 BULIISA-HOIMA'!K29,'30.10 HOIMA-BULIISA'!K29,'28.10 BULIISA-HOIMA-24h'!K29,'28.10 HOIMA-BULIISA-24h'!K29,'31.10 HOIMA-BULIISA'!K29)</f>
        <v>0</v>
      </c>
      <c r="L29" s="49">
        <f>AVERAGE('25.10 HOIMA-BULIISA'!L29,'27.10 HOIMA-BULIISA'!L29,'29.10 BULIISA-HOIMA'!L29,'30.10 HOIMA-BULIISA'!L29,'28.10 BULIISA-HOIMA-24h'!L29,'28.10 HOIMA-BULIISA-24h'!L29,'31.10 HOIMA-BULIISA'!L29)</f>
        <v>0</v>
      </c>
      <c r="M29" s="49">
        <f>AVERAGE('25.10 HOIMA-BULIISA'!M29,'27.10 HOIMA-BULIISA'!M29,'29.10 BULIISA-HOIMA'!M29,'30.10 HOIMA-BULIISA'!M29,'28.10 BULIISA-HOIMA-24h'!M29,'28.10 HOIMA-BULIISA-24h'!M29,'31.10 HOIMA-BULIISA'!M29)</f>
        <v>4.8571428571428568</v>
      </c>
      <c r="N29" s="49">
        <f>AVERAGE('25.10 HOIMA-BULIISA'!N29,'27.10 HOIMA-BULIISA'!N29,'29.10 BULIISA-HOIMA'!N29,'30.10 HOIMA-BULIISA'!N29,'28.10 BULIISA-HOIMA-24h'!N29,'28.10 HOIMA-BULIISA-24h'!N29,'31.10 HOIMA-BULIISA'!N29)</f>
        <v>0</v>
      </c>
      <c r="O29" s="15">
        <f t="shared" si="0"/>
        <v>2.1428571428571428</v>
      </c>
      <c r="P29" s="15">
        <f t="shared" si="1"/>
        <v>7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0.5</v>
      </c>
      <c r="AD29" s="34">
        <f t="shared" si="21"/>
        <v>0</v>
      </c>
      <c r="AE29" s="31">
        <f t="shared" si="21"/>
        <v>0.5</v>
      </c>
      <c r="AF29" s="31">
        <f t="shared" si="21"/>
        <v>1</v>
      </c>
    </row>
    <row r="30" spans="2:32" ht="23.1" customHeight="1" x14ac:dyDescent="0.25">
      <c r="B30" s="23" t="s">
        <v>57</v>
      </c>
      <c r="C30" s="49">
        <f>AVERAGE('25.10 HOIMA-BULIISA'!C30,'27.10 HOIMA-BULIISA'!C30,'29.10 BULIISA-HOIMA'!C30,'30.10 HOIMA-BULIISA'!C30,'28.10 BULIISA-HOIMA-24h'!C30,'28.10 HOIMA-BULIISA-24h'!C30,'31.10 HOIMA-BULIISA'!C30)</f>
        <v>0.5714285714285714</v>
      </c>
      <c r="D30" s="49">
        <f>AVERAGE('25.10 HOIMA-BULIISA'!D30,'27.10 HOIMA-BULIISA'!D30,'29.10 BULIISA-HOIMA'!D30,'30.10 HOIMA-BULIISA'!D30,'28.10 BULIISA-HOIMA-24h'!D30,'28.10 HOIMA-BULIISA-24h'!D30,'31.10 HOIMA-BULIISA'!D30)</f>
        <v>0</v>
      </c>
      <c r="E30" s="49">
        <f>AVERAGE('25.10 HOIMA-BULIISA'!E30,'27.10 HOIMA-BULIISA'!E30,'29.10 BULIISA-HOIMA'!E30,'30.10 HOIMA-BULIISA'!E30,'28.10 BULIISA-HOIMA-24h'!E30,'28.10 HOIMA-BULIISA-24h'!E30,'31.10 HOIMA-BULIISA'!E30)</f>
        <v>0.2857142857142857</v>
      </c>
      <c r="F30" s="49">
        <f>AVERAGE('25.10 HOIMA-BULIISA'!F30,'27.10 HOIMA-BULIISA'!F30,'29.10 BULIISA-HOIMA'!F30,'30.10 HOIMA-BULIISA'!F30,'28.10 BULIISA-HOIMA-24h'!F30,'28.10 HOIMA-BULIISA-24h'!F30,'31.10 HOIMA-BULIISA'!F30)</f>
        <v>1.1428571428571428</v>
      </c>
      <c r="G30" s="49">
        <f>AVERAGE('25.10 HOIMA-BULIISA'!G30,'27.10 HOIMA-BULIISA'!G30,'29.10 BULIISA-HOIMA'!G30,'30.10 HOIMA-BULIISA'!G30,'28.10 BULIISA-HOIMA-24h'!G30,'28.10 HOIMA-BULIISA-24h'!G30,'31.10 HOIMA-BULIISA'!G30)</f>
        <v>0</v>
      </c>
      <c r="H30" s="49">
        <f>AVERAGE('25.10 HOIMA-BULIISA'!H30,'27.10 HOIMA-BULIISA'!H30,'29.10 BULIISA-HOIMA'!H30,'30.10 HOIMA-BULIISA'!H30,'28.10 BULIISA-HOIMA-24h'!H30,'28.10 HOIMA-BULIISA-24h'!H30,'31.10 HOIMA-BULIISA'!H30)</f>
        <v>0</v>
      </c>
      <c r="I30" s="49">
        <f>AVERAGE('25.10 HOIMA-BULIISA'!I30,'27.10 HOIMA-BULIISA'!I30,'29.10 BULIISA-HOIMA'!I30,'30.10 HOIMA-BULIISA'!I30,'28.10 BULIISA-HOIMA-24h'!I30,'28.10 HOIMA-BULIISA-24h'!I30,'31.10 HOIMA-BULIISA'!I30)</f>
        <v>0</v>
      </c>
      <c r="J30" s="49">
        <f>AVERAGE('25.10 HOIMA-BULIISA'!J30,'27.10 HOIMA-BULIISA'!J30,'29.10 BULIISA-HOIMA'!J30,'30.10 HOIMA-BULIISA'!J30,'28.10 BULIISA-HOIMA-24h'!J30,'28.10 HOIMA-BULIISA-24h'!J30,'31.10 HOIMA-BULIISA'!J30)</f>
        <v>0.14285714285714285</v>
      </c>
      <c r="K30" s="49">
        <f>AVERAGE('25.10 HOIMA-BULIISA'!K30,'27.10 HOIMA-BULIISA'!K30,'29.10 BULIISA-HOIMA'!K30,'30.10 HOIMA-BULIISA'!K30,'28.10 BULIISA-HOIMA-24h'!K30,'28.10 HOIMA-BULIISA-24h'!K30,'31.10 HOIMA-BULIISA'!K30)</f>
        <v>0</v>
      </c>
      <c r="L30" s="49">
        <f>AVERAGE('25.10 HOIMA-BULIISA'!L30,'27.10 HOIMA-BULIISA'!L30,'29.10 BULIISA-HOIMA'!L30,'30.10 HOIMA-BULIISA'!L30,'28.10 BULIISA-HOIMA-24h'!L30,'28.10 HOIMA-BULIISA-24h'!L30,'31.10 HOIMA-BULIISA'!L30)</f>
        <v>0</v>
      </c>
      <c r="M30" s="49">
        <f>AVERAGE('25.10 HOIMA-BULIISA'!M30,'27.10 HOIMA-BULIISA'!M30,'29.10 BULIISA-HOIMA'!M30,'30.10 HOIMA-BULIISA'!M30,'28.10 BULIISA-HOIMA-24h'!M30,'28.10 HOIMA-BULIISA-24h'!M30,'31.10 HOIMA-BULIISA'!M30)</f>
        <v>4.8571428571428568</v>
      </c>
      <c r="N30" s="49">
        <f>AVERAGE('25.10 HOIMA-BULIISA'!N30,'27.10 HOIMA-BULIISA'!N30,'29.10 BULIISA-HOIMA'!N30,'30.10 HOIMA-BULIISA'!N30,'28.10 BULIISA-HOIMA-24h'!N30,'28.10 HOIMA-BULIISA-24h'!N30,'31.10 HOIMA-BULIISA'!N30)</f>
        <v>0</v>
      </c>
      <c r="O30" s="15">
        <f t="shared" si="0"/>
        <v>2.1428571428571428</v>
      </c>
      <c r="P30" s="15">
        <f t="shared" si="1"/>
        <v>7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0.5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0.5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1</v>
      </c>
      <c r="AF30" s="31">
        <f t="shared" si="22"/>
        <v>1.5</v>
      </c>
    </row>
    <row r="31" spans="2:32" ht="23.1" customHeight="1" x14ac:dyDescent="0.25">
      <c r="B31" s="24" t="s">
        <v>58</v>
      </c>
      <c r="C31" s="49">
        <f>AVERAGE('25.10 HOIMA-BULIISA'!C31,'27.10 HOIMA-BULIISA'!C31,'29.10 BULIISA-HOIMA'!C31,'30.10 HOIMA-BULIISA'!C31,'28.10 BULIISA-HOIMA-24h'!C31,'28.10 HOIMA-BULIISA-24h'!C31,'31.10 HOIMA-BULIISA'!C31)</f>
        <v>0.2857142857142857</v>
      </c>
      <c r="D31" s="49">
        <f>AVERAGE('25.10 HOIMA-BULIISA'!D31,'27.10 HOIMA-BULIISA'!D31,'29.10 BULIISA-HOIMA'!D31,'30.10 HOIMA-BULIISA'!D31,'28.10 BULIISA-HOIMA-24h'!D31,'28.10 HOIMA-BULIISA-24h'!D31,'31.10 HOIMA-BULIISA'!D31)</f>
        <v>0.42857142857142855</v>
      </c>
      <c r="E31" s="49">
        <f>AVERAGE('25.10 HOIMA-BULIISA'!E31,'27.10 HOIMA-BULIISA'!E31,'29.10 BULIISA-HOIMA'!E31,'30.10 HOIMA-BULIISA'!E31,'28.10 BULIISA-HOIMA-24h'!E31,'28.10 HOIMA-BULIISA-24h'!E31,'31.10 HOIMA-BULIISA'!E31)</f>
        <v>0.5714285714285714</v>
      </c>
      <c r="F31" s="49">
        <f>AVERAGE('25.10 HOIMA-BULIISA'!F31,'27.10 HOIMA-BULIISA'!F31,'29.10 BULIISA-HOIMA'!F31,'30.10 HOIMA-BULIISA'!F31,'28.10 BULIISA-HOIMA-24h'!F31,'28.10 HOIMA-BULIISA-24h'!F31,'31.10 HOIMA-BULIISA'!F31)</f>
        <v>1</v>
      </c>
      <c r="G31" s="49">
        <f>AVERAGE('25.10 HOIMA-BULIISA'!G31,'27.10 HOIMA-BULIISA'!G31,'29.10 BULIISA-HOIMA'!G31,'30.10 HOIMA-BULIISA'!G31,'28.10 BULIISA-HOIMA-24h'!G31,'28.10 HOIMA-BULIISA-24h'!G31,'31.10 HOIMA-BULIISA'!G31)</f>
        <v>0</v>
      </c>
      <c r="H31" s="49">
        <f>AVERAGE('25.10 HOIMA-BULIISA'!H31,'27.10 HOIMA-BULIISA'!H31,'29.10 BULIISA-HOIMA'!H31,'30.10 HOIMA-BULIISA'!H31,'28.10 BULIISA-HOIMA-24h'!H31,'28.10 HOIMA-BULIISA-24h'!H31,'31.10 HOIMA-BULIISA'!H31)</f>
        <v>0</v>
      </c>
      <c r="I31" s="49">
        <f>AVERAGE('25.10 HOIMA-BULIISA'!I31,'27.10 HOIMA-BULIISA'!I31,'29.10 BULIISA-HOIMA'!I31,'30.10 HOIMA-BULIISA'!I31,'28.10 BULIISA-HOIMA-24h'!I31,'28.10 HOIMA-BULIISA-24h'!I31,'31.10 HOIMA-BULIISA'!I31)</f>
        <v>0</v>
      </c>
      <c r="J31" s="49">
        <f>AVERAGE('25.10 HOIMA-BULIISA'!J31,'27.10 HOIMA-BULIISA'!J31,'29.10 BULIISA-HOIMA'!J31,'30.10 HOIMA-BULIISA'!J31,'28.10 BULIISA-HOIMA-24h'!J31,'28.10 HOIMA-BULIISA-24h'!J31,'31.10 HOIMA-BULIISA'!J31)</f>
        <v>0.14285714285714285</v>
      </c>
      <c r="K31" s="49">
        <f>AVERAGE('25.10 HOIMA-BULIISA'!K31,'27.10 HOIMA-BULIISA'!K31,'29.10 BULIISA-HOIMA'!K31,'30.10 HOIMA-BULIISA'!K31,'28.10 BULIISA-HOIMA-24h'!K31,'28.10 HOIMA-BULIISA-24h'!K31,'31.10 HOIMA-BULIISA'!K31)</f>
        <v>0</v>
      </c>
      <c r="L31" s="49">
        <f>AVERAGE('25.10 HOIMA-BULIISA'!L31,'27.10 HOIMA-BULIISA'!L31,'29.10 BULIISA-HOIMA'!L31,'30.10 HOIMA-BULIISA'!L31,'28.10 BULIISA-HOIMA-24h'!L31,'28.10 HOIMA-BULIISA-24h'!L31,'31.10 HOIMA-BULIISA'!L31)</f>
        <v>0</v>
      </c>
      <c r="M31" s="49">
        <f>AVERAGE('25.10 HOIMA-BULIISA'!M31,'27.10 HOIMA-BULIISA'!M31,'29.10 BULIISA-HOIMA'!M31,'30.10 HOIMA-BULIISA'!M31,'28.10 BULIISA-HOIMA-24h'!M31,'28.10 HOIMA-BULIISA-24h'!M31,'31.10 HOIMA-BULIISA'!M31)</f>
        <v>4.8571428571428568</v>
      </c>
      <c r="N31" s="49">
        <f>AVERAGE('25.10 HOIMA-BULIISA'!N31,'27.10 HOIMA-BULIISA'!N31,'29.10 BULIISA-HOIMA'!N31,'30.10 HOIMA-BULIISA'!N31,'28.10 BULIISA-HOIMA-24h'!N31,'28.10 HOIMA-BULIISA-24h'!N31,'31.10 HOIMA-BULIISA'!N31)</f>
        <v>0</v>
      </c>
      <c r="O31" s="15">
        <f t="shared" si="0"/>
        <v>2.4285714285714284</v>
      </c>
      <c r="P31" s="15">
        <f t="shared" si="1"/>
        <v>7.2857142857142847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1.5</v>
      </c>
      <c r="AD31" s="34">
        <f t="shared" si="23"/>
        <v>0</v>
      </c>
      <c r="AE31" s="31">
        <f t="shared" si="23"/>
        <v>0.5</v>
      </c>
      <c r="AF31" s="31">
        <f t="shared" si="23"/>
        <v>2</v>
      </c>
    </row>
    <row r="32" spans="2:32" ht="23.1" customHeight="1" x14ac:dyDescent="0.25">
      <c r="B32" s="24" t="s">
        <v>59</v>
      </c>
      <c r="C32" s="49">
        <f>AVERAGE('25.10 HOIMA-BULIISA'!C32,'27.10 HOIMA-BULIISA'!C32,'29.10 BULIISA-HOIMA'!C32,'30.10 HOIMA-BULIISA'!C32,'28.10 BULIISA-HOIMA-24h'!C32,'28.10 HOIMA-BULIISA-24h'!C32,'31.10 HOIMA-BULIISA'!C32)</f>
        <v>0.14285714285714285</v>
      </c>
      <c r="D32" s="49">
        <f>AVERAGE('25.10 HOIMA-BULIISA'!D32,'27.10 HOIMA-BULIISA'!D32,'29.10 BULIISA-HOIMA'!D32,'30.10 HOIMA-BULIISA'!D32,'28.10 BULIISA-HOIMA-24h'!D32,'28.10 HOIMA-BULIISA-24h'!D32,'31.10 HOIMA-BULIISA'!D32)</f>
        <v>0</v>
      </c>
      <c r="E32" s="49">
        <f>AVERAGE('25.10 HOIMA-BULIISA'!E32,'27.10 HOIMA-BULIISA'!E32,'29.10 BULIISA-HOIMA'!E32,'30.10 HOIMA-BULIISA'!E32,'28.10 BULIISA-HOIMA-24h'!E32,'28.10 HOIMA-BULIISA-24h'!E32,'31.10 HOIMA-BULIISA'!E32)</f>
        <v>0.2857142857142857</v>
      </c>
      <c r="F32" s="49">
        <f>AVERAGE('25.10 HOIMA-BULIISA'!F32,'27.10 HOIMA-BULIISA'!F32,'29.10 BULIISA-HOIMA'!F32,'30.10 HOIMA-BULIISA'!F32,'28.10 BULIISA-HOIMA-24h'!F32,'28.10 HOIMA-BULIISA-24h'!F32,'31.10 HOIMA-BULIISA'!F32)</f>
        <v>0.7142857142857143</v>
      </c>
      <c r="G32" s="49">
        <f>AVERAGE('25.10 HOIMA-BULIISA'!G32,'27.10 HOIMA-BULIISA'!G32,'29.10 BULIISA-HOIMA'!G32,'30.10 HOIMA-BULIISA'!G32,'28.10 BULIISA-HOIMA-24h'!G32,'28.10 HOIMA-BULIISA-24h'!G32,'31.10 HOIMA-BULIISA'!G32)</f>
        <v>0.14285714285714285</v>
      </c>
      <c r="H32" s="49">
        <f>AVERAGE('25.10 HOIMA-BULIISA'!H32,'27.10 HOIMA-BULIISA'!H32,'29.10 BULIISA-HOIMA'!H32,'30.10 HOIMA-BULIISA'!H32,'28.10 BULIISA-HOIMA-24h'!H32,'28.10 HOIMA-BULIISA-24h'!H32,'31.10 HOIMA-BULIISA'!H32)</f>
        <v>0</v>
      </c>
      <c r="I32" s="49">
        <f>AVERAGE('25.10 HOIMA-BULIISA'!I32,'27.10 HOIMA-BULIISA'!I32,'29.10 BULIISA-HOIMA'!I32,'30.10 HOIMA-BULIISA'!I32,'28.10 BULIISA-HOIMA-24h'!I32,'28.10 HOIMA-BULIISA-24h'!I32,'31.10 HOIMA-BULIISA'!I32)</f>
        <v>0</v>
      </c>
      <c r="J32" s="49">
        <f>AVERAGE('25.10 HOIMA-BULIISA'!J32,'27.10 HOIMA-BULIISA'!J32,'29.10 BULIISA-HOIMA'!J32,'30.10 HOIMA-BULIISA'!J32,'28.10 BULIISA-HOIMA-24h'!J32,'28.10 HOIMA-BULIISA-24h'!J32,'31.10 HOIMA-BULIISA'!J32)</f>
        <v>0</v>
      </c>
      <c r="K32" s="49">
        <f>AVERAGE('25.10 HOIMA-BULIISA'!K32,'27.10 HOIMA-BULIISA'!K32,'29.10 BULIISA-HOIMA'!K32,'30.10 HOIMA-BULIISA'!K32,'28.10 BULIISA-HOIMA-24h'!K32,'28.10 HOIMA-BULIISA-24h'!K32,'31.10 HOIMA-BULIISA'!K32)</f>
        <v>0</v>
      </c>
      <c r="L32" s="49">
        <f>AVERAGE('25.10 HOIMA-BULIISA'!L32,'27.10 HOIMA-BULIISA'!L32,'29.10 BULIISA-HOIMA'!L32,'30.10 HOIMA-BULIISA'!L32,'28.10 BULIISA-HOIMA-24h'!L32,'28.10 HOIMA-BULIISA-24h'!L32,'31.10 HOIMA-BULIISA'!L32)</f>
        <v>0.14285714285714285</v>
      </c>
      <c r="M32" s="49">
        <f>AVERAGE('25.10 HOIMA-BULIISA'!M32,'27.10 HOIMA-BULIISA'!M32,'29.10 BULIISA-HOIMA'!M32,'30.10 HOIMA-BULIISA'!M32,'28.10 BULIISA-HOIMA-24h'!M32,'28.10 HOIMA-BULIISA-24h'!M32,'31.10 HOIMA-BULIISA'!M32)</f>
        <v>3.1428571428571428</v>
      </c>
      <c r="N32" s="49">
        <f>AVERAGE('25.10 HOIMA-BULIISA'!N32,'27.10 HOIMA-BULIISA'!N32,'29.10 BULIISA-HOIMA'!N32,'30.10 HOIMA-BULIISA'!N32,'28.10 BULIISA-HOIMA-24h'!N32,'28.10 HOIMA-BULIISA-24h'!N32,'31.10 HOIMA-BULIISA'!N32)</f>
        <v>0</v>
      </c>
      <c r="O32" s="15">
        <f t="shared" si="0"/>
        <v>1.4285714285714284</v>
      </c>
      <c r="P32" s="15">
        <f t="shared" si="1"/>
        <v>4.5714285714285712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3.5</v>
      </c>
      <c r="AD32" s="34">
        <f t="shared" si="24"/>
        <v>0</v>
      </c>
      <c r="AE32" s="31">
        <f t="shared" si="24"/>
        <v>0</v>
      </c>
      <c r="AF32" s="31">
        <f t="shared" si="24"/>
        <v>3.5</v>
      </c>
    </row>
    <row r="33" spans="2:32" ht="23.1" customHeight="1" x14ac:dyDescent="0.25">
      <c r="B33" s="23" t="s">
        <v>60</v>
      </c>
      <c r="C33" s="49">
        <f>AVERAGE('25.10 HOIMA-BULIISA'!C33,'27.10 HOIMA-BULIISA'!C33,'29.10 BULIISA-HOIMA'!C33,'30.10 HOIMA-BULIISA'!C33,'28.10 BULIISA-HOIMA-24h'!C33,'28.10 HOIMA-BULIISA-24h'!C33,'31.10 HOIMA-BULIISA'!C33)</f>
        <v>0</v>
      </c>
      <c r="D33" s="49">
        <f>AVERAGE('25.10 HOIMA-BULIISA'!D33,'27.10 HOIMA-BULIISA'!D33,'29.10 BULIISA-HOIMA'!D33,'30.10 HOIMA-BULIISA'!D33,'28.10 BULIISA-HOIMA-24h'!D33,'28.10 HOIMA-BULIISA-24h'!D33,'31.10 HOIMA-BULIISA'!D33)</f>
        <v>0.2857142857142857</v>
      </c>
      <c r="E33" s="49">
        <f>AVERAGE('25.10 HOIMA-BULIISA'!E33,'27.10 HOIMA-BULIISA'!E33,'29.10 BULIISA-HOIMA'!E33,'30.10 HOIMA-BULIISA'!E33,'28.10 BULIISA-HOIMA-24h'!E33,'28.10 HOIMA-BULIISA-24h'!E33,'31.10 HOIMA-BULIISA'!E33)</f>
        <v>0.42857142857142855</v>
      </c>
      <c r="F33" s="49">
        <f>AVERAGE('25.10 HOIMA-BULIISA'!F33,'27.10 HOIMA-BULIISA'!F33,'29.10 BULIISA-HOIMA'!F33,'30.10 HOIMA-BULIISA'!F33,'28.10 BULIISA-HOIMA-24h'!F33,'28.10 HOIMA-BULIISA-24h'!F33,'31.10 HOIMA-BULIISA'!F33)</f>
        <v>0.5714285714285714</v>
      </c>
      <c r="G33" s="49">
        <f>AVERAGE('25.10 HOIMA-BULIISA'!G33,'27.10 HOIMA-BULIISA'!G33,'29.10 BULIISA-HOIMA'!G33,'30.10 HOIMA-BULIISA'!G33,'28.10 BULIISA-HOIMA-24h'!G33,'28.10 HOIMA-BULIISA-24h'!G33,'31.10 HOIMA-BULIISA'!G33)</f>
        <v>0</v>
      </c>
      <c r="H33" s="49">
        <f>AVERAGE('25.10 HOIMA-BULIISA'!H33,'27.10 HOIMA-BULIISA'!H33,'29.10 BULIISA-HOIMA'!H33,'30.10 HOIMA-BULIISA'!H33,'28.10 BULIISA-HOIMA-24h'!H33,'28.10 HOIMA-BULIISA-24h'!H33,'31.10 HOIMA-BULIISA'!H33)</f>
        <v>0</v>
      </c>
      <c r="I33" s="49">
        <f>AVERAGE('25.10 HOIMA-BULIISA'!I33,'27.10 HOIMA-BULIISA'!I33,'29.10 BULIISA-HOIMA'!I33,'30.10 HOIMA-BULIISA'!I33,'28.10 BULIISA-HOIMA-24h'!I33,'28.10 HOIMA-BULIISA-24h'!I33,'31.10 HOIMA-BULIISA'!I33)</f>
        <v>0</v>
      </c>
      <c r="J33" s="49">
        <f>AVERAGE('25.10 HOIMA-BULIISA'!J33,'27.10 HOIMA-BULIISA'!J33,'29.10 BULIISA-HOIMA'!J33,'30.10 HOIMA-BULIISA'!J33,'28.10 BULIISA-HOIMA-24h'!J33,'28.10 HOIMA-BULIISA-24h'!J33,'31.10 HOIMA-BULIISA'!J33)</f>
        <v>0</v>
      </c>
      <c r="K33" s="49">
        <f>AVERAGE('25.10 HOIMA-BULIISA'!K33,'27.10 HOIMA-BULIISA'!K33,'29.10 BULIISA-HOIMA'!K33,'30.10 HOIMA-BULIISA'!K33,'28.10 BULIISA-HOIMA-24h'!K33,'28.10 HOIMA-BULIISA-24h'!K33,'31.10 HOIMA-BULIISA'!K33)</f>
        <v>0</v>
      </c>
      <c r="L33" s="49">
        <f>AVERAGE('25.10 HOIMA-BULIISA'!L33,'27.10 HOIMA-BULIISA'!L33,'29.10 BULIISA-HOIMA'!L33,'30.10 HOIMA-BULIISA'!L33,'28.10 BULIISA-HOIMA-24h'!L33,'28.10 HOIMA-BULIISA-24h'!L33,'31.10 HOIMA-BULIISA'!L33)</f>
        <v>0</v>
      </c>
      <c r="M33" s="49">
        <f>AVERAGE('25.10 HOIMA-BULIISA'!M33,'27.10 HOIMA-BULIISA'!M33,'29.10 BULIISA-HOIMA'!M33,'30.10 HOIMA-BULIISA'!M33,'28.10 BULIISA-HOIMA-24h'!M33,'28.10 HOIMA-BULIISA-24h'!M33,'31.10 HOIMA-BULIISA'!M33)</f>
        <v>2.2857142857142856</v>
      </c>
      <c r="N33" s="49">
        <f>AVERAGE('25.10 HOIMA-BULIISA'!N33,'27.10 HOIMA-BULIISA'!N33,'29.10 BULIISA-HOIMA'!N33,'30.10 HOIMA-BULIISA'!N33,'28.10 BULIISA-HOIMA-24h'!N33,'28.10 HOIMA-BULIISA-24h'!N33,'31.10 HOIMA-BULIISA'!N33)</f>
        <v>0</v>
      </c>
      <c r="O33" s="15">
        <f t="shared" si="0"/>
        <v>1.2857142857142856</v>
      </c>
      <c r="P33" s="15">
        <f t="shared" si="1"/>
        <v>3.5714285714285712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8.5</v>
      </c>
      <c r="AD33" s="34">
        <f t="shared" si="25"/>
        <v>0</v>
      </c>
      <c r="AE33" s="31">
        <f t="shared" si="25"/>
        <v>0.5</v>
      </c>
      <c r="AF33" s="31">
        <f t="shared" si="25"/>
        <v>9</v>
      </c>
    </row>
    <row r="34" spans="2:32" ht="23.1" customHeight="1" x14ac:dyDescent="0.25">
      <c r="B34" s="24" t="s">
        <v>61</v>
      </c>
      <c r="C34" s="49">
        <f>AVERAGE('25.10 HOIMA-BULIISA'!C34,'27.10 HOIMA-BULIISA'!C34,'29.10 BULIISA-HOIMA'!C34,'30.10 HOIMA-BULIISA'!C34,'28.10 BULIISA-HOIMA-24h'!C34,'28.10 HOIMA-BULIISA-24h'!C34,'31.10 HOIMA-BULIISA'!C34)</f>
        <v>0.14285714285714285</v>
      </c>
      <c r="D34" s="49">
        <f>AVERAGE('25.10 HOIMA-BULIISA'!D34,'27.10 HOIMA-BULIISA'!D34,'29.10 BULIISA-HOIMA'!D34,'30.10 HOIMA-BULIISA'!D34,'28.10 BULIISA-HOIMA-24h'!D34,'28.10 HOIMA-BULIISA-24h'!D34,'31.10 HOIMA-BULIISA'!D34)</f>
        <v>0</v>
      </c>
      <c r="E34" s="49">
        <f>AVERAGE('25.10 HOIMA-BULIISA'!E34,'27.10 HOIMA-BULIISA'!E34,'29.10 BULIISA-HOIMA'!E34,'30.10 HOIMA-BULIISA'!E34,'28.10 BULIISA-HOIMA-24h'!E34,'28.10 HOIMA-BULIISA-24h'!E34,'31.10 HOIMA-BULIISA'!E34)</f>
        <v>0.14285714285714285</v>
      </c>
      <c r="F34" s="49">
        <f>AVERAGE('25.10 HOIMA-BULIISA'!F34,'27.10 HOIMA-BULIISA'!F34,'29.10 BULIISA-HOIMA'!F34,'30.10 HOIMA-BULIISA'!F34,'28.10 BULIISA-HOIMA-24h'!F34,'28.10 HOIMA-BULIISA-24h'!F34,'31.10 HOIMA-BULIISA'!F34)</f>
        <v>1</v>
      </c>
      <c r="G34" s="49">
        <f>AVERAGE('25.10 HOIMA-BULIISA'!G34,'27.10 HOIMA-BULIISA'!G34,'29.10 BULIISA-HOIMA'!G34,'30.10 HOIMA-BULIISA'!G34,'28.10 BULIISA-HOIMA-24h'!G34,'28.10 HOIMA-BULIISA-24h'!G34,'31.10 HOIMA-BULIISA'!G34)</f>
        <v>0</v>
      </c>
      <c r="H34" s="49">
        <f>AVERAGE('25.10 HOIMA-BULIISA'!H34,'27.10 HOIMA-BULIISA'!H34,'29.10 BULIISA-HOIMA'!H34,'30.10 HOIMA-BULIISA'!H34,'28.10 BULIISA-HOIMA-24h'!H34,'28.10 HOIMA-BULIISA-24h'!H34,'31.10 HOIMA-BULIISA'!H34)</f>
        <v>0</v>
      </c>
      <c r="I34" s="49">
        <f>AVERAGE('25.10 HOIMA-BULIISA'!I34,'27.10 HOIMA-BULIISA'!I34,'29.10 BULIISA-HOIMA'!I34,'30.10 HOIMA-BULIISA'!I34,'28.10 BULIISA-HOIMA-24h'!I34,'28.10 HOIMA-BULIISA-24h'!I34,'31.10 HOIMA-BULIISA'!I34)</f>
        <v>0</v>
      </c>
      <c r="J34" s="49">
        <f>AVERAGE('25.10 HOIMA-BULIISA'!J34,'27.10 HOIMA-BULIISA'!J34,'29.10 BULIISA-HOIMA'!J34,'30.10 HOIMA-BULIISA'!J34,'28.10 BULIISA-HOIMA-24h'!J34,'28.10 HOIMA-BULIISA-24h'!J34,'31.10 HOIMA-BULIISA'!J34)</f>
        <v>0.14285714285714285</v>
      </c>
      <c r="K34" s="49">
        <f>AVERAGE('25.10 HOIMA-BULIISA'!K34,'27.10 HOIMA-BULIISA'!K34,'29.10 BULIISA-HOIMA'!K34,'30.10 HOIMA-BULIISA'!K34,'28.10 BULIISA-HOIMA-24h'!K34,'28.10 HOIMA-BULIISA-24h'!K34,'31.10 HOIMA-BULIISA'!K34)</f>
        <v>0</v>
      </c>
      <c r="L34" s="49">
        <f>AVERAGE('25.10 HOIMA-BULIISA'!L34,'27.10 HOIMA-BULIISA'!L34,'29.10 BULIISA-HOIMA'!L34,'30.10 HOIMA-BULIISA'!L34,'28.10 BULIISA-HOIMA-24h'!L34,'28.10 HOIMA-BULIISA-24h'!L34,'31.10 HOIMA-BULIISA'!L34)</f>
        <v>0</v>
      </c>
      <c r="M34" s="49">
        <f>AVERAGE('25.10 HOIMA-BULIISA'!M34,'27.10 HOIMA-BULIISA'!M34,'29.10 BULIISA-HOIMA'!M34,'30.10 HOIMA-BULIISA'!M34,'28.10 BULIISA-HOIMA-24h'!M34,'28.10 HOIMA-BULIISA-24h'!M34,'31.10 HOIMA-BULIISA'!M34)</f>
        <v>3.2857142857142856</v>
      </c>
      <c r="N34" s="49">
        <f>AVERAGE('25.10 HOIMA-BULIISA'!N34,'27.10 HOIMA-BULIISA'!N34,'29.10 BULIISA-HOIMA'!N34,'30.10 HOIMA-BULIISA'!N34,'28.10 BULIISA-HOIMA-24h'!N34,'28.10 HOIMA-BULIISA-24h'!N34,'31.10 HOIMA-BULIISA'!N34)</f>
        <v>0</v>
      </c>
      <c r="O34" s="15">
        <f t="shared" si="0"/>
        <v>1.4285714285714284</v>
      </c>
      <c r="P34" s="15">
        <f t="shared" si="1"/>
        <v>4.7142857142857135</v>
      </c>
      <c r="R34" s="38" t="s">
        <v>90</v>
      </c>
      <c r="S34" s="39">
        <f t="shared" ref="S34:AF34" si="26">MAX(S10:S12)</f>
        <v>1.2857142857142856</v>
      </c>
      <c r="T34" s="39">
        <f t="shared" si="26"/>
        <v>0.5714285714285714</v>
      </c>
      <c r="U34" s="39">
        <f t="shared" si="26"/>
        <v>2.1428571428571428</v>
      </c>
      <c r="V34" s="39">
        <f t="shared" si="26"/>
        <v>3.7619047619047619</v>
      </c>
      <c r="W34" s="39">
        <f t="shared" si="26"/>
        <v>0.14285714285714285</v>
      </c>
      <c r="X34" s="39">
        <f t="shared" si="26"/>
        <v>0.14285714285714285</v>
      </c>
      <c r="Y34" s="39">
        <f t="shared" si="26"/>
        <v>0.5714285714285714</v>
      </c>
      <c r="Z34" s="39">
        <f t="shared" si="26"/>
        <v>0.5714285714285714</v>
      </c>
      <c r="AA34" s="39">
        <f t="shared" si="26"/>
        <v>0.5714285714285714</v>
      </c>
      <c r="AB34" s="39">
        <f t="shared" si="26"/>
        <v>0.2857142857142857</v>
      </c>
      <c r="AC34" s="39">
        <f t="shared" si="26"/>
        <v>18</v>
      </c>
      <c r="AD34" s="39">
        <f t="shared" si="26"/>
        <v>0</v>
      </c>
      <c r="AE34" s="40">
        <f t="shared" si="26"/>
        <v>8.761904761904761</v>
      </c>
      <c r="AF34" s="40">
        <f t="shared" si="26"/>
        <v>26.61904761904762</v>
      </c>
    </row>
    <row r="35" spans="2:32" ht="23.1" customHeight="1" x14ac:dyDescent="0.25">
      <c r="B35" s="24" t="s">
        <v>62</v>
      </c>
      <c r="C35" s="49">
        <f>AVERAGE('25.10 HOIMA-BULIISA'!C35,'27.10 HOIMA-BULIISA'!C35,'29.10 BULIISA-HOIMA'!C35,'30.10 HOIMA-BULIISA'!C35,'28.10 BULIISA-HOIMA-24h'!C35,'28.10 HOIMA-BULIISA-24h'!C35,'31.10 HOIMA-BULIISA'!C35)</f>
        <v>0.42857142857142855</v>
      </c>
      <c r="D35" s="49">
        <f>AVERAGE('25.10 HOIMA-BULIISA'!D35,'27.10 HOIMA-BULIISA'!D35,'29.10 BULIISA-HOIMA'!D35,'30.10 HOIMA-BULIISA'!D35,'28.10 BULIISA-HOIMA-24h'!D35,'28.10 HOIMA-BULIISA-24h'!D35,'31.10 HOIMA-BULIISA'!D35)</f>
        <v>0.14285714285714285</v>
      </c>
      <c r="E35" s="49">
        <f>AVERAGE('25.10 HOIMA-BULIISA'!E35,'27.10 HOIMA-BULIISA'!E35,'29.10 BULIISA-HOIMA'!E35,'30.10 HOIMA-BULIISA'!E35,'28.10 BULIISA-HOIMA-24h'!E35,'28.10 HOIMA-BULIISA-24h'!E35,'31.10 HOIMA-BULIISA'!E35)</f>
        <v>0.5714285714285714</v>
      </c>
      <c r="F35" s="49">
        <f>AVERAGE('25.10 HOIMA-BULIISA'!F35,'27.10 HOIMA-BULIISA'!F35,'29.10 BULIISA-HOIMA'!F35,'30.10 HOIMA-BULIISA'!F35,'28.10 BULIISA-HOIMA-24h'!F35,'28.10 HOIMA-BULIISA-24h'!F35,'31.10 HOIMA-BULIISA'!F35)</f>
        <v>0.7142857142857143</v>
      </c>
      <c r="G35" s="49">
        <f>AVERAGE('25.10 HOIMA-BULIISA'!G35,'27.10 HOIMA-BULIISA'!G35,'29.10 BULIISA-HOIMA'!G35,'30.10 HOIMA-BULIISA'!G35,'28.10 BULIISA-HOIMA-24h'!G35,'28.10 HOIMA-BULIISA-24h'!G35,'31.10 HOIMA-BULIISA'!G35)</f>
        <v>0</v>
      </c>
      <c r="H35" s="49">
        <f>AVERAGE('25.10 HOIMA-BULIISA'!H35,'27.10 HOIMA-BULIISA'!H35,'29.10 BULIISA-HOIMA'!H35,'30.10 HOIMA-BULIISA'!H35,'28.10 BULIISA-HOIMA-24h'!H35,'28.10 HOIMA-BULIISA-24h'!H35,'31.10 HOIMA-BULIISA'!H35)</f>
        <v>0</v>
      </c>
      <c r="I35" s="49">
        <f>AVERAGE('25.10 HOIMA-BULIISA'!I35,'27.10 HOIMA-BULIISA'!I35,'29.10 BULIISA-HOIMA'!I35,'30.10 HOIMA-BULIISA'!I35,'28.10 BULIISA-HOIMA-24h'!I35,'28.10 HOIMA-BULIISA-24h'!I35,'31.10 HOIMA-BULIISA'!I35)</f>
        <v>0</v>
      </c>
      <c r="J35" s="49">
        <f>AVERAGE('25.10 HOIMA-BULIISA'!J35,'27.10 HOIMA-BULIISA'!J35,'29.10 BULIISA-HOIMA'!J35,'30.10 HOIMA-BULIISA'!J35,'28.10 BULIISA-HOIMA-24h'!J35,'28.10 HOIMA-BULIISA-24h'!J35,'31.10 HOIMA-BULIISA'!J35)</f>
        <v>0</v>
      </c>
      <c r="K35" s="49">
        <f>AVERAGE('25.10 HOIMA-BULIISA'!K35,'27.10 HOIMA-BULIISA'!K35,'29.10 BULIISA-HOIMA'!K35,'30.10 HOIMA-BULIISA'!K35,'28.10 BULIISA-HOIMA-24h'!K35,'28.10 HOIMA-BULIISA-24h'!K35,'31.10 HOIMA-BULIISA'!K35)</f>
        <v>0</v>
      </c>
      <c r="L35" s="49">
        <f>AVERAGE('25.10 HOIMA-BULIISA'!L35,'27.10 HOIMA-BULIISA'!L35,'29.10 BULIISA-HOIMA'!L35,'30.10 HOIMA-BULIISA'!L35,'28.10 BULIISA-HOIMA-24h'!L35,'28.10 HOIMA-BULIISA-24h'!L35,'31.10 HOIMA-BULIISA'!L35)</f>
        <v>0</v>
      </c>
      <c r="M35" s="49">
        <f>AVERAGE('25.10 HOIMA-BULIISA'!M35,'27.10 HOIMA-BULIISA'!M35,'29.10 BULIISA-HOIMA'!M35,'30.10 HOIMA-BULIISA'!M35,'28.10 BULIISA-HOIMA-24h'!M35,'28.10 HOIMA-BULIISA-24h'!M35,'31.10 HOIMA-BULIISA'!M35)</f>
        <v>3</v>
      </c>
      <c r="N35" s="49">
        <f>AVERAGE('25.10 HOIMA-BULIISA'!N35,'27.10 HOIMA-BULIISA'!N35,'29.10 BULIISA-HOIMA'!N35,'30.10 HOIMA-BULIISA'!N35,'28.10 BULIISA-HOIMA-24h'!N35,'28.10 HOIMA-BULIISA-24h'!N35,'31.10 HOIMA-BULIISA'!N35)</f>
        <v>0</v>
      </c>
      <c r="O35" s="15">
        <f t="shared" si="0"/>
        <v>1.8571428571428572</v>
      </c>
      <c r="P35" s="15">
        <f t="shared" si="1"/>
        <v>4.8571428571428577</v>
      </c>
      <c r="R35" s="38" t="s">
        <v>91</v>
      </c>
      <c r="S35" s="39">
        <f t="shared" ref="S35:AF35" si="27">MAX(S13:S18)</f>
        <v>1.1428571428571428</v>
      </c>
      <c r="T35" s="39">
        <f t="shared" si="27"/>
        <v>0.71428571428571419</v>
      </c>
      <c r="U35" s="39">
        <f t="shared" si="27"/>
        <v>2.1428571428571428</v>
      </c>
      <c r="V35" s="39">
        <f t="shared" si="27"/>
        <v>3.4285714285714288</v>
      </c>
      <c r="W35" s="39">
        <f t="shared" si="27"/>
        <v>0.42857142857142855</v>
      </c>
      <c r="X35" s="39">
        <f t="shared" si="27"/>
        <v>0</v>
      </c>
      <c r="Y35" s="39">
        <f t="shared" si="27"/>
        <v>0.42857142857142855</v>
      </c>
      <c r="Z35" s="39">
        <f t="shared" si="27"/>
        <v>0.42857142857142855</v>
      </c>
      <c r="AA35" s="39">
        <f t="shared" si="27"/>
        <v>0.42857142857142855</v>
      </c>
      <c r="AB35" s="39">
        <f t="shared" si="27"/>
        <v>0.2857142857142857</v>
      </c>
      <c r="AC35" s="39">
        <f t="shared" si="27"/>
        <v>18</v>
      </c>
      <c r="AD35" s="39">
        <f t="shared" si="27"/>
        <v>0</v>
      </c>
      <c r="AE35" s="40">
        <f t="shared" si="27"/>
        <v>8</v>
      </c>
      <c r="AF35" s="40">
        <f t="shared" si="27"/>
        <v>25.571428571428569</v>
      </c>
    </row>
    <row r="36" spans="2:32" ht="23.1" customHeight="1" x14ac:dyDescent="0.25">
      <c r="B36" s="24" t="s">
        <v>63</v>
      </c>
      <c r="C36" s="49">
        <f>AVERAGE('25.10 HOIMA-BULIISA'!C36,'27.10 HOIMA-BULIISA'!C36,'29.10 BULIISA-HOIMA'!C36,'30.10 HOIMA-BULIISA'!C36,'28.10 BULIISA-HOIMA-24h'!C36,'28.10 HOIMA-BULIISA-24h'!C36,'31.10 HOIMA-BULIISA'!C36)</f>
        <v>0</v>
      </c>
      <c r="D36" s="49">
        <f>AVERAGE('25.10 HOIMA-BULIISA'!D36,'27.10 HOIMA-BULIISA'!D36,'29.10 BULIISA-HOIMA'!D36,'30.10 HOIMA-BULIISA'!D36,'28.10 BULIISA-HOIMA-24h'!D36,'28.10 HOIMA-BULIISA-24h'!D36,'31.10 HOIMA-BULIISA'!D36)</f>
        <v>0.2857142857142857</v>
      </c>
      <c r="E36" s="49">
        <f>AVERAGE('25.10 HOIMA-BULIISA'!E36,'27.10 HOIMA-BULIISA'!E36,'29.10 BULIISA-HOIMA'!E36,'30.10 HOIMA-BULIISA'!E36,'28.10 BULIISA-HOIMA-24h'!E36,'28.10 HOIMA-BULIISA-24h'!E36,'31.10 HOIMA-BULIISA'!E36)</f>
        <v>0.42857142857142855</v>
      </c>
      <c r="F36" s="49">
        <f>AVERAGE('25.10 HOIMA-BULIISA'!F36,'27.10 HOIMA-BULIISA'!F36,'29.10 BULIISA-HOIMA'!F36,'30.10 HOIMA-BULIISA'!F36,'28.10 BULIISA-HOIMA-24h'!F36,'28.10 HOIMA-BULIISA-24h'!F36,'31.10 HOIMA-BULIISA'!F36)</f>
        <v>0.2857142857142857</v>
      </c>
      <c r="G36" s="49">
        <f>AVERAGE('25.10 HOIMA-BULIISA'!G36,'27.10 HOIMA-BULIISA'!G36,'29.10 BULIISA-HOIMA'!G36,'30.10 HOIMA-BULIISA'!G36,'28.10 BULIISA-HOIMA-24h'!G36,'28.10 HOIMA-BULIISA-24h'!G36,'31.10 HOIMA-BULIISA'!G36)</f>
        <v>0</v>
      </c>
      <c r="H36" s="49">
        <f>AVERAGE('25.10 HOIMA-BULIISA'!H36,'27.10 HOIMA-BULIISA'!H36,'29.10 BULIISA-HOIMA'!H36,'30.10 HOIMA-BULIISA'!H36,'28.10 BULIISA-HOIMA-24h'!H36,'28.10 HOIMA-BULIISA-24h'!H36,'31.10 HOIMA-BULIISA'!H36)</f>
        <v>0</v>
      </c>
      <c r="I36" s="49">
        <f>AVERAGE('25.10 HOIMA-BULIISA'!I36,'27.10 HOIMA-BULIISA'!I36,'29.10 BULIISA-HOIMA'!I36,'30.10 HOIMA-BULIISA'!I36,'28.10 BULIISA-HOIMA-24h'!I36,'28.10 HOIMA-BULIISA-24h'!I36,'31.10 HOIMA-BULIISA'!I36)</f>
        <v>0</v>
      </c>
      <c r="J36" s="49">
        <f>AVERAGE('25.10 HOIMA-BULIISA'!J36,'27.10 HOIMA-BULIISA'!J36,'29.10 BULIISA-HOIMA'!J36,'30.10 HOIMA-BULIISA'!J36,'28.10 BULIISA-HOIMA-24h'!J36,'28.10 HOIMA-BULIISA-24h'!J36,'31.10 HOIMA-BULIISA'!J36)</f>
        <v>0</v>
      </c>
      <c r="K36" s="49">
        <f>AVERAGE('25.10 HOIMA-BULIISA'!K36,'27.10 HOIMA-BULIISA'!K36,'29.10 BULIISA-HOIMA'!K36,'30.10 HOIMA-BULIISA'!K36,'28.10 BULIISA-HOIMA-24h'!K36,'28.10 HOIMA-BULIISA-24h'!K36,'31.10 HOIMA-BULIISA'!K36)</f>
        <v>0</v>
      </c>
      <c r="L36" s="49">
        <f>AVERAGE('25.10 HOIMA-BULIISA'!L36,'27.10 HOIMA-BULIISA'!L36,'29.10 BULIISA-HOIMA'!L36,'30.10 HOIMA-BULIISA'!L36,'28.10 BULIISA-HOIMA-24h'!L36,'28.10 HOIMA-BULIISA-24h'!L36,'31.10 HOIMA-BULIISA'!L36)</f>
        <v>0</v>
      </c>
      <c r="M36" s="49">
        <f>AVERAGE('25.10 HOIMA-BULIISA'!M36,'27.10 HOIMA-BULIISA'!M36,'29.10 BULIISA-HOIMA'!M36,'30.10 HOIMA-BULIISA'!M36,'28.10 BULIISA-HOIMA-24h'!M36,'28.10 HOIMA-BULIISA-24h'!M36,'31.10 HOIMA-BULIISA'!M36)</f>
        <v>3</v>
      </c>
      <c r="N36" s="49">
        <f>AVERAGE('25.10 HOIMA-BULIISA'!N36,'27.10 HOIMA-BULIISA'!N36,'29.10 BULIISA-HOIMA'!N36,'30.10 HOIMA-BULIISA'!N36,'28.10 BULIISA-HOIMA-24h'!N36,'28.10 HOIMA-BULIISA-24h'!N36,'31.10 HOIMA-BULIISA'!N36)</f>
        <v>0</v>
      </c>
      <c r="O36" s="15">
        <f t="shared" si="0"/>
        <v>0.99999999999999989</v>
      </c>
      <c r="P36" s="15">
        <f t="shared" si="1"/>
        <v>4</v>
      </c>
      <c r="R36" s="38" t="s">
        <v>92</v>
      </c>
      <c r="S36" s="39">
        <f t="shared" ref="S36:AF36" si="28">MAX(S19:S21)</f>
        <v>1.4285714285714284</v>
      </c>
      <c r="T36" s="39">
        <f t="shared" si="28"/>
        <v>0.99999999999999978</v>
      </c>
      <c r="U36" s="39">
        <f t="shared" si="28"/>
        <v>1.5714285714285714</v>
      </c>
      <c r="V36" s="39">
        <f t="shared" si="28"/>
        <v>3.1428571428571432</v>
      </c>
      <c r="W36" s="39">
        <f t="shared" si="28"/>
        <v>0</v>
      </c>
      <c r="X36" s="39">
        <f t="shared" si="28"/>
        <v>0</v>
      </c>
      <c r="Y36" s="39">
        <f t="shared" si="28"/>
        <v>1.5714285714285712</v>
      </c>
      <c r="Z36" s="39">
        <f t="shared" si="28"/>
        <v>0.71428571428571419</v>
      </c>
      <c r="AA36" s="39">
        <f t="shared" si="28"/>
        <v>0.8571428571428571</v>
      </c>
      <c r="AB36" s="39">
        <f t="shared" si="28"/>
        <v>0</v>
      </c>
      <c r="AC36" s="39">
        <f t="shared" si="28"/>
        <v>19.571428571428569</v>
      </c>
      <c r="AD36" s="39">
        <f t="shared" si="28"/>
        <v>0</v>
      </c>
      <c r="AE36" s="40">
        <f t="shared" si="28"/>
        <v>9.5714285714285694</v>
      </c>
      <c r="AF36" s="40">
        <f t="shared" si="28"/>
        <v>25.857142857142854</v>
      </c>
    </row>
    <row r="37" spans="2:32" ht="23.1" customHeight="1" x14ac:dyDescent="0.25">
      <c r="B37" s="23" t="s">
        <v>64</v>
      </c>
      <c r="C37" s="49">
        <f>AVERAGE('25.10 HOIMA-BULIISA'!C37,'27.10 HOIMA-BULIISA'!C37,'29.10 BULIISA-HOIMA'!C37,'30.10 HOIMA-BULIISA'!C37,'28.10 BULIISA-HOIMA-24h'!C37,'28.10 HOIMA-BULIISA-24h'!C37,'31.10 HOIMA-BULIISA'!C37)</f>
        <v>0.14285714285714285</v>
      </c>
      <c r="D37" s="49">
        <f>AVERAGE('25.10 HOIMA-BULIISA'!D37,'27.10 HOIMA-BULIISA'!D37,'29.10 BULIISA-HOIMA'!D37,'30.10 HOIMA-BULIISA'!D37,'28.10 BULIISA-HOIMA-24h'!D37,'28.10 HOIMA-BULIISA-24h'!D37,'31.10 HOIMA-BULIISA'!D37)</f>
        <v>0</v>
      </c>
      <c r="E37" s="49">
        <f>AVERAGE('25.10 HOIMA-BULIISA'!E37,'27.10 HOIMA-BULIISA'!E37,'29.10 BULIISA-HOIMA'!E37,'30.10 HOIMA-BULIISA'!E37,'28.10 BULIISA-HOIMA-24h'!E37,'28.10 HOIMA-BULIISA-24h'!E37,'31.10 HOIMA-BULIISA'!E37)</f>
        <v>1</v>
      </c>
      <c r="F37" s="49">
        <f>AVERAGE('25.10 HOIMA-BULIISA'!F37,'27.10 HOIMA-BULIISA'!F37,'29.10 BULIISA-HOIMA'!F37,'30.10 HOIMA-BULIISA'!F37,'28.10 BULIISA-HOIMA-24h'!F37,'28.10 HOIMA-BULIISA-24h'!F37,'31.10 HOIMA-BULIISA'!F37)</f>
        <v>0.8571428571428571</v>
      </c>
      <c r="G37" s="49">
        <f>AVERAGE('25.10 HOIMA-BULIISA'!G37,'27.10 HOIMA-BULIISA'!G37,'29.10 BULIISA-HOIMA'!G37,'30.10 HOIMA-BULIISA'!G37,'28.10 BULIISA-HOIMA-24h'!G37,'28.10 HOIMA-BULIISA-24h'!G37,'31.10 HOIMA-BULIISA'!G37)</f>
        <v>0</v>
      </c>
      <c r="H37" s="49">
        <f>AVERAGE('25.10 HOIMA-BULIISA'!H37,'27.10 HOIMA-BULIISA'!H37,'29.10 BULIISA-HOIMA'!H37,'30.10 HOIMA-BULIISA'!H37,'28.10 BULIISA-HOIMA-24h'!H37,'28.10 HOIMA-BULIISA-24h'!H37,'31.10 HOIMA-BULIISA'!H37)</f>
        <v>0</v>
      </c>
      <c r="I37" s="49">
        <f>AVERAGE('25.10 HOIMA-BULIISA'!I37,'27.10 HOIMA-BULIISA'!I37,'29.10 BULIISA-HOIMA'!I37,'30.10 HOIMA-BULIISA'!I37,'28.10 BULIISA-HOIMA-24h'!I37,'28.10 HOIMA-BULIISA-24h'!I37,'31.10 HOIMA-BULIISA'!I37)</f>
        <v>0.14285714285714285</v>
      </c>
      <c r="J37" s="49">
        <f>AVERAGE('25.10 HOIMA-BULIISA'!J37,'27.10 HOIMA-BULIISA'!J37,'29.10 BULIISA-HOIMA'!J37,'30.10 HOIMA-BULIISA'!J37,'28.10 BULIISA-HOIMA-24h'!J37,'28.10 HOIMA-BULIISA-24h'!J37,'31.10 HOIMA-BULIISA'!J37)</f>
        <v>0.14285714285714285</v>
      </c>
      <c r="K37" s="49">
        <f>AVERAGE('25.10 HOIMA-BULIISA'!K37,'27.10 HOIMA-BULIISA'!K37,'29.10 BULIISA-HOIMA'!K37,'30.10 HOIMA-BULIISA'!K37,'28.10 BULIISA-HOIMA-24h'!K37,'28.10 HOIMA-BULIISA-24h'!K37,'31.10 HOIMA-BULIISA'!K37)</f>
        <v>0</v>
      </c>
      <c r="L37" s="49">
        <f>AVERAGE('25.10 HOIMA-BULIISA'!L37,'27.10 HOIMA-BULIISA'!L37,'29.10 BULIISA-HOIMA'!L37,'30.10 HOIMA-BULIISA'!L37,'28.10 BULIISA-HOIMA-24h'!L37,'28.10 HOIMA-BULIISA-24h'!L37,'31.10 HOIMA-BULIISA'!L37)</f>
        <v>0</v>
      </c>
      <c r="M37" s="49">
        <f>AVERAGE('25.10 HOIMA-BULIISA'!M37,'27.10 HOIMA-BULIISA'!M37,'29.10 BULIISA-HOIMA'!M37,'30.10 HOIMA-BULIISA'!M37,'28.10 BULIISA-HOIMA-24h'!M37,'28.10 HOIMA-BULIISA-24h'!M37,'31.10 HOIMA-BULIISA'!M37)</f>
        <v>3.8571428571428572</v>
      </c>
      <c r="N37" s="49">
        <f>AVERAGE('25.10 HOIMA-BULIISA'!N37,'27.10 HOIMA-BULIISA'!N37,'29.10 BULIISA-HOIMA'!N37,'30.10 HOIMA-BULIISA'!N37,'28.10 BULIISA-HOIMA-24h'!N37,'28.10 HOIMA-BULIISA-24h'!N37,'31.10 HOIMA-BULIISA'!N37)</f>
        <v>0</v>
      </c>
      <c r="O37" s="15">
        <f t="shared" si="0"/>
        <v>2.2857142857142856</v>
      </c>
      <c r="P37" s="15">
        <f t="shared" si="1"/>
        <v>6.1428571428571423</v>
      </c>
      <c r="R37" s="37" t="s">
        <v>85</v>
      </c>
      <c r="S37" s="35">
        <f t="shared" ref="S37:AF37" si="29">SUM(S10:S12)</f>
        <v>3</v>
      </c>
      <c r="T37" s="16">
        <f t="shared" si="29"/>
        <v>1</v>
      </c>
      <c r="U37" s="16">
        <f t="shared" si="29"/>
        <v>5.2857142857142847</v>
      </c>
      <c r="V37" s="16">
        <f t="shared" si="29"/>
        <v>9.3333333333333321</v>
      </c>
      <c r="W37" s="16">
        <f t="shared" si="29"/>
        <v>0.14285714285714285</v>
      </c>
      <c r="X37" s="16">
        <f t="shared" si="29"/>
        <v>0.14285714285714285</v>
      </c>
      <c r="Y37" s="16">
        <f t="shared" si="29"/>
        <v>1.2857142857142856</v>
      </c>
      <c r="Z37" s="16">
        <f t="shared" si="29"/>
        <v>1.2857142857142856</v>
      </c>
      <c r="AA37" s="16">
        <f t="shared" si="29"/>
        <v>1.1428571428571428</v>
      </c>
      <c r="AB37" s="16">
        <f t="shared" si="29"/>
        <v>0.2857142857142857</v>
      </c>
      <c r="AC37" s="16">
        <f t="shared" si="29"/>
        <v>50.714285714285722</v>
      </c>
      <c r="AD37" s="16">
        <f t="shared" si="29"/>
        <v>0</v>
      </c>
      <c r="AE37" s="32">
        <f t="shared" si="29"/>
        <v>22.904761904761905</v>
      </c>
      <c r="AF37" s="32">
        <f t="shared" si="29"/>
        <v>73.61904761904762</v>
      </c>
    </row>
    <row r="38" spans="2:32" ht="23.1" customHeight="1" x14ac:dyDescent="0.25">
      <c r="B38" s="24" t="s">
        <v>65</v>
      </c>
      <c r="C38" s="49">
        <f>AVERAGE('25.10 HOIMA-BULIISA'!C38,'27.10 HOIMA-BULIISA'!C38,'29.10 BULIISA-HOIMA'!C38,'30.10 HOIMA-BULIISA'!C38,'28.10 BULIISA-HOIMA-24h'!C38,'28.10 HOIMA-BULIISA-24h'!C38,'31.10 HOIMA-BULIISA'!C38)</f>
        <v>0.14285714285714285</v>
      </c>
      <c r="D38" s="49">
        <f>AVERAGE('25.10 HOIMA-BULIISA'!D38,'27.10 HOIMA-BULIISA'!D38,'29.10 BULIISA-HOIMA'!D38,'30.10 HOIMA-BULIISA'!D38,'28.10 BULIISA-HOIMA-24h'!D38,'28.10 HOIMA-BULIISA-24h'!D38,'31.10 HOIMA-BULIISA'!D38)</f>
        <v>0</v>
      </c>
      <c r="E38" s="49">
        <f>AVERAGE('25.10 HOIMA-BULIISA'!E38,'27.10 HOIMA-BULIISA'!E38,'29.10 BULIISA-HOIMA'!E38,'30.10 HOIMA-BULIISA'!E38,'28.10 BULIISA-HOIMA-24h'!E38,'28.10 HOIMA-BULIISA-24h'!E38,'31.10 HOIMA-BULIISA'!E38)</f>
        <v>0.5714285714285714</v>
      </c>
      <c r="F38" s="49">
        <f>AVERAGE('25.10 HOIMA-BULIISA'!F38,'27.10 HOIMA-BULIISA'!F38,'29.10 BULIISA-HOIMA'!F38,'30.10 HOIMA-BULIISA'!F38,'28.10 BULIISA-HOIMA-24h'!F38,'28.10 HOIMA-BULIISA-24h'!F38,'31.10 HOIMA-BULIISA'!F38)</f>
        <v>0.42857142857142855</v>
      </c>
      <c r="G38" s="49">
        <f>AVERAGE('25.10 HOIMA-BULIISA'!G38,'27.10 HOIMA-BULIISA'!G38,'29.10 BULIISA-HOIMA'!G38,'30.10 HOIMA-BULIISA'!G38,'28.10 BULIISA-HOIMA-24h'!G38,'28.10 HOIMA-BULIISA-24h'!G38,'31.10 HOIMA-BULIISA'!G38)</f>
        <v>0.14285714285714285</v>
      </c>
      <c r="H38" s="49">
        <f>AVERAGE('25.10 HOIMA-BULIISA'!H38,'27.10 HOIMA-BULIISA'!H38,'29.10 BULIISA-HOIMA'!H38,'30.10 HOIMA-BULIISA'!H38,'28.10 BULIISA-HOIMA-24h'!H38,'28.10 HOIMA-BULIISA-24h'!H38,'31.10 HOIMA-BULIISA'!H38)</f>
        <v>0</v>
      </c>
      <c r="I38" s="49">
        <f>AVERAGE('25.10 HOIMA-BULIISA'!I38,'27.10 HOIMA-BULIISA'!I38,'29.10 BULIISA-HOIMA'!I38,'30.10 HOIMA-BULIISA'!I38,'28.10 BULIISA-HOIMA-24h'!I38,'28.10 HOIMA-BULIISA-24h'!I38,'31.10 HOIMA-BULIISA'!I38)</f>
        <v>0</v>
      </c>
      <c r="J38" s="49">
        <f>AVERAGE('25.10 HOIMA-BULIISA'!J38,'27.10 HOIMA-BULIISA'!J38,'29.10 BULIISA-HOIMA'!J38,'30.10 HOIMA-BULIISA'!J38,'28.10 BULIISA-HOIMA-24h'!J38,'28.10 HOIMA-BULIISA-24h'!J38,'31.10 HOIMA-BULIISA'!J38)</f>
        <v>0.14285714285714285</v>
      </c>
      <c r="K38" s="49">
        <f>AVERAGE('25.10 HOIMA-BULIISA'!K38,'27.10 HOIMA-BULIISA'!K38,'29.10 BULIISA-HOIMA'!K38,'30.10 HOIMA-BULIISA'!K38,'28.10 BULIISA-HOIMA-24h'!K38,'28.10 HOIMA-BULIISA-24h'!K38,'31.10 HOIMA-BULIISA'!K38)</f>
        <v>0.14285714285714285</v>
      </c>
      <c r="L38" s="49">
        <f>AVERAGE('25.10 HOIMA-BULIISA'!L38,'27.10 HOIMA-BULIISA'!L38,'29.10 BULIISA-HOIMA'!L38,'30.10 HOIMA-BULIISA'!L38,'28.10 BULIISA-HOIMA-24h'!L38,'28.10 HOIMA-BULIISA-24h'!L38,'31.10 HOIMA-BULIISA'!L38)</f>
        <v>0</v>
      </c>
      <c r="M38" s="49">
        <f>AVERAGE('25.10 HOIMA-BULIISA'!M38,'27.10 HOIMA-BULIISA'!M38,'29.10 BULIISA-HOIMA'!M38,'30.10 HOIMA-BULIISA'!M38,'28.10 BULIISA-HOIMA-24h'!M38,'28.10 HOIMA-BULIISA-24h'!M38,'31.10 HOIMA-BULIISA'!M38)</f>
        <v>4.1428571428571432</v>
      </c>
      <c r="N38" s="49">
        <f>AVERAGE('25.10 HOIMA-BULIISA'!N38,'27.10 HOIMA-BULIISA'!N38,'29.10 BULIISA-HOIMA'!N38,'30.10 HOIMA-BULIISA'!N38,'28.10 BULIISA-HOIMA-24h'!N38,'28.10 HOIMA-BULIISA-24h'!N38,'31.10 HOIMA-BULIISA'!N38)</f>
        <v>0</v>
      </c>
      <c r="O38" s="15">
        <f t="shared" si="0"/>
        <v>1.5714285714285712</v>
      </c>
      <c r="P38" s="15">
        <f t="shared" si="1"/>
        <v>5.7142857142857144</v>
      </c>
      <c r="R38" s="28" t="s">
        <v>86</v>
      </c>
      <c r="S38" s="16">
        <f t="shared" ref="S38:AF38" si="30">SUM(S13:S18)</f>
        <v>5.8571428571428559</v>
      </c>
      <c r="T38" s="16">
        <f t="shared" si="30"/>
        <v>2.8571428571428568</v>
      </c>
      <c r="U38" s="16">
        <f t="shared" si="30"/>
        <v>11.428571428571427</v>
      </c>
      <c r="V38" s="16">
        <f t="shared" si="30"/>
        <v>17.571428571428573</v>
      </c>
      <c r="W38" s="16">
        <f t="shared" si="30"/>
        <v>0.71428571428571419</v>
      </c>
      <c r="X38" s="16">
        <f t="shared" si="30"/>
        <v>0</v>
      </c>
      <c r="Y38" s="16">
        <f t="shared" si="30"/>
        <v>0.8571428571428571</v>
      </c>
      <c r="Z38" s="16">
        <f t="shared" si="30"/>
        <v>1.9999999999999996</v>
      </c>
      <c r="AA38" s="16">
        <f t="shared" si="30"/>
        <v>1.1428571428571428</v>
      </c>
      <c r="AB38" s="16">
        <f t="shared" si="30"/>
        <v>0.42857142857142855</v>
      </c>
      <c r="AC38" s="16">
        <f t="shared" si="30"/>
        <v>92.714285714285708</v>
      </c>
      <c r="AD38" s="16">
        <f t="shared" si="30"/>
        <v>0</v>
      </c>
      <c r="AE38" s="32">
        <f t="shared" si="30"/>
        <v>42.857142857142854</v>
      </c>
      <c r="AF38" s="32">
        <f t="shared" si="30"/>
        <v>135.57142857142856</v>
      </c>
    </row>
    <row r="39" spans="2:32" ht="23.1" customHeight="1" x14ac:dyDescent="0.25">
      <c r="B39" s="24" t="s">
        <v>66</v>
      </c>
      <c r="C39" s="49">
        <f>AVERAGE('25.10 HOIMA-BULIISA'!C39,'27.10 HOIMA-BULIISA'!C39,'29.10 BULIISA-HOIMA'!C39,'30.10 HOIMA-BULIISA'!C39,'28.10 BULIISA-HOIMA-24h'!C39,'28.10 HOIMA-BULIISA-24h'!C39,'31.10 HOIMA-BULIISA'!C39)</f>
        <v>0</v>
      </c>
      <c r="D39" s="49">
        <f>AVERAGE('25.10 HOIMA-BULIISA'!D39,'27.10 HOIMA-BULIISA'!D39,'29.10 BULIISA-HOIMA'!D39,'30.10 HOIMA-BULIISA'!D39,'28.10 BULIISA-HOIMA-24h'!D39,'28.10 HOIMA-BULIISA-24h'!D39,'31.10 HOIMA-BULIISA'!D39)</f>
        <v>0</v>
      </c>
      <c r="E39" s="49">
        <f>AVERAGE('25.10 HOIMA-BULIISA'!E39,'27.10 HOIMA-BULIISA'!E39,'29.10 BULIISA-HOIMA'!E39,'30.10 HOIMA-BULIISA'!E39,'28.10 BULIISA-HOIMA-24h'!E39,'28.10 HOIMA-BULIISA-24h'!E39,'31.10 HOIMA-BULIISA'!E39)</f>
        <v>0.42857142857142855</v>
      </c>
      <c r="F39" s="49">
        <f>AVERAGE('25.10 HOIMA-BULIISA'!F39,'27.10 HOIMA-BULIISA'!F39,'29.10 BULIISA-HOIMA'!F39,'30.10 HOIMA-BULIISA'!F39,'28.10 BULIISA-HOIMA-24h'!F39,'28.10 HOIMA-BULIISA-24h'!F39,'31.10 HOIMA-BULIISA'!F39)</f>
        <v>1.2857142857142858</v>
      </c>
      <c r="G39" s="49">
        <f>AVERAGE('25.10 HOIMA-BULIISA'!G39,'27.10 HOIMA-BULIISA'!G39,'29.10 BULIISA-HOIMA'!G39,'30.10 HOIMA-BULIISA'!G39,'28.10 BULIISA-HOIMA-24h'!G39,'28.10 HOIMA-BULIISA-24h'!G39,'31.10 HOIMA-BULIISA'!G39)</f>
        <v>0</v>
      </c>
      <c r="H39" s="49">
        <f>AVERAGE('25.10 HOIMA-BULIISA'!H39,'27.10 HOIMA-BULIISA'!H39,'29.10 BULIISA-HOIMA'!H39,'30.10 HOIMA-BULIISA'!H39,'28.10 BULIISA-HOIMA-24h'!H39,'28.10 HOIMA-BULIISA-24h'!H39,'31.10 HOIMA-BULIISA'!H39)</f>
        <v>0</v>
      </c>
      <c r="I39" s="49">
        <f>AVERAGE('25.10 HOIMA-BULIISA'!I39,'27.10 HOIMA-BULIISA'!I39,'29.10 BULIISA-HOIMA'!I39,'30.10 HOIMA-BULIISA'!I39,'28.10 BULIISA-HOIMA-24h'!I39,'28.10 HOIMA-BULIISA-24h'!I39,'31.10 HOIMA-BULIISA'!I39)</f>
        <v>0</v>
      </c>
      <c r="J39" s="49">
        <f>AVERAGE('25.10 HOIMA-BULIISA'!J39,'27.10 HOIMA-BULIISA'!J39,'29.10 BULIISA-HOIMA'!J39,'30.10 HOIMA-BULIISA'!J39,'28.10 BULIISA-HOIMA-24h'!J39,'28.10 HOIMA-BULIISA-24h'!J39,'31.10 HOIMA-BULIISA'!J39)</f>
        <v>0</v>
      </c>
      <c r="K39" s="49">
        <f>AVERAGE('25.10 HOIMA-BULIISA'!K39,'27.10 HOIMA-BULIISA'!K39,'29.10 BULIISA-HOIMA'!K39,'30.10 HOIMA-BULIISA'!K39,'28.10 BULIISA-HOIMA-24h'!K39,'28.10 HOIMA-BULIISA-24h'!K39,'31.10 HOIMA-BULIISA'!K39)</f>
        <v>0.2857142857142857</v>
      </c>
      <c r="L39" s="49">
        <f>AVERAGE('25.10 HOIMA-BULIISA'!L39,'27.10 HOIMA-BULIISA'!L39,'29.10 BULIISA-HOIMA'!L39,'30.10 HOIMA-BULIISA'!L39,'28.10 BULIISA-HOIMA-24h'!L39,'28.10 HOIMA-BULIISA-24h'!L39,'31.10 HOIMA-BULIISA'!L39)</f>
        <v>0</v>
      </c>
      <c r="M39" s="49">
        <f>AVERAGE('25.10 HOIMA-BULIISA'!M39,'27.10 HOIMA-BULIISA'!M39,'29.10 BULIISA-HOIMA'!M39,'30.10 HOIMA-BULIISA'!M39,'28.10 BULIISA-HOIMA-24h'!M39,'28.10 HOIMA-BULIISA-24h'!M39,'31.10 HOIMA-BULIISA'!M39)</f>
        <v>2.8571428571428572</v>
      </c>
      <c r="N39" s="49">
        <f>AVERAGE('25.10 HOIMA-BULIISA'!N39,'27.10 HOIMA-BULIISA'!N39,'29.10 BULIISA-HOIMA'!N39,'30.10 HOIMA-BULIISA'!N39,'28.10 BULIISA-HOIMA-24h'!N39,'28.10 HOIMA-BULIISA-24h'!N39,'31.10 HOIMA-BULIISA'!N39)</f>
        <v>0</v>
      </c>
      <c r="O39" s="15">
        <f t="shared" si="0"/>
        <v>2</v>
      </c>
      <c r="P39" s="15">
        <f t="shared" si="1"/>
        <v>4.8571428571428577</v>
      </c>
      <c r="R39" s="29" t="s">
        <v>87</v>
      </c>
      <c r="S39" s="16">
        <f t="shared" ref="S39:AF39" si="31">SUM(S19:S21)</f>
        <v>3.2857142857142856</v>
      </c>
      <c r="T39" s="16">
        <f t="shared" si="31"/>
        <v>1.9999999999999996</v>
      </c>
      <c r="U39" s="16">
        <f t="shared" si="31"/>
        <v>3.4285714285714288</v>
      </c>
      <c r="V39" s="16">
        <f t="shared" si="31"/>
        <v>7.8571428571428568</v>
      </c>
      <c r="W39" s="16">
        <f t="shared" si="31"/>
        <v>0</v>
      </c>
      <c r="X39" s="16">
        <f t="shared" si="31"/>
        <v>0</v>
      </c>
      <c r="Y39" s="16">
        <f t="shared" si="31"/>
        <v>2.1428571428571423</v>
      </c>
      <c r="Z39" s="16">
        <f t="shared" si="31"/>
        <v>1.1428571428571428</v>
      </c>
      <c r="AA39" s="16">
        <f t="shared" si="31"/>
        <v>1.4285714285714284</v>
      </c>
      <c r="AB39" s="16">
        <f t="shared" si="31"/>
        <v>0</v>
      </c>
      <c r="AC39" s="16">
        <f t="shared" si="31"/>
        <v>53</v>
      </c>
      <c r="AD39" s="16">
        <f t="shared" si="31"/>
        <v>0</v>
      </c>
      <c r="AE39" s="32">
        <f t="shared" si="31"/>
        <v>21.285714285714281</v>
      </c>
      <c r="AF39" s="32">
        <f t="shared" si="31"/>
        <v>74.285714285714278</v>
      </c>
    </row>
    <row r="40" spans="2:32" ht="23.1" customHeight="1" x14ac:dyDescent="0.25">
      <c r="B40" s="24" t="s">
        <v>67</v>
      </c>
      <c r="C40" s="49">
        <f>AVERAGE('25.10 HOIMA-BULIISA'!C40,'27.10 HOIMA-BULIISA'!C40,'29.10 BULIISA-HOIMA'!C40,'30.10 HOIMA-BULIISA'!C40,'28.10 BULIISA-HOIMA-24h'!C40,'28.10 HOIMA-BULIISA-24h'!C40,'31.10 HOIMA-BULIISA'!C40)</f>
        <v>0.42857142857142855</v>
      </c>
      <c r="D40" s="49">
        <f>AVERAGE('25.10 HOIMA-BULIISA'!D40,'27.10 HOIMA-BULIISA'!D40,'29.10 BULIISA-HOIMA'!D40,'30.10 HOIMA-BULIISA'!D40,'28.10 BULIISA-HOIMA-24h'!D40,'28.10 HOIMA-BULIISA-24h'!D40,'31.10 HOIMA-BULIISA'!D40)</f>
        <v>0.14285714285714285</v>
      </c>
      <c r="E40" s="49">
        <f>AVERAGE('25.10 HOIMA-BULIISA'!E40,'27.10 HOIMA-BULIISA'!E40,'29.10 BULIISA-HOIMA'!E40,'30.10 HOIMA-BULIISA'!E40,'28.10 BULIISA-HOIMA-24h'!E40,'28.10 HOIMA-BULIISA-24h'!E40,'31.10 HOIMA-BULIISA'!E40)</f>
        <v>0.42857142857142855</v>
      </c>
      <c r="F40" s="49">
        <f>AVERAGE('25.10 HOIMA-BULIISA'!F40,'27.10 HOIMA-BULIISA'!F40,'29.10 BULIISA-HOIMA'!F40,'30.10 HOIMA-BULIISA'!F40,'28.10 BULIISA-HOIMA-24h'!F40,'28.10 HOIMA-BULIISA-24h'!F40,'31.10 HOIMA-BULIISA'!F40)</f>
        <v>0.42857142857142855</v>
      </c>
      <c r="G40" s="49">
        <f>AVERAGE('25.10 HOIMA-BULIISA'!G40,'27.10 HOIMA-BULIISA'!G40,'29.10 BULIISA-HOIMA'!G40,'30.10 HOIMA-BULIISA'!G40,'28.10 BULIISA-HOIMA-24h'!G40,'28.10 HOIMA-BULIISA-24h'!G40,'31.10 HOIMA-BULIISA'!G40)</f>
        <v>0.2857142857142857</v>
      </c>
      <c r="H40" s="49">
        <f>AVERAGE('25.10 HOIMA-BULIISA'!H40,'27.10 HOIMA-BULIISA'!H40,'29.10 BULIISA-HOIMA'!H40,'30.10 HOIMA-BULIISA'!H40,'28.10 BULIISA-HOIMA-24h'!H40,'28.10 HOIMA-BULIISA-24h'!H40,'31.10 HOIMA-BULIISA'!H40)</f>
        <v>0</v>
      </c>
      <c r="I40" s="49">
        <f>AVERAGE('25.10 HOIMA-BULIISA'!I40,'27.10 HOIMA-BULIISA'!I40,'29.10 BULIISA-HOIMA'!I40,'30.10 HOIMA-BULIISA'!I40,'28.10 BULIISA-HOIMA-24h'!I40,'28.10 HOIMA-BULIISA-24h'!I40,'31.10 HOIMA-BULIISA'!I40)</f>
        <v>0.14285714285714285</v>
      </c>
      <c r="J40" s="49">
        <f>AVERAGE('25.10 HOIMA-BULIISA'!J40,'27.10 HOIMA-BULIISA'!J40,'29.10 BULIISA-HOIMA'!J40,'30.10 HOIMA-BULIISA'!J40,'28.10 BULIISA-HOIMA-24h'!J40,'28.10 HOIMA-BULIISA-24h'!J40,'31.10 HOIMA-BULIISA'!J40)</f>
        <v>0</v>
      </c>
      <c r="K40" s="49">
        <f>AVERAGE('25.10 HOIMA-BULIISA'!K40,'27.10 HOIMA-BULIISA'!K40,'29.10 BULIISA-HOIMA'!K40,'30.10 HOIMA-BULIISA'!K40,'28.10 BULIISA-HOIMA-24h'!K40,'28.10 HOIMA-BULIISA-24h'!K40,'31.10 HOIMA-BULIISA'!K40)</f>
        <v>0</v>
      </c>
      <c r="L40" s="49">
        <f>AVERAGE('25.10 HOIMA-BULIISA'!L40,'27.10 HOIMA-BULIISA'!L40,'29.10 BULIISA-HOIMA'!L40,'30.10 HOIMA-BULIISA'!L40,'28.10 BULIISA-HOIMA-24h'!L40,'28.10 HOIMA-BULIISA-24h'!L40,'31.10 HOIMA-BULIISA'!L40)</f>
        <v>0</v>
      </c>
      <c r="M40" s="49">
        <f>AVERAGE('25.10 HOIMA-BULIISA'!M40,'27.10 HOIMA-BULIISA'!M40,'29.10 BULIISA-HOIMA'!M40,'30.10 HOIMA-BULIISA'!M40,'28.10 BULIISA-HOIMA-24h'!M40,'28.10 HOIMA-BULIISA-24h'!M40,'31.10 HOIMA-BULIISA'!M40)</f>
        <v>3.2857142857142856</v>
      </c>
      <c r="N40" s="49">
        <f>AVERAGE('25.10 HOIMA-BULIISA'!N40,'27.10 HOIMA-BULIISA'!N40,'29.10 BULIISA-HOIMA'!N40,'30.10 HOIMA-BULIISA'!N40,'28.10 BULIISA-HOIMA-24h'!N40,'28.10 HOIMA-BULIISA-24h'!N40,'31.10 HOIMA-BULIISA'!N40)</f>
        <v>0</v>
      </c>
      <c r="O40" s="15">
        <f t="shared" si="0"/>
        <v>1.8571428571428572</v>
      </c>
      <c r="P40" s="15">
        <f t="shared" si="1"/>
        <v>5.1428571428571423</v>
      </c>
      <c r="R40" s="5" t="s">
        <v>17</v>
      </c>
      <c r="S40" s="16">
        <f t="shared" ref="S40:AF40" si="32">SUM(S10:S21)</f>
        <v>12.142857142857141</v>
      </c>
      <c r="T40" s="16">
        <f t="shared" si="32"/>
        <v>5.8571428571428568</v>
      </c>
      <c r="U40" s="16">
        <f t="shared" si="32"/>
        <v>20.142857142857142</v>
      </c>
      <c r="V40" s="16">
        <f t="shared" si="32"/>
        <v>34.761904761904759</v>
      </c>
      <c r="W40" s="16">
        <f t="shared" si="32"/>
        <v>0.8571428571428571</v>
      </c>
      <c r="X40" s="16">
        <f t="shared" si="32"/>
        <v>0.14285714285714285</v>
      </c>
      <c r="Y40" s="16">
        <f t="shared" si="32"/>
        <v>4.2857142857142847</v>
      </c>
      <c r="Z40" s="16">
        <f t="shared" si="32"/>
        <v>4.4285714285714279</v>
      </c>
      <c r="AA40" s="16">
        <f t="shared" si="32"/>
        <v>3.714285714285714</v>
      </c>
      <c r="AB40" s="16">
        <f t="shared" si="32"/>
        <v>0.71428571428571419</v>
      </c>
      <c r="AC40" s="16">
        <f t="shared" si="32"/>
        <v>196.42857142857144</v>
      </c>
      <c r="AD40" s="16">
        <f t="shared" si="32"/>
        <v>0</v>
      </c>
      <c r="AE40" s="32">
        <f t="shared" si="32"/>
        <v>87.047619047619051</v>
      </c>
      <c r="AF40" s="32">
        <f t="shared" si="32"/>
        <v>283.47619047619048</v>
      </c>
    </row>
    <row r="41" spans="2:32" ht="23.1" customHeight="1" x14ac:dyDescent="0.25">
      <c r="B41" s="23" t="s">
        <v>68</v>
      </c>
      <c r="C41" s="49">
        <f>AVERAGE('25.10 HOIMA-BULIISA'!C41,'27.10 HOIMA-BULIISA'!C41,'29.10 BULIISA-HOIMA'!C41,'30.10 HOIMA-BULIISA'!C41,'28.10 BULIISA-HOIMA-24h'!C41,'28.10 HOIMA-BULIISA-24h'!C41,'31.10 HOIMA-BULIISA'!C41)</f>
        <v>0.2857142857142857</v>
      </c>
      <c r="D41" s="49">
        <f>AVERAGE('25.10 HOIMA-BULIISA'!D41,'27.10 HOIMA-BULIISA'!D41,'29.10 BULIISA-HOIMA'!D41,'30.10 HOIMA-BULIISA'!D41,'28.10 BULIISA-HOIMA-24h'!D41,'28.10 HOIMA-BULIISA-24h'!D41,'31.10 HOIMA-BULIISA'!D41)</f>
        <v>0.2857142857142857</v>
      </c>
      <c r="E41" s="49">
        <f>AVERAGE('25.10 HOIMA-BULIISA'!E41,'27.10 HOIMA-BULIISA'!E41,'29.10 BULIISA-HOIMA'!E41,'30.10 HOIMA-BULIISA'!E41,'28.10 BULIISA-HOIMA-24h'!E41,'28.10 HOIMA-BULIISA-24h'!E41,'31.10 HOIMA-BULIISA'!E41)</f>
        <v>0.7142857142857143</v>
      </c>
      <c r="F41" s="49">
        <f>AVERAGE('25.10 HOIMA-BULIISA'!F41,'27.10 HOIMA-BULIISA'!F41,'29.10 BULIISA-HOIMA'!F41,'30.10 HOIMA-BULIISA'!F41,'28.10 BULIISA-HOIMA-24h'!F41,'28.10 HOIMA-BULIISA-24h'!F41,'31.10 HOIMA-BULIISA'!F41)</f>
        <v>0.8571428571428571</v>
      </c>
      <c r="G41" s="49">
        <f>AVERAGE('25.10 HOIMA-BULIISA'!G41,'27.10 HOIMA-BULIISA'!G41,'29.10 BULIISA-HOIMA'!G41,'30.10 HOIMA-BULIISA'!G41,'28.10 BULIISA-HOIMA-24h'!G41,'28.10 HOIMA-BULIISA-24h'!G41,'31.10 HOIMA-BULIISA'!G41)</f>
        <v>0</v>
      </c>
      <c r="H41" s="49">
        <f>AVERAGE('25.10 HOIMA-BULIISA'!H41,'27.10 HOIMA-BULIISA'!H41,'29.10 BULIISA-HOIMA'!H41,'30.10 HOIMA-BULIISA'!H41,'28.10 BULIISA-HOIMA-24h'!H41,'28.10 HOIMA-BULIISA-24h'!H41,'31.10 HOIMA-BULIISA'!H41)</f>
        <v>0</v>
      </c>
      <c r="I41" s="49">
        <f>AVERAGE('25.10 HOIMA-BULIISA'!I41,'27.10 HOIMA-BULIISA'!I41,'29.10 BULIISA-HOIMA'!I41,'30.10 HOIMA-BULIISA'!I41,'28.10 BULIISA-HOIMA-24h'!I41,'28.10 HOIMA-BULIISA-24h'!I41,'31.10 HOIMA-BULIISA'!I41)</f>
        <v>0.2857142857142857</v>
      </c>
      <c r="J41" s="49">
        <f>AVERAGE('25.10 HOIMA-BULIISA'!J41,'27.10 HOIMA-BULIISA'!J41,'29.10 BULIISA-HOIMA'!J41,'30.10 HOIMA-BULIISA'!J41,'28.10 BULIISA-HOIMA-24h'!J41,'28.10 HOIMA-BULIISA-24h'!J41,'31.10 HOIMA-BULIISA'!J41)</f>
        <v>0.14285714285714285</v>
      </c>
      <c r="K41" s="49">
        <f>AVERAGE('25.10 HOIMA-BULIISA'!K41,'27.10 HOIMA-BULIISA'!K41,'29.10 BULIISA-HOIMA'!K41,'30.10 HOIMA-BULIISA'!K41,'28.10 BULIISA-HOIMA-24h'!K41,'28.10 HOIMA-BULIISA-24h'!K41,'31.10 HOIMA-BULIISA'!K41)</f>
        <v>0</v>
      </c>
      <c r="L41" s="49">
        <f>AVERAGE('25.10 HOIMA-BULIISA'!L41,'27.10 HOIMA-BULIISA'!L41,'29.10 BULIISA-HOIMA'!L41,'30.10 HOIMA-BULIISA'!L41,'28.10 BULIISA-HOIMA-24h'!L41,'28.10 HOIMA-BULIISA-24h'!L41,'31.10 HOIMA-BULIISA'!L41)</f>
        <v>0</v>
      </c>
      <c r="M41" s="49">
        <f>AVERAGE('25.10 HOIMA-BULIISA'!M41,'27.10 HOIMA-BULIISA'!M41,'29.10 BULIISA-HOIMA'!M41,'30.10 HOIMA-BULIISA'!M41,'28.10 BULIISA-HOIMA-24h'!M41,'28.10 HOIMA-BULIISA-24h'!M41,'31.10 HOIMA-BULIISA'!M41)</f>
        <v>2.2857142857142856</v>
      </c>
      <c r="N41" s="49">
        <f>AVERAGE('25.10 HOIMA-BULIISA'!N41,'27.10 HOIMA-BULIISA'!N41,'29.10 BULIISA-HOIMA'!N41,'30.10 HOIMA-BULIISA'!N41,'28.10 BULIISA-HOIMA-24h'!N41,'28.10 HOIMA-BULIISA-24h'!N41,'31.10 HOIMA-BULIISA'!N41)</f>
        <v>0</v>
      </c>
      <c r="O41" s="15">
        <f t="shared" si="0"/>
        <v>2.5714285714285712</v>
      </c>
      <c r="P41" s="15">
        <f t="shared" si="1"/>
        <v>4.8571428571428568</v>
      </c>
      <c r="R41" s="5" t="s">
        <v>181</v>
      </c>
      <c r="S41" s="16">
        <f>SUM(S10:S33)</f>
        <v>13.142857142857141</v>
      </c>
      <c r="T41" s="16">
        <f t="shared" ref="T41:AD41" si="33">SUM(T10:T33)</f>
        <v>6.8571428571428568</v>
      </c>
      <c r="U41" s="16">
        <f t="shared" si="33"/>
        <v>20.642857142857142</v>
      </c>
      <c r="V41" s="16">
        <f t="shared" si="33"/>
        <v>41.261904761904759</v>
      </c>
      <c r="W41" s="16">
        <f t="shared" si="33"/>
        <v>1.3571428571428572</v>
      </c>
      <c r="X41" s="16">
        <f t="shared" si="33"/>
        <v>0.14285714285714285</v>
      </c>
      <c r="Y41" s="16">
        <f t="shared" si="33"/>
        <v>4.2857142857142847</v>
      </c>
      <c r="Z41" s="16">
        <f t="shared" si="33"/>
        <v>6.4285714285714279</v>
      </c>
      <c r="AA41" s="16">
        <f t="shared" si="33"/>
        <v>5.7142857142857135</v>
      </c>
      <c r="AB41" s="16">
        <f t="shared" si="33"/>
        <v>0.71428571428571419</v>
      </c>
      <c r="AC41" s="16">
        <f t="shared" si="33"/>
        <v>255.92857142857144</v>
      </c>
      <c r="AD41" s="16">
        <f t="shared" si="33"/>
        <v>0</v>
      </c>
      <c r="AE41" s="32">
        <f>SUM(AE10:AE33)</f>
        <v>100.54761904761905</v>
      </c>
      <c r="AF41" s="32">
        <f>SUM(AF10:AF33)</f>
        <v>356.47619047619048</v>
      </c>
    </row>
    <row r="42" spans="2:32" ht="23.1" customHeight="1" x14ac:dyDescent="0.25">
      <c r="B42" s="24" t="s">
        <v>69</v>
      </c>
      <c r="C42" s="49">
        <f>AVERAGE('25.10 HOIMA-BULIISA'!C42,'27.10 HOIMA-BULIISA'!C42,'29.10 BULIISA-HOIMA'!C42,'30.10 HOIMA-BULIISA'!C42,'28.10 BULIISA-HOIMA-24h'!C42,'28.10 HOIMA-BULIISA-24h'!C42,'31.10 HOIMA-BULIISA'!C42)</f>
        <v>0.2857142857142857</v>
      </c>
      <c r="D42" s="49">
        <f>AVERAGE('25.10 HOIMA-BULIISA'!D42,'27.10 HOIMA-BULIISA'!D42,'29.10 BULIISA-HOIMA'!D42,'30.10 HOIMA-BULIISA'!D42,'28.10 BULIISA-HOIMA-24h'!D42,'28.10 HOIMA-BULIISA-24h'!D42,'31.10 HOIMA-BULIISA'!D42)</f>
        <v>0.14285714285714285</v>
      </c>
      <c r="E42" s="49">
        <f>AVERAGE('25.10 HOIMA-BULIISA'!E42,'27.10 HOIMA-BULIISA'!E42,'29.10 BULIISA-HOIMA'!E42,'30.10 HOIMA-BULIISA'!E42,'28.10 BULIISA-HOIMA-24h'!E42,'28.10 HOIMA-BULIISA-24h'!E42,'31.10 HOIMA-BULIISA'!E42)</f>
        <v>0.5714285714285714</v>
      </c>
      <c r="F42" s="49">
        <f>AVERAGE('25.10 HOIMA-BULIISA'!F42,'27.10 HOIMA-BULIISA'!F42,'29.10 BULIISA-HOIMA'!F42,'30.10 HOIMA-BULIISA'!F42,'28.10 BULIISA-HOIMA-24h'!F42,'28.10 HOIMA-BULIISA-24h'!F42,'31.10 HOIMA-BULIISA'!F42)</f>
        <v>1</v>
      </c>
      <c r="G42" s="49">
        <f>AVERAGE('25.10 HOIMA-BULIISA'!G42,'27.10 HOIMA-BULIISA'!G42,'29.10 BULIISA-HOIMA'!G42,'30.10 HOIMA-BULIISA'!G42,'28.10 BULIISA-HOIMA-24h'!G42,'28.10 HOIMA-BULIISA-24h'!G42,'31.10 HOIMA-BULIISA'!G42)</f>
        <v>0</v>
      </c>
      <c r="H42" s="49">
        <f>AVERAGE('25.10 HOIMA-BULIISA'!H42,'27.10 HOIMA-BULIISA'!H42,'29.10 BULIISA-HOIMA'!H42,'30.10 HOIMA-BULIISA'!H42,'28.10 BULIISA-HOIMA-24h'!H42,'28.10 HOIMA-BULIISA-24h'!H42,'31.10 HOIMA-BULIISA'!H42)</f>
        <v>0</v>
      </c>
      <c r="I42" s="49">
        <f>AVERAGE('25.10 HOIMA-BULIISA'!I42,'27.10 HOIMA-BULIISA'!I42,'29.10 BULIISA-HOIMA'!I42,'30.10 HOIMA-BULIISA'!I42,'28.10 BULIISA-HOIMA-24h'!I42,'28.10 HOIMA-BULIISA-24h'!I42,'31.10 HOIMA-BULIISA'!I42)</f>
        <v>0</v>
      </c>
      <c r="J42" s="49">
        <f>AVERAGE('25.10 HOIMA-BULIISA'!J42,'27.10 HOIMA-BULIISA'!J42,'29.10 BULIISA-HOIMA'!J42,'30.10 HOIMA-BULIISA'!J42,'28.10 BULIISA-HOIMA-24h'!J42,'28.10 HOIMA-BULIISA-24h'!J42,'31.10 HOIMA-BULIISA'!J42)</f>
        <v>0</v>
      </c>
      <c r="K42" s="49">
        <f>AVERAGE('25.10 HOIMA-BULIISA'!K42,'27.10 HOIMA-BULIISA'!K42,'29.10 BULIISA-HOIMA'!K42,'30.10 HOIMA-BULIISA'!K42,'28.10 BULIISA-HOIMA-24h'!K42,'28.10 HOIMA-BULIISA-24h'!K42,'31.10 HOIMA-BULIISA'!K42)</f>
        <v>0</v>
      </c>
      <c r="L42" s="49">
        <f>AVERAGE('25.10 HOIMA-BULIISA'!L42,'27.10 HOIMA-BULIISA'!L42,'29.10 BULIISA-HOIMA'!L42,'30.10 HOIMA-BULIISA'!L42,'28.10 BULIISA-HOIMA-24h'!L42,'28.10 HOIMA-BULIISA-24h'!L42,'31.10 HOIMA-BULIISA'!L42)</f>
        <v>0</v>
      </c>
      <c r="M42" s="49">
        <f>AVERAGE('25.10 HOIMA-BULIISA'!M42,'27.10 HOIMA-BULIISA'!M42,'29.10 BULIISA-HOIMA'!M42,'30.10 HOIMA-BULIISA'!M42,'28.10 BULIISA-HOIMA-24h'!M42,'28.10 HOIMA-BULIISA-24h'!M42,'31.10 HOIMA-BULIISA'!M42)</f>
        <v>3.7142857142857144</v>
      </c>
      <c r="N42" s="49">
        <f>AVERAGE('25.10 HOIMA-BULIISA'!N42,'27.10 HOIMA-BULIISA'!N42,'29.10 BULIISA-HOIMA'!N42,'30.10 HOIMA-BULIISA'!N42,'28.10 BULIISA-HOIMA-24h'!N42,'28.10 HOIMA-BULIISA-24h'!N42,'31.10 HOIMA-BULIISA'!N42)</f>
        <v>0</v>
      </c>
      <c r="O42" s="15">
        <f t="shared" si="0"/>
        <v>2</v>
      </c>
      <c r="P42" s="15">
        <f t="shared" si="1"/>
        <v>5.7142857142857144</v>
      </c>
      <c r="R42" s="5" t="s">
        <v>160</v>
      </c>
      <c r="S42" s="48">
        <f>S41/S40</f>
        <v>1.0823529411764705</v>
      </c>
      <c r="T42" s="48">
        <f t="shared" ref="T42:AF42" si="34">T41/T40</f>
        <v>1.1707317073170731</v>
      </c>
      <c r="U42" s="48">
        <f t="shared" si="34"/>
        <v>1.0248226950354611</v>
      </c>
      <c r="V42" s="48">
        <f t="shared" si="34"/>
        <v>1.1869863013698629</v>
      </c>
      <c r="W42" s="48">
        <f t="shared" si="34"/>
        <v>1.5833333333333335</v>
      </c>
      <c r="X42" s="48">
        <f t="shared" si="34"/>
        <v>1</v>
      </c>
      <c r="Y42" s="48">
        <f t="shared" si="34"/>
        <v>1</v>
      </c>
      <c r="Z42" s="48">
        <f t="shared" si="34"/>
        <v>1.4516129032258065</v>
      </c>
      <c r="AA42" s="48">
        <f t="shared" si="34"/>
        <v>1.5384615384615383</v>
      </c>
      <c r="AB42" s="48">
        <f t="shared" si="34"/>
        <v>1</v>
      </c>
      <c r="AC42" s="48">
        <f t="shared" si="34"/>
        <v>1.3029090909090908</v>
      </c>
      <c r="AD42" s="48" t="e">
        <f t="shared" si="34"/>
        <v>#DIV/0!</v>
      </c>
      <c r="AE42" s="51">
        <f t="shared" si="34"/>
        <v>1.1550875273522976</v>
      </c>
      <c r="AF42" s="51">
        <f t="shared" si="34"/>
        <v>1.2575172182093062</v>
      </c>
    </row>
    <row r="43" spans="2:32" ht="23.1" customHeight="1" x14ac:dyDescent="0.25">
      <c r="B43" s="23" t="s">
        <v>70</v>
      </c>
      <c r="C43" s="49">
        <f>AVERAGE('25.10 HOIMA-BULIISA'!C43,'27.10 HOIMA-BULIISA'!C43,'29.10 BULIISA-HOIMA'!C43,'30.10 HOIMA-BULIISA'!C43,'28.10 BULIISA-HOIMA-24h'!C43,'28.10 HOIMA-BULIISA-24h'!C43,'31.10 HOIMA-BULIISA'!C43)</f>
        <v>0.14285714285714285</v>
      </c>
      <c r="D43" s="49">
        <f>AVERAGE('25.10 HOIMA-BULIISA'!D43,'27.10 HOIMA-BULIISA'!D43,'29.10 BULIISA-HOIMA'!D43,'30.10 HOIMA-BULIISA'!D43,'28.10 BULIISA-HOIMA-24h'!D43,'28.10 HOIMA-BULIISA-24h'!D43,'31.10 HOIMA-BULIISA'!D43)</f>
        <v>0</v>
      </c>
      <c r="E43" s="49">
        <f>AVERAGE('25.10 HOIMA-BULIISA'!E43,'27.10 HOIMA-BULIISA'!E43,'29.10 BULIISA-HOIMA'!E43,'30.10 HOIMA-BULIISA'!E43,'28.10 BULIISA-HOIMA-24h'!E43,'28.10 HOIMA-BULIISA-24h'!E43,'31.10 HOIMA-BULIISA'!E43)</f>
        <v>0.14285714285714285</v>
      </c>
      <c r="F43" s="49">
        <f>AVERAGE('25.10 HOIMA-BULIISA'!F43,'27.10 HOIMA-BULIISA'!F43,'29.10 BULIISA-HOIMA'!F43,'30.10 HOIMA-BULIISA'!F43,'28.10 BULIISA-HOIMA-24h'!F43,'28.10 HOIMA-BULIISA-24h'!F43,'31.10 HOIMA-BULIISA'!F43)</f>
        <v>0.5714285714285714</v>
      </c>
      <c r="G43" s="49">
        <f>AVERAGE('25.10 HOIMA-BULIISA'!G43,'27.10 HOIMA-BULIISA'!G43,'29.10 BULIISA-HOIMA'!G43,'30.10 HOIMA-BULIISA'!G43,'28.10 BULIISA-HOIMA-24h'!G43,'28.10 HOIMA-BULIISA-24h'!G43,'31.10 HOIMA-BULIISA'!G43)</f>
        <v>0</v>
      </c>
      <c r="H43" s="49">
        <f>AVERAGE('25.10 HOIMA-BULIISA'!H43,'27.10 HOIMA-BULIISA'!H43,'29.10 BULIISA-HOIMA'!H43,'30.10 HOIMA-BULIISA'!H43,'28.10 BULIISA-HOIMA-24h'!H43,'28.10 HOIMA-BULIISA-24h'!H43,'31.10 HOIMA-BULIISA'!H43)</f>
        <v>0</v>
      </c>
      <c r="I43" s="49">
        <f>AVERAGE('25.10 HOIMA-BULIISA'!I43,'27.10 HOIMA-BULIISA'!I43,'29.10 BULIISA-HOIMA'!I43,'30.10 HOIMA-BULIISA'!I43,'28.10 BULIISA-HOIMA-24h'!I43,'28.10 HOIMA-BULIISA-24h'!I43,'31.10 HOIMA-BULIISA'!I43)</f>
        <v>0</v>
      </c>
      <c r="J43" s="49">
        <f>AVERAGE('25.10 HOIMA-BULIISA'!J43,'27.10 HOIMA-BULIISA'!J43,'29.10 BULIISA-HOIMA'!J43,'30.10 HOIMA-BULIISA'!J43,'28.10 BULIISA-HOIMA-24h'!J43,'28.10 HOIMA-BULIISA-24h'!J43,'31.10 HOIMA-BULIISA'!J43)</f>
        <v>0.2857142857142857</v>
      </c>
      <c r="K43" s="49">
        <f>AVERAGE('25.10 HOIMA-BULIISA'!K43,'27.10 HOIMA-BULIISA'!K43,'29.10 BULIISA-HOIMA'!K43,'30.10 HOIMA-BULIISA'!K43,'28.10 BULIISA-HOIMA-24h'!K43,'28.10 HOIMA-BULIISA-24h'!K43,'31.10 HOIMA-BULIISA'!K43)</f>
        <v>0.2857142857142857</v>
      </c>
      <c r="L43" s="49">
        <f>AVERAGE('25.10 HOIMA-BULIISA'!L43,'27.10 HOIMA-BULIISA'!L43,'29.10 BULIISA-HOIMA'!L43,'30.10 HOIMA-BULIISA'!L43,'28.10 BULIISA-HOIMA-24h'!L43,'28.10 HOIMA-BULIISA-24h'!L43,'31.10 HOIMA-BULIISA'!L43)</f>
        <v>0</v>
      </c>
      <c r="M43" s="49">
        <f>AVERAGE('25.10 HOIMA-BULIISA'!M43,'27.10 HOIMA-BULIISA'!M43,'29.10 BULIISA-HOIMA'!M43,'30.10 HOIMA-BULIISA'!M43,'28.10 BULIISA-HOIMA-24h'!M43,'28.10 HOIMA-BULIISA-24h'!M43,'31.10 HOIMA-BULIISA'!M43)</f>
        <v>4.1428571428571432</v>
      </c>
      <c r="N43" s="49">
        <f>AVERAGE('25.10 HOIMA-BULIISA'!N43,'27.10 HOIMA-BULIISA'!N43,'29.10 BULIISA-HOIMA'!N43,'30.10 HOIMA-BULIISA'!N43,'28.10 BULIISA-HOIMA-24h'!N43,'28.10 HOIMA-BULIISA-24h'!N43,'31.10 HOIMA-BULIISA'!N43)</f>
        <v>0</v>
      </c>
      <c r="O43" s="15">
        <f t="shared" si="0"/>
        <v>1.4285714285714284</v>
      </c>
      <c r="P43" s="15">
        <f t="shared" si="1"/>
        <v>5.5714285714285712</v>
      </c>
    </row>
    <row r="44" spans="2:32" ht="23.1" customHeight="1" x14ac:dyDescent="0.25">
      <c r="B44" s="25" t="s">
        <v>71</v>
      </c>
      <c r="C44" s="49">
        <f>AVERAGE('25.10 HOIMA-BULIISA'!C44,'27.10 HOIMA-BULIISA'!C44,'29.10 BULIISA-HOIMA'!C44,'30.10 HOIMA-BULIISA'!C44,'28.10 BULIISA-HOIMA-24h'!C44,'28.10 HOIMA-BULIISA-24h'!C44,'31.10 HOIMA-BULIISA'!C44)</f>
        <v>0.42857142857142855</v>
      </c>
      <c r="D44" s="49">
        <f>AVERAGE('25.10 HOIMA-BULIISA'!D44,'27.10 HOIMA-BULIISA'!D44,'29.10 BULIISA-HOIMA'!D44,'30.10 HOIMA-BULIISA'!D44,'28.10 BULIISA-HOIMA-24h'!D44,'28.10 HOIMA-BULIISA-24h'!D44,'31.10 HOIMA-BULIISA'!D44)</f>
        <v>0.14285714285714285</v>
      </c>
      <c r="E44" s="49">
        <f>AVERAGE('25.10 HOIMA-BULIISA'!E44,'27.10 HOIMA-BULIISA'!E44,'29.10 BULIISA-HOIMA'!E44,'30.10 HOIMA-BULIISA'!E44,'28.10 BULIISA-HOIMA-24h'!E44,'28.10 HOIMA-BULIISA-24h'!E44,'31.10 HOIMA-BULIISA'!E44)</f>
        <v>0.14285714285714285</v>
      </c>
      <c r="F44" s="49">
        <f>AVERAGE('25.10 HOIMA-BULIISA'!F44,'27.10 HOIMA-BULIISA'!F44,'29.10 BULIISA-HOIMA'!F44,'30.10 HOIMA-BULIISA'!F44,'28.10 BULIISA-HOIMA-24h'!F44,'28.10 HOIMA-BULIISA-24h'!F44,'31.10 HOIMA-BULIISA'!F44)</f>
        <v>0.8571428571428571</v>
      </c>
      <c r="G44" s="49">
        <f>AVERAGE('25.10 HOIMA-BULIISA'!G44,'27.10 HOIMA-BULIISA'!G44,'29.10 BULIISA-HOIMA'!G44,'30.10 HOIMA-BULIISA'!G44,'28.10 BULIISA-HOIMA-24h'!G44,'28.10 HOIMA-BULIISA-24h'!G44,'31.10 HOIMA-BULIISA'!G44)</f>
        <v>0</v>
      </c>
      <c r="H44" s="49">
        <f>AVERAGE('25.10 HOIMA-BULIISA'!H44,'27.10 HOIMA-BULIISA'!H44,'29.10 BULIISA-HOIMA'!H44,'30.10 HOIMA-BULIISA'!H44,'28.10 BULIISA-HOIMA-24h'!H44,'28.10 HOIMA-BULIISA-24h'!H44,'31.10 HOIMA-BULIISA'!H44)</f>
        <v>0</v>
      </c>
      <c r="I44" s="49">
        <f>AVERAGE('25.10 HOIMA-BULIISA'!I44,'27.10 HOIMA-BULIISA'!I44,'29.10 BULIISA-HOIMA'!I44,'30.10 HOIMA-BULIISA'!I44,'28.10 BULIISA-HOIMA-24h'!I44,'28.10 HOIMA-BULIISA-24h'!I44,'31.10 HOIMA-BULIISA'!I44)</f>
        <v>0</v>
      </c>
      <c r="J44" s="49">
        <f>AVERAGE('25.10 HOIMA-BULIISA'!J44,'27.10 HOIMA-BULIISA'!J44,'29.10 BULIISA-HOIMA'!J44,'30.10 HOIMA-BULIISA'!J44,'28.10 BULIISA-HOIMA-24h'!J44,'28.10 HOIMA-BULIISA-24h'!J44,'31.10 HOIMA-BULIISA'!J44)</f>
        <v>0</v>
      </c>
      <c r="K44" s="49">
        <f>AVERAGE('25.10 HOIMA-BULIISA'!K44,'27.10 HOIMA-BULIISA'!K44,'29.10 BULIISA-HOIMA'!K44,'30.10 HOIMA-BULIISA'!K44,'28.10 BULIISA-HOIMA-24h'!K44,'28.10 HOIMA-BULIISA-24h'!K44,'31.10 HOIMA-BULIISA'!K44)</f>
        <v>0</v>
      </c>
      <c r="L44" s="49">
        <f>AVERAGE('25.10 HOIMA-BULIISA'!L44,'27.10 HOIMA-BULIISA'!L44,'29.10 BULIISA-HOIMA'!L44,'30.10 HOIMA-BULIISA'!L44,'28.10 BULIISA-HOIMA-24h'!L44,'28.10 HOIMA-BULIISA-24h'!L44,'31.10 HOIMA-BULIISA'!L44)</f>
        <v>0</v>
      </c>
      <c r="M44" s="49">
        <f>AVERAGE('25.10 HOIMA-BULIISA'!M44,'27.10 HOIMA-BULIISA'!M44,'29.10 BULIISA-HOIMA'!M44,'30.10 HOIMA-BULIISA'!M44,'28.10 BULIISA-HOIMA-24h'!M44,'28.10 HOIMA-BULIISA-24h'!M44,'31.10 HOIMA-BULIISA'!M44)</f>
        <v>5.1428571428571432</v>
      </c>
      <c r="N44" s="49">
        <f>AVERAGE('25.10 HOIMA-BULIISA'!N44,'27.10 HOIMA-BULIISA'!N44,'29.10 BULIISA-HOIMA'!N44,'30.10 HOIMA-BULIISA'!N44,'28.10 BULIISA-HOIMA-24h'!N44,'28.10 HOIMA-BULIISA-24h'!N44,'31.10 HOIMA-BULIISA'!N44)</f>
        <v>0</v>
      </c>
      <c r="O44" s="15">
        <f t="shared" si="0"/>
        <v>1.5714285714285712</v>
      </c>
      <c r="P44" s="15">
        <f t="shared" si="1"/>
        <v>6.7142857142857144</v>
      </c>
    </row>
    <row r="45" spans="2:32" ht="23.1" customHeight="1" x14ac:dyDescent="0.25">
      <c r="B45" s="23" t="s">
        <v>72</v>
      </c>
      <c r="C45" s="49">
        <f>AVERAGE('25.10 HOIMA-BULIISA'!C45,'27.10 HOIMA-BULIISA'!C45,'29.10 BULIISA-HOIMA'!C45,'30.10 HOIMA-BULIISA'!C45,'28.10 BULIISA-HOIMA-24h'!C45,'28.10 HOIMA-BULIISA-24h'!C45,'31.10 HOIMA-BULIISA'!C45)</f>
        <v>0.2857142857142857</v>
      </c>
      <c r="D45" s="49">
        <f>AVERAGE('25.10 HOIMA-BULIISA'!D45,'27.10 HOIMA-BULIISA'!D45,'29.10 BULIISA-HOIMA'!D45,'30.10 HOIMA-BULIISA'!D45,'28.10 BULIISA-HOIMA-24h'!D45,'28.10 HOIMA-BULIISA-24h'!D45,'31.10 HOIMA-BULIISA'!D45)</f>
        <v>0.14285714285714285</v>
      </c>
      <c r="E45" s="49">
        <f>AVERAGE('25.10 HOIMA-BULIISA'!E45,'27.10 HOIMA-BULIISA'!E45,'29.10 BULIISA-HOIMA'!E45,'30.10 HOIMA-BULIISA'!E45,'28.10 BULIISA-HOIMA-24h'!E45,'28.10 HOIMA-BULIISA-24h'!E45,'31.10 HOIMA-BULIISA'!E45)</f>
        <v>0.8571428571428571</v>
      </c>
      <c r="F45" s="49">
        <f>AVERAGE('25.10 HOIMA-BULIISA'!F45,'27.10 HOIMA-BULIISA'!F45,'29.10 BULIISA-HOIMA'!F45,'30.10 HOIMA-BULIISA'!F45,'28.10 BULIISA-HOIMA-24h'!F45,'28.10 HOIMA-BULIISA-24h'!F45,'31.10 HOIMA-BULIISA'!F45)</f>
        <v>0.7142857142857143</v>
      </c>
      <c r="G45" s="49">
        <f>AVERAGE('25.10 HOIMA-BULIISA'!G45,'27.10 HOIMA-BULIISA'!G45,'29.10 BULIISA-HOIMA'!G45,'30.10 HOIMA-BULIISA'!G45,'28.10 BULIISA-HOIMA-24h'!G45,'28.10 HOIMA-BULIISA-24h'!G45,'31.10 HOIMA-BULIISA'!G45)</f>
        <v>0</v>
      </c>
      <c r="H45" s="49">
        <f>AVERAGE('25.10 HOIMA-BULIISA'!H45,'27.10 HOIMA-BULIISA'!H45,'29.10 BULIISA-HOIMA'!H45,'30.10 HOIMA-BULIISA'!H45,'28.10 BULIISA-HOIMA-24h'!H45,'28.10 HOIMA-BULIISA-24h'!H45,'31.10 HOIMA-BULIISA'!H45)</f>
        <v>0</v>
      </c>
      <c r="I45" s="49">
        <f>AVERAGE('25.10 HOIMA-BULIISA'!I45,'27.10 HOIMA-BULIISA'!I45,'29.10 BULIISA-HOIMA'!I45,'30.10 HOIMA-BULIISA'!I45,'28.10 BULIISA-HOIMA-24h'!I45,'28.10 HOIMA-BULIISA-24h'!I45,'31.10 HOIMA-BULIISA'!I45)</f>
        <v>0</v>
      </c>
      <c r="J45" s="49">
        <f>AVERAGE('25.10 HOIMA-BULIISA'!J45,'27.10 HOIMA-BULIISA'!J45,'29.10 BULIISA-HOIMA'!J45,'30.10 HOIMA-BULIISA'!J45,'28.10 BULIISA-HOIMA-24h'!J45,'28.10 HOIMA-BULIISA-24h'!J45,'31.10 HOIMA-BULIISA'!J45)</f>
        <v>0</v>
      </c>
      <c r="K45" s="49">
        <f>AVERAGE('25.10 HOIMA-BULIISA'!K45,'27.10 HOIMA-BULIISA'!K45,'29.10 BULIISA-HOIMA'!K45,'30.10 HOIMA-BULIISA'!K45,'28.10 BULIISA-HOIMA-24h'!K45,'28.10 HOIMA-BULIISA-24h'!K45,'31.10 HOIMA-BULIISA'!K45)</f>
        <v>0</v>
      </c>
      <c r="L45" s="49">
        <f>AVERAGE('25.10 HOIMA-BULIISA'!L45,'27.10 HOIMA-BULIISA'!L45,'29.10 BULIISA-HOIMA'!L45,'30.10 HOIMA-BULIISA'!L45,'28.10 BULIISA-HOIMA-24h'!L45,'28.10 HOIMA-BULIISA-24h'!L45,'31.10 HOIMA-BULIISA'!L45)</f>
        <v>0</v>
      </c>
      <c r="M45" s="49">
        <f>AVERAGE('25.10 HOIMA-BULIISA'!M45,'27.10 HOIMA-BULIISA'!M45,'29.10 BULIISA-HOIMA'!M45,'30.10 HOIMA-BULIISA'!M45,'28.10 BULIISA-HOIMA-24h'!M45,'28.10 HOIMA-BULIISA-24h'!M45,'31.10 HOIMA-BULIISA'!M45)</f>
        <v>5</v>
      </c>
      <c r="N45" s="49">
        <f>AVERAGE('25.10 HOIMA-BULIISA'!N45,'27.10 HOIMA-BULIISA'!N45,'29.10 BULIISA-HOIMA'!N45,'30.10 HOIMA-BULIISA'!N45,'28.10 BULIISA-HOIMA-24h'!N45,'28.10 HOIMA-BULIISA-24h'!N45,'31.10 HOIMA-BULIISA'!N45)</f>
        <v>0</v>
      </c>
      <c r="O45" s="15">
        <f t="shared" si="0"/>
        <v>2</v>
      </c>
      <c r="P45" s="15">
        <f t="shared" si="1"/>
        <v>7</v>
      </c>
    </row>
    <row r="46" spans="2:32" ht="23.1" customHeight="1" x14ac:dyDescent="0.25">
      <c r="B46" s="24" t="s">
        <v>73</v>
      </c>
      <c r="C46" s="49">
        <f>AVERAGE('25.10 HOIMA-BULIISA'!C46,'27.10 HOIMA-BULIISA'!C46,'29.10 BULIISA-HOIMA'!C46,'30.10 HOIMA-BULIISA'!C46,'28.10 BULIISA-HOIMA-24h'!C46,'28.10 HOIMA-BULIISA-24h'!C46,'31.10 HOIMA-BULIISA'!C46)</f>
        <v>0.42857142857142855</v>
      </c>
      <c r="D46" s="49">
        <f>AVERAGE('25.10 HOIMA-BULIISA'!D46,'27.10 HOIMA-BULIISA'!D46,'29.10 BULIISA-HOIMA'!D46,'30.10 HOIMA-BULIISA'!D46,'28.10 BULIISA-HOIMA-24h'!D46,'28.10 HOIMA-BULIISA-24h'!D46,'31.10 HOIMA-BULIISA'!D46)</f>
        <v>0</v>
      </c>
      <c r="E46" s="49">
        <f>AVERAGE('25.10 HOIMA-BULIISA'!E46,'27.10 HOIMA-BULIISA'!E46,'29.10 BULIISA-HOIMA'!E46,'30.10 HOIMA-BULIISA'!E46,'28.10 BULIISA-HOIMA-24h'!E46,'28.10 HOIMA-BULIISA-24h'!E46,'31.10 HOIMA-BULIISA'!E46)</f>
        <v>0.5714285714285714</v>
      </c>
      <c r="F46" s="49">
        <f>AVERAGE('25.10 HOIMA-BULIISA'!F46,'27.10 HOIMA-BULIISA'!F46,'29.10 BULIISA-HOIMA'!F46,'30.10 HOIMA-BULIISA'!F46,'28.10 BULIISA-HOIMA-24h'!F46,'28.10 HOIMA-BULIISA-24h'!F46,'31.10 HOIMA-BULIISA'!F46)</f>
        <v>1.2857142857142858</v>
      </c>
      <c r="G46" s="49">
        <f>AVERAGE('25.10 HOIMA-BULIISA'!G46,'27.10 HOIMA-BULIISA'!G46,'29.10 BULIISA-HOIMA'!G46,'30.10 HOIMA-BULIISA'!G46,'28.10 BULIISA-HOIMA-24h'!G46,'28.10 HOIMA-BULIISA-24h'!G46,'31.10 HOIMA-BULIISA'!G46)</f>
        <v>0</v>
      </c>
      <c r="H46" s="49">
        <f>AVERAGE('25.10 HOIMA-BULIISA'!H46,'27.10 HOIMA-BULIISA'!H46,'29.10 BULIISA-HOIMA'!H46,'30.10 HOIMA-BULIISA'!H46,'28.10 BULIISA-HOIMA-24h'!H46,'28.10 HOIMA-BULIISA-24h'!H46,'31.10 HOIMA-BULIISA'!H46)</f>
        <v>0</v>
      </c>
      <c r="I46" s="49">
        <f>AVERAGE('25.10 HOIMA-BULIISA'!I46,'27.10 HOIMA-BULIISA'!I46,'29.10 BULIISA-HOIMA'!I46,'30.10 HOIMA-BULIISA'!I46,'28.10 BULIISA-HOIMA-24h'!I46,'28.10 HOIMA-BULIISA-24h'!I46,'31.10 HOIMA-BULIISA'!I46)</f>
        <v>0.8571428571428571</v>
      </c>
      <c r="J46" s="49">
        <f>AVERAGE('25.10 HOIMA-BULIISA'!J46,'27.10 HOIMA-BULIISA'!J46,'29.10 BULIISA-HOIMA'!J46,'30.10 HOIMA-BULIISA'!J46,'28.10 BULIISA-HOIMA-24h'!J46,'28.10 HOIMA-BULIISA-24h'!J46,'31.10 HOIMA-BULIISA'!J46)</f>
        <v>0</v>
      </c>
      <c r="K46" s="49">
        <f>AVERAGE('25.10 HOIMA-BULIISA'!K46,'27.10 HOIMA-BULIISA'!K46,'29.10 BULIISA-HOIMA'!K46,'30.10 HOIMA-BULIISA'!K46,'28.10 BULIISA-HOIMA-24h'!K46,'28.10 HOIMA-BULIISA-24h'!K46,'31.10 HOIMA-BULIISA'!K46)</f>
        <v>0.2857142857142857</v>
      </c>
      <c r="L46" s="49">
        <f>AVERAGE('25.10 HOIMA-BULIISA'!L46,'27.10 HOIMA-BULIISA'!L46,'29.10 BULIISA-HOIMA'!L46,'30.10 HOIMA-BULIISA'!L46,'28.10 BULIISA-HOIMA-24h'!L46,'28.10 HOIMA-BULIISA-24h'!L46,'31.10 HOIMA-BULIISA'!L46)</f>
        <v>0</v>
      </c>
      <c r="M46" s="49">
        <f>AVERAGE('25.10 HOIMA-BULIISA'!M46,'27.10 HOIMA-BULIISA'!M46,'29.10 BULIISA-HOIMA'!M46,'30.10 HOIMA-BULIISA'!M46,'28.10 BULIISA-HOIMA-24h'!M46,'28.10 HOIMA-BULIISA-24h'!M46,'31.10 HOIMA-BULIISA'!M46)</f>
        <v>4.2857142857142856</v>
      </c>
      <c r="N46" s="49">
        <f>AVERAGE('25.10 HOIMA-BULIISA'!N46,'27.10 HOIMA-BULIISA'!N46,'29.10 BULIISA-HOIMA'!N46,'30.10 HOIMA-BULIISA'!N46,'28.10 BULIISA-HOIMA-24h'!N46,'28.10 HOIMA-BULIISA-24h'!N46,'31.10 HOIMA-BULIISA'!N46)</f>
        <v>0</v>
      </c>
      <c r="O46" s="15">
        <f t="shared" si="0"/>
        <v>3.4285714285714284</v>
      </c>
      <c r="P46" s="15">
        <f t="shared" si="1"/>
        <v>7.7142857142857135</v>
      </c>
      <c r="R46" s="8"/>
      <c r="T46"/>
    </row>
    <row r="47" spans="2:32" ht="23.1" customHeight="1" x14ac:dyDescent="0.25">
      <c r="B47" s="24" t="s">
        <v>74</v>
      </c>
      <c r="C47" s="49">
        <f>AVERAGE('25.10 HOIMA-BULIISA'!C47,'27.10 HOIMA-BULIISA'!C47,'29.10 BULIISA-HOIMA'!C47,'30.10 HOIMA-BULIISA'!C47,'28.10 BULIISA-HOIMA-24h'!C47,'28.10 HOIMA-BULIISA-24h'!C47,'31.10 HOIMA-BULIISA'!C47)</f>
        <v>0.8571428571428571</v>
      </c>
      <c r="D47" s="49">
        <f>AVERAGE('25.10 HOIMA-BULIISA'!D47,'27.10 HOIMA-BULIISA'!D47,'29.10 BULIISA-HOIMA'!D47,'30.10 HOIMA-BULIISA'!D47,'28.10 BULIISA-HOIMA-24h'!D47,'28.10 HOIMA-BULIISA-24h'!D47,'31.10 HOIMA-BULIISA'!D47)</f>
        <v>0.2857142857142857</v>
      </c>
      <c r="E47" s="49">
        <f>AVERAGE('25.10 HOIMA-BULIISA'!E47,'27.10 HOIMA-BULIISA'!E47,'29.10 BULIISA-HOIMA'!E47,'30.10 HOIMA-BULIISA'!E47,'28.10 BULIISA-HOIMA-24h'!E47,'28.10 HOIMA-BULIISA-24h'!E47,'31.10 HOIMA-BULIISA'!E47)</f>
        <v>0.5714285714285714</v>
      </c>
      <c r="F47" s="49">
        <f>AVERAGE('25.10 HOIMA-BULIISA'!F47,'27.10 HOIMA-BULIISA'!F47,'29.10 BULIISA-HOIMA'!F47,'30.10 HOIMA-BULIISA'!F47,'28.10 BULIISA-HOIMA-24h'!F47,'28.10 HOIMA-BULIISA-24h'!F47,'31.10 HOIMA-BULIISA'!F47)</f>
        <v>0.5714285714285714</v>
      </c>
      <c r="G47" s="49">
        <f>AVERAGE('25.10 HOIMA-BULIISA'!G47,'27.10 HOIMA-BULIISA'!G47,'29.10 BULIISA-HOIMA'!G47,'30.10 HOIMA-BULIISA'!G47,'28.10 BULIISA-HOIMA-24h'!G47,'28.10 HOIMA-BULIISA-24h'!G47,'31.10 HOIMA-BULIISA'!G47)</f>
        <v>0</v>
      </c>
      <c r="H47" s="49">
        <f>AVERAGE('25.10 HOIMA-BULIISA'!H47,'27.10 HOIMA-BULIISA'!H47,'29.10 BULIISA-HOIMA'!H47,'30.10 HOIMA-BULIISA'!H47,'28.10 BULIISA-HOIMA-24h'!H47,'28.10 HOIMA-BULIISA-24h'!H47,'31.10 HOIMA-BULIISA'!H47)</f>
        <v>0</v>
      </c>
      <c r="I47" s="49">
        <f>AVERAGE('25.10 HOIMA-BULIISA'!I47,'27.10 HOIMA-BULIISA'!I47,'29.10 BULIISA-HOIMA'!I47,'30.10 HOIMA-BULIISA'!I47,'28.10 BULIISA-HOIMA-24h'!I47,'28.10 HOIMA-BULIISA-24h'!I47,'31.10 HOIMA-BULIISA'!I47)</f>
        <v>0.42857142857142855</v>
      </c>
      <c r="J47" s="49">
        <f>AVERAGE('25.10 HOIMA-BULIISA'!J47,'27.10 HOIMA-BULIISA'!J47,'29.10 BULIISA-HOIMA'!J47,'30.10 HOIMA-BULIISA'!J47,'28.10 BULIISA-HOIMA-24h'!J47,'28.10 HOIMA-BULIISA-24h'!J47,'31.10 HOIMA-BULIISA'!J47)</f>
        <v>0</v>
      </c>
      <c r="K47" s="49">
        <f>AVERAGE('25.10 HOIMA-BULIISA'!K47,'27.10 HOIMA-BULIISA'!K47,'29.10 BULIISA-HOIMA'!K47,'30.10 HOIMA-BULIISA'!K47,'28.10 BULIISA-HOIMA-24h'!K47,'28.10 HOIMA-BULIISA-24h'!K47,'31.10 HOIMA-BULIISA'!K47)</f>
        <v>0</v>
      </c>
      <c r="L47" s="49">
        <f>AVERAGE('25.10 HOIMA-BULIISA'!L47,'27.10 HOIMA-BULIISA'!L47,'29.10 BULIISA-HOIMA'!L47,'30.10 HOIMA-BULIISA'!L47,'28.10 BULIISA-HOIMA-24h'!L47,'28.10 HOIMA-BULIISA-24h'!L47,'31.10 HOIMA-BULIISA'!L47)</f>
        <v>0</v>
      </c>
      <c r="M47" s="49">
        <f>AVERAGE('25.10 HOIMA-BULIISA'!M47,'27.10 HOIMA-BULIISA'!M47,'29.10 BULIISA-HOIMA'!M47,'30.10 HOIMA-BULIISA'!M47,'28.10 BULIISA-HOIMA-24h'!M47,'28.10 HOIMA-BULIISA-24h'!M47,'31.10 HOIMA-BULIISA'!M47)</f>
        <v>3.8571428571428572</v>
      </c>
      <c r="N47" s="49">
        <f>AVERAGE('25.10 HOIMA-BULIISA'!N47,'27.10 HOIMA-BULIISA'!N47,'29.10 BULIISA-HOIMA'!N47,'30.10 HOIMA-BULIISA'!N47,'28.10 BULIISA-HOIMA-24h'!N47,'28.10 HOIMA-BULIISA-24h'!N47,'31.10 HOIMA-BULIISA'!N47)</f>
        <v>0</v>
      </c>
      <c r="O47" s="15">
        <f t="shared" si="0"/>
        <v>2.714285714285714</v>
      </c>
      <c r="P47" s="15">
        <f t="shared" si="1"/>
        <v>6.5714285714285712</v>
      </c>
      <c r="R47" s="8"/>
      <c r="T47"/>
    </row>
    <row r="48" spans="2:32" ht="23.1" customHeight="1" x14ac:dyDescent="0.25">
      <c r="B48" s="24" t="s">
        <v>75</v>
      </c>
      <c r="C48" s="49">
        <f>AVERAGE('25.10 HOIMA-BULIISA'!C48,'27.10 HOIMA-BULIISA'!C48,'29.10 BULIISA-HOIMA'!C48,'30.10 HOIMA-BULIISA'!C48,'28.10 BULIISA-HOIMA-24h'!C48,'28.10 HOIMA-BULIISA-24h'!C48,'31.10 HOIMA-BULIISA'!C48)</f>
        <v>0.14285714285714285</v>
      </c>
      <c r="D48" s="49">
        <f>AVERAGE('25.10 HOIMA-BULIISA'!D48,'27.10 HOIMA-BULIISA'!D48,'29.10 BULIISA-HOIMA'!D48,'30.10 HOIMA-BULIISA'!D48,'28.10 BULIISA-HOIMA-24h'!D48,'28.10 HOIMA-BULIISA-24h'!D48,'31.10 HOIMA-BULIISA'!D48)</f>
        <v>0</v>
      </c>
      <c r="E48" s="49">
        <f>AVERAGE('25.10 HOIMA-BULIISA'!E48,'27.10 HOIMA-BULIISA'!E48,'29.10 BULIISA-HOIMA'!E48,'30.10 HOIMA-BULIISA'!E48,'28.10 BULIISA-HOIMA-24h'!E48,'28.10 HOIMA-BULIISA-24h'!E48,'31.10 HOIMA-BULIISA'!E48)</f>
        <v>0.42857142857142855</v>
      </c>
      <c r="F48" s="49">
        <f>AVERAGE('25.10 HOIMA-BULIISA'!F48,'27.10 HOIMA-BULIISA'!F48,'29.10 BULIISA-HOIMA'!F48,'30.10 HOIMA-BULIISA'!F48,'28.10 BULIISA-HOIMA-24h'!F48,'28.10 HOIMA-BULIISA-24h'!F48,'31.10 HOIMA-BULIISA'!F48)</f>
        <v>0.7142857142857143</v>
      </c>
      <c r="G48" s="49">
        <f>AVERAGE('25.10 HOIMA-BULIISA'!G48,'27.10 HOIMA-BULIISA'!G48,'29.10 BULIISA-HOIMA'!G48,'30.10 HOIMA-BULIISA'!G48,'28.10 BULIISA-HOIMA-24h'!G48,'28.10 HOIMA-BULIISA-24h'!G48,'31.10 HOIMA-BULIISA'!G48)</f>
        <v>0</v>
      </c>
      <c r="H48" s="49">
        <f>AVERAGE('25.10 HOIMA-BULIISA'!H48,'27.10 HOIMA-BULIISA'!H48,'29.10 BULIISA-HOIMA'!H48,'30.10 HOIMA-BULIISA'!H48,'28.10 BULIISA-HOIMA-24h'!H48,'28.10 HOIMA-BULIISA-24h'!H48,'31.10 HOIMA-BULIISA'!H48)</f>
        <v>0</v>
      </c>
      <c r="I48" s="49">
        <f>AVERAGE('25.10 HOIMA-BULIISA'!I48,'27.10 HOIMA-BULIISA'!I48,'29.10 BULIISA-HOIMA'!I48,'30.10 HOIMA-BULIISA'!I48,'28.10 BULIISA-HOIMA-24h'!I48,'28.10 HOIMA-BULIISA-24h'!I48,'31.10 HOIMA-BULIISA'!I48)</f>
        <v>0.2857142857142857</v>
      </c>
      <c r="J48" s="49">
        <f>AVERAGE('25.10 HOIMA-BULIISA'!J48,'27.10 HOIMA-BULIISA'!J48,'29.10 BULIISA-HOIMA'!J48,'30.10 HOIMA-BULIISA'!J48,'28.10 BULIISA-HOIMA-24h'!J48,'28.10 HOIMA-BULIISA-24h'!J48,'31.10 HOIMA-BULIISA'!J48)</f>
        <v>0.2857142857142857</v>
      </c>
      <c r="K48" s="49">
        <f>AVERAGE('25.10 HOIMA-BULIISA'!K48,'27.10 HOIMA-BULIISA'!K48,'29.10 BULIISA-HOIMA'!K48,'30.10 HOIMA-BULIISA'!K48,'28.10 BULIISA-HOIMA-24h'!K48,'28.10 HOIMA-BULIISA-24h'!K48,'31.10 HOIMA-BULIISA'!K48)</f>
        <v>0.2857142857142857</v>
      </c>
      <c r="L48" s="49">
        <f>AVERAGE('25.10 HOIMA-BULIISA'!L48,'27.10 HOIMA-BULIISA'!L48,'29.10 BULIISA-HOIMA'!L48,'30.10 HOIMA-BULIISA'!L48,'28.10 BULIISA-HOIMA-24h'!L48,'28.10 HOIMA-BULIISA-24h'!L48,'31.10 HOIMA-BULIISA'!L48)</f>
        <v>0</v>
      </c>
      <c r="M48" s="49">
        <f>AVERAGE('25.10 HOIMA-BULIISA'!M48,'27.10 HOIMA-BULIISA'!M48,'29.10 BULIISA-HOIMA'!M48,'30.10 HOIMA-BULIISA'!M48,'28.10 BULIISA-HOIMA-24h'!M48,'28.10 HOIMA-BULIISA-24h'!M48,'31.10 HOIMA-BULIISA'!M48)</f>
        <v>4</v>
      </c>
      <c r="N48" s="49">
        <f>AVERAGE('25.10 HOIMA-BULIISA'!N48,'27.10 HOIMA-BULIISA'!N48,'29.10 BULIISA-HOIMA'!N48,'30.10 HOIMA-BULIISA'!N48,'28.10 BULIISA-HOIMA-24h'!N48,'28.10 HOIMA-BULIISA-24h'!N48,'31.10 HOIMA-BULIISA'!N48)</f>
        <v>0</v>
      </c>
      <c r="O48" s="15">
        <f t="shared" si="0"/>
        <v>2.1428571428571423</v>
      </c>
      <c r="P48" s="15">
        <f t="shared" si="1"/>
        <v>6.1428571428571423</v>
      </c>
      <c r="R48" s="8"/>
      <c r="T48"/>
    </row>
    <row r="49" spans="2:20" ht="23.1" customHeight="1" x14ac:dyDescent="0.25">
      <c r="B49" s="23" t="s">
        <v>76</v>
      </c>
      <c r="C49" s="49">
        <f>AVERAGE('25.10 HOIMA-BULIISA'!C49,'27.10 HOIMA-BULIISA'!C49,'29.10 BULIISA-HOIMA'!C49,'30.10 HOIMA-BULIISA'!C49,'28.10 BULIISA-HOIMA-24h'!C49,'28.10 HOIMA-BULIISA-24h'!C49,'31.10 HOIMA-BULIISA'!C49)</f>
        <v>0</v>
      </c>
      <c r="D49" s="49">
        <f>AVERAGE('25.10 HOIMA-BULIISA'!D49,'27.10 HOIMA-BULIISA'!D49,'29.10 BULIISA-HOIMA'!D49,'30.10 HOIMA-BULIISA'!D49,'28.10 BULIISA-HOIMA-24h'!D49,'28.10 HOIMA-BULIISA-24h'!D49,'31.10 HOIMA-BULIISA'!D49)</f>
        <v>0</v>
      </c>
      <c r="E49" s="49">
        <f>AVERAGE('25.10 HOIMA-BULIISA'!E49,'27.10 HOIMA-BULIISA'!E49,'29.10 BULIISA-HOIMA'!E49,'30.10 HOIMA-BULIISA'!E49,'28.10 BULIISA-HOIMA-24h'!E49,'28.10 HOIMA-BULIISA-24h'!E49,'31.10 HOIMA-BULIISA'!E49)</f>
        <v>0</v>
      </c>
      <c r="F49" s="49">
        <f>AVERAGE('25.10 HOIMA-BULIISA'!F49,'27.10 HOIMA-BULIISA'!F49,'29.10 BULIISA-HOIMA'!F49,'30.10 HOIMA-BULIISA'!F49,'28.10 BULIISA-HOIMA-24h'!F49,'28.10 HOIMA-BULIISA-24h'!F49,'31.10 HOIMA-BULIISA'!F49)</f>
        <v>0.5714285714285714</v>
      </c>
      <c r="G49" s="49">
        <f>AVERAGE('25.10 HOIMA-BULIISA'!G49,'27.10 HOIMA-BULIISA'!G49,'29.10 BULIISA-HOIMA'!G49,'30.10 HOIMA-BULIISA'!G49,'28.10 BULIISA-HOIMA-24h'!G49,'28.10 HOIMA-BULIISA-24h'!G49,'31.10 HOIMA-BULIISA'!G49)</f>
        <v>0</v>
      </c>
      <c r="H49" s="49">
        <f>AVERAGE('25.10 HOIMA-BULIISA'!H49,'27.10 HOIMA-BULIISA'!H49,'29.10 BULIISA-HOIMA'!H49,'30.10 HOIMA-BULIISA'!H49,'28.10 BULIISA-HOIMA-24h'!H49,'28.10 HOIMA-BULIISA-24h'!H49,'31.10 HOIMA-BULIISA'!H49)</f>
        <v>0</v>
      </c>
      <c r="I49" s="49">
        <f>AVERAGE('25.10 HOIMA-BULIISA'!I49,'27.10 HOIMA-BULIISA'!I49,'29.10 BULIISA-HOIMA'!I49,'30.10 HOIMA-BULIISA'!I49,'28.10 BULIISA-HOIMA-24h'!I49,'28.10 HOIMA-BULIISA-24h'!I49,'31.10 HOIMA-BULIISA'!I49)</f>
        <v>0</v>
      </c>
      <c r="J49" s="49">
        <f>AVERAGE('25.10 HOIMA-BULIISA'!J49,'27.10 HOIMA-BULIISA'!J49,'29.10 BULIISA-HOIMA'!J49,'30.10 HOIMA-BULIISA'!J49,'28.10 BULIISA-HOIMA-24h'!J49,'28.10 HOIMA-BULIISA-24h'!J49,'31.10 HOIMA-BULIISA'!J49)</f>
        <v>0.42857142857142855</v>
      </c>
      <c r="K49" s="49">
        <f>AVERAGE('25.10 HOIMA-BULIISA'!K49,'27.10 HOIMA-BULIISA'!K49,'29.10 BULIISA-HOIMA'!K49,'30.10 HOIMA-BULIISA'!K49,'28.10 BULIISA-HOIMA-24h'!K49,'28.10 HOIMA-BULIISA-24h'!K49,'31.10 HOIMA-BULIISA'!K49)</f>
        <v>0.2857142857142857</v>
      </c>
      <c r="L49" s="49">
        <f>AVERAGE('25.10 HOIMA-BULIISA'!L49,'27.10 HOIMA-BULIISA'!L49,'29.10 BULIISA-HOIMA'!L49,'30.10 HOIMA-BULIISA'!L49,'28.10 BULIISA-HOIMA-24h'!L49,'28.10 HOIMA-BULIISA-24h'!L49,'31.10 HOIMA-BULIISA'!L49)</f>
        <v>0</v>
      </c>
      <c r="M49" s="49">
        <f>AVERAGE('25.10 HOIMA-BULIISA'!M49,'27.10 HOIMA-BULIISA'!M49,'29.10 BULIISA-HOIMA'!M49,'30.10 HOIMA-BULIISA'!M49,'28.10 BULIISA-HOIMA-24h'!M49,'28.10 HOIMA-BULIISA-24h'!M49,'31.10 HOIMA-BULIISA'!M49)</f>
        <v>3.2857142857142856</v>
      </c>
      <c r="N49" s="49">
        <f>AVERAGE('25.10 HOIMA-BULIISA'!N49,'27.10 HOIMA-BULIISA'!N49,'29.10 BULIISA-HOIMA'!N49,'30.10 HOIMA-BULIISA'!N49,'28.10 BULIISA-HOIMA-24h'!N49,'28.10 HOIMA-BULIISA-24h'!N49,'31.10 HOIMA-BULIISA'!N49)</f>
        <v>0</v>
      </c>
      <c r="O49" s="15">
        <f t="shared" si="0"/>
        <v>1.2857142857142856</v>
      </c>
      <c r="P49" s="15">
        <f t="shared" si="1"/>
        <v>4.5714285714285712</v>
      </c>
      <c r="R49" s="8"/>
      <c r="T49"/>
    </row>
    <row r="50" spans="2:20" ht="23.1" customHeight="1" x14ac:dyDescent="0.25">
      <c r="B50" s="24" t="s">
        <v>77</v>
      </c>
      <c r="C50" s="49">
        <f>AVERAGE('25.10 HOIMA-BULIISA'!C50,'27.10 HOIMA-BULIISA'!C50,'29.10 BULIISA-HOIMA'!C50,'30.10 HOIMA-BULIISA'!C50,'28.10 BULIISA-HOIMA-24h'!C50,'28.10 HOIMA-BULIISA-24h'!C50,'31.10 HOIMA-BULIISA'!C50)</f>
        <v>0.42857142857142855</v>
      </c>
      <c r="D50" s="49">
        <f>AVERAGE('25.10 HOIMA-BULIISA'!D50,'27.10 HOIMA-BULIISA'!D50,'29.10 BULIISA-HOIMA'!D50,'30.10 HOIMA-BULIISA'!D50,'28.10 BULIISA-HOIMA-24h'!D50,'28.10 HOIMA-BULIISA-24h'!D50,'31.10 HOIMA-BULIISA'!D50)</f>
        <v>0</v>
      </c>
      <c r="E50" s="49">
        <f>AVERAGE('25.10 HOIMA-BULIISA'!E50,'27.10 HOIMA-BULIISA'!E50,'29.10 BULIISA-HOIMA'!E50,'30.10 HOIMA-BULIISA'!E50,'28.10 BULIISA-HOIMA-24h'!E50,'28.10 HOIMA-BULIISA-24h'!E50,'31.10 HOIMA-BULIISA'!E50)</f>
        <v>0.2857142857142857</v>
      </c>
      <c r="F50" s="49">
        <f>AVERAGE('25.10 HOIMA-BULIISA'!F50,'27.10 HOIMA-BULIISA'!F50,'29.10 BULIISA-HOIMA'!F50,'30.10 HOIMA-BULIISA'!F50,'28.10 BULIISA-HOIMA-24h'!F50,'28.10 HOIMA-BULIISA-24h'!F50,'31.10 HOIMA-BULIISA'!F50)</f>
        <v>0.14285714285714285</v>
      </c>
      <c r="G50" s="49">
        <f>AVERAGE('25.10 HOIMA-BULIISA'!G50,'27.10 HOIMA-BULIISA'!G50,'29.10 BULIISA-HOIMA'!G50,'30.10 HOIMA-BULIISA'!G50,'28.10 BULIISA-HOIMA-24h'!G50,'28.10 HOIMA-BULIISA-24h'!G50,'31.10 HOIMA-BULIISA'!G50)</f>
        <v>0</v>
      </c>
      <c r="H50" s="49">
        <f>AVERAGE('25.10 HOIMA-BULIISA'!H50,'27.10 HOIMA-BULIISA'!H50,'29.10 BULIISA-HOIMA'!H50,'30.10 HOIMA-BULIISA'!H50,'28.10 BULIISA-HOIMA-24h'!H50,'28.10 HOIMA-BULIISA-24h'!H50,'31.10 HOIMA-BULIISA'!H50)</f>
        <v>0</v>
      </c>
      <c r="I50" s="49">
        <f>AVERAGE('25.10 HOIMA-BULIISA'!I50,'27.10 HOIMA-BULIISA'!I50,'29.10 BULIISA-HOIMA'!I50,'30.10 HOIMA-BULIISA'!I50,'28.10 BULIISA-HOIMA-24h'!I50,'28.10 HOIMA-BULIISA-24h'!I50,'31.10 HOIMA-BULIISA'!I50)</f>
        <v>0.14285714285714285</v>
      </c>
      <c r="J50" s="49">
        <f>AVERAGE('25.10 HOIMA-BULIISA'!J50,'27.10 HOIMA-BULIISA'!J50,'29.10 BULIISA-HOIMA'!J50,'30.10 HOIMA-BULIISA'!J50,'28.10 BULIISA-HOIMA-24h'!J50,'28.10 HOIMA-BULIISA-24h'!J50,'31.10 HOIMA-BULIISA'!J50)</f>
        <v>0.14285714285714285</v>
      </c>
      <c r="K50" s="49">
        <f>AVERAGE('25.10 HOIMA-BULIISA'!K50,'27.10 HOIMA-BULIISA'!K50,'29.10 BULIISA-HOIMA'!K50,'30.10 HOIMA-BULIISA'!K50,'28.10 BULIISA-HOIMA-24h'!K50,'28.10 HOIMA-BULIISA-24h'!K50,'31.10 HOIMA-BULIISA'!K50)</f>
        <v>0</v>
      </c>
      <c r="L50" s="49">
        <f>AVERAGE('25.10 HOIMA-BULIISA'!L50,'27.10 HOIMA-BULIISA'!L50,'29.10 BULIISA-HOIMA'!L50,'30.10 HOIMA-BULIISA'!L50,'28.10 BULIISA-HOIMA-24h'!L50,'28.10 HOIMA-BULIISA-24h'!L50,'31.10 HOIMA-BULIISA'!L50)</f>
        <v>0</v>
      </c>
      <c r="M50" s="49">
        <f>AVERAGE('25.10 HOIMA-BULIISA'!M50,'27.10 HOIMA-BULIISA'!M50,'29.10 BULIISA-HOIMA'!M50,'30.10 HOIMA-BULIISA'!M50,'28.10 BULIISA-HOIMA-24h'!M50,'28.10 HOIMA-BULIISA-24h'!M50,'31.10 HOIMA-BULIISA'!M50)</f>
        <v>4.4285714285714288</v>
      </c>
      <c r="N50" s="49">
        <f>AVERAGE('25.10 HOIMA-BULIISA'!N50,'27.10 HOIMA-BULIISA'!N50,'29.10 BULIISA-HOIMA'!N50,'30.10 HOIMA-BULIISA'!N50,'28.10 BULIISA-HOIMA-24h'!N50,'28.10 HOIMA-BULIISA-24h'!N50,'31.10 HOIMA-BULIISA'!N50)</f>
        <v>0</v>
      </c>
      <c r="O50" s="15">
        <f t="shared" si="0"/>
        <v>1.1428571428571426</v>
      </c>
      <c r="P50" s="15">
        <f t="shared" si="1"/>
        <v>5.5714285714285712</v>
      </c>
      <c r="R50" s="8"/>
      <c r="T50"/>
    </row>
    <row r="51" spans="2:20" ht="23.1" customHeight="1" x14ac:dyDescent="0.25">
      <c r="B51" s="24" t="s">
        <v>78</v>
      </c>
      <c r="C51" s="49">
        <f>AVERAGE('25.10 HOIMA-BULIISA'!C51,'27.10 HOIMA-BULIISA'!C51,'29.10 BULIISA-HOIMA'!C51,'30.10 HOIMA-BULIISA'!C51,'28.10 BULIISA-HOIMA-24h'!C51,'28.10 HOIMA-BULIISA-24h'!C51,'31.10 HOIMA-BULIISA'!C51)</f>
        <v>0</v>
      </c>
      <c r="D51" s="49">
        <f>AVERAGE('25.10 HOIMA-BULIISA'!D51,'27.10 HOIMA-BULIISA'!D51,'29.10 BULIISA-HOIMA'!D51,'30.10 HOIMA-BULIISA'!D51,'28.10 BULIISA-HOIMA-24h'!D51,'28.10 HOIMA-BULIISA-24h'!D51,'31.10 HOIMA-BULIISA'!D51)</f>
        <v>0</v>
      </c>
      <c r="E51" s="49">
        <f>AVERAGE('25.10 HOIMA-BULIISA'!E51,'27.10 HOIMA-BULIISA'!E51,'29.10 BULIISA-HOIMA'!E51,'30.10 HOIMA-BULIISA'!E51,'28.10 BULIISA-HOIMA-24h'!E51,'28.10 HOIMA-BULIISA-24h'!E51,'31.10 HOIMA-BULIISA'!E51)</f>
        <v>0.14285714285714285</v>
      </c>
      <c r="F51" s="49">
        <f>AVERAGE('25.10 HOIMA-BULIISA'!F51,'27.10 HOIMA-BULIISA'!F51,'29.10 BULIISA-HOIMA'!F51,'30.10 HOIMA-BULIISA'!F51,'28.10 BULIISA-HOIMA-24h'!F51,'28.10 HOIMA-BULIISA-24h'!F51,'31.10 HOIMA-BULIISA'!F51)</f>
        <v>0.5714285714285714</v>
      </c>
      <c r="G51" s="49">
        <f>AVERAGE('25.10 HOIMA-BULIISA'!G51,'27.10 HOIMA-BULIISA'!G51,'29.10 BULIISA-HOIMA'!G51,'30.10 HOIMA-BULIISA'!G51,'28.10 BULIISA-HOIMA-24h'!G51,'28.10 HOIMA-BULIISA-24h'!G51,'31.10 HOIMA-BULIISA'!G51)</f>
        <v>0</v>
      </c>
      <c r="H51" s="49">
        <f>AVERAGE('25.10 HOIMA-BULIISA'!H51,'27.10 HOIMA-BULIISA'!H51,'29.10 BULIISA-HOIMA'!H51,'30.10 HOIMA-BULIISA'!H51,'28.10 BULIISA-HOIMA-24h'!H51,'28.10 HOIMA-BULIISA-24h'!H51,'31.10 HOIMA-BULIISA'!H51)</f>
        <v>0</v>
      </c>
      <c r="I51" s="49">
        <f>AVERAGE('25.10 HOIMA-BULIISA'!I51,'27.10 HOIMA-BULIISA'!I51,'29.10 BULIISA-HOIMA'!I51,'30.10 HOIMA-BULIISA'!I51,'28.10 BULIISA-HOIMA-24h'!I51,'28.10 HOIMA-BULIISA-24h'!I51,'31.10 HOIMA-BULIISA'!I51)</f>
        <v>0</v>
      </c>
      <c r="J51" s="49">
        <f>AVERAGE('25.10 HOIMA-BULIISA'!J51,'27.10 HOIMA-BULIISA'!J51,'29.10 BULIISA-HOIMA'!J51,'30.10 HOIMA-BULIISA'!J51,'28.10 BULIISA-HOIMA-24h'!J51,'28.10 HOIMA-BULIISA-24h'!J51,'31.10 HOIMA-BULIISA'!J51)</f>
        <v>0</v>
      </c>
      <c r="K51" s="49">
        <f>AVERAGE('25.10 HOIMA-BULIISA'!K51,'27.10 HOIMA-BULIISA'!K51,'29.10 BULIISA-HOIMA'!K51,'30.10 HOIMA-BULIISA'!K51,'28.10 BULIISA-HOIMA-24h'!K51,'28.10 HOIMA-BULIISA-24h'!K51,'31.10 HOIMA-BULIISA'!K51)</f>
        <v>0.14285714285714285</v>
      </c>
      <c r="L51" s="49">
        <f>AVERAGE('25.10 HOIMA-BULIISA'!L51,'27.10 HOIMA-BULIISA'!L51,'29.10 BULIISA-HOIMA'!L51,'30.10 HOIMA-BULIISA'!L51,'28.10 BULIISA-HOIMA-24h'!L51,'28.10 HOIMA-BULIISA-24h'!L51,'31.10 HOIMA-BULIISA'!L51)</f>
        <v>0</v>
      </c>
      <c r="M51" s="49">
        <f>AVERAGE('25.10 HOIMA-BULIISA'!M51,'27.10 HOIMA-BULIISA'!M51,'29.10 BULIISA-HOIMA'!M51,'30.10 HOIMA-BULIISA'!M51,'28.10 BULIISA-HOIMA-24h'!M51,'28.10 HOIMA-BULIISA-24h'!M51,'31.10 HOIMA-BULIISA'!M51)</f>
        <v>4.1428571428571432</v>
      </c>
      <c r="N51" s="49">
        <f>AVERAGE('25.10 HOIMA-BULIISA'!N51,'27.10 HOIMA-BULIISA'!N51,'29.10 BULIISA-HOIMA'!N51,'30.10 HOIMA-BULIISA'!N51,'28.10 BULIISA-HOIMA-24h'!N51,'28.10 HOIMA-BULIISA-24h'!N51,'31.10 HOIMA-BULIISA'!N51)</f>
        <v>0</v>
      </c>
      <c r="O51" s="15">
        <f t="shared" si="0"/>
        <v>0.85714285714285698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49">
        <f>AVERAGE('25.10 HOIMA-BULIISA'!C52,'27.10 HOIMA-BULIISA'!C52,'29.10 BULIISA-HOIMA'!C52,'30.10 HOIMA-BULIISA'!C52,'28.10 BULIISA-HOIMA-24h'!C52,'28.10 HOIMA-BULIISA-24h'!C52,'31.10 HOIMA-BULIISA'!C52)</f>
        <v>0.2857142857142857</v>
      </c>
      <c r="D52" s="49">
        <f>AVERAGE('25.10 HOIMA-BULIISA'!D52,'27.10 HOIMA-BULIISA'!D52,'29.10 BULIISA-HOIMA'!D52,'30.10 HOIMA-BULIISA'!D52,'28.10 BULIISA-HOIMA-24h'!D52,'28.10 HOIMA-BULIISA-24h'!D52,'31.10 HOIMA-BULIISA'!D52)</f>
        <v>0.2857142857142857</v>
      </c>
      <c r="E52" s="49">
        <f>AVERAGE('25.10 HOIMA-BULIISA'!E52,'27.10 HOIMA-BULIISA'!E52,'29.10 BULIISA-HOIMA'!E52,'30.10 HOIMA-BULIISA'!E52,'28.10 BULIISA-HOIMA-24h'!E52,'28.10 HOIMA-BULIISA-24h'!E52,'31.10 HOIMA-BULIISA'!E52)</f>
        <v>0.14285714285714285</v>
      </c>
      <c r="F52" s="49">
        <f>AVERAGE('25.10 HOIMA-BULIISA'!F52,'27.10 HOIMA-BULIISA'!F52,'29.10 BULIISA-HOIMA'!F52,'30.10 HOIMA-BULIISA'!F52,'28.10 BULIISA-HOIMA-24h'!F52,'28.10 HOIMA-BULIISA-24h'!F52,'31.10 HOIMA-BULIISA'!F52)</f>
        <v>0.5714285714285714</v>
      </c>
      <c r="G52" s="49">
        <f>AVERAGE('25.10 HOIMA-BULIISA'!G52,'27.10 HOIMA-BULIISA'!G52,'29.10 BULIISA-HOIMA'!G52,'30.10 HOIMA-BULIISA'!G52,'28.10 BULIISA-HOIMA-24h'!G52,'28.10 HOIMA-BULIISA-24h'!G52,'31.10 HOIMA-BULIISA'!G52)</f>
        <v>0</v>
      </c>
      <c r="H52" s="49">
        <f>AVERAGE('25.10 HOIMA-BULIISA'!H52,'27.10 HOIMA-BULIISA'!H52,'29.10 BULIISA-HOIMA'!H52,'30.10 HOIMA-BULIISA'!H52,'28.10 BULIISA-HOIMA-24h'!H52,'28.10 HOIMA-BULIISA-24h'!H52,'31.10 HOIMA-BULIISA'!H52)</f>
        <v>0</v>
      </c>
      <c r="I52" s="49">
        <f>AVERAGE('25.10 HOIMA-BULIISA'!I52,'27.10 HOIMA-BULIISA'!I52,'29.10 BULIISA-HOIMA'!I52,'30.10 HOIMA-BULIISA'!I52,'28.10 BULIISA-HOIMA-24h'!I52,'28.10 HOIMA-BULIISA-24h'!I52,'31.10 HOIMA-BULIISA'!I52)</f>
        <v>0</v>
      </c>
      <c r="J52" s="49">
        <f>AVERAGE('25.10 HOIMA-BULIISA'!J52,'27.10 HOIMA-BULIISA'!J52,'29.10 BULIISA-HOIMA'!J52,'30.10 HOIMA-BULIISA'!J52,'28.10 BULIISA-HOIMA-24h'!J52,'28.10 HOIMA-BULIISA-24h'!J52,'31.10 HOIMA-BULIISA'!J52)</f>
        <v>0</v>
      </c>
      <c r="K52" s="49">
        <f>AVERAGE('25.10 HOIMA-BULIISA'!K52,'27.10 HOIMA-BULIISA'!K52,'29.10 BULIISA-HOIMA'!K52,'30.10 HOIMA-BULIISA'!K52,'28.10 BULIISA-HOIMA-24h'!K52,'28.10 HOIMA-BULIISA-24h'!K52,'31.10 HOIMA-BULIISA'!K52)</f>
        <v>0.14285714285714285</v>
      </c>
      <c r="L52" s="49">
        <f>AVERAGE('25.10 HOIMA-BULIISA'!L52,'27.10 HOIMA-BULIISA'!L52,'29.10 BULIISA-HOIMA'!L52,'30.10 HOIMA-BULIISA'!L52,'28.10 BULIISA-HOIMA-24h'!L52,'28.10 HOIMA-BULIISA-24h'!L52,'31.10 HOIMA-BULIISA'!L52)</f>
        <v>0</v>
      </c>
      <c r="M52" s="49">
        <f>AVERAGE('25.10 HOIMA-BULIISA'!M52,'27.10 HOIMA-BULIISA'!M52,'29.10 BULIISA-HOIMA'!M52,'30.10 HOIMA-BULIISA'!M52,'28.10 BULIISA-HOIMA-24h'!M52,'28.10 HOIMA-BULIISA-24h'!M52,'31.10 HOIMA-BULIISA'!M52)</f>
        <v>5.2857142857142856</v>
      </c>
      <c r="N52" s="49">
        <f>AVERAGE('25.10 HOIMA-BULIISA'!N52,'27.10 HOIMA-BULIISA'!N52,'29.10 BULIISA-HOIMA'!N52,'30.10 HOIMA-BULIISA'!N52,'28.10 BULIISA-HOIMA-24h'!N52,'28.10 HOIMA-BULIISA-24h'!N52,'31.10 HOIMA-BULIISA'!N52)</f>
        <v>0</v>
      </c>
      <c r="O52" s="15">
        <f t="shared" si="0"/>
        <v>1.4285714285714284</v>
      </c>
      <c r="P52" s="15">
        <f t="shared" si="1"/>
        <v>6.7142857142857135</v>
      </c>
      <c r="R52" s="8"/>
      <c r="T52"/>
    </row>
    <row r="53" spans="2:20" ht="23.1" customHeight="1" x14ac:dyDescent="0.25">
      <c r="B53" s="23" t="s">
        <v>80</v>
      </c>
      <c r="C53" s="49">
        <f>AVERAGE('25.10 HOIMA-BULIISA'!C53,'27.10 HOIMA-BULIISA'!C53,'29.10 BULIISA-HOIMA'!C53,'30.10 HOIMA-BULIISA'!C53,'28.10 BULIISA-HOIMA-24h'!C53,'28.10 HOIMA-BULIISA-24h'!C53,'31.10 HOIMA-BULIISA'!C53)</f>
        <v>0.42857142857142855</v>
      </c>
      <c r="D53" s="49">
        <f>AVERAGE('25.10 HOIMA-BULIISA'!D53,'27.10 HOIMA-BULIISA'!D53,'29.10 BULIISA-HOIMA'!D53,'30.10 HOIMA-BULIISA'!D53,'28.10 BULIISA-HOIMA-24h'!D53,'28.10 HOIMA-BULIISA-24h'!D53,'31.10 HOIMA-BULIISA'!D53)</f>
        <v>0.42857142857142855</v>
      </c>
      <c r="E53" s="49">
        <f>AVERAGE('25.10 HOIMA-BULIISA'!E53,'27.10 HOIMA-BULIISA'!E53,'29.10 BULIISA-HOIMA'!E53,'30.10 HOIMA-BULIISA'!E53,'28.10 BULIISA-HOIMA-24h'!E53,'28.10 HOIMA-BULIISA-24h'!E53,'31.10 HOIMA-BULIISA'!E53)</f>
        <v>0</v>
      </c>
      <c r="F53" s="49">
        <f>AVERAGE('25.10 HOIMA-BULIISA'!F53,'27.10 HOIMA-BULIISA'!F53,'29.10 BULIISA-HOIMA'!F53,'30.10 HOIMA-BULIISA'!F53,'28.10 BULIISA-HOIMA-24h'!F53,'28.10 HOIMA-BULIISA-24h'!F53,'31.10 HOIMA-BULIISA'!F53)</f>
        <v>1.1428571428571428</v>
      </c>
      <c r="G53" s="49">
        <f>AVERAGE('25.10 HOIMA-BULIISA'!G53,'27.10 HOIMA-BULIISA'!G53,'29.10 BULIISA-HOIMA'!G53,'30.10 HOIMA-BULIISA'!G53,'28.10 BULIISA-HOIMA-24h'!G53,'28.10 HOIMA-BULIISA-24h'!G53,'31.10 HOIMA-BULIISA'!G53)</f>
        <v>0</v>
      </c>
      <c r="H53" s="49">
        <f>AVERAGE('25.10 HOIMA-BULIISA'!H53,'27.10 HOIMA-BULIISA'!H53,'29.10 BULIISA-HOIMA'!H53,'30.10 HOIMA-BULIISA'!H53,'28.10 BULIISA-HOIMA-24h'!H53,'28.10 HOIMA-BULIISA-24h'!H53,'31.10 HOIMA-BULIISA'!H53)</f>
        <v>0</v>
      </c>
      <c r="I53" s="49">
        <f>AVERAGE('25.10 HOIMA-BULIISA'!I53,'27.10 HOIMA-BULIISA'!I53,'29.10 BULIISA-HOIMA'!I53,'30.10 HOIMA-BULIISA'!I53,'28.10 BULIISA-HOIMA-24h'!I53,'28.10 HOIMA-BULIISA-24h'!I53,'31.10 HOIMA-BULIISA'!I53)</f>
        <v>0</v>
      </c>
      <c r="J53" s="49">
        <f>AVERAGE('25.10 HOIMA-BULIISA'!J53,'27.10 HOIMA-BULIISA'!J53,'29.10 BULIISA-HOIMA'!J53,'30.10 HOIMA-BULIISA'!J53,'28.10 BULIISA-HOIMA-24h'!J53,'28.10 HOIMA-BULIISA-24h'!J53,'31.10 HOIMA-BULIISA'!J53)</f>
        <v>0</v>
      </c>
      <c r="K53" s="49">
        <f>AVERAGE('25.10 HOIMA-BULIISA'!K53,'27.10 HOIMA-BULIISA'!K53,'29.10 BULIISA-HOIMA'!K53,'30.10 HOIMA-BULIISA'!K53,'28.10 BULIISA-HOIMA-24h'!K53,'28.10 HOIMA-BULIISA-24h'!K53,'31.10 HOIMA-BULIISA'!K53)</f>
        <v>0</v>
      </c>
      <c r="L53" s="49">
        <f>AVERAGE('25.10 HOIMA-BULIISA'!L53,'27.10 HOIMA-BULIISA'!L53,'29.10 BULIISA-HOIMA'!L53,'30.10 HOIMA-BULIISA'!L53,'28.10 BULIISA-HOIMA-24h'!L53,'28.10 HOIMA-BULIISA-24h'!L53,'31.10 HOIMA-BULIISA'!L53)</f>
        <v>0</v>
      </c>
      <c r="M53" s="49">
        <f>AVERAGE('25.10 HOIMA-BULIISA'!M53,'27.10 HOIMA-BULIISA'!M53,'29.10 BULIISA-HOIMA'!M53,'30.10 HOIMA-BULIISA'!M53,'28.10 BULIISA-HOIMA-24h'!M53,'28.10 HOIMA-BULIISA-24h'!M53,'31.10 HOIMA-BULIISA'!M53)</f>
        <v>4.1428571428571432</v>
      </c>
      <c r="N53" s="49">
        <f>AVERAGE('25.10 HOIMA-BULIISA'!N53,'27.10 HOIMA-BULIISA'!N53,'29.10 BULIISA-HOIMA'!N53,'30.10 HOIMA-BULIISA'!N53,'28.10 BULIISA-HOIMA-24h'!N53,'28.10 HOIMA-BULIISA-24h'!N53,'31.10 HOIMA-BULIISA'!N53)</f>
        <v>0</v>
      </c>
      <c r="O53" s="15">
        <f t="shared" si="0"/>
        <v>2</v>
      </c>
      <c r="P53" s="15">
        <f t="shared" si="1"/>
        <v>6.1428571428571432</v>
      </c>
      <c r="R53" s="8"/>
      <c r="T53"/>
    </row>
    <row r="54" spans="2:20" ht="23.1" customHeight="1" x14ac:dyDescent="0.25">
      <c r="B54" s="23" t="s">
        <v>81</v>
      </c>
      <c r="C54" s="49">
        <f>AVERAGE('25.10 HOIMA-BULIISA'!C54,'27.10 HOIMA-BULIISA'!C54,'29.10 BULIISA-HOIMA'!C54,'30.10 HOIMA-BULIISA'!C54,'28.10 BULIISA-HOIMA-24h'!C54,'28.10 HOIMA-BULIISA-24h'!C54,'31.10 HOIMA-BULIISA'!C54)</f>
        <v>0.14285714285714285</v>
      </c>
      <c r="D54" s="49">
        <f>AVERAGE('25.10 HOIMA-BULIISA'!D54,'27.10 HOIMA-BULIISA'!D54,'29.10 BULIISA-HOIMA'!D54,'30.10 HOIMA-BULIISA'!D54,'28.10 BULIISA-HOIMA-24h'!D54,'28.10 HOIMA-BULIISA-24h'!D54,'31.10 HOIMA-BULIISA'!D54)</f>
        <v>0.42857142857142855</v>
      </c>
      <c r="E54" s="49">
        <f>AVERAGE('25.10 HOIMA-BULIISA'!E54,'27.10 HOIMA-BULIISA'!E54,'29.10 BULIISA-HOIMA'!E54,'30.10 HOIMA-BULIISA'!E54,'28.10 BULIISA-HOIMA-24h'!E54,'28.10 HOIMA-BULIISA-24h'!E54,'31.10 HOIMA-BULIISA'!E54)</f>
        <v>0.14285714285714285</v>
      </c>
      <c r="F54" s="49">
        <f>AVERAGE('25.10 HOIMA-BULIISA'!F54,'27.10 HOIMA-BULIISA'!F54,'29.10 BULIISA-HOIMA'!F54,'30.10 HOIMA-BULIISA'!F54,'28.10 BULIISA-HOIMA-24h'!F54,'28.10 HOIMA-BULIISA-24h'!F54,'31.10 HOIMA-BULIISA'!F54)</f>
        <v>0.42857142857142855</v>
      </c>
      <c r="G54" s="49">
        <f>AVERAGE('25.10 HOIMA-BULIISA'!G54,'27.10 HOIMA-BULIISA'!G54,'29.10 BULIISA-HOIMA'!G54,'30.10 HOIMA-BULIISA'!G54,'28.10 BULIISA-HOIMA-24h'!G54,'28.10 HOIMA-BULIISA-24h'!G54,'31.10 HOIMA-BULIISA'!G54)</f>
        <v>0</v>
      </c>
      <c r="H54" s="49">
        <f>AVERAGE('25.10 HOIMA-BULIISA'!H54,'27.10 HOIMA-BULIISA'!H54,'29.10 BULIISA-HOIMA'!H54,'30.10 HOIMA-BULIISA'!H54,'28.10 BULIISA-HOIMA-24h'!H54,'28.10 HOIMA-BULIISA-24h'!H54,'31.10 HOIMA-BULIISA'!H54)</f>
        <v>0</v>
      </c>
      <c r="I54" s="49">
        <f>AVERAGE('25.10 HOIMA-BULIISA'!I54,'27.10 HOIMA-BULIISA'!I54,'29.10 BULIISA-HOIMA'!I54,'30.10 HOIMA-BULIISA'!I54,'28.10 BULIISA-HOIMA-24h'!I54,'28.10 HOIMA-BULIISA-24h'!I54,'31.10 HOIMA-BULIISA'!I54)</f>
        <v>0</v>
      </c>
      <c r="J54" s="49">
        <f>AVERAGE('25.10 HOIMA-BULIISA'!J54,'27.10 HOIMA-BULIISA'!J54,'29.10 BULIISA-HOIMA'!J54,'30.10 HOIMA-BULIISA'!J54,'28.10 BULIISA-HOIMA-24h'!J54,'28.10 HOIMA-BULIISA-24h'!J54,'31.10 HOIMA-BULIISA'!J54)</f>
        <v>0</v>
      </c>
      <c r="K54" s="49">
        <f>AVERAGE('25.10 HOIMA-BULIISA'!K54,'27.10 HOIMA-BULIISA'!K54,'29.10 BULIISA-HOIMA'!K54,'30.10 HOIMA-BULIISA'!K54,'28.10 BULIISA-HOIMA-24h'!K54,'28.10 HOIMA-BULIISA-24h'!K54,'31.10 HOIMA-BULIISA'!K54)</f>
        <v>0</v>
      </c>
      <c r="L54" s="49">
        <f>AVERAGE('25.10 HOIMA-BULIISA'!L54,'27.10 HOIMA-BULIISA'!L54,'29.10 BULIISA-HOIMA'!L54,'30.10 HOIMA-BULIISA'!L54,'28.10 BULIISA-HOIMA-24h'!L54,'28.10 HOIMA-BULIISA-24h'!L54,'31.10 HOIMA-BULIISA'!L54)</f>
        <v>0</v>
      </c>
      <c r="M54" s="49">
        <f>AVERAGE('25.10 HOIMA-BULIISA'!M54,'27.10 HOIMA-BULIISA'!M54,'29.10 BULIISA-HOIMA'!M54,'30.10 HOIMA-BULIISA'!M54,'28.10 BULIISA-HOIMA-24h'!M54,'28.10 HOIMA-BULIISA-24h'!M54,'31.10 HOIMA-BULIISA'!M54)</f>
        <v>5.5714285714285712</v>
      </c>
      <c r="N54" s="49">
        <f>AVERAGE('25.10 HOIMA-BULIISA'!N54,'27.10 HOIMA-BULIISA'!N54,'29.10 BULIISA-HOIMA'!N54,'30.10 HOIMA-BULIISA'!N54,'28.10 BULIISA-HOIMA-24h'!N54,'28.10 HOIMA-BULIISA-24h'!N54,'31.10 HOIMA-BULIISA'!N54)</f>
        <v>0</v>
      </c>
      <c r="O54" s="15">
        <f t="shared" si="0"/>
        <v>1.1428571428571428</v>
      </c>
      <c r="P54" s="15">
        <f t="shared" si="1"/>
        <v>6.7142857142857135</v>
      </c>
      <c r="R54" s="8"/>
      <c r="T54"/>
    </row>
    <row r="55" spans="2:20" ht="23.1" customHeight="1" x14ac:dyDescent="0.25">
      <c r="B55" s="23" t="s">
        <v>82</v>
      </c>
      <c r="C55" s="49">
        <f>AVERAGE('25.10 HOIMA-BULIISA'!C55,'27.10 HOIMA-BULIISA'!C55,'29.10 BULIISA-HOIMA'!C55,'30.10 HOIMA-BULIISA'!C55,'28.10 BULIISA-HOIMA-24h'!C55,'28.10 HOIMA-BULIISA-24h'!C55,'31.10 HOIMA-BULIISA'!C55)</f>
        <v>0.14285714285714285</v>
      </c>
      <c r="D55" s="49">
        <f>AVERAGE('25.10 HOIMA-BULIISA'!D55,'27.10 HOIMA-BULIISA'!D55,'29.10 BULIISA-HOIMA'!D55,'30.10 HOIMA-BULIISA'!D55,'28.10 BULIISA-HOIMA-24h'!D55,'28.10 HOIMA-BULIISA-24h'!D55,'31.10 HOIMA-BULIISA'!D55)</f>
        <v>0.2857142857142857</v>
      </c>
      <c r="E55" s="49">
        <f>AVERAGE('25.10 HOIMA-BULIISA'!E55,'27.10 HOIMA-BULIISA'!E55,'29.10 BULIISA-HOIMA'!E55,'30.10 HOIMA-BULIISA'!E55,'28.10 BULIISA-HOIMA-24h'!E55,'28.10 HOIMA-BULIISA-24h'!E55,'31.10 HOIMA-BULIISA'!E55)</f>
        <v>0.7142857142857143</v>
      </c>
      <c r="F55" s="49">
        <f>AVERAGE('25.10 HOIMA-BULIISA'!F55,'27.10 HOIMA-BULIISA'!F55,'29.10 BULIISA-HOIMA'!F55,'30.10 HOIMA-BULIISA'!F55,'28.10 BULIISA-HOIMA-24h'!F55,'28.10 HOIMA-BULIISA-24h'!F55,'31.10 HOIMA-BULIISA'!F55)</f>
        <v>0.8571428571428571</v>
      </c>
      <c r="G55" s="49">
        <f>AVERAGE('25.10 HOIMA-BULIISA'!G55,'27.10 HOIMA-BULIISA'!G55,'29.10 BULIISA-HOIMA'!G55,'30.10 HOIMA-BULIISA'!G55,'28.10 BULIISA-HOIMA-24h'!G55,'28.10 HOIMA-BULIISA-24h'!G55,'31.10 HOIMA-BULIISA'!G55)</f>
        <v>0</v>
      </c>
      <c r="H55" s="49">
        <f>AVERAGE('25.10 HOIMA-BULIISA'!H55,'27.10 HOIMA-BULIISA'!H55,'29.10 BULIISA-HOIMA'!H55,'30.10 HOIMA-BULIISA'!H55,'28.10 BULIISA-HOIMA-24h'!H55,'28.10 HOIMA-BULIISA-24h'!H55,'31.10 HOIMA-BULIISA'!H55)</f>
        <v>0</v>
      </c>
      <c r="I55" s="49">
        <f>AVERAGE('25.10 HOIMA-BULIISA'!I55,'27.10 HOIMA-BULIISA'!I55,'29.10 BULIISA-HOIMA'!I55,'30.10 HOIMA-BULIISA'!I55,'28.10 BULIISA-HOIMA-24h'!I55,'28.10 HOIMA-BULIISA-24h'!I55,'31.10 HOIMA-BULIISA'!I55)</f>
        <v>0.2857142857142857</v>
      </c>
      <c r="J55" s="49">
        <f>AVERAGE('25.10 HOIMA-BULIISA'!J55,'27.10 HOIMA-BULIISA'!J55,'29.10 BULIISA-HOIMA'!J55,'30.10 HOIMA-BULIISA'!J55,'28.10 BULIISA-HOIMA-24h'!J55,'28.10 HOIMA-BULIISA-24h'!J55,'31.10 HOIMA-BULIISA'!J55)</f>
        <v>0.14285714285714285</v>
      </c>
      <c r="K55" s="49">
        <f>AVERAGE('25.10 HOIMA-BULIISA'!K55,'27.10 HOIMA-BULIISA'!K55,'29.10 BULIISA-HOIMA'!K55,'30.10 HOIMA-BULIISA'!K55,'28.10 BULIISA-HOIMA-24h'!K55,'28.10 HOIMA-BULIISA-24h'!K55,'31.10 HOIMA-BULIISA'!K55)</f>
        <v>0.2857142857142857</v>
      </c>
      <c r="L55" s="49">
        <f>AVERAGE('25.10 HOIMA-BULIISA'!L55,'27.10 HOIMA-BULIISA'!L55,'29.10 BULIISA-HOIMA'!L55,'30.10 HOIMA-BULIISA'!L55,'28.10 BULIISA-HOIMA-24h'!L55,'28.10 HOIMA-BULIISA-24h'!L55,'31.10 HOIMA-BULIISA'!L55)</f>
        <v>0</v>
      </c>
      <c r="M55" s="49">
        <f>AVERAGE('25.10 HOIMA-BULIISA'!M55,'27.10 HOIMA-BULIISA'!M55,'29.10 BULIISA-HOIMA'!M55,'30.10 HOIMA-BULIISA'!M55,'28.10 BULIISA-HOIMA-24h'!M55,'28.10 HOIMA-BULIISA-24h'!M55,'31.10 HOIMA-BULIISA'!M55)</f>
        <v>5.4285714285714288</v>
      </c>
      <c r="N55" s="49">
        <f>AVERAGE('25.10 HOIMA-BULIISA'!N55,'27.10 HOIMA-BULIISA'!N55,'29.10 BULIISA-HOIMA'!N55,'30.10 HOIMA-BULIISA'!N55,'28.10 BULIISA-HOIMA-24h'!N55,'28.10 HOIMA-BULIISA-24h'!N55,'31.10 HOIMA-BULIISA'!N55)</f>
        <v>0</v>
      </c>
      <c r="O55" s="15">
        <f t="shared" si="0"/>
        <v>2.714285714285714</v>
      </c>
      <c r="P55" s="15">
        <f t="shared" si="1"/>
        <v>8.1428571428571423</v>
      </c>
      <c r="R55" s="8"/>
      <c r="T55"/>
    </row>
    <row r="56" spans="2:20" ht="23.1" customHeight="1" x14ac:dyDescent="0.25">
      <c r="B56" s="23" t="s">
        <v>83</v>
      </c>
      <c r="C56" s="49">
        <f>AVERAGE('25.10 HOIMA-BULIISA'!C56,'27.10 HOIMA-BULIISA'!C56,'29.10 BULIISA-HOIMA'!C56,'30.10 HOIMA-BULIISA'!C56,'28.10 BULIISA-HOIMA-24h'!C56,'28.10 HOIMA-BULIISA-24h'!C56,'31.10 HOIMA-BULIISA'!C56)</f>
        <v>0.14285714285714285</v>
      </c>
      <c r="D56" s="49">
        <f>AVERAGE('25.10 HOIMA-BULIISA'!D56,'27.10 HOIMA-BULIISA'!D56,'29.10 BULIISA-HOIMA'!D56,'30.10 HOIMA-BULIISA'!D56,'28.10 BULIISA-HOIMA-24h'!D56,'28.10 HOIMA-BULIISA-24h'!D56,'31.10 HOIMA-BULIISA'!D56)</f>
        <v>0.14285714285714285</v>
      </c>
      <c r="E56" s="49">
        <f>AVERAGE('25.10 HOIMA-BULIISA'!E56,'27.10 HOIMA-BULIISA'!E56,'29.10 BULIISA-HOIMA'!E56,'30.10 HOIMA-BULIISA'!E56,'28.10 BULIISA-HOIMA-24h'!E56,'28.10 HOIMA-BULIISA-24h'!E56,'31.10 HOIMA-BULIISA'!E56)</f>
        <v>0.42857142857142855</v>
      </c>
      <c r="F56" s="49">
        <f>AVERAGE('25.10 HOIMA-BULIISA'!F56,'27.10 HOIMA-BULIISA'!F56,'29.10 BULIISA-HOIMA'!F56,'30.10 HOIMA-BULIISA'!F56,'28.10 BULIISA-HOIMA-24h'!F56,'28.10 HOIMA-BULIISA-24h'!F56,'31.10 HOIMA-BULIISA'!F56)</f>
        <v>0.8571428571428571</v>
      </c>
      <c r="G56" s="49">
        <f>AVERAGE('25.10 HOIMA-BULIISA'!G56,'27.10 HOIMA-BULIISA'!G56,'29.10 BULIISA-HOIMA'!G56,'30.10 HOIMA-BULIISA'!G56,'28.10 BULIISA-HOIMA-24h'!G56,'28.10 HOIMA-BULIISA-24h'!G56,'31.10 HOIMA-BULIISA'!G56)</f>
        <v>0</v>
      </c>
      <c r="H56" s="49">
        <f>AVERAGE('25.10 HOIMA-BULIISA'!H56,'27.10 HOIMA-BULIISA'!H56,'29.10 BULIISA-HOIMA'!H56,'30.10 HOIMA-BULIISA'!H56,'28.10 BULIISA-HOIMA-24h'!H56,'28.10 HOIMA-BULIISA-24h'!H56,'31.10 HOIMA-BULIISA'!H56)</f>
        <v>0</v>
      </c>
      <c r="I56" s="49">
        <f>AVERAGE('25.10 HOIMA-BULIISA'!I56,'27.10 HOIMA-BULIISA'!I56,'29.10 BULIISA-HOIMA'!I56,'30.10 HOIMA-BULIISA'!I56,'28.10 BULIISA-HOIMA-24h'!I56,'28.10 HOIMA-BULIISA-24h'!I56,'31.10 HOIMA-BULIISA'!I56)</f>
        <v>0.14285714285714285</v>
      </c>
      <c r="J56" s="49">
        <f>AVERAGE('25.10 HOIMA-BULIISA'!J56,'27.10 HOIMA-BULIISA'!J56,'29.10 BULIISA-HOIMA'!J56,'30.10 HOIMA-BULIISA'!J56,'28.10 BULIISA-HOIMA-24h'!J56,'28.10 HOIMA-BULIISA-24h'!J56,'31.10 HOIMA-BULIISA'!J56)</f>
        <v>0</v>
      </c>
      <c r="K56" s="49">
        <f>AVERAGE('25.10 HOIMA-BULIISA'!K56,'27.10 HOIMA-BULIISA'!K56,'29.10 BULIISA-HOIMA'!K56,'30.10 HOIMA-BULIISA'!K56,'28.10 BULIISA-HOIMA-24h'!K56,'28.10 HOIMA-BULIISA-24h'!K56,'31.10 HOIMA-BULIISA'!K56)</f>
        <v>0</v>
      </c>
      <c r="L56" s="49">
        <f>AVERAGE('25.10 HOIMA-BULIISA'!L56,'27.10 HOIMA-BULIISA'!L56,'29.10 BULIISA-HOIMA'!L56,'30.10 HOIMA-BULIISA'!L56,'28.10 BULIISA-HOIMA-24h'!L56,'28.10 HOIMA-BULIISA-24h'!L56,'31.10 HOIMA-BULIISA'!L56)</f>
        <v>0</v>
      </c>
      <c r="M56" s="49">
        <f>AVERAGE('25.10 HOIMA-BULIISA'!M56,'27.10 HOIMA-BULIISA'!M56,'29.10 BULIISA-HOIMA'!M56,'30.10 HOIMA-BULIISA'!M56,'28.10 BULIISA-HOIMA-24h'!M56,'28.10 HOIMA-BULIISA-24h'!M56,'31.10 HOIMA-BULIISA'!M56)</f>
        <v>4</v>
      </c>
      <c r="N56" s="49">
        <f>AVERAGE('25.10 HOIMA-BULIISA'!N56,'27.10 HOIMA-BULIISA'!N56,'29.10 BULIISA-HOIMA'!N56,'30.10 HOIMA-BULIISA'!N56,'28.10 BULIISA-HOIMA-24h'!N56,'28.10 HOIMA-BULIISA-24h'!N56,'31.10 HOIMA-BULIISA'!N56)</f>
        <v>0</v>
      </c>
      <c r="O56" s="15">
        <f t="shared" si="0"/>
        <v>1.714285714285714</v>
      </c>
      <c r="P56" s="15">
        <f t="shared" si="1"/>
        <v>5.7142857142857135</v>
      </c>
      <c r="R56" s="8"/>
      <c r="T56"/>
    </row>
    <row r="57" spans="2:20" ht="23.1" customHeight="1" x14ac:dyDescent="0.25">
      <c r="B57" s="23" t="s">
        <v>84</v>
      </c>
      <c r="C57" s="49">
        <f>AVERAGE('25.10 HOIMA-BULIISA'!C57,'27.10 HOIMA-BULIISA'!C57,'29.10 BULIISA-HOIMA'!C57,'30.10 HOIMA-BULIISA'!C57,'28.10 BULIISA-HOIMA-24h'!C57,'28.10 HOIMA-BULIISA-24h'!C57,'31.10 HOIMA-BULIISA'!C57)</f>
        <v>0.2857142857142857</v>
      </c>
      <c r="D57" s="49">
        <f>AVERAGE('25.10 HOIMA-BULIISA'!D57,'27.10 HOIMA-BULIISA'!D57,'29.10 BULIISA-HOIMA'!D57,'30.10 HOIMA-BULIISA'!D57,'28.10 BULIISA-HOIMA-24h'!D57,'28.10 HOIMA-BULIISA-24h'!D57,'31.10 HOIMA-BULIISA'!D57)</f>
        <v>0.14285714285714285</v>
      </c>
      <c r="E57" s="49">
        <f>AVERAGE('25.10 HOIMA-BULIISA'!E57,'27.10 HOIMA-BULIISA'!E57,'29.10 BULIISA-HOIMA'!E57,'30.10 HOIMA-BULIISA'!E57,'28.10 BULIISA-HOIMA-24h'!E57,'28.10 HOIMA-BULIISA-24h'!E57,'31.10 HOIMA-BULIISA'!E57)</f>
        <v>0</v>
      </c>
      <c r="F57" s="49">
        <f>AVERAGE('25.10 HOIMA-BULIISA'!F57,'27.10 HOIMA-BULIISA'!F57,'29.10 BULIISA-HOIMA'!F57,'30.10 HOIMA-BULIISA'!F57,'28.10 BULIISA-HOIMA-24h'!F57,'28.10 HOIMA-BULIISA-24h'!F57,'31.10 HOIMA-BULIISA'!F57)</f>
        <v>0.14285714285714285</v>
      </c>
      <c r="G57" s="49">
        <f>AVERAGE('25.10 HOIMA-BULIISA'!G57,'27.10 HOIMA-BULIISA'!G57,'29.10 BULIISA-HOIMA'!G57,'30.10 HOIMA-BULIISA'!G57,'28.10 BULIISA-HOIMA-24h'!G57,'28.10 HOIMA-BULIISA-24h'!G57,'31.10 HOIMA-BULIISA'!G57)</f>
        <v>0</v>
      </c>
      <c r="H57" s="49">
        <f>AVERAGE('25.10 HOIMA-BULIISA'!H57,'27.10 HOIMA-BULIISA'!H57,'29.10 BULIISA-HOIMA'!H57,'30.10 HOIMA-BULIISA'!H57,'28.10 BULIISA-HOIMA-24h'!H57,'28.10 HOIMA-BULIISA-24h'!H57,'31.10 HOIMA-BULIISA'!H57)</f>
        <v>0</v>
      </c>
      <c r="I57" s="49">
        <f>AVERAGE('25.10 HOIMA-BULIISA'!I57,'27.10 HOIMA-BULIISA'!I57,'29.10 BULIISA-HOIMA'!I57,'30.10 HOIMA-BULIISA'!I57,'28.10 BULIISA-HOIMA-24h'!I57,'28.10 HOIMA-BULIISA-24h'!I57,'31.10 HOIMA-BULIISA'!I57)</f>
        <v>0</v>
      </c>
      <c r="J57" s="49">
        <f>AVERAGE('25.10 HOIMA-BULIISA'!J57,'27.10 HOIMA-BULIISA'!J57,'29.10 BULIISA-HOIMA'!J57,'30.10 HOIMA-BULIISA'!J57,'28.10 BULIISA-HOIMA-24h'!J57,'28.10 HOIMA-BULIISA-24h'!J57,'31.10 HOIMA-BULIISA'!J57)</f>
        <v>0.14285714285714285</v>
      </c>
      <c r="K57" s="49">
        <f>AVERAGE('25.10 HOIMA-BULIISA'!K57,'27.10 HOIMA-BULIISA'!K57,'29.10 BULIISA-HOIMA'!K57,'30.10 HOIMA-BULIISA'!K57,'28.10 BULIISA-HOIMA-24h'!K57,'28.10 HOIMA-BULIISA-24h'!K57,'31.10 HOIMA-BULIISA'!K57)</f>
        <v>0</v>
      </c>
      <c r="L57" s="49">
        <f>AVERAGE('25.10 HOIMA-BULIISA'!L57,'27.10 HOIMA-BULIISA'!L57,'29.10 BULIISA-HOIMA'!L57,'30.10 HOIMA-BULIISA'!L57,'28.10 BULIISA-HOIMA-24h'!L57,'28.10 HOIMA-BULIISA-24h'!L57,'31.10 HOIMA-BULIISA'!L57)</f>
        <v>0</v>
      </c>
      <c r="M57" s="49">
        <f>AVERAGE('25.10 HOIMA-BULIISA'!M57,'27.10 HOIMA-BULIISA'!M57,'29.10 BULIISA-HOIMA'!M57,'30.10 HOIMA-BULIISA'!M57,'28.10 BULIISA-HOIMA-24h'!M57,'28.10 HOIMA-BULIISA-24h'!M57,'31.10 HOIMA-BULIISA'!M57)</f>
        <v>4.5714285714285712</v>
      </c>
      <c r="N57" s="49">
        <f>AVERAGE('25.10 HOIMA-BULIISA'!N57,'27.10 HOIMA-BULIISA'!N57,'29.10 BULIISA-HOIMA'!N57,'30.10 HOIMA-BULIISA'!N57,'28.10 BULIISA-HOIMA-24h'!N57,'28.10 HOIMA-BULIISA-24h'!N57,'31.10 HOIMA-BULIISA'!N57)</f>
        <v>0</v>
      </c>
      <c r="O57" s="15">
        <f t="shared" si="0"/>
        <v>0.71428571428571419</v>
      </c>
      <c r="P57" s="15">
        <f t="shared" si="1"/>
        <v>5.2857142857142856</v>
      </c>
      <c r="R57" s="8"/>
      <c r="T57"/>
    </row>
    <row r="58" spans="2:20" ht="23.1" customHeight="1" x14ac:dyDescent="0.25">
      <c r="B58" s="23" t="s">
        <v>99</v>
      </c>
      <c r="C58" s="49">
        <f>AVERAGE('26.10 HOIMA-BULIISA-24h'!C58,'28.10 HOIMA-BULIISA-24h'!C58)</f>
        <v>0</v>
      </c>
      <c r="D58" s="49">
        <f>AVERAGE('26.10 HOIMA-BULIISA-24h'!D58,'28.10 HOIMA-BULIISA-24h'!D58)</f>
        <v>0</v>
      </c>
      <c r="E58" s="49">
        <f>AVERAGE('26.10 HOIMA-BULIISA-24h'!E58,'28.10 HOIMA-BULIISA-24h'!E58)</f>
        <v>0</v>
      </c>
      <c r="F58" s="49">
        <f>AVERAGE('26.10 HOIMA-BULIISA-24h'!F58,'28.10 HOIMA-BULIISA-24h'!F58)</f>
        <v>1</v>
      </c>
      <c r="G58" s="49">
        <f>AVERAGE('26.10 HOIMA-BULIISA-24h'!G58,'28.10 HOIMA-BULIISA-24h'!G58)</f>
        <v>0</v>
      </c>
      <c r="H58" s="49">
        <f>AVERAGE('26.10 HOIMA-BULIISA-24h'!H58,'28.10 HOIMA-BULIISA-24h'!H58)</f>
        <v>0</v>
      </c>
      <c r="I58" s="49">
        <f>AVERAGE('26.10 HOIMA-BULIISA-24h'!I58,'28.10 HOIMA-BULIISA-24h'!I58)</f>
        <v>0</v>
      </c>
      <c r="J58" s="49">
        <f>AVERAGE('26.10 HOIMA-BULIISA-24h'!J58,'28.10 HOIMA-BULIISA-24h'!J58)</f>
        <v>0</v>
      </c>
      <c r="K58" s="49">
        <f>AVERAGE('26.10 HOIMA-BULIISA-24h'!K58,'28.10 HOIMA-BULIISA-24h'!K58)</f>
        <v>0</v>
      </c>
      <c r="L58" s="49">
        <f>AVERAGE('26.10 HOIMA-BULIISA-24h'!L58,'28.10 HOIMA-BULIISA-24h'!L58)</f>
        <v>0</v>
      </c>
      <c r="M58" s="49">
        <f>AVERAGE('26.10 HOIMA-BULIISA-24h'!M58,'28.10 HOIMA-BULIISA-24h'!M58)</f>
        <v>6</v>
      </c>
      <c r="N58" s="49">
        <f>AVERAGE('26.10 HOIMA-BULIISA-24h'!N58,'28.10 HOIMA-BULIISA-24h'!N58)</f>
        <v>0</v>
      </c>
      <c r="O58" s="15">
        <f t="shared" si="0"/>
        <v>1</v>
      </c>
      <c r="P58" s="15">
        <f t="shared" si="1"/>
        <v>7</v>
      </c>
      <c r="R58" s="8"/>
      <c r="T58"/>
    </row>
    <row r="59" spans="2:20" ht="23.1" customHeight="1" x14ac:dyDescent="0.25">
      <c r="B59" s="23" t="s">
        <v>100</v>
      </c>
      <c r="C59" s="49">
        <f>AVERAGE('26.10 HOIMA-BULIISA-24h'!C59,'28.10 HOIMA-BULIISA-24h'!C59)</f>
        <v>0</v>
      </c>
      <c r="D59" s="49">
        <f>AVERAGE('26.10 HOIMA-BULIISA-24h'!D59,'28.10 HOIMA-BULIISA-24h'!D59)</f>
        <v>0</v>
      </c>
      <c r="E59" s="49">
        <f>AVERAGE('26.10 HOIMA-BULIISA-24h'!E59,'28.10 HOIMA-BULIISA-24h'!E59)</f>
        <v>0</v>
      </c>
      <c r="F59" s="49">
        <f>AVERAGE('26.10 HOIMA-BULIISA-24h'!F59,'28.10 HOIMA-BULIISA-24h'!F59)</f>
        <v>1</v>
      </c>
      <c r="G59" s="49">
        <f>AVERAGE('26.10 HOIMA-BULIISA-24h'!G59,'28.10 HOIMA-BULIISA-24h'!G59)</f>
        <v>0</v>
      </c>
      <c r="H59" s="49">
        <f>AVERAGE('26.10 HOIMA-BULIISA-24h'!H59,'28.10 HOIMA-BULIISA-24h'!H59)</f>
        <v>0</v>
      </c>
      <c r="I59" s="49">
        <f>AVERAGE('26.10 HOIMA-BULIISA-24h'!I59,'28.10 HOIMA-BULIISA-24h'!I59)</f>
        <v>0</v>
      </c>
      <c r="J59" s="49">
        <f>AVERAGE('26.10 HOIMA-BULIISA-24h'!J59,'28.10 HOIMA-BULIISA-24h'!J59)</f>
        <v>0</v>
      </c>
      <c r="K59" s="49">
        <f>AVERAGE('26.10 HOIMA-BULIISA-24h'!K59,'28.10 HOIMA-BULIISA-24h'!K59)</f>
        <v>0</v>
      </c>
      <c r="L59" s="49">
        <f>AVERAGE('26.10 HOIMA-BULIISA-24h'!L59,'28.10 HOIMA-BULIISA-24h'!L59)</f>
        <v>0</v>
      </c>
      <c r="M59" s="49">
        <f>AVERAGE('26.10 HOIMA-BULIISA-24h'!M59,'28.10 HOIMA-BULIISA-24h'!M59)</f>
        <v>6</v>
      </c>
      <c r="N59" s="49">
        <f>AVERAGE('26.10 HOIMA-BULIISA-24h'!N59,'28.10 HOIMA-BULIISA-24h'!N59)</f>
        <v>0</v>
      </c>
      <c r="O59" s="15">
        <f t="shared" si="0"/>
        <v>1</v>
      </c>
      <c r="P59" s="15">
        <f t="shared" si="1"/>
        <v>7</v>
      </c>
      <c r="R59" s="8"/>
      <c r="T59"/>
    </row>
    <row r="60" spans="2:20" ht="23.1" customHeight="1" x14ac:dyDescent="0.25">
      <c r="B60" s="23" t="s">
        <v>101</v>
      </c>
      <c r="C60" s="49">
        <f>AVERAGE('26.10 HOIMA-BULIISA-24h'!C60,'28.10 HOIMA-BULIISA-24h'!C60)</f>
        <v>0</v>
      </c>
      <c r="D60" s="49">
        <f>AVERAGE('26.10 HOIMA-BULIISA-24h'!D60,'28.10 HOIMA-BULIISA-24h'!D60)</f>
        <v>0</v>
      </c>
      <c r="E60" s="49">
        <f>AVERAGE('26.10 HOIMA-BULIISA-24h'!E60,'28.10 HOIMA-BULIISA-24h'!E60)</f>
        <v>0.5</v>
      </c>
      <c r="F60" s="49">
        <f>AVERAGE('26.10 HOIMA-BULIISA-24h'!F60,'28.10 HOIMA-BULIISA-24h'!F60)</f>
        <v>0</v>
      </c>
      <c r="G60" s="49">
        <f>AVERAGE('26.10 HOIMA-BULIISA-24h'!G60,'28.10 HOIMA-BULIISA-24h'!G60)</f>
        <v>0</v>
      </c>
      <c r="H60" s="49">
        <f>AVERAGE('26.10 HOIMA-BULIISA-24h'!H60,'28.10 HOIMA-BULIISA-24h'!H60)</f>
        <v>0</v>
      </c>
      <c r="I60" s="49">
        <f>AVERAGE('26.10 HOIMA-BULIISA-24h'!I60,'28.10 HOIMA-BULIISA-24h'!I60)</f>
        <v>0</v>
      </c>
      <c r="J60" s="49">
        <f>AVERAGE('26.10 HOIMA-BULIISA-24h'!J60,'28.10 HOIMA-BULIISA-24h'!J60)</f>
        <v>0</v>
      </c>
      <c r="K60" s="49">
        <f>AVERAGE('26.10 HOIMA-BULIISA-24h'!K60,'28.10 HOIMA-BULIISA-24h'!K60)</f>
        <v>0</v>
      </c>
      <c r="L60" s="49">
        <f>AVERAGE('26.10 HOIMA-BULIISA-24h'!L60,'28.10 HOIMA-BULIISA-24h'!L60)</f>
        <v>0</v>
      </c>
      <c r="M60" s="49">
        <f>AVERAGE('26.10 HOIMA-BULIISA-24h'!M60,'28.10 HOIMA-BULIISA-24h'!M60)</f>
        <v>6</v>
      </c>
      <c r="N60" s="49">
        <f>AVERAGE('26.10 HOIMA-BULIISA-24h'!N60,'28.10 HOIMA-BULIISA-24h'!N60)</f>
        <v>0</v>
      </c>
      <c r="O60" s="15">
        <f t="shared" si="0"/>
        <v>0.5</v>
      </c>
      <c r="P60" s="15">
        <f t="shared" si="1"/>
        <v>6.5</v>
      </c>
      <c r="R60" s="8"/>
      <c r="T60"/>
    </row>
    <row r="61" spans="2:20" ht="23.1" customHeight="1" x14ac:dyDescent="0.25">
      <c r="B61" s="23" t="s">
        <v>102</v>
      </c>
      <c r="C61" s="49">
        <f>AVERAGE('26.10 HOIMA-BULIISA-24h'!C61,'28.10 HOIMA-BULIISA-24h'!C61)</f>
        <v>0</v>
      </c>
      <c r="D61" s="49">
        <f>AVERAGE('26.10 HOIMA-BULIISA-24h'!D61,'28.10 HOIMA-BULIISA-24h'!D61)</f>
        <v>0</v>
      </c>
      <c r="E61" s="49">
        <f>AVERAGE('26.10 HOIMA-BULIISA-24h'!E61,'28.10 HOIMA-BULIISA-24h'!E61)</f>
        <v>0</v>
      </c>
      <c r="F61" s="49">
        <f>AVERAGE('26.10 HOIMA-BULIISA-24h'!F61,'28.10 HOIMA-BULIISA-24h'!F61)</f>
        <v>0</v>
      </c>
      <c r="G61" s="49">
        <f>AVERAGE('26.10 HOIMA-BULIISA-24h'!G61,'28.10 HOIMA-BULIISA-24h'!G61)</f>
        <v>0</v>
      </c>
      <c r="H61" s="49">
        <f>AVERAGE('26.10 HOIMA-BULIISA-24h'!H61,'28.10 HOIMA-BULIISA-24h'!H61)</f>
        <v>0</v>
      </c>
      <c r="I61" s="49">
        <f>AVERAGE('26.10 HOIMA-BULIISA-24h'!I61,'28.10 HOIMA-BULIISA-24h'!I61)</f>
        <v>0</v>
      </c>
      <c r="J61" s="49">
        <f>AVERAGE('26.10 HOIMA-BULIISA-24h'!J61,'28.10 HOIMA-BULIISA-24h'!J61)</f>
        <v>0.5</v>
      </c>
      <c r="K61" s="49">
        <f>AVERAGE('26.10 HOIMA-BULIISA-24h'!K61,'28.10 HOIMA-BULIISA-24h'!K61)</f>
        <v>0</v>
      </c>
      <c r="L61" s="49">
        <f>AVERAGE('26.10 HOIMA-BULIISA-24h'!L61,'28.10 HOIMA-BULIISA-24h'!L61)</f>
        <v>0</v>
      </c>
      <c r="M61" s="49">
        <f>AVERAGE('26.10 HOIMA-BULIISA-24h'!M61,'28.10 HOIMA-BULIISA-24h'!M61)</f>
        <v>1.5</v>
      </c>
      <c r="N61" s="49">
        <f>AVERAGE('26.10 HOIMA-BULIISA-24h'!N61,'28.10 HOIMA-BULIISA-24h'!N61)</f>
        <v>0</v>
      </c>
      <c r="O61" s="15">
        <f t="shared" si="0"/>
        <v>0.5</v>
      </c>
      <c r="P61" s="15">
        <f t="shared" si="1"/>
        <v>2</v>
      </c>
      <c r="R61" s="8"/>
      <c r="T61"/>
    </row>
    <row r="62" spans="2:20" ht="23.1" customHeight="1" x14ac:dyDescent="0.25">
      <c r="B62" s="23" t="s">
        <v>107</v>
      </c>
      <c r="C62" s="49">
        <f>AVERAGE('26.10 HOIMA-BULIISA-24h'!C62,'28.10 HOIMA-BULIISA-24h'!C62)</f>
        <v>0</v>
      </c>
      <c r="D62" s="49">
        <f>AVERAGE('26.10 HOIMA-BULIISA-24h'!D62,'28.10 HOIMA-BULIISA-24h'!D62)</f>
        <v>0</v>
      </c>
      <c r="E62" s="49">
        <f>AVERAGE('26.10 HOIMA-BULIISA-24h'!E62,'28.10 HOIMA-BULIISA-24h'!E62)</f>
        <v>0</v>
      </c>
      <c r="F62" s="49">
        <f>AVERAGE('26.10 HOIMA-BULIISA-24h'!F62,'28.10 HOIMA-BULIISA-24h'!F62)</f>
        <v>0.5</v>
      </c>
      <c r="G62" s="49">
        <f>AVERAGE('26.10 HOIMA-BULIISA-24h'!G62,'28.10 HOIMA-BULIISA-24h'!G62)</f>
        <v>0</v>
      </c>
      <c r="H62" s="49">
        <f>AVERAGE('26.10 HOIMA-BULIISA-24h'!H62,'28.10 HOIMA-BULIISA-24h'!H62)</f>
        <v>0</v>
      </c>
      <c r="I62" s="49">
        <f>AVERAGE('26.10 HOIMA-BULIISA-24h'!I62,'28.10 HOIMA-BULIISA-24h'!I62)</f>
        <v>0</v>
      </c>
      <c r="J62" s="49">
        <f>AVERAGE('26.10 HOIMA-BULIISA-24h'!J62,'28.10 HOIMA-BULIISA-24h'!J62)</f>
        <v>0</v>
      </c>
      <c r="K62" s="49">
        <f>AVERAGE('26.10 HOIMA-BULIISA-24h'!K62,'28.10 HOIMA-BULIISA-24h'!K62)</f>
        <v>0.5</v>
      </c>
      <c r="L62" s="49">
        <f>AVERAGE('26.10 HOIMA-BULIISA-24h'!L62,'28.10 HOIMA-BULIISA-24h'!L62)</f>
        <v>0</v>
      </c>
      <c r="M62" s="49">
        <f>AVERAGE('26.10 HOIMA-BULIISA-24h'!M62,'28.10 HOIMA-BULIISA-24h'!M62)</f>
        <v>1.5</v>
      </c>
      <c r="N62" s="49">
        <f>AVERAGE('26.10 HOIMA-BULIISA-24h'!N62,'28.10 HOIMA-BULIISA-24h'!N62)</f>
        <v>0</v>
      </c>
      <c r="O62" s="15">
        <f t="shared" si="0"/>
        <v>1</v>
      </c>
      <c r="P62" s="15">
        <f t="shared" si="1"/>
        <v>2.5</v>
      </c>
      <c r="R62" s="8"/>
      <c r="T62"/>
    </row>
    <row r="63" spans="2:20" ht="23.1" customHeight="1" x14ac:dyDescent="0.25">
      <c r="B63" s="23" t="s">
        <v>108</v>
      </c>
      <c r="C63" s="49">
        <f>AVERAGE('26.10 HOIMA-BULIISA-24h'!C63,'28.10 HOIMA-BULIISA-24h'!C63)</f>
        <v>0</v>
      </c>
      <c r="D63" s="49">
        <f>AVERAGE('26.10 HOIMA-BULIISA-24h'!D63,'28.10 HOIMA-BULIISA-24h'!D63)</f>
        <v>0</v>
      </c>
      <c r="E63" s="49">
        <f>AVERAGE('26.10 HOIMA-BULIISA-24h'!E63,'28.10 HOIMA-BULIISA-24h'!E63)</f>
        <v>0</v>
      </c>
      <c r="F63" s="49">
        <f>AVERAGE('26.10 HOIMA-BULIISA-24h'!F63,'28.10 HOIMA-BULIISA-24h'!F63)</f>
        <v>0</v>
      </c>
      <c r="G63" s="49">
        <f>AVERAGE('26.10 HOIMA-BULIISA-24h'!G63,'28.10 HOIMA-BULIISA-24h'!G63)</f>
        <v>0</v>
      </c>
      <c r="H63" s="49">
        <f>AVERAGE('26.10 HOIMA-BULIISA-24h'!H63,'28.10 HOIMA-BULIISA-24h'!H63)</f>
        <v>0</v>
      </c>
      <c r="I63" s="49">
        <f>AVERAGE('26.10 HOIMA-BULIISA-24h'!I63,'28.10 HOIMA-BULIISA-24h'!I63)</f>
        <v>0</v>
      </c>
      <c r="J63" s="49">
        <f>AVERAGE('26.10 HOIMA-BULIISA-24h'!J63,'28.10 HOIMA-BULIISA-24h'!J63)</f>
        <v>0</v>
      </c>
      <c r="K63" s="49">
        <f>AVERAGE('26.10 HOIMA-BULIISA-24h'!K63,'28.10 HOIMA-BULIISA-24h'!K63)</f>
        <v>0</v>
      </c>
      <c r="L63" s="49">
        <f>AVERAGE('26.10 HOIMA-BULIISA-24h'!L63,'28.10 HOIMA-BULIISA-24h'!L63)</f>
        <v>0</v>
      </c>
      <c r="M63" s="49">
        <f>AVERAGE('26.10 HOIMA-BULIISA-24h'!M63,'28.10 HOIMA-BULIISA-24h'!M63)</f>
        <v>2.5</v>
      </c>
      <c r="N63" s="49">
        <f>AVERAGE('26.10 HOIMA-BULIISA-24h'!N63,'28.10 HOIMA-BULIISA-24h'!N63)</f>
        <v>0</v>
      </c>
      <c r="O63" s="15">
        <f t="shared" si="0"/>
        <v>0</v>
      </c>
      <c r="P63" s="15">
        <f t="shared" si="1"/>
        <v>2.5</v>
      </c>
      <c r="R63" s="8"/>
      <c r="T63"/>
    </row>
    <row r="64" spans="2:20" ht="23.1" customHeight="1" x14ac:dyDescent="0.25">
      <c r="B64" s="23" t="s">
        <v>109</v>
      </c>
      <c r="C64" s="49">
        <f>AVERAGE('26.10 HOIMA-BULIISA-24h'!C64,'28.10 HOIMA-BULIISA-24h'!C64)</f>
        <v>0</v>
      </c>
      <c r="D64" s="49">
        <f>AVERAGE('26.10 HOIMA-BULIISA-24h'!D64,'28.10 HOIMA-BULIISA-24h'!D64)</f>
        <v>0.5</v>
      </c>
      <c r="E64" s="49">
        <f>AVERAGE('26.10 HOIMA-BULIISA-24h'!E64,'28.10 HOIMA-BULIISA-24h'!E64)</f>
        <v>0</v>
      </c>
      <c r="F64" s="49">
        <f>AVERAGE('26.10 HOIMA-BULIISA-24h'!F64,'28.10 HOIMA-BULIISA-24h'!F64)</f>
        <v>1</v>
      </c>
      <c r="G64" s="49">
        <f>AVERAGE('26.10 HOIMA-BULIISA-24h'!G64,'28.10 HOIMA-BULIISA-24h'!G64)</f>
        <v>0</v>
      </c>
      <c r="H64" s="49">
        <f>AVERAGE('26.10 HOIMA-BULIISA-24h'!H64,'28.10 HOIMA-BULIISA-24h'!H64)</f>
        <v>0</v>
      </c>
      <c r="I64" s="49">
        <f>AVERAGE('26.10 HOIMA-BULIISA-24h'!I64,'28.10 HOIMA-BULIISA-24h'!I64)</f>
        <v>0</v>
      </c>
      <c r="J64" s="49">
        <f>AVERAGE('26.10 HOIMA-BULIISA-24h'!J64,'28.10 HOIMA-BULIISA-24h'!J64)</f>
        <v>0</v>
      </c>
      <c r="K64" s="49">
        <f>AVERAGE('26.10 HOIMA-BULIISA-24h'!K64,'28.10 HOIMA-BULIISA-24h'!K64)</f>
        <v>0</v>
      </c>
      <c r="L64" s="49">
        <f>AVERAGE('26.10 HOIMA-BULIISA-24h'!L64,'28.10 HOIMA-BULIISA-24h'!L64)</f>
        <v>0</v>
      </c>
      <c r="M64" s="49">
        <f>AVERAGE('26.10 HOIMA-BULIISA-24h'!M64,'28.10 HOIMA-BULIISA-24h'!M64)</f>
        <v>3.5</v>
      </c>
      <c r="N64" s="49">
        <f>AVERAGE('26.10 HOIMA-BULIISA-24h'!N64,'28.10 HOIMA-BULIISA-24h'!N64)</f>
        <v>0</v>
      </c>
      <c r="O64" s="15">
        <f t="shared" si="0"/>
        <v>1.5</v>
      </c>
      <c r="P64" s="15">
        <f t="shared" si="1"/>
        <v>5</v>
      </c>
      <c r="R64" s="8"/>
      <c r="T64"/>
    </row>
    <row r="65" spans="2:20" ht="23.1" customHeight="1" x14ac:dyDescent="0.25">
      <c r="B65" s="23" t="s">
        <v>158</v>
      </c>
      <c r="C65" s="49">
        <f>AVERAGE('26.10 HOIMA-BULIISA-24h'!C65,'28.10 HOIMA-BULIISA-24h'!C65)</f>
        <v>0.5</v>
      </c>
      <c r="D65" s="49">
        <f>AVERAGE('26.10 HOIMA-BULIISA-24h'!D65,'28.10 HOIMA-BULIISA-24h'!D65)</f>
        <v>0</v>
      </c>
      <c r="E65" s="49">
        <f>AVERAGE('26.10 HOIMA-BULIISA-24h'!E65,'28.10 HOIMA-BULIISA-24h'!E65)</f>
        <v>0</v>
      </c>
      <c r="F65" s="49">
        <f>AVERAGE('26.10 HOIMA-BULIISA-24h'!F65,'28.10 HOIMA-BULIISA-24h'!F65)</f>
        <v>0</v>
      </c>
      <c r="G65" s="49">
        <f>AVERAGE('26.10 HOIMA-BULIISA-24h'!G65,'28.10 HOIMA-BULIISA-24h'!G65)</f>
        <v>0</v>
      </c>
      <c r="H65" s="49">
        <f>AVERAGE('26.10 HOIMA-BULIISA-24h'!H65,'28.10 HOIMA-BULIISA-24h'!H65)</f>
        <v>0</v>
      </c>
      <c r="I65" s="49">
        <f>AVERAGE('26.10 HOIMA-BULIISA-24h'!I65,'28.10 HOIMA-BULIISA-24h'!I65)</f>
        <v>0</v>
      </c>
      <c r="J65" s="49">
        <f>AVERAGE('26.10 HOIMA-BULIISA-24h'!J65,'28.10 HOIMA-BULIISA-24h'!J65)</f>
        <v>0.5</v>
      </c>
      <c r="K65" s="49">
        <f>AVERAGE('26.10 HOIMA-BULIISA-24h'!K65,'28.10 HOIMA-BULIISA-24h'!K65)</f>
        <v>0</v>
      </c>
      <c r="L65" s="49">
        <f>AVERAGE('26.10 HOIMA-BULIISA-24h'!L65,'28.10 HOIMA-BULIISA-24h'!L65)</f>
        <v>0</v>
      </c>
      <c r="M65" s="49">
        <f>AVERAGE('26.10 HOIMA-BULIISA-24h'!M65,'28.10 HOIMA-BULIISA-24h'!M65)</f>
        <v>3.5</v>
      </c>
      <c r="N65" s="49">
        <f>AVERAGE('26.10 HOIMA-BULIISA-24h'!N65,'28.10 HOIMA-BULIISA-24h'!N65)</f>
        <v>0</v>
      </c>
      <c r="O65" s="15">
        <f t="shared" si="0"/>
        <v>1</v>
      </c>
      <c r="P65" s="15">
        <f t="shared" si="1"/>
        <v>4.5</v>
      </c>
      <c r="R65" s="8"/>
      <c r="T65"/>
    </row>
    <row r="66" spans="2:20" ht="23.1" customHeight="1" x14ac:dyDescent="0.25">
      <c r="B66" s="23" t="s">
        <v>103</v>
      </c>
      <c r="C66" s="49">
        <f>AVERAGE('26.10 HOIMA-BULIISA-24h'!C66,'28.10 HOIMA-BULIISA-24h'!C66)</f>
        <v>0</v>
      </c>
      <c r="D66" s="49">
        <f>AVERAGE('26.10 HOIMA-BULIISA-24h'!D66,'28.10 HOIMA-BULIISA-24h'!D66)</f>
        <v>0</v>
      </c>
      <c r="E66" s="49">
        <f>AVERAGE('26.10 HOIMA-BULIISA-24h'!E66,'28.10 HOIMA-BULIISA-24h'!E66)</f>
        <v>0</v>
      </c>
      <c r="F66" s="49">
        <f>AVERAGE('26.10 HOIMA-BULIISA-24h'!F66,'28.10 HOIMA-BULIISA-24h'!F66)</f>
        <v>0</v>
      </c>
      <c r="G66" s="49">
        <f>AVERAGE('26.10 HOIMA-BULIISA-24h'!G66,'28.10 HOIMA-BULIISA-24h'!G66)</f>
        <v>0</v>
      </c>
      <c r="H66" s="49">
        <f>AVERAGE('26.10 HOIMA-BULIISA-24h'!H66,'28.10 HOIMA-BULIISA-24h'!H66)</f>
        <v>0</v>
      </c>
      <c r="I66" s="49">
        <f>AVERAGE('26.10 HOIMA-BULIISA-24h'!I66,'28.10 HOIMA-BULIISA-24h'!I66)</f>
        <v>0</v>
      </c>
      <c r="J66" s="49">
        <f>AVERAGE('26.10 HOIMA-BULIISA-24h'!J66,'28.10 HOIMA-BULIISA-24h'!J66)</f>
        <v>0</v>
      </c>
      <c r="K66" s="49">
        <f>AVERAGE('26.10 HOIMA-BULIISA-24h'!K66,'28.10 HOIMA-BULIISA-24h'!K66)</f>
        <v>0</v>
      </c>
      <c r="L66" s="49">
        <f>AVERAGE('26.10 HOIMA-BULIISA-24h'!L66,'28.10 HOIMA-BULIISA-24h'!L66)</f>
        <v>0</v>
      </c>
      <c r="M66" s="49">
        <f>AVERAGE('26.10 HOIMA-BULIISA-24h'!M66,'28.10 HOIMA-BULIISA-24h'!M66)</f>
        <v>2.5</v>
      </c>
      <c r="N66" s="49">
        <f>AVERAGE('26.10 HOIMA-BULIISA-24h'!N66,'28.10 HOIMA-BULIISA-24h'!N66)</f>
        <v>0</v>
      </c>
      <c r="O66" s="15">
        <f t="shared" si="0"/>
        <v>0</v>
      </c>
      <c r="P66" s="15">
        <f t="shared" si="1"/>
        <v>2.5</v>
      </c>
      <c r="R66" s="8"/>
      <c r="T66"/>
    </row>
    <row r="67" spans="2:20" ht="23.1" customHeight="1" x14ac:dyDescent="0.25">
      <c r="B67" s="23" t="s">
        <v>104</v>
      </c>
      <c r="C67" s="49">
        <f>AVERAGE('26.10 HOIMA-BULIISA-24h'!C67,'28.10 HOIMA-BULIISA-24h'!C67)</f>
        <v>0</v>
      </c>
      <c r="D67" s="49">
        <f>AVERAGE('26.10 HOIMA-BULIISA-24h'!D67,'28.10 HOIMA-BULIISA-24h'!D67)</f>
        <v>0</v>
      </c>
      <c r="E67" s="49">
        <f>AVERAGE('26.10 HOIMA-BULIISA-24h'!E67,'28.10 HOIMA-BULIISA-24h'!E67)</f>
        <v>0</v>
      </c>
      <c r="F67" s="49">
        <f>AVERAGE('26.10 HOIMA-BULIISA-24h'!F67,'28.10 HOIMA-BULIISA-24h'!F67)</f>
        <v>1</v>
      </c>
      <c r="G67" s="49">
        <f>AVERAGE('26.10 HOIMA-BULIISA-24h'!G67,'28.10 HOIMA-BULIISA-24h'!G67)</f>
        <v>0</v>
      </c>
      <c r="H67" s="49">
        <f>AVERAGE('26.10 HOIMA-BULIISA-24h'!H67,'28.10 HOIMA-BULIISA-24h'!H67)</f>
        <v>0</v>
      </c>
      <c r="I67" s="49">
        <f>AVERAGE('26.10 HOIMA-BULIISA-24h'!I67,'28.10 HOIMA-BULIISA-24h'!I67)</f>
        <v>0</v>
      </c>
      <c r="J67" s="49">
        <f>AVERAGE('26.10 HOIMA-BULIISA-24h'!J67,'28.10 HOIMA-BULIISA-24h'!J67)</f>
        <v>0</v>
      </c>
      <c r="K67" s="49">
        <f>AVERAGE('26.10 HOIMA-BULIISA-24h'!K67,'28.10 HOIMA-BULIISA-24h'!K67)</f>
        <v>0</v>
      </c>
      <c r="L67" s="49">
        <f>AVERAGE('26.10 HOIMA-BULIISA-24h'!L67,'28.10 HOIMA-BULIISA-24h'!L67)</f>
        <v>0</v>
      </c>
      <c r="M67" s="49">
        <f>AVERAGE('26.10 HOIMA-BULIISA-24h'!M67,'28.10 HOIMA-BULIISA-24h'!M67)</f>
        <v>3</v>
      </c>
      <c r="N67" s="49">
        <f>AVERAGE('26.10 HOIMA-BULIISA-24h'!N67,'28.10 HOIMA-BULIISA-24h'!N67)</f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23" t="s">
        <v>105</v>
      </c>
      <c r="C68" s="49">
        <f>AVERAGE('26.10 HOIMA-BULIISA-24h'!C68,'28.10 HOIMA-BULIISA-24h'!C68)</f>
        <v>0</v>
      </c>
      <c r="D68" s="49">
        <f>AVERAGE('26.10 HOIMA-BULIISA-24h'!D68,'28.10 HOIMA-BULIISA-24h'!D68)</f>
        <v>0</v>
      </c>
      <c r="E68" s="49">
        <f>AVERAGE('26.10 HOIMA-BULIISA-24h'!E68,'28.10 HOIMA-BULIISA-24h'!E68)</f>
        <v>0</v>
      </c>
      <c r="F68" s="49">
        <f>AVERAGE('26.10 HOIMA-BULIISA-24h'!F68,'28.10 HOIMA-BULIISA-24h'!F68)</f>
        <v>0</v>
      </c>
      <c r="G68" s="49">
        <f>AVERAGE('26.10 HOIMA-BULIISA-24h'!G68,'28.10 HOIMA-BULIISA-24h'!G68)</f>
        <v>0</v>
      </c>
      <c r="H68" s="49">
        <f>AVERAGE('26.10 HOIMA-BULIISA-24h'!H68,'28.10 HOIMA-BULIISA-24h'!H68)</f>
        <v>0</v>
      </c>
      <c r="I68" s="49">
        <f>AVERAGE('26.10 HOIMA-BULIISA-24h'!I68,'28.10 HOIMA-BULIISA-24h'!I68)</f>
        <v>0</v>
      </c>
      <c r="J68" s="49">
        <f>AVERAGE('26.10 HOIMA-BULIISA-24h'!J68,'28.10 HOIMA-BULIISA-24h'!J68)</f>
        <v>0</v>
      </c>
      <c r="K68" s="49">
        <f>AVERAGE('26.10 HOIMA-BULIISA-24h'!K68,'28.10 HOIMA-BULIISA-24h'!K68)</f>
        <v>0</v>
      </c>
      <c r="L68" s="49">
        <f>AVERAGE('26.10 HOIMA-BULIISA-24h'!L68,'28.10 HOIMA-BULIISA-24h'!L68)</f>
        <v>0</v>
      </c>
      <c r="M68" s="49">
        <f>AVERAGE('26.10 HOIMA-BULIISA-24h'!M68,'28.10 HOIMA-BULIISA-24h'!M68)</f>
        <v>4</v>
      </c>
      <c r="N68" s="49">
        <f>AVERAGE('26.10 HOIMA-BULIISA-24h'!N68,'28.10 HOIMA-BULIISA-24h'!N68)</f>
        <v>0</v>
      </c>
      <c r="O68" s="15">
        <f t="shared" si="0"/>
        <v>0</v>
      </c>
      <c r="P68" s="15">
        <f t="shared" si="1"/>
        <v>4</v>
      </c>
      <c r="R68" s="8"/>
      <c r="T68"/>
    </row>
    <row r="69" spans="2:20" ht="23.1" customHeight="1" x14ac:dyDescent="0.25">
      <c r="B69" s="23" t="s">
        <v>106</v>
      </c>
      <c r="C69" s="49">
        <f>AVERAGE('26.10 HOIMA-BULIISA-24h'!C69,'28.10 HOIMA-BULIISA-24h'!C69)</f>
        <v>0</v>
      </c>
      <c r="D69" s="49">
        <f>AVERAGE('26.10 HOIMA-BULIISA-24h'!D69,'28.10 HOIMA-BULIISA-24h'!D69)</f>
        <v>0</v>
      </c>
      <c r="E69" s="49">
        <f>AVERAGE('26.10 HOIMA-BULIISA-24h'!E69,'28.10 HOIMA-BULIISA-24h'!E69)</f>
        <v>0</v>
      </c>
      <c r="F69" s="49">
        <f>AVERAGE('26.10 HOIMA-BULIISA-24h'!F69,'28.10 HOIMA-BULIISA-24h'!F69)</f>
        <v>0</v>
      </c>
      <c r="G69" s="49">
        <f>AVERAGE('26.10 HOIMA-BULIISA-24h'!G69,'28.10 HOIMA-BULIISA-24h'!G69)</f>
        <v>0</v>
      </c>
      <c r="H69" s="49">
        <f>AVERAGE('26.10 HOIMA-BULIISA-24h'!H69,'28.10 HOIMA-BULIISA-24h'!H69)</f>
        <v>0</v>
      </c>
      <c r="I69" s="49">
        <f>AVERAGE('26.10 HOIMA-BULIISA-24h'!I69,'28.10 HOIMA-BULIISA-24h'!I69)</f>
        <v>0</v>
      </c>
      <c r="J69" s="49">
        <f>AVERAGE('26.10 HOIMA-BULIISA-24h'!J69,'28.10 HOIMA-BULIISA-24h'!J69)</f>
        <v>0</v>
      </c>
      <c r="K69" s="49">
        <f>AVERAGE('26.10 HOIMA-BULIISA-24h'!K69,'28.10 HOIMA-BULIISA-24h'!K69)</f>
        <v>0</v>
      </c>
      <c r="L69" s="49">
        <f>AVERAGE('26.10 HOIMA-BULIISA-24h'!L69,'28.10 HOIMA-BULIISA-24h'!L69)</f>
        <v>0</v>
      </c>
      <c r="M69" s="49">
        <f>AVERAGE('26.10 HOIMA-BULIISA-24h'!M69,'28.10 HOIMA-BULIISA-24h'!M69)</f>
        <v>1.5</v>
      </c>
      <c r="N69" s="49">
        <f>AVERAGE('26.10 HOIMA-BULIISA-24h'!N69,'28.10 HOIMA-BULIISA-24h'!N69)</f>
        <v>0</v>
      </c>
      <c r="O69" s="15">
        <f t="shared" si="0"/>
        <v>0</v>
      </c>
      <c r="P69" s="15">
        <f t="shared" si="1"/>
        <v>1.5</v>
      </c>
      <c r="R69" s="8"/>
      <c r="T69"/>
    </row>
    <row r="70" spans="2:20" ht="23.1" customHeight="1" x14ac:dyDescent="0.25">
      <c r="B70" s="23" t="s">
        <v>110</v>
      </c>
      <c r="C70" s="49">
        <f>AVERAGE('26.10 HOIMA-BULIISA-24h'!C70,'28.10 HOIMA-BULIISA-24h'!C70)</f>
        <v>0</v>
      </c>
      <c r="D70" s="49">
        <f>AVERAGE('26.10 HOIMA-BULIISA-24h'!D70,'28.10 HOIMA-BULIISA-24h'!D70)</f>
        <v>0</v>
      </c>
      <c r="E70" s="49">
        <f>AVERAGE('26.10 HOIMA-BULIISA-24h'!E70,'28.10 HOIMA-BULIISA-24h'!E70)</f>
        <v>0</v>
      </c>
      <c r="F70" s="49">
        <f>AVERAGE('26.10 HOIMA-BULIISA-24h'!F70,'28.10 HOIMA-BULIISA-24h'!F70)</f>
        <v>0</v>
      </c>
      <c r="G70" s="49">
        <f>AVERAGE('26.10 HOIMA-BULIISA-24h'!G70,'28.10 HOIMA-BULIISA-24h'!G70)</f>
        <v>0</v>
      </c>
      <c r="H70" s="49">
        <f>AVERAGE('26.10 HOIMA-BULIISA-24h'!H70,'28.10 HOIMA-BULIISA-24h'!H70)</f>
        <v>0</v>
      </c>
      <c r="I70" s="49">
        <f>AVERAGE('26.10 HOIMA-BULIISA-24h'!I70,'28.10 HOIMA-BULIISA-24h'!I70)</f>
        <v>0</v>
      </c>
      <c r="J70" s="49">
        <f>AVERAGE('26.10 HOIMA-BULIISA-24h'!J70,'28.10 HOIMA-BULIISA-24h'!J70)</f>
        <v>0</v>
      </c>
      <c r="K70" s="49">
        <f>AVERAGE('26.10 HOIMA-BULIISA-24h'!K70,'28.10 HOIMA-BULIISA-24h'!K70)</f>
        <v>0</v>
      </c>
      <c r="L70" s="49">
        <f>AVERAGE('26.10 HOIMA-BULIISA-24h'!L70,'28.10 HOIMA-BULIISA-24h'!L70)</f>
        <v>0</v>
      </c>
      <c r="M70" s="49">
        <f>AVERAGE('26.10 HOIMA-BULIISA-24h'!M70,'28.10 HOIMA-BULIISA-24h'!M70)</f>
        <v>0</v>
      </c>
      <c r="N70" s="49">
        <f>AVERAGE('26.10 HOIMA-BULIISA-24h'!N70,'28.10 HOIMA-BULIISA-24h'!N70)</f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23" t="s">
        <v>111</v>
      </c>
      <c r="C71" s="49">
        <f>AVERAGE('26.10 HOIMA-BULIISA-24h'!C71,'28.10 HOIMA-BULIISA-24h'!C71)</f>
        <v>0</v>
      </c>
      <c r="D71" s="49">
        <f>AVERAGE('26.10 HOIMA-BULIISA-24h'!D71,'28.10 HOIMA-BULIISA-24h'!D71)</f>
        <v>0</v>
      </c>
      <c r="E71" s="49">
        <f>AVERAGE('26.10 HOIMA-BULIISA-24h'!E71,'28.10 HOIMA-BULIISA-24h'!E71)</f>
        <v>0</v>
      </c>
      <c r="F71" s="49">
        <f>AVERAGE('26.10 HOIMA-BULIISA-24h'!F71,'28.10 HOIMA-BULIISA-24h'!F71)</f>
        <v>0.5</v>
      </c>
      <c r="G71" s="49">
        <f>AVERAGE('26.10 HOIMA-BULIISA-24h'!G71,'28.10 HOIMA-BULIISA-24h'!G71)</f>
        <v>0</v>
      </c>
      <c r="H71" s="49">
        <f>AVERAGE('26.10 HOIMA-BULIISA-24h'!H71,'28.10 HOIMA-BULIISA-24h'!H71)</f>
        <v>0</v>
      </c>
      <c r="I71" s="49">
        <f>AVERAGE('26.10 HOIMA-BULIISA-24h'!I71,'28.10 HOIMA-BULIISA-24h'!I71)</f>
        <v>0</v>
      </c>
      <c r="J71" s="49">
        <f>AVERAGE('26.10 HOIMA-BULIISA-24h'!J71,'28.10 HOIMA-BULIISA-24h'!J71)</f>
        <v>0</v>
      </c>
      <c r="K71" s="49">
        <f>AVERAGE('26.10 HOIMA-BULIISA-24h'!K71,'28.10 HOIMA-BULIISA-24h'!K71)</f>
        <v>1</v>
      </c>
      <c r="L71" s="49">
        <f>AVERAGE('26.10 HOIMA-BULIISA-24h'!L71,'28.10 HOIMA-BULIISA-24h'!L71)</f>
        <v>0</v>
      </c>
      <c r="M71" s="49">
        <f>AVERAGE('26.10 HOIMA-BULIISA-24h'!M71,'28.10 HOIMA-BULIISA-24h'!M71)</f>
        <v>1.5</v>
      </c>
      <c r="N71" s="49">
        <f>AVERAGE('26.10 HOIMA-BULIISA-24h'!N71,'28.10 HOIMA-BULIISA-24h'!N71)</f>
        <v>0</v>
      </c>
      <c r="O71" s="15">
        <f t="shared" si="0"/>
        <v>1.5</v>
      </c>
      <c r="P71" s="15">
        <f t="shared" si="1"/>
        <v>3</v>
      </c>
      <c r="R71" s="8"/>
      <c r="T71"/>
    </row>
    <row r="72" spans="2:20" ht="23.1" customHeight="1" x14ac:dyDescent="0.25">
      <c r="B72" s="23" t="s">
        <v>112</v>
      </c>
      <c r="C72" s="49">
        <f>AVERAGE('26.10 HOIMA-BULIISA-24h'!C72,'28.10 HOIMA-BULIISA-24h'!C72)</f>
        <v>0</v>
      </c>
      <c r="D72" s="49">
        <f>AVERAGE('26.10 HOIMA-BULIISA-24h'!D72,'28.10 HOIMA-BULIISA-24h'!D72)</f>
        <v>0.5</v>
      </c>
      <c r="E72" s="49">
        <f>AVERAGE('26.10 HOIMA-BULIISA-24h'!E72,'28.10 HOIMA-BULIISA-24h'!E72)</f>
        <v>0</v>
      </c>
      <c r="F72" s="49">
        <f>AVERAGE('26.10 HOIMA-BULIISA-24h'!F72,'28.10 HOIMA-BULIISA-24h'!F72)</f>
        <v>0.5</v>
      </c>
      <c r="G72" s="49">
        <f>AVERAGE('26.10 HOIMA-BULIISA-24h'!G72,'28.10 HOIMA-BULIISA-24h'!G72)</f>
        <v>0</v>
      </c>
      <c r="H72" s="49">
        <f>AVERAGE('26.10 HOIMA-BULIISA-24h'!H72,'28.10 HOIMA-BULIISA-24h'!H72)</f>
        <v>0</v>
      </c>
      <c r="I72" s="49">
        <f>AVERAGE('26.10 HOIMA-BULIISA-24h'!I72,'28.10 HOIMA-BULIISA-24h'!I72)</f>
        <v>0</v>
      </c>
      <c r="J72" s="49">
        <f>AVERAGE('26.10 HOIMA-BULIISA-24h'!J72,'28.10 HOIMA-BULIISA-24h'!J72)</f>
        <v>0</v>
      </c>
      <c r="K72" s="49">
        <f>AVERAGE('26.10 HOIMA-BULIISA-24h'!K72,'28.10 HOIMA-BULIISA-24h'!K72)</f>
        <v>0</v>
      </c>
      <c r="L72" s="49">
        <f>AVERAGE('26.10 HOIMA-BULIISA-24h'!L72,'28.10 HOIMA-BULIISA-24h'!L72)</f>
        <v>0</v>
      </c>
      <c r="M72" s="49">
        <f>AVERAGE('26.10 HOIMA-BULIISA-24h'!M72,'28.10 HOIMA-BULIISA-24h'!M72)</f>
        <v>1.5</v>
      </c>
      <c r="N72" s="49">
        <f>AVERAGE('26.10 HOIMA-BULIISA-24h'!N72,'28.10 HOIMA-BULIISA-24h'!N72)</f>
        <v>0</v>
      </c>
      <c r="O72" s="15">
        <f t="shared" si="0"/>
        <v>1</v>
      </c>
      <c r="P72" s="15">
        <f t="shared" si="1"/>
        <v>2.5</v>
      </c>
      <c r="R72" s="8"/>
      <c r="T72"/>
    </row>
    <row r="73" spans="2:20" ht="23.1" customHeight="1" x14ac:dyDescent="0.25">
      <c r="B73" s="23" t="s">
        <v>113</v>
      </c>
      <c r="C73" s="49">
        <f>AVERAGE('26.10 HOIMA-BULIISA-24h'!C73,'28.10 HOIMA-BULIISA-24h'!C73)</f>
        <v>0</v>
      </c>
      <c r="D73" s="49">
        <f>AVERAGE('26.10 HOIMA-BULIISA-24h'!D73,'28.10 HOIMA-BULIISA-24h'!D73)</f>
        <v>0</v>
      </c>
      <c r="E73" s="49">
        <f>AVERAGE('26.10 HOIMA-BULIISA-24h'!E73,'28.10 HOIMA-BULIISA-24h'!E73)</f>
        <v>0</v>
      </c>
      <c r="F73" s="49">
        <f>AVERAGE('26.10 HOIMA-BULIISA-24h'!F73,'28.10 HOIMA-BULIISA-24h'!F73)</f>
        <v>0</v>
      </c>
      <c r="G73" s="49">
        <f>AVERAGE('26.10 HOIMA-BULIISA-24h'!G73,'28.10 HOIMA-BULIISA-24h'!G73)</f>
        <v>0</v>
      </c>
      <c r="H73" s="49">
        <f>AVERAGE('26.10 HOIMA-BULIISA-24h'!H73,'28.10 HOIMA-BULIISA-24h'!H73)</f>
        <v>0</v>
      </c>
      <c r="I73" s="49">
        <f>AVERAGE('26.10 HOIMA-BULIISA-24h'!I73,'28.10 HOIMA-BULIISA-24h'!I73)</f>
        <v>0</v>
      </c>
      <c r="J73" s="49">
        <f>AVERAGE('26.10 HOIMA-BULIISA-24h'!J73,'28.10 HOIMA-BULIISA-24h'!J73)</f>
        <v>0.5</v>
      </c>
      <c r="K73" s="49">
        <f>AVERAGE('26.10 HOIMA-BULIISA-24h'!K73,'28.10 HOIMA-BULIISA-24h'!K73)</f>
        <v>0</v>
      </c>
      <c r="L73" s="49">
        <f>AVERAGE('26.10 HOIMA-BULIISA-24h'!L73,'28.10 HOIMA-BULIISA-24h'!L73)</f>
        <v>0</v>
      </c>
      <c r="M73" s="49">
        <f>AVERAGE('26.10 HOIMA-BULIISA-24h'!M73,'28.10 HOIMA-BULIISA-24h'!M73)</f>
        <v>0</v>
      </c>
      <c r="N73" s="49">
        <f>AVERAGE('26.10 HOIMA-BULIISA-24h'!N73,'28.10 HOIMA-BULIISA-24h'!N73)</f>
        <v>0</v>
      </c>
      <c r="O73" s="15">
        <f t="shared" si="0"/>
        <v>0.5</v>
      </c>
      <c r="P73" s="15">
        <f t="shared" si="1"/>
        <v>0.5</v>
      </c>
      <c r="R73" s="8"/>
      <c r="T73"/>
    </row>
    <row r="74" spans="2:20" ht="23.1" customHeight="1" x14ac:dyDescent="0.25">
      <c r="B74" s="23" t="s">
        <v>114</v>
      </c>
      <c r="C74" s="49">
        <f>AVERAGE('26.10 HOIMA-BULIISA-24h'!C74,'28.10 HOIMA-BULIISA-24h'!C74)</f>
        <v>0</v>
      </c>
      <c r="D74" s="49">
        <f>AVERAGE('26.10 HOIMA-BULIISA-24h'!D74,'28.10 HOIMA-BULIISA-24h'!D74)</f>
        <v>0</v>
      </c>
      <c r="E74" s="49">
        <f>AVERAGE('26.10 HOIMA-BULIISA-24h'!E74,'28.10 HOIMA-BULIISA-24h'!E74)</f>
        <v>0</v>
      </c>
      <c r="F74" s="49">
        <f>AVERAGE('26.10 HOIMA-BULIISA-24h'!F74,'28.10 HOIMA-BULIISA-24h'!F74)</f>
        <v>0</v>
      </c>
      <c r="G74" s="49">
        <f>AVERAGE('26.10 HOIMA-BULIISA-24h'!G74,'28.10 HOIMA-BULIISA-24h'!G74)</f>
        <v>0</v>
      </c>
      <c r="H74" s="49">
        <f>AVERAGE('26.10 HOIMA-BULIISA-24h'!H74,'28.10 HOIMA-BULIISA-24h'!H74)</f>
        <v>0</v>
      </c>
      <c r="I74" s="49">
        <f>AVERAGE('26.10 HOIMA-BULIISA-24h'!I74,'28.10 HOIMA-BULIISA-24h'!I74)</f>
        <v>0</v>
      </c>
      <c r="J74" s="49">
        <f>AVERAGE('26.10 HOIMA-BULIISA-24h'!J74,'28.10 HOIMA-BULIISA-24h'!J74)</f>
        <v>0</v>
      </c>
      <c r="K74" s="49">
        <f>AVERAGE('26.10 HOIMA-BULIISA-24h'!K74,'28.10 HOIMA-BULIISA-24h'!K74)</f>
        <v>0</v>
      </c>
      <c r="L74" s="49">
        <f>AVERAGE('26.10 HOIMA-BULIISA-24h'!L74,'28.10 HOIMA-BULIISA-24h'!L74)</f>
        <v>0</v>
      </c>
      <c r="M74" s="49">
        <f>AVERAGE('26.10 HOIMA-BULIISA-24h'!M74,'28.10 HOIMA-BULIISA-24h'!M74)</f>
        <v>0</v>
      </c>
      <c r="N74" s="49">
        <f>AVERAGE('26.10 HOIMA-BULIISA-24h'!N74,'28.10 HOIMA-BULIISA-24h'!N74)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23" t="s">
        <v>115</v>
      </c>
      <c r="C75" s="49">
        <f>AVERAGE('26.10 HOIMA-BULIISA-24h'!C75,'28.10 HOIMA-BULIISA-24h'!C75)</f>
        <v>0</v>
      </c>
      <c r="D75" s="49">
        <f>AVERAGE('26.10 HOIMA-BULIISA-24h'!D75,'28.10 HOIMA-BULIISA-24h'!D75)</f>
        <v>0</v>
      </c>
      <c r="E75" s="49">
        <f>AVERAGE('26.10 HOIMA-BULIISA-24h'!E75,'28.10 HOIMA-BULIISA-24h'!E75)</f>
        <v>0</v>
      </c>
      <c r="F75" s="49">
        <f>AVERAGE('26.10 HOIMA-BULIISA-24h'!F75,'28.10 HOIMA-BULIISA-24h'!F75)</f>
        <v>0</v>
      </c>
      <c r="G75" s="49">
        <f>AVERAGE('26.10 HOIMA-BULIISA-24h'!G75,'28.10 HOIMA-BULIISA-24h'!G75)</f>
        <v>0</v>
      </c>
      <c r="H75" s="49">
        <f>AVERAGE('26.10 HOIMA-BULIISA-24h'!H75,'28.10 HOIMA-BULIISA-24h'!H75)</f>
        <v>0</v>
      </c>
      <c r="I75" s="49">
        <f>AVERAGE('26.10 HOIMA-BULIISA-24h'!I75,'28.10 HOIMA-BULIISA-24h'!I75)</f>
        <v>0</v>
      </c>
      <c r="J75" s="49">
        <f>AVERAGE('26.10 HOIMA-BULIISA-24h'!J75,'28.10 HOIMA-BULIISA-24h'!J75)</f>
        <v>0</v>
      </c>
      <c r="K75" s="49">
        <f>AVERAGE('26.10 HOIMA-BULIISA-24h'!K75,'28.10 HOIMA-BULIISA-24h'!K75)</f>
        <v>0</v>
      </c>
      <c r="L75" s="49">
        <f>AVERAGE('26.10 HOIMA-BULIISA-24h'!L75,'28.10 HOIMA-BULIISA-24h'!L75)</f>
        <v>0</v>
      </c>
      <c r="M75" s="49">
        <f>AVERAGE('26.10 HOIMA-BULIISA-24h'!M75,'28.10 HOIMA-BULIISA-24h'!M75)</f>
        <v>0.5</v>
      </c>
      <c r="N75" s="49">
        <f>AVERAGE('26.10 HOIMA-BULIISA-24h'!N75,'28.10 HOIMA-BULIISA-24h'!N75)</f>
        <v>0</v>
      </c>
      <c r="O75" s="15">
        <f t="shared" si="35"/>
        <v>0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49">
        <f>AVERAGE('26.10 HOIMA-BULIISA-24h'!C76,'28.10 HOIMA-BULIISA-24h'!C76)</f>
        <v>0</v>
      </c>
      <c r="D76" s="49">
        <f>AVERAGE('26.10 HOIMA-BULIISA-24h'!D76,'28.10 HOIMA-BULIISA-24h'!D76)</f>
        <v>0</v>
      </c>
      <c r="E76" s="49">
        <f>AVERAGE('26.10 HOIMA-BULIISA-24h'!E76,'28.10 HOIMA-BULIISA-24h'!E76)</f>
        <v>0</v>
      </c>
      <c r="F76" s="49">
        <f>AVERAGE('26.10 HOIMA-BULIISA-24h'!F76,'28.10 HOIMA-BULIISA-24h'!F76)</f>
        <v>0</v>
      </c>
      <c r="G76" s="49">
        <f>AVERAGE('26.10 HOIMA-BULIISA-24h'!G76,'28.10 HOIMA-BULIISA-24h'!G76)</f>
        <v>0</v>
      </c>
      <c r="H76" s="49">
        <f>AVERAGE('26.10 HOIMA-BULIISA-24h'!H76,'28.10 HOIMA-BULIISA-24h'!H76)</f>
        <v>0</v>
      </c>
      <c r="I76" s="49">
        <f>AVERAGE('26.10 HOIMA-BULIISA-24h'!I76,'28.10 HOIMA-BULIISA-24h'!I76)</f>
        <v>0</v>
      </c>
      <c r="J76" s="49">
        <f>AVERAGE('26.10 HOIMA-BULIISA-24h'!J76,'28.10 HOIMA-BULIISA-24h'!J76)</f>
        <v>0</v>
      </c>
      <c r="K76" s="49">
        <f>AVERAGE('26.10 HOIMA-BULIISA-24h'!K76,'28.10 HOIMA-BULIISA-24h'!K76)</f>
        <v>0</v>
      </c>
      <c r="L76" s="49">
        <f>AVERAGE('26.10 HOIMA-BULIISA-24h'!L76,'28.10 HOIMA-BULIISA-24h'!L76)</f>
        <v>0</v>
      </c>
      <c r="M76" s="49">
        <f>AVERAGE('26.10 HOIMA-BULIISA-24h'!M76,'28.10 HOIMA-BULIISA-24h'!M76)</f>
        <v>0</v>
      </c>
      <c r="N76" s="49">
        <f>AVERAGE('26.10 HOIMA-BULIISA-24h'!N76,'28.10 HOIMA-BULIISA-24h'!N76)</f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23" t="s">
        <v>117</v>
      </c>
      <c r="C77" s="49">
        <f>AVERAGE('26.10 HOIMA-BULIISA-24h'!C77,'28.10 HOIMA-BULIISA-24h'!C77)</f>
        <v>0</v>
      </c>
      <c r="D77" s="49">
        <f>AVERAGE('26.10 HOIMA-BULIISA-24h'!D77,'28.10 HOIMA-BULIISA-24h'!D77)</f>
        <v>0</v>
      </c>
      <c r="E77" s="49">
        <f>AVERAGE('26.10 HOIMA-BULIISA-24h'!E77,'28.10 HOIMA-BULIISA-24h'!E77)</f>
        <v>0</v>
      </c>
      <c r="F77" s="49">
        <f>AVERAGE('26.10 HOIMA-BULIISA-24h'!F77,'28.10 HOIMA-BULIISA-24h'!F77)</f>
        <v>0</v>
      </c>
      <c r="G77" s="49">
        <f>AVERAGE('26.10 HOIMA-BULIISA-24h'!G77,'28.10 HOIMA-BULIISA-24h'!G77)</f>
        <v>0</v>
      </c>
      <c r="H77" s="49">
        <f>AVERAGE('26.10 HOIMA-BULIISA-24h'!H77,'28.10 HOIMA-BULIISA-24h'!H77)</f>
        <v>0</v>
      </c>
      <c r="I77" s="49">
        <f>AVERAGE('26.10 HOIMA-BULIISA-24h'!I77,'28.10 HOIMA-BULIISA-24h'!I77)</f>
        <v>0</v>
      </c>
      <c r="J77" s="49">
        <f>AVERAGE('26.10 HOIMA-BULIISA-24h'!J77,'28.10 HOIMA-BULIISA-24h'!J77)</f>
        <v>0</v>
      </c>
      <c r="K77" s="49">
        <f>AVERAGE('26.10 HOIMA-BULIISA-24h'!K77,'28.10 HOIMA-BULIISA-24h'!K77)</f>
        <v>0</v>
      </c>
      <c r="L77" s="49">
        <f>AVERAGE('26.10 HOIMA-BULIISA-24h'!L77,'28.10 HOIMA-BULIISA-24h'!L77)</f>
        <v>0</v>
      </c>
      <c r="M77" s="49">
        <f>AVERAGE('26.10 HOIMA-BULIISA-24h'!M77,'28.10 HOIMA-BULIISA-24h'!M77)</f>
        <v>0</v>
      </c>
      <c r="N77" s="49">
        <f>AVERAGE('26.10 HOIMA-BULIISA-24h'!N77,'28.10 HOIMA-BULIISA-24h'!N77)</f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24" t="s">
        <v>118</v>
      </c>
      <c r="C78" s="49">
        <f>AVERAGE('26.10 HOIMA-BULIISA-24h'!C78,'28.10 HOIMA-BULIISA-24h'!C78)</f>
        <v>0</v>
      </c>
      <c r="D78" s="49">
        <f>AVERAGE('26.10 HOIMA-BULIISA-24h'!D78,'28.10 HOIMA-BULIISA-24h'!D78)</f>
        <v>0</v>
      </c>
      <c r="E78" s="49">
        <f>AVERAGE('26.10 HOIMA-BULIISA-24h'!E78,'28.10 HOIMA-BULIISA-24h'!E78)</f>
        <v>0</v>
      </c>
      <c r="F78" s="49">
        <f>AVERAGE('26.10 HOIMA-BULIISA-24h'!F78,'28.10 HOIMA-BULIISA-24h'!F78)</f>
        <v>0</v>
      </c>
      <c r="G78" s="49">
        <f>AVERAGE('26.10 HOIMA-BULIISA-24h'!G78,'28.10 HOIMA-BULIISA-24h'!G78)</f>
        <v>0</v>
      </c>
      <c r="H78" s="49">
        <f>AVERAGE('26.10 HOIMA-BULIISA-24h'!H78,'28.10 HOIMA-BULIISA-24h'!H78)</f>
        <v>0</v>
      </c>
      <c r="I78" s="49">
        <f>AVERAGE('26.10 HOIMA-BULIISA-24h'!I78,'28.10 HOIMA-BULIISA-24h'!I78)</f>
        <v>0</v>
      </c>
      <c r="J78" s="49">
        <f>AVERAGE('26.10 HOIMA-BULIISA-24h'!J78,'28.10 HOIMA-BULIISA-24h'!J78)</f>
        <v>0</v>
      </c>
      <c r="K78" s="49">
        <f>AVERAGE('26.10 HOIMA-BULIISA-24h'!K78,'28.10 HOIMA-BULIISA-24h'!K78)</f>
        <v>0</v>
      </c>
      <c r="L78" s="49">
        <f>AVERAGE('26.10 HOIMA-BULIISA-24h'!L78,'28.10 HOIMA-BULIISA-24h'!L78)</f>
        <v>0</v>
      </c>
      <c r="M78" s="49">
        <f>AVERAGE('26.10 HOIMA-BULIISA-24h'!M78,'28.10 HOIMA-BULIISA-24h'!M78)</f>
        <v>0</v>
      </c>
      <c r="N78" s="49">
        <f>AVERAGE('26.10 HOIMA-BULIISA-24h'!N78,'28.10 HOIMA-BULIISA-24h'!N78)</f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23" t="s">
        <v>119</v>
      </c>
      <c r="C79" s="49">
        <f>AVERAGE('26.10 HOIMA-BULIISA-24h'!C79,'28.10 HOIMA-BULIISA-24h'!C79)</f>
        <v>0</v>
      </c>
      <c r="D79" s="49">
        <f>AVERAGE('26.10 HOIMA-BULIISA-24h'!D79,'28.10 HOIMA-BULIISA-24h'!D79)</f>
        <v>0</v>
      </c>
      <c r="E79" s="49">
        <f>AVERAGE('26.10 HOIMA-BULIISA-24h'!E79,'28.10 HOIMA-BULIISA-24h'!E79)</f>
        <v>0</v>
      </c>
      <c r="F79" s="49">
        <f>AVERAGE('26.10 HOIMA-BULIISA-24h'!F79,'28.10 HOIMA-BULIISA-24h'!F79)</f>
        <v>0</v>
      </c>
      <c r="G79" s="49">
        <f>AVERAGE('26.10 HOIMA-BULIISA-24h'!G79,'28.10 HOIMA-BULIISA-24h'!G79)</f>
        <v>0</v>
      </c>
      <c r="H79" s="49">
        <f>AVERAGE('26.10 HOIMA-BULIISA-24h'!H79,'28.10 HOIMA-BULIISA-24h'!H79)</f>
        <v>0</v>
      </c>
      <c r="I79" s="49">
        <f>AVERAGE('26.10 HOIMA-BULIISA-24h'!I79,'28.10 HOIMA-BULIISA-24h'!I79)</f>
        <v>0</v>
      </c>
      <c r="J79" s="49">
        <f>AVERAGE('26.10 HOIMA-BULIISA-24h'!J79,'28.10 HOIMA-BULIISA-24h'!J79)</f>
        <v>0</v>
      </c>
      <c r="K79" s="49">
        <f>AVERAGE('26.10 HOIMA-BULIISA-24h'!K79,'28.10 HOIMA-BULIISA-24h'!K79)</f>
        <v>0</v>
      </c>
      <c r="L79" s="49">
        <f>AVERAGE('26.10 HOIMA-BULIISA-24h'!L79,'28.10 HOIMA-BULIISA-24h'!L79)</f>
        <v>0</v>
      </c>
      <c r="M79" s="49">
        <f>AVERAGE('26.10 HOIMA-BULIISA-24h'!M79,'28.10 HOIMA-BULIISA-24h'!M79)</f>
        <v>0</v>
      </c>
      <c r="N79" s="49">
        <f>AVERAGE('26.10 HOIMA-BULIISA-24h'!N79,'28.10 HOIMA-BULIISA-24h'!N79)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AVERAGE('26.10 HOIMA-BULIISA-24h'!C80,'28.10 HOIMA-BULIISA-24h'!C80)</f>
        <v>0</v>
      </c>
      <c r="D80" s="49">
        <f>AVERAGE('26.10 HOIMA-BULIISA-24h'!D80,'28.10 HOIMA-BULIISA-24h'!D80)</f>
        <v>0</v>
      </c>
      <c r="E80" s="49">
        <f>AVERAGE('26.10 HOIMA-BULIISA-24h'!E80,'28.10 HOIMA-BULIISA-24h'!E80)</f>
        <v>0</v>
      </c>
      <c r="F80" s="49">
        <f>AVERAGE('26.10 HOIMA-BULIISA-24h'!F80,'28.10 HOIMA-BULIISA-24h'!F80)</f>
        <v>0</v>
      </c>
      <c r="G80" s="49">
        <f>AVERAGE('26.10 HOIMA-BULIISA-24h'!G80,'28.10 HOIMA-BULIISA-24h'!G80)</f>
        <v>0</v>
      </c>
      <c r="H80" s="49">
        <f>AVERAGE('26.10 HOIMA-BULIISA-24h'!H80,'28.10 HOIMA-BULIISA-24h'!H80)</f>
        <v>0</v>
      </c>
      <c r="I80" s="49">
        <f>AVERAGE('26.10 HOIMA-BULIISA-24h'!I80,'28.10 HOIMA-BULIISA-24h'!I80)</f>
        <v>0</v>
      </c>
      <c r="J80" s="49">
        <f>AVERAGE('26.10 HOIMA-BULIISA-24h'!J80,'28.10 HOIMA-BULIISA-24h'!J80)</f>
        <v>0</v>
      </c>
      <c r="K80" s="49">
        <f>AVERAGE('26.10 HOIMA-BULIISA-24h'!K80,'28.10 HOIMA-BULIISA-24h'!K80)</f>
        <v>0</v>
      </c>
      <c r="L80" s="49">
        <f>AVERAGE('26.10 HOIMA-BULIISA-24h'!L80,'28.10 HOIMA-BULIISA-24h'!L80)</f>
        <v>0</v>
      </c>
      <c r="M80" s="49">
        <f>AVERAGE('26.10 HOIMA-BULIISA-24h'!M80,'28.10 HOIMA-BULIISA-24h'!M80)</f>
        <v>0</v>
      </c>
      <c r="N80" s="49">
        <f>AVERAGE('26.10 HOIMA-BULIISA-24h'!N80,'28.10 HOIMA-BULIISA-24h'!N80)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AVERAGE('26.10 HOIMA-BULIISA-24h'!C81,'28.10 HOIMA-BULIISA-24h'!C81)</f>
        <v>0</v>
      </c>
      <c r="D81" s="49">
        <f>AVERAGE('26.10 HOIMA-BULIISA-24h'!D81,'28.10 HOIMA-BULIISA-24h'!D81)</f>
        <v>0</v>
      </c>
      <c r="E81" s="49">
        <f>AVERAGE('26.10 HOIMA-BULIISA-24h'!E81,'28.10 HOIMA-BULIISA-24h'!E81)</f>
        <v>0</v>
      </c>
      <c r="F81" s="49">
        <f>AVERAGE('26.10 HOIMA-BULIISA-24h'!F81,'28.10 HOIMA-BULIISA-24h'!F81)</f>
        <v>0</v>
      </c>
      <c r="G81" s="49">
        <f>AVERAGE('26.10 HOIMA-BULIISA-24h'!G81,'28.10 HOIMA-BULIISA-24h'!G81)</f>
        <v>0</v>
      </c>
      <c r="H81" s="49">
        <f>AVERAGE('26.10 HOIMA-BULIISA-24h'!H81,'28.10 HOIMA-BULIISA-24h'!H81)</f>
        <v>0</v>
      </c>
      <c r="I81" s="49">
        <f>AVERAGE('26.10 HOIMA-BULIISA-24h'!I81,'28.10 HOIMA-BULIISA-24h'!I81)</f>
        <v>0</v>
      </c>
      <c r="J81" s="49">
        <f>AVERAGE('26.10 HOIMA-BULIISA-24h'!J81,'28.10 HOIMA-BULIISA-24h'!J81)</f>
        <v>0</v>
      </c>
      <c r="K81" s="49">
        <f>AVERAGE('26.10 HOIMA-BULIISA-24h'!K81,'28.10 HOIMA-BULIISA-24h'!K81)</f>
        <v>0</v>
      </c>
      <c r="L81" s="49">
        <f>AVERAGE('26.10 HOIMA-BULIISA-24h'!L81,'28.10 HOIMA-BULIISA-24h'!L81)</f>
        <v>0</v>
      </c>
      <c r="M81" s="49">
        <f>AVERAGE('26.10 HOIMA-BULIISA-24h'!M81,'28.10 HOIMA-BULIISA-24h'!M81)</f>
        <v>0</v>
      </c>
      <c r="N81" s="49">
        <f>AVERAGE('26.10 HOIMA-BULIISA-24h'!N81,'28.10 HOIMA-BULIISA-24h'!N81)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49">
        <f>AVERAGE('26.10 HOIMA-BULIISA-24h'!C82,'28.10 HOIMA-BULIISA-24h'!C82)</f>
        <v>0.5</v>
      </c>
      <c r="D82" s="49">
        <f>AVERAGE('26.10 HOIMA-BULIISA-24h'!D82,'28.10 HOIMA-BULIISA-24h'!D82)</f>
        <v>0</v>
      </c>
      <c r="E82" s="49">
        <f>AVERAGE('26.10 HOIMA-BULIISA-24h'!E82,'28.10 HOIMA-BULIISA-24h'!E82)</f>
        <v>0</v>
      </c>
      <c r="F82" s="49">
        <f>AVERAGE('26.10 HOIMA-BULIISA-24h'!F82,'28.10 HOIMA-BULIISA-24h'!F82)</f>
        <v>0</v>
      </c>
      <c r="G82" s="49">
        <f>AVERAGE('26.10 HOIMA-BULIISA-24h'!G82,'28.10 HOIMA-BULIISA-24h'!G82)</f>
        <v>0</v>
      </c>
      <c r="H82" s="49">
        <f>AVERAGE('26.10 HOIMA-BULIISA-24h'!H82,'28.10 HOIMA-BULIISA-24h'!H82)</f>
        <v>0</v>
      </c>
      <c r="I82" s="49">
        <f>AVERAGE('26.10 HOIMA-BULIISA-24h'!I82,'28.10 HOIMA-BULIISA-24h'!I82)</f>
        <v>0</v>
      </c>
      <c r="J82" s="49">
        <f>AVERAGE('26.10 HOIMA-BULIISA-24h'!J82,'28.10 HOIMA-BULIISA-24h'!J82)</f>
        <v>0</v>
      </c>
      <c r="K82" s="49">
        <f>AVERAGE('26.10 HOIMA-BULIISA-24h'!K82,'28.10 HOIMA-BULIISA-24h'!K82)</f>
        <v>0</v>
      </c>
      <c r="L82" s="49">
        <f>AVERAGE('26.10 HOIMA-BULIISA-24h'!L82,'28.10 HOIMA-BULIISA-24h'!L82)</f>
        <v>0</v>
      </c>
      <c r="M82" s="49">
        <f>AVERAGE('26.10 HOIMA-BULIISA-24h'!M82,'28.10 HOIMA-BULIISA-24h'!M82)</f>
        <v>0</v>
      </c>
      <c r="N82" s="49">
        <f>AVERAGE('26.10 HOIMA-BULIISA-24h'!N82,'28.10 HOIMA-BULIISA-24h'!N82)</f>
        <v>0</v>
      </c>
      <c r="O82" s="15">
        <f t="shared" si="35"/>
        <v>0.5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AVERAGE('26.10 HOIMA-BULIISA-24h'!C83,'28.10 HOIMA-BULIISA-24h'!C83)</f>
        <v>0</v>
      </c>
      <c r="D83" s="49">
        <f>AVERAGE('26.10 HOIMA-BULIISA-24h'!D83,'28.10 HOIMA-BULIISA-24h'!D83)</f>
        <v>0</v>
      </c>
      <c r="E83" s="49">
        <f>AVERAGE('26.10 HOIMA-BULIISA-24h'!E83,'28.10 HOIMA-BULIISA-24h'!E83)</f>
        <v>0</v>
      </c>
      <c r="F83" s="49">
        <f>AVERAGE('26.10 HOIMA-BULIISA-24h'!F83,'28.10 HOIMA-BULIISA-24h'!F83)</f>
        <v>0</v>
      </c>
      <c r="G83" s="49">
        <f>AVERAGE('26.10 HOIMA-BULIISA-24h'!G83,'28.10 HOIMA-BULIISA-24h'!G83)</f>
        <v>0</v>
      </c>
      <c r="H83" s="49">
        <f>AVERAGE('26.10 HOIMA-BULIISA-24h'!H83,'28.10 HOIMA-BULIISA-24h'!H83)</f>
        <v>0</v>
      </c>
      <c r="I83" s="49">
        <f>AVERAGE('26.10 HOIMA-BULIISA-24h'!I83,'28.10 HOIMA-BULIISA-24h'!I83)</f>
        <v>0</v>
      </c>
      <c r="J83" s="49">
        <f>AVERAGE('26.10 HOIMA-BULIISA-24h'!J83,'28.10 HOIMA-BULIISA-24h'!J83)</f>
        <v>0</v>
      </c>
      <c r="K83" s="49">
        <f>AVERAGE('26.10 HOIMA-BULIISA-24h'!K83,'28.10 HOIMA-BULIISA-24h'!K83)</f>
        <v>0</v>
      </c>
      <c r="L83" s="49">
        <f>AVERAGE('26.10 HOIMA-BULIISA-24h'!L83,'28.10 HOIMA-BULIISA-24h'!L83)</f>
        <v>0</v>
      </c>
      <c r="M83" s="49">
        <f>AVERAGE('26.10 HOIMA-BULIISA-24h'!M83,'28.10 HOIMA-BULIISA-24h'!M83)</f>
        <v>0</v>
      </c>
      <c r="N83" s="49">
        <f>AVERAGE('26.10 HOIMA-BULIISA-24h'!N83,'28.10 HOIMA-BULIISA-24h'!N83)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AVERAGE('26.10 HOIMA-BULIISA-24h'!C84,'28.10 HOIMA-BULIISA-24h'!C84)</f>
        <v>0</v>
      </c>
      <c r="D84" s="49">
        <f>AVERAGE('26.10 HOIMA-BULIISA-24h'!D84,'28.10 HOIMA-BULIISA-24h'!D84)</f>
        <v>0</v>
      </c>
      <c r="E84" s="49">
        <f>AVERAGE('26.10 HOIMA-BULIISA-24h'!E84,'28.10 HOIMA-BULIISA-24h'!E84)</f>
        <v>0</v>
      </c>
      <c r="F84" s="49">
        <f>AVERAGE('26.10 HOIMA-BULIISA-24h'!F84,'28.10 HOIMA-BULIISA-24h'!F84)</f>
        <v>0</v>
      </c>
      <c r="G84" s="49">
        <f>AVERAGE('26.10 HOIMA-BULIISA-24h'!G84,'28.10 HOIMA-BULIISA-24h'!G84)</f>
        <v>0</v>
      </c>
      <c r="H84" s="49">
        <f>AVERAGE('26.10 HOIMA-BULIISA-24h'!H84,'28.10 HOIMA-BULIISA-24h'!H84)</f>
        <v>0</v>
      </c>
      <c r="I84" s="49">
        <f>AVERAGE('26.10 HOIMA-BULIISA-24h'!I84,'28.10 HOIMA-BULIISA-24h'!I84)</f>
        <v>0</v>
      </c>
      <c r="J84" s="49">
        <f>AVERAGE('26.10 HOIMA-BULIISA-24h'!J84,'28.10 HOIMA-BULIISA-24h'!J84)</f>
        <v>0</v>
      </c>
      <c r="K84" s="49">
        <f>AVERAGE('26.10 HOIMA-BULIISA-24h'!K84,'28.10 HOIMA-BULIISA-24h'!K84)</f>
        <v>0</v>
      </c>
      <c r="L84" s="49">
        <f>AVERAGE('26.10 HOIMA-BULIISA-24h'!L84,'28.10 HOIMA-BULIISA-24h'!L84)</f>
        <v>0</v>
      </c>
      <c r="M84" s="49">
        <f>AVERAGE('26.10 HOIMA-BULIISA-24h'!M84,'28.10 HOIMA-BULIISA-24h'!M84)</f>
        <v>0</v>
      </c>
      <c r="N84" s="49">
        <f>AVERAGE('26.10 HOIMA-BULIISA-24h'!N84,'28.10 HOIMA-BULIISA-24h'!N84)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AVERAGE('26.10 HOIMA-BULIISA-24h'!C85,'28.10 HOIMA-BULIISA-24h'!C85)</f>
        <v>0</v>
      </c>
      <c r="D85" s="49">
        <f>AVERAGE('26.10 HOIMA-BULIISA-24h'!D85,'28.10 HOIMA-BULIISA-24h'!D85)</f>
        <v>0</v>
      </c>
      <c r="E85" s="49">
        <f>AVERAGE('26.10 HOIMA-BULIISA-24h'!E85,'28.10 HOIMA-BULIISA-24h'!E85)</f>
        <v>0</v>
      </c>
      <c r="F85" s="49">
        <f>AVERAGE('26.10 HOIMA-BULIISA-24h'!F85,'28.10 HOIMA-BULIISA-24h'!F85)</f>
        <v>0</v>
      </c>
      <c r="G85" s="49">
        <f>AVERAGE('26.10 HOIMA-BULIISA-24h'!G85,'28.10 HOIMA-BULIISA-24h'!G85)</f>
        <v>0</v>
      </c>
      <c r="H85" s="49">
        <f>AVERAGE('26.10 HOIMA-BULIISA-24h'!H85,'28.10 HOIMA-BULIISA-24h'!H85)</f>
        <v>0</v>
      </c>
      <c r="I85" s="49">
        <f>AVERAGE('26.10 HOIMA-BULIISA-24h'!I85,'28.10 HOIMA-BULIISA-24h'!I85)</f>
        <v>0</v>
      </c>
      <c r="J85" s="49">
        <f>AVERAGE('26.10 HOIMA-BULIISA-24h'!J85,'28.10 HOIMA-BULIISA-24h'!J85)</f>
        <v>0</v>
      </c>
      <c r="K85" s="49">
        <f>AVERAGE('26.10 HOIMA-BULIISA-24h'!K85,'28.10 HOIMA-BULIISA-24h'!K85)</f>
        <v>0</v>
      </c>
      <c r="L85" s="49">
        <f>AVERAGE('26.10 HOIMA-BULIISA-24h'!L85,'28.10 HOIMA-BULIISA-24h'!L85)</f>
        <v>0</v>
      </c>
      <c r="M85" s="49">
        <f>AVERAGE('26.10 HOIMA-BULIISA-24h'!M85,'28.10 HOIMA-BULIISA-24h'!M85)</f>
        <v>0</v>
      </c>
      <c r="N85" s="49">
        <f>AVERAGE('26.10 HOIMA-BULIISA-24h'!N85,'28.10 HOIMA-BULIISA-24h'!N85)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AVERAGE('26.10 HOIMA-BULIISA-24h'!C86,'28.10 HOIMA-BULIISA-24h'!C86)</f>
        <v>0</v>
      </c>
      <c r="D86" s="49">
        <f>AVERAGE('26.10 HOIMA-BULIISA-24h'!D86,'28.10 HOIMA-BULIISA-24h'!D86)</f>
        <v>0</v>
      </c>
      <c r="E86" s="49">
        <f>AVERAGE('26.10 HOIMA-BULIISA-24h'!E86,'28.10 HOIMA-BULIISA-24h'!E86)</f>
        <v>0</v>
      </c>
      <c r="F86" s="49">
        <f>AVERAGE('26.10 HOIMA-BULIISA-24h'!F86,'28.10 HOIMA-BULIISA-24h'!F86)</f>
        <v>0</v>
      </c>
      <c r="G86" s="49">
        <f>AVERAGE('26.10 HOIMA-BULIISA-24h'!G86,'28.10 HOIMA-BULIISA-24h'!G86)</f>
        <v>0</v>
      </c>
      <c r="H86" s="49">
        <f>AVERAGE('26.10 HOIMA-BULIISA-24h'!H86,'28.10 HOIMA-BULIISA-24h'!H86)</f>
        <v>0</v>
      </c>
      <c r="I86" s="49">
        <f>AVERAGE('26.10 HOIMA-BULIISA-24h'!I86,'28.10 HOIMA-BULIISA-24h'!I86)</f>
        <v>0</v>
      </c>
      <c r="J86" s="49">
        <f>AVERAGE('26.10 HOIMA-BULIISA-24h'!J86,'28.10 HOIMA-BULIISA-24h'!J86)</f>
        <v>0</v>
      </c>
      <c r="K86" s="49">
        <f>AVERAGE('26.10 HOIMA-BULIISA-24h'!K86,'28.10 HOIMA-BULIISA-24h'!K86)</f>
        <v>0</v>
      </c>
      <c r="L86" s="49">
        <f>AVERAGE('26.10 HOIMA-BULIISA-24h'!L86,'28.10 HOIMA-BULIISA-24h'!L86)</f>
        <v>0</v>
      </c>
      <c r="M86" s="49">
        <f>AVERAGE('26.10 HOIMA-BULIISA-24h'!M86,'28.10 HOIMA-BULIISA-24h'!M86)</f>
        <v>0</v>
      </c>
      <c r="N86" s="49">
        <f>AVERAGE('26.10 HOIMA-BULIISA-24h'!N86,'28.10 HOIMA-BULIISA-24h'!N86)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AVERAGE('26.10 HOIMA-BULIISA-24h'!C87,'28.10 HOIMA-BULIISA-24h'!C87)</f>
        <v>0</v>
      </c>
      <c r="D87" s="49">
        <f>AVERAGE('26.10 HOIMA-BULIISA-24h'!D87,'28.10 HOIMA-BULIISA-24h'!D87)</f>
        <v>0</v>
      </c>
      <c r="E87" s="49">
        <f>AVERAGE('26.10 HOIMA-BULIISA-24h'!E87,'28.10 HOIMA-BULIISA-24h'!E87)</f>
        <v>0</v>
      </c>
      <c r="F87" s="49">
        <f>AVERAGE('26.10 HOIMA-BULIISA-24h'!F87,'28.10 HOIMA-BULIISA-24h'!F87)</f>
        <v>0.5</v>
      </c>
      <c r="G87" s="49">
        <f>AVERAGE('26.10 HOIMA-BULIISA-24h'!G87,'28.10 HOIMA-BULIISA-24h'!G87)</f>
        <v>0</v>
      </c>
      <c r="H87" s="49">
        <f>AVERAGE('26.10 HOIMA-BULIISA-24h'!H87,'28.10 HOIMA-BULIISA-24h'!H87)</f>
        <v>0</v>
      </c>
      <c r="I87" s="49">
        <f>AVERAGE('26.10 HOIMA-BULIISA-24h'!I87,'28.10 HOIMA-BULIISA-24h'!I87)</f>
        <v>0</v>
      </c>
      <c r="J87" s="49">
        <f>AVERAGE('26.10 HOIMA-BULIISA-24h'!J87,'28.10 HOIMA-BULIISA-24h'!J87)</f>
        <v>0</v>
      </c>
      <c r="K87" s="49">
        <f>AVERAGE('26.10 HOIMA-BULIISA-24h'!K87,'28.10 HOIMA-BULIISA-24h'!K87)</f>
        <v>0</v>
      </c>
      <c r="L87" s="49">
        <f>AVERAGE('26.10 HOIMA-BULIISA-24h'!L87,'28.10 HOIMA-BULIISA-24h'!L87)</f>
        <v>0</v>
      </c>
      <c r="M87" s="49">
        <f>AVERAGE('26.10 HOIMA-BULIISA-24h'!M87,'28.10 HOIMA-BULIISA-24h'!M87)</f>
        <v>0</v>
      </c>
      <c r="N87" s="49">
        <f>AVERAGE('26.10 HOIMA-BULIISA-24h'!N87,'28.10 HOIMA-BULIISA-24h'!N87)</f>
        <v>0</v>
      </c>
      <c r="O87" s="15">
        <f t="shared" si="35"/>
        <v>0.5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AVERAGE('26.10 HOIMA-BULIISA-24h'!C88,'28.10 HOIMA-BULIISA-24h'!C88)</f>
        <v>0</v>
      </c>
      <c r="D88" s="49">
        <f>AVERAGE('26.10 HOIMA-BULIISA-24h'!D88,'28.10 HOIMA-BULIISA-24h'!D88)</f>
        <v>0</v>
      </c>
      <c r="E88" s="49">
        <f>AVERAGE('26.10 HOIMA-BULIISA-24h'!E88,'28.10 HOIMA-BULIISA-24h'!E88)</f>
        <v>0</v>
      </c>
      <c r="F88" s="49">
        <f>AVERAGE('26.10 HOIMA-BULIISA-24h'!F88,'28.10 HOIMA-BULIISA-24h'!F88)</f>
        <v>0</v>
      </c>
      <c r="G88" s="49">
        <f>AVERAGE('26.10 HOIMA-BULIISA-24h'!G88,'28.10 HOIMA-BULIISA-24h'!G88)</f>
        <v>0</v>
      </c>
      <c r="H88" s="49">
        <f>AVERAGE('26.10 HOIMA-BULIISA-24h'!H88,'28.10 HOIMA-BULIISA-24h'!H88)</f>
        <v>0</v>
      </c>
      <c r="I88" s="49">
        <f>AVERAGE('26.10 HOIMA-BULIISA-24h'!I88,'28.10 HOIMA-BULIISA-24h'!I88)</f>
        <v>0</v>
      </c>
      <c r="J88" s="49">
        <f>AVERAGE('26.10 HOIMA-BULIISA-24h'!J88,'28.10 HOIMA-BULIISA-24h'!J88)</f>
        <v>0</v>
      </c>
      <c r="K88" s="49">
        <f>AVERAGE('26.10 HOIMA-BULIISA-24h'!K88,'28.10 HOIMA-BULIISA-24h'!K88)</f>
        <v>0</v>
      </c>
      <c r="L88" s="49">
        <f>AVERAGE('26.10 HOIMA-BULIISA-24h'!L88,'28.10 HOIMA-BULIISA-24h'!L88)</f>
        <v>0</v>
      </c>
      <c r="M88" s="49">
        <f>AVERAGE('26.10 HOIMA-BULIISA-24h'!M88,'28.10 HOIMA-BULIISA-24h'!M88)</f>
        <v>0.5</v>
      </c>
      <c r="N88" s="49">
        <f>AVERAGE('26.10 HOIMA-BULIISA-24h'!N88,'28.10 HOIMA-BULIISA-24h'!N88)</f>
        <v>0</v>
      </c>
      <c r="O88" s="15">
        <f t="shared" si="35"/>
        <v>0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AVERAGE('26.10 HOIMA-BULIISA-24h'!C89,'28.10 HOIMA-BULIISA-24h'!C89)</f>
        <v>0</v>
      </c>
      <c r="D89" s="49">
        <f>AVERAGE('26.10 HOIMA-BULIISA-24h'!D89,'28.10 HOIMA-BULIISA-24h'!D89)</f>
        <v>0</v>
      </c>
      <c r="E89" s="49">
        <f>AVERAGE('26.10 HOIMA-BULIISA-24h'!E89,'28.10 HOIMA-BULIISA-24h'!E89)</f>
        <v>0</v>
      </c>
      <c r="F89" s="49">
        <f>AVERAGE('26.10 HOIMA-BULIISA-24h'!F89,'28.10 HOIMA-BULIISA-24h'!F89)</f>
        <v>0</v>
      </c>
      <c r="G89" s="49">
        <f>AVERAGE('26.10 HOIMA-BULIISA-24h'!G89,'28.10 HOIMA-BULIISA-24h'!G89)</f>
        <v>0</v>
      </c>
      <c r="H89" s="49">
        <f>AVERAGE('26.10 HOIMA-BULIISA-24h'!H89,'28.10 HOIMA-BULIISA-24h'!H89)</f>
        <v>0</v>
      </c>
      <c r="I89" s="49">
        <f>AVERAGE('26.10 HOIMA-BULIISA-24h'!I89,'28.10 HOIMA-BULIISA-24h'!I89)</f>
        <v>0</v>
      </c>
      <c r="J89" s="49">
        <f>AVERAGE('26.10 HOIMA-BULIISA-24h'!J89,'28.10 HOIMA-BULIISA-24h'!J89)</f>
        <v>0</v>
      </c>
      <c r="K89" s="49">
        <f>AVERAGE('26.10 HOIMA-BULIISA-24h'!K89,'28.10 HOIMA-BULIISA-24h'!K89)</f>
        <v>0</v>
      </c>
      <c r="L89" s="49">
        <f>AVERAGE('26.10 HOIMA-BULIISA-24h'!L89,'28.10 HOIMA-BULIISA-24h'!L89)</f>
        <v>0</v>
      </c>
      <c r="M89" s="49">
        <f>AVERAGE('26.10 HOIMA-BULIISA-24h'!M89,'28.10 HOIMA-BULIISA-24h'!M89)</f>
        <v>0</v>
      </c>
      <c r="N89" s="49">
        <f>AVERAGE('26.10 HOIMA-BULIISA-24h'!N89,'28.10 HOIMA-BULIISA-24h'!N89)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AVERAGE('26.10 HOIMA-BULIISA-24h'!C90,'28.10 HOIMA-BULIISA-24h'!C90)</f>
        <v>0</v>
      </c>
      <c r="D90" s="49">
        <f>AVERAGE('26.10 HOIMA-BULIISA-24h'!D90,'28.10 HOIMA-BULIISA-24h'!D90)</f>
        <v>0</v>
      </c>
      <c r="E90" s="49">
        <f>AVERAGE('26.10 HOIMA-BULIISA-24h'!E90,'28.10 HOIMA-BULIISA-24h'!E90)</f>
        <v>0</v>
      </c>
      <c r="F90" s="49">
        <f>AVERAGE('26.10 HOIMA-BULIISA-24h'!F90,'28.10 HOIMA-BULIISA-24h'!F90)</f>
        <v>0</v>
      </c>
      <c r="G90" s="49">
        <f>AVERAGE('26.10 HOIMA-BULIISA-24h'!G90,'28.10 HOIMA-BULIISA-24h'!G90)</f>
        <v>0</v>
      </c>
      <c r="H90" s="49">
        <f>AVERAGE('26.10 HOIMA-BULIISA-24h'!H90,'28.10 HOIMA-BULIISA-24h'!H90)</f>
        <v>0</v>
      </c>
      <c r="I90" s="49">
        <f>AVERAGE('26.10 HOIMA-BULIISA-24h'!I90,'28.10 HOIMA-BULIISA-24h'!I90)</f>
        <v>0</v>
      </c>
      <c r="J90" s="49">
        <f>AVERAGE('26.10 HOIMA-BULIISA-24h'!J90,'28.10 HOIMA-BULIISA-24h'!J90)</f>
        <v>0</v>
      </c>
      <c r="K90" s="49">
        <f>AVERAGE('26.10 HOIMA-BULIISA-24h'!K90,'28.10 HOIMA-BULIISA-24h'!K90)</f>
        <v>0</v>
      </c>
      <c r="L90" s="49">
        <f>AVERAGE('26.10 HOIMA-BULIISA-24h'!L90,'28.10 HOIMA-BULIISA-24h'!L90)</f>
        <v>0</v>
      </c>
      <c r="M90" s="49">
        <f>AVERAGE('26.10 HOIMA-BULIISA-24h'!M90,'28.10 HOIMA-BULIISA-24h'!M90)</f>
        <v>0.5</v>
      </c>
      <c r="N90" s="49">
        <f>AVERAGE('26.10 HOIMA-BULIISA-24h'!N90,'28.10 HOIMA-BULIISA-24h'!N90)</f>
        <v>0</v>
      </c>
      <c r="O90" s="15">
        <f t="shared" si="35"/>
        <v>0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AVERAGE('26.10 HOIMA-BULIISA-24h'!C91,'28.10 HOIMA-BULIISA-24h'!C91)</f>
        <v>0</v>
      </c>
      <c r="D91" s="49">
        <f>AVERAGE('26.10 HOIMA-BULIISA-24h'!D91,'28.10 HOIMA-BULIISA-24h'!D91)</f>
        <v>0</v>
      </c>
      <c r="E91" s="49">
        <f>AVERAGE('26.10 HOIMA-BULIISA-24h'!E91,'28.10 HOIMA-BULIISA-24h'!E91)</f>
        <v>0</v>
      </c>
      <c r="F91" s="49">
        <f>AVERAGE('26.10 HOIMA-BULIISA-24h'!F91,'28.10 HOIMA-BULIISA-24h'!F91)</f>
        <v>0</v>
      </c>
      <c r="G91" s="49">
        <f>AVERAGE('26.10 HOIMA-BULIISA-24h'!G91,'28.10 HOIMA-BULIISA-24h'!G91)</f>
        <v>0</v>
      </c>
      <c r="H91" s="49">
        <f>AVERAGE('26.10 HOIMA-BULIISA-24h'!H91,'28.10 HOIMA-BULIISA-24h'!H91)</f>
        <v>0</v>
      </c>
      <c r="I91" s="49">
        <f>AVERAGE('26.10 HOIMA-BULIISA-24h'!I91,'28.10 HOIMA-BULIISA-24h'!I91)</f>
        <v>0</v>
      </c>
      <c r="J91" s="49">
        <f>AVERAGE('26.10 HOIMA-BULIISA-24h'!J91,'28.10 HOIMA-BULIISA-24h'!J91)</f>
        <v>0</v>
      </c>
      <c r="K91" s="49">
        <f>AVERAGE('26.10 HOIMA-BULIISA-24h'!K91,'28.10 HOIMA-BULIISA-24h'!K91)</f>
        <v>0</v>
      </c>
      <c r="L91" s="49">
        <f>AVERAGE('26.10 HOIMA-BULIISA-24h'!L91,'28.10 HOIMA-BULIISA-24h'!L91)</f>
        <v>0</v>
      </c>
      <c r="M91" s="49">
        <f>AVERAGE('26.10 HOIMA-BULIISA-24h'!M91,'28.10 HOIMA-BULIISA-24h'!M91)</f>
        <v>0</v>
      </c>
      <c r="N91" s="49">
        <f>AVERAGE('26.10 HOIMA-BULIISA-24h'!N91,'28.10 HOIMA-BULIISA-24h'!N91)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AVERAGE('26.10 HOIMA-BULIISA-24h'!C92,'28.10 HOIMA-BULIISA-24h'!C92)</f>
        <v>0</v>
      </c>
      <c r="D92" s="49">
        <f>AVERAGE('26.10 HOIMA-BULIISA-24h'!D92,'28.10 HOIMA-BULIISA-24h'!D92)</f>
        <v>0</v>
      </c>
      <c r="E92" s="49">
        <f>AVERAGE('26.10 HOIMA-BULIISA-24h'!E92,'28.10 HOIMA-BULIISA-24h'!E92)</f>
        <v>0</v>
      </c>
      <c r="F92" s="49">
        <f>AVERAGE('26.10 HOIMA-BULIISA-24h'!F92,'28.10 HOIMA-BULIISA-24h'!F92)</f>
        <v>0</v>
      </c>
      <c r="G92" s="49">
        <f>AVERAGE('26.10 HOIMA-BULIISA-24h'!G92,'28.10 HOIMA-BULIISA-24h'!G92)</f>
        <v>0.5</v>
      </c>
      <c r="H92" s="49">
        <f>AVERAGE('26.10 HOIMA-BULIISA-24h'!H92,'28.10 HOIMA-BULIISA-24h'!H92)</f>
        <v>0</v>
      </c>
      <c r="I92" s="49">
        <f>AVERAGE('26.10 HOIMA-BULIISA-24h'!I92,'28.10 HOIMA-BULIISA-24h'!I92)</f>
        <v>0</v>
      </c>
      <c r="J92" s="49">
        <f>AVERAGE('26.10 HOIMA-BULIISA-24h'!J92,'28.10 HOIMA-BULIISA-24h'!J92)</f>
        <v>0</v>
      </c>
      <c r="K92" s="49">
        <f>AVERAGE('26.10 HOIMA-BULIISA-24h'!K92,'28.10 HOIMA-BULIISA-24h'!K92)</f>
        <v>0.5</v>
      </c>
      <c r="L92" s="49">
        <f>AVERAGE('26.10 HOIMA-BULIISA-24h'!L92,'28.10 HOIMA-BULIISA-24h'!L92)</f>
        <v>0</v>
      </c>
      <c r="M92" s="49">
        <f>AVERAGE('26.10 HOIMA-BULIISA-24h'!M92,'28.10 HOIMA-BULIISA-24h'!M92)</f>
        <v>0</v>
      </c>
      <c r="N92" s="49">
        <f>AVERAGE('26.10 HOIMA-BULIISA-24h'!N92,'28.10 HOIMA-BULIISA-24h'!N92)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AVERAGE('26.10 HOIMA-BULIISA-24h'!C93,'28.10 HOIMA-BULIISA-24h'!C93)</f>
        <v>0</v>
      </c>
      <c r="D93" s="49">
        <f>AVERAGE('26.10 HOIMA-BULIISA-24h'!D93,'28.10 HOIMA-BULIISA-24h'!D93)</f>
        <v>0</v>
      </c>
      <c r="E93" s="49">
        <f>AVERAGE('26.10 HOIMA-BULIISA-24h'!E93,'28.10 HOIMA-BULIISA-24h'!E93)</f>
        <v>0</v>
      </c>
      <c r="F93" s="49">
        <f>AVERAGE('26.10 HOIMA-BULIISA-24h'!F93,'28.10 HOIMA-BULIISA-24h'!F93)</f>
        <v>0</v>
      </c>
      <c r="G93" s="49">
        <f>AVERAGE('26.10 HOIMA-BULIISA-24h'!G93,'28.10 HOIMA-BULIISA-24h'!G93)</f>
        <v>0</v>
      </c>
      <c r="H93" s="49">
        <f>AVERAGE('26.10 HOIMA-BULIISA-24h'!H93,'28.10 HOIMA-BULIISA-24h'!H93)</f>
        <v>0</v>
      </c>
      <c r="I93" s="49">
        <f>AVERAGE('26.10 HOIMA-BULIISA-24h'!I93,'28.10 HOIMA-BULIISA-24h'!I93)</f>
        <v>0</v>
      </c>
      <c r="J93" s="49">
        <f>AVERAGE('26.10 HOIMA-BULIISA-24h'!J93,'28.10 HOIMA-BULIISA-24h'!J93)</f>
        <v>0</v>
      </c>
      <c r="K93" s="49">
        <f>AVERAGE('26.10 HOIMA-BULIISA-24h'!K93,'28.10 HOIMA-BULIISA-24h'!K93)</f>
        <v>0</v>
      </c>
      <c r="L93" s="49">
        <f>AVERAGE('26.10 HOIMA-BULIISA-24h'!L93,'28.10 HOIMA-BULIISA-24h'!L93)</f>
        <v>0</v>
      </c>
      <c r="M93" s="49">
        <f>AVERAGE('26.10 HOIMA-BULIISA-24h'!M93,'28.10 HOIMA-BULIISA-24h'!M93)</f>
        <v>0</v>
      </c>
      <c r="N93" s="49">
        <f>AVERAGE('26.10 HOIMA-BULIISA-24h'!N93,'28.10 HOIMA-BULIISA-24h'!N93)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AVERAGE('26.10 HOIMA-BULIISA-24h'!C94,'28.10 HOIMA-BULIISA-24h'!C94)</f>
        <v>0</v>
      </c>
      <c r="D94" s="49">
        <f>AVERAGE('26.10 HOIMA-BULIISA-24h'!D94,'28.10 HOIMA-BULIISA-24h'!D94)</f>
        <v>0</v>
      </c>
      <c r="E94" s="49">
        <f>AVERAGE('26.10 HOIMA-BULIISA-24h'!E94,'28.10 HOIMA-BULIISA-24h'!E94)</f>
        <v>0</v>
      </c>
      <c r="F94" s="49">
        <f>AVERAGE('26.10 HOIMA-BULIISA-24h'!F94,'28.10 HOIMA-BULIISA-24h'!F94)</f>
        <v>0</v>
      </c>
      <c r="G94" s="49">
        <f>AVERAGE('26.10 HOIMA-BULIISA-24h'!G94,'28.10 HOIMA-BULIISA-24h'!G94)</f>
        <v>0</v>
      </c>
      <c r="H94" s="49">
        <f>AVERAGE('26.10 HOIMA-BULIISA-24h'!H94,'28.10 HOIMA-BULIISA-24h'!H94)</f>
        <v>0</v>
      </c>
      <c r="I94" s="49">
        <f>AVERAGE('26.10 HOIMA-BULIISA-24h'!I94,'28.10 HOIMA-BULIISA-24h'!I94)</f>
        <v>0</v>
      </c>
      <c r="J94" s="49">
        <f>AVERAGE('26.10 HOIMA-BULIISA-24h'!J94,'28.10 HOIMA-BULIISA-24h'!J94)</f>
        <v>0</v>
      </c>
      <c r="K94" s="49">
        <f>AVERAGE('26.10 HOIMA-BULIISA-24h'!K94,'28.10 HOIMA-BULIISA-24h'!K94)</f>
        <v>0</v>
      </c>
      <c r="L94" s="49">
        <f>AVERAGE('26.10 HOIMA-BULIISA-24h'!L94,'28.10 HOIMA-BULIISA-24h'!L94)</f>
        <v>0</v>
      </c>
      <c r="M94" s="49">
        <f>AVERAGE('26.10 HOIMA-BULIISA-24h'!M94,'28.10 HOIMA-BULIISA-24h'!M94)</f>
        <v>0.5</v>
      </c>
      <c r="N94" s="49">
        <f>AVERAGE('26.10 HOIMA-BULIISA-24h'!N94,'28.10 HOIMA-BULIISA-24h'!N94)</f>
        <v>0</v>
      </c>
      <c r="O94" s="15">
        <f t="shared" si="35"/>
        <v>0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AVERAGE('26.10 HOIMA-BULIISA-24h'!C95,'28.10 HOIMA-BULIISA-24h'!C95)</f>
        <v>0</v>
      </c>
      <c r="D95" s="49">
        <f>AVERAGE('26.10 HOIMA-BULIISA-24h'!D95,'28.10 HOIMA-BULIISA-24h'!D95)</f>
        <v>0</v>
      </c>
      <c r="E95" s="49">
        <f>AVERAGE('26.10 HOIMA-BULIISA-24h'!E95,'28.10 HOIMA-BULIISA-24h'!E95)</f>
        <v>0</v>
      </c>
      <c r="F95" s="49">
        <f>AVERAGE('26.10 HOIMA-BULIISA-24h'!F95,'28.10 HOIMA-BULIISA-24h'!F95)</f>
        <v>0.5</v>
      </c>
      <c r="G95" s="49">
        <f>AVERAGE('26.10 HOIMA-BULIISA-24h'!G95,'28.10 HOIMA-BULIISA-24h'!G95)</f>
        <v>0</v>
      </c>
      <c r="H95" s="49">
        <f>AVERAGE('26.10 HOIMA-BULIISA-24h'!H95,'28.10 HOIMA-BULIISA-24h'!H95)</f>
        <v>0</v>
      </c>
      <c r="I95" s="49">
        <f>AVERAGE('26.10 HOIMA-BULIISA-24h'!I95,'28.10 HOIMA-BULIISA-24h'!I95)</f>
        <v>0</v>
      </c>
      <c r="J95" s="49">
        <f>AVERAGE('26.10 HOIMA-BULIISA-24h'!J95,'28.10 HOIMA-BULIISA-24h'!J95)</f>
        <v>0</v>
      </c>
      <c r="K95" s="49">
        <f>AVERAGE('26.10 HOIMA-BULIISA-24h'!K95,'28.10 HOIMA-BULIISA-24h'!K95)</f>
        <v>0</v>
      </c>
      <c r="L95" s="49">
        <f>AVERAGE('26.10 HOIMA-BULIISA-24h'!L95,'28.10 HOIMA-BULIISA-24h'!L95)</f>
        <v>0</v>
      </c>
      <c r="M95" s="49">
        <f>AVERAGE('26.10 HOIMA-BULIISA-24h'!M95,'28.10 HOIMA-BULIISA-24h'!M95)</f>
        <v>1</v>
      </c>
      <c r="N95" s="49">
        <f>AVERAGE('26.10 HOIMA-BULIISA-24h'!N95,'28.10 HOIMA-BULIISA-24h'!N95)</f>
        <v>0</v>
      </c>
      <c r="O95" s="15">
        <f t="shared" si="35"/>
        <v>0.5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AVERAGE('26.10 HOIMA-BULIISA-24h'!C96,'28.10 HOIMA-BULIISA-24h'!C96)</f>
        <v>0</v>
      </c>
      <c r="D96" s="49">
        <f>AVERAGE('26.10 HOIMA-BULIISA-24h'!D96,'28.10 HOIMA-BULIISA-24h'!D96)</f>
        <v>0</v>
      </c>
      <c r="E96" s="49">
        <f>AVERAGE('26.10 HOIMA-BULIISA-24h'!E96,'28.10 HOIMA-BULIISA-24h'!E96)</f>
        <v>0</v>
      </c>
      <c r="F96" s="49">
        <f>AVERAGE('26.10 HOIMA-BULIISA-24h'!F96,'28.10 HOIMA-BULIISA-24h'!F96)</f>
        <v>0</v>
      </c>
      <c r="G96" s="49">
        <f>AVERAGE('26.10 HOIMA-BULIISA-24h'!G96,'28.10 HOIMA-BULIISA-24h'!G96)</f>
        <v>0</v>
      </c>
      <c r="H96" s="49">
        <f>AVERAGE('26.10 HOIMA-BULIISA-24h'!H96,'28.10 HOIMA-BULIISA-24h'!H96)</f>
        <v>0</v>
      </c>
      <c r="I96" s="49">
        <f>AVERAGE('26.10 HOIMA-BULIISA-24h'!I96,'28.10 HOIMA-BULIISA-24h'!I96)</f>
        <v>0</v>
      </c>
      <c r="J96" s="49">
        <f>AVERAGE('26.10 HOIMA-BULIISA-24h'!J96,'28.10 HOIMA-BULIISA-24h'!J96)</f>
        <v>0</v>
      </c>
      <c r="K96" s="49">
        <f>AVERAGE('26.10 HOIMA-BULIISA-24h'!K96,'28.10 HOIMA-BULIISA-24h'!K96)</f>
        <v>0</v>
      </c>
      <c r="L96" s="49">
        <f>AVERAGE('26.10 HOIMA-BULIISA-24h'!L96,'28.10 HOIMA-BULIISA-24h'!L96)</f>
        <v>0</v>
      </c>
      <c r="M96" s="49">
        <f>AVERAGE('26.10 HOIMA-BULIISA-24h'!M96,'28.10 HOIMA-BULIISA-24h'!M96)</f>
        <v>0</v>
      </c>
      <c r="N96" s="49">
        <f>AVERAGE('26.10 HOIMA-BULIISA-24h'!N96,'28.10 HOIMA-BULIISA-24h'!N96)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AVERAGE('26.10 HOIMA-BULIISA-24h'!C97,'28.10 HOIMA-BULIISA-24h'!C97)</f>
        <v>0</v>
      </c>
      <c r="D97" s="49">
        <f>AVERAGE('26.10 HOIMA-BULIISA-24h'!D97,'28.10 HOIMA-BULIISA-24h'!D97)</f>
        <v>0</v>
      </c>
      <c r="E97" s="49">
        <f>AVERAGE('26.10 HOIMA-BULIISA-24h'!E97,'28.10 HOIMA-BULIISA-24h'!E97)</f>
        <v>0</v>
      </c>
      <c r="F97" s="49">
        <f>AVERAGE('26.10 HOIMA-BULIISA-24h'!F97,'28.10 HOIMA-BULIISA-24h'!F97)</f>
        <v>0</v>
      </c>
      <c r="G97" s="49">
        <f>AVERAGE('26.10 HOIMA-BULIISA-24h'!G97,'28.10 HOIMA-BULIISA-24h'!G97)</f>
        <v>0</v>
      </c>
      <c r="H97" s="49">
        <f>AVERAGE('26.10 HOIMA-BULIISA-24h'!H97,'28.10 HOIMA-BULIISA-24h'!H97)</f>
        <v>0</v>
      </c>
      <c r="I97" s="49">
        <f>AVERAGE('26.10 HOIMA-BULIISA-24h'!I97,'28.10 HOIMA-BULIISA-24h'!I97)</f>
        <v>0</v>
      </c>
      <c r="J97" s="49">
        <f>AVERAGE('26.10 HOIMA-BULIISA-24h'!J97,'28.10 HOIMA-BULIISA-24h'!J97)</f>
        <v>0</v>
      </c>
      <c r="K97" s="49">
        <f>AVERAGE('26.10 HOIMA-BULIISA-24h'!K97,'28.10 HOIMA-BULIISA-24h'!K97)</f>
        <v>0</v>
      </c>
      <c r="L97" s="49">
        <f>AVERAGE('26.10 HOIMA-BULIISA-24h'!L97,'28.10 HOIMA-BULIISA-24h'!L97)</f>
        <v>0</v>
      </c>
      <c r="M97" s="49">
        <f>AVERAGE('26.10 HOIMA-BULIISA-24h'!M97,'28.10 HOIMA-BULIISA-24h'!M97)</f>
        <v>0</v>
      </c>
      <c r="N97" s="49">
        <f>AVERAGE('26.10 HOIMA-BULIISA-24h'!N97,'28.10 HOIMA-BULIISA-24h'!N97)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AVERAGE('26.10 HOIMA-BULIISA-24h'!C98,'28.10 HOIMA-BULIISA-24h'!C98)</f>
        <v>0</v>
      </c>
      <c r="D98" s="49">
        <f>AVERAGE('26.10 HOIMA-BULIISA-24h'!D98,'28.10 HOIMA-BULIISA-24h'!D98)</f>
        <v>0</v>
      </c>
      <c r="E98" s="49">
        <f>AVERAGE('26.10 HOIMA-BULIISA-24h'!E98,'28.10 HOIMA-BULIISA-24h'!E98)</f>
        <v>0</v>
      </c>
      <c r="F98" s="49">
        <f>AVERAGE('26.10 HOIMA-BULIISA-24h'!F98,'28.10 HOIMA-BULIISA-24h'!F98)</f>
        <v>0</v>
      </c>
      <c r="G98" s="49">
        <f>AVERAGE('26.10 HOIMA-BULIISA-24h'!G98,'28.10 HOIMA-BULIISA-24h'!G98)</f>
        <v>0</v>
      </c>
      <c r="H98" s="49">
        <f>AVERAGE('26.10 HOIMA-BULIISA-24h'!H98,'28.10 HOIMA-BULIISA-24h'!H98)</f>
        <v>0</v>
      </c>
      <c r="I98" s="49">
        <f>AVERAGE('26.10 HOIMA-BULIISA-24h'!I98,'28.10 HOIMA-BULIISA-24h'!I98)</f>
        <v>0</v>
      </c>
      <c r="J98" s="49">
        <f>AVERAGE('26.10 HOIMA-BULIISA-24h'!J98,'28.10 HOIMA-BULIISA-24h'!J98)</f>
        <v>0</v>
      </c>
      <c r="K98" s="49">
        <f>AVERAGE('26.10 HOIMA-BULIISA-24h'!K98,'28.10 HOIMA-BULIISA-24h'!K98)</f>
        <v>0</v>
      </c>
      <c r="L98" s="49">
        <f>AVERAGE('26.10 HOIMA-BULIISA-24h'!L98,'28.10 HOIMA-BULIISA-24h'!L98)</f>
        <v>0</v>
      </c>
      <c r="M98" s="49">
        <f>AVERAGE('26.10 HOIMA-BULIISA-24h'!M98,'28.10 HOIMA-BULIISA-24h'!M98)</f>
        <v>1</v>
      </c>
      <c r="N98" s="49">
        <f>AVERAGE('26.10 HOIMA-BULIISA-24h'!N98,'28.10 HOIMA-BULIISA-24h'!N98)</f>
        <v>0</v>
      </c>
      <c r="O98" s="15">
        <f t="shared" si="35"/>
        <v>0</v>
      </c>
      <c r="P98" s="15">
        <f t="shared" si="36"/>
        <v>1</v>
      </c>
      <c r="R98" s="8"/>
      <c r="T98"/>
    </row>
    <row r="99" spans="2:20" ht="23.1" customHeight="1" x14ac:dyDescent="0.25">
      <c r="B99" s="23" t="s">
        <v>139</v>
      </c>
      <c r="C99" s="49">
        <f>AVERAGE('26.10 HOIMA-BULIISA-24h'!C99,'28.10 HOIMA-BULIISA-24h'!C99)</f>
        <v>0</v>
      </c>
      <c r="D99" s="49">
        <f>AVERAGE('26.10 HOIMA-BULIISA-24h'!D99,'28.10 HOIMA-BULIISA-24h'!D99)</f>
        <v>0</v>
      </c>
      <c r="E99" s="49">
        <f>AVERAGE('26.10 HOIMA-BULIISA-24h'!E99,'28.10 HOIMA-BULIISA-24h'!E99)</f>
        <v>0</v>
      </c>
      <c r="F99" s="49">
        <f>AVERAGE('26.10 HOIMA-BULIISA-24h'!F99,'28.10 HOIMA-BULIISA-24h'!F99)</f>
        <v>0</v>
      </c>
      <c r="G99" s="49">
        <f>AVERAGE('26.10 HOIMA-BULIISA-24h'!G99,'28.10 HOIMA-BULIISA-24h'!G99)</f>
        <v>0</v>
      </c>
      <c r="H99" s="49">
        <f>AVERAGE('26.10 HOIMA-BULIISA-24h'!H99,'28.10 HOIMA-BULIISA-24h'!H99)</f>
        <v>0</v>
      </c>
      <c r="I99" s="49">
        <f>AVERAGE('26.10 HOIMA-BULIISA-24h'!I99,'28.10 HOIMA-BULIISA-24h'!I99)</f>
        <v>0</v>
      </c>
      <c r="J99" s="49">
        <f>AVERAGE('26.10 HOIMA-BULIISA-24h'!J99,'28.10 HOIMA-BULIISA-24h'!J99)</f>
        <v>0</v>
      </c>
      <c r="K99" s="49">
        <f>AVERAGE('26.10 HOIMA-BULIISA-24h'!K99,'28.10 HOIMA-BULIISA-24h'!K99)</f>
        <v>0</v>
      </c>
      <c r="L99" s="49">
        <f>AVERAGE('26.10 HOIMA-BULIISA-24h'!L99,'28.10 HOIMA-BULIISA-24h'!L99)</f>
        <v>0</v>
      </c>
      <c r="M99" s="49">
        <f>AVERAGE('26.10 HOIMA-BULIISA-24h'!M99,'28.10 HOIMA-BULIISA-24h'!M99)</f>
        <v>0.5</v>
      </c>
      <c r="N99" s="49">
        <f>AVERAGE('26.10 HOIMA-BULIISA-24h'!N99,'28.10 HOIMA-BULIISA-24h'!N99)</f>
        <v>0</v>
      </c>
      <c r="O99" s="15">
        <f t="shared" si="35"/>
        <v>0</v>
      </c>
      <c r="P99" s="15">
        <f t="shared" si="36"/>
        <v>0.5</v>
      </c>
      <c r="R99" s="8"/>
      <c r="T99"/>
    </row>
    <row r="100" spans="2:20" ht="23.1" customHeight="1" x14ac:dyDescent="0.25">
      <c r="B100" s="25" t="s">
        <v>140</v>
      </c>
      <c r="C100" s="49">
        <f>AVERAGE('26.10 HOIMA-BULIISA-24h'!C100,'28.10 HOIMA-BULIISA-24h'!C100)</f>
        <v>0</v>
      </c>
      <c r="D100" s="49">
        <f>AVERAGE('26.10 HOIMA-BULIISA-24h'!D100,'28.10 HOIMA-BULIISA-24h'!D100)</f>
        <v>0</v>
      </c>
      <c r="E100" s="49">
        <f>AVERAGE('26.10 HOIMA-BULIISA-24h'!E100,'28.10 HOIMA-BULIISA-24h'!E100)</f>
        <v>0</v>
      </c>
      <c r="F100" s="49">
        <f>AVERAGE('26.10 HOIMA-BULIISA-24h'!F100,'28.10 HOIMA-BULIISA-24h'!F100)</f>
        <v>0</v>
      </c>
      <c r="G100" s="49">
        <f>AVERAGE('26.10 HOIMA-BULIISA-24h'!G100,'28.10 HOIMA-BULIISA-24h'!G100)</f>
        <v>0</v>
      </c>
      <c r="H100" s="49">
        <f>AVERAGE('26.10 HOIMA-BULIISA-24h'!H100,'28.10 HOIMA-BULIISA-24h'!H100)</f>
        <v>0</v>
      </c>
      <c r="I100" s="49">
        <f>AVERAGE('26.10 HOIMA-BULIISA-24h'!I100,'28.10 HOIMA-BULIISA-24h'!I100)</f>
        <v>0</v>
      </c>
      <c r="J100" s="49">
        <f>AVERAGE('26.10 HOIMA-BULIISA-24h'!J100,'28.10 HOIMA-BULIISA-24h'!J100)</f>
        <v>0</v>
      </c>
      <c r="K100" s="49">
        <f>AVERAGE('26.10 HOIMA-BULIISA-24h'!K100,'28.10 HOIMA-BULIISA-24h'!K100)</f>
        <v>0</v>
      </c>
      <c r="L100" s="49">
        <f>AVERAGE('26.10 HOIMA-BULIISA-24h'!L100,'28.10 HOIMA-BULIISA-24h'!L100)</f>
        <v>0</v>
      </c>
      <c r="M100" s="49">
        <f>AVERAGE('26.10 HOIMA-BULIISA-24h'!M100,'28.10 HOIMA-BULIISA-24h'!M100)</f>
        <v>1</v>
      </c>
      <c r="N100" s="49">
        <f>AVERAGE('26.10 HOIMA-BULIISA-24h'!N100,'28.10 HOIMA-BULIISA-24h'!N100)</f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AVERAGE('26.10 HOIMA-BULIISA-24h'!C101,'28.10 HOIMA-BULIISA-24h'!C101)</f>
        <v>0</v>
      </c>
      <c r="D101" s="49">
        <f>AVERAGE('26.10 HOIMA-BULIISA-24h'!D101,'28.10 HOIMA-BULIISA-24h'!D101)</f>
        <v>0</v>
      </c>
      <c r="E101" s="49">
        <f>AVERAGE('26.10 HOIMA-BULIISA-24h'!E101,'28.10 HOIMA-BULIISA-24h'!E101)</f>
        <v>0</v>
      </c>
      <c r="F101" s="49">
        <f>AVERAGE('26.10 HOIMA-BULIISA-24h'!F101,'28.10 HOIMA-BULIISA-24h'!F101)</f>
        <v>0</v>
      </c>
      <c r="G101" s="49">
        <f>AVERAGE('26.10 HOIMA-BULIISA-24h'!G101,'28.10 HOIMA-BULIISA-24h'!G101)</f>
        <v>0</v>
      </c>
      <c r="H101" s="49">
        <f>AVERAGE('26.10 HOIMA-BULIISA-24h'!H101,'28.10 HOIMA-BULIISA-24h'!H101)</f>
        <v>0</v>
      </c>
      <c r="I101" s="49">
        <f>AVERAGE('26.10 HOIMA-BULIISA-24h'!I101,'28.10 HOIMA-BULIISA-24h'!I101)</f>
        <v>0</v>
      </c>
      <c r="J101" s="49">
        <f>AVERAGE('26.10 HOIMA-BULIISA-24h'!J101,'28.10 HOIMA-BULIISA-24h'!J101)</f>
        <v>0</v>
      </c>
      <c r="K101" s="49">
        <f>AVERAGE('26.10 HOIMA-BULIISA-24h'!K101,'28.10 HOIMA-BULIISA-24h'!K101)</f>
        <v>0</v>
      </c>
      <c r="L101" s="49">
        <f>AVERAGE('26.10 HOIMA-BULIISA-24h'!L101,'28.10 HOIMA-BULIISA-24h'!L101)</f>
        <v>0</v>
      </c>
      <c r="M101" s="49">
        <f>AVERAGE('26.10 HOIMA-BULIISA-24h'!M101,'28.10 HOIMA-BULIISA-24h'!M101)</f>
        <v>1</v>
      </c>
      <c r="N101" s="49">
        <f>AVERAGE('26.10 HOIMA-BULIISA-24h'!N101,'28.10 HOIMA-BULIISA-24h'!N101)</f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24" t="s">
        <v>142</v>
      </c>
      <c r="C102" s="49">
        <f>AVERAGE('26.10 HOIMA-BULIISA-24h'!C102,'28.10 HOIMA-BULIISA-24h'!C102)</f>
        <v>0</v>
      </c>
      <c r="D102" s="49">
        <f>AVERAGE('26.10 HOIMA-BULIISA-24h'!D102,'28.10 HOIMA-BULIISA-24h'!D102)</f>
        <v>0</v>
      </c>
      <c r="E102" s="49">
        <f>AVERAGE('26.10 HOIMA-BULIISA-24h'!E102,'28.10 HOIMA-BULIISA-24h'!E102)</f>
        <v>0</v>
      </c>
      <c r="F102" s="49">
        <f>AVERAGE('26.10 HOIMA-BULIISA-24h'!F102,'28.10 HOIMA-BULIISA-24h'!F102)</f>
        <v>0</v>
      </c>
      <c r="G102" s="49">
        <f>AVERAGE('26.10 HOIMA-BULIISA-24h'!G102,'28.10 HOIMA-BULIISA-24h'!G102)</f>
        <v>0</v>
      </c>
      <c r="H102" s="49">
        <f>AVERAGE('26.10 HOIMA-BULIISA-24h'!H102,'28.10 HOIMA-BULIISA-24h'!H102)</f>
        <v>0</v>
      </c>
      <c r="I102" s="49">
        <f>AVERAGE('26.10 HOIMA-BULIISA-24h'!I102,'28.10 HOIMA-BULIISA-24h'!I102)</f>
        <v>0</v>
      </c>
      <c r="J102" s="49">
        <f>AVERAGE('26.10 HOIMA-BULIISA-24h'!J102,'28.10 HOIMA-BULIISA-24h'!J102)</f>
        <v>0</v>
      </c>
      <c r="K102" s="49">
        <f>AVERAGE('26.10 HOIMA-BULIISA-24h'!K102,'28.10 HOIMA-BULIISA-24h'!K102)</f>
        <v>0</v>
      </c>
      <c r="L102" s="49">
        <f>AVERAGE('26.10 HOIMA-BULIISA-24h'!L102,'28.10 HOIMA-BULIISA-24h'!L102)</f>
        <v>0</v>
      </c>
      <c r="M102" s="49">
        <f>AVERAGE('26.10 HOIMA-BULIISA-24h'!M102,'28.10 HOIMA-BULIISA-24h'!M102)</f>
        <v>0</v>
      </c>
      <c r="N102" s="49">
        <f>AVERAGE('26.10 HOIMA-BULIISA-24h'!N102,'28.10 HOIMA-BULIISA-24h'!N102)</f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23" t="s">
        <v>143</v>
      </c>
      <c r="C103" s="49">
        <f>AVERAGE('26.10 HOIMA-BULIISA-24h'!C103,'28.10 HOIMA-BULIISA-24h'!C103)</f>
        <v>0</v>
      </c>
      <c r="D103" s="49">
        <f>AVERAGE('26.10 HOIMA-BULIISA-24h'!D103,'28.10 HOIMA-BULIISA-24h'!D103)</f>
        <v>0</v>
      </c>
      <c r="E103" s="49">
        <f>AVERAGE('26.10 HOIMA-BULIISA-24h'!E103,'28.10 HOIMA-BULIISA-24h'!E103)</f>
        <v>0</v>
      </c>
      <c r="F103" s="49">
        <f>AVERAGE('26.10 HOIMA-BULIISA-24h'!F103,'28.10 HOIMA-BULIISA-24h'!F103)</f>
        <v>0</v>
      </c>
      <c r="G103" s="49">
        <f>AVERAGE('26.10 HOIMA-BULIISA-24h'!G103,'28.10 HOIMA-BULIISA-24h'!G103)</f>
        <v>0</v>
      </c>
      <c r="H103" s="49">
        <f>AVERAGE('26.10 HOIMA-BULIISA-24h'!H103,'28.10 HOIMA-BULIISA-24h'!H103)</f>
        <v>0</v>
      </c>
      <c r="I103" s="49">
        <f>AVERAGE('26.10 HOIMA-BULIISA-24h'!I103,'28.10 HOIMA-BULIISA-24h'!I103)</f>
        <v>0</v>
      </c>
      <c r="J103" s="49">
        <f>AVERAGE('26.10 HOIMA-BULIISA-24h'!J103,'28.10 HOIMA-BULIISA-24h'!J103)</f>
        <v>0</v>
      </c>
      <c r="K103" s="49">
        <f>AVERAGE('26.10 HOIMA-BULIISA-24h'!K103,'28.10 HOIMA-BULIISA-24h'!K103)</f>
        <v>0</v>
      </c>
      <c r="L103" s="49">
        <f>AVERAGE('26.10 HOIMA-BULIISA-24h'!L103,'28.10 HOIMA-BULIISA-24h'!L103)</f>
        <v>0</v>
      </c>
      <c r="M103" s="49">
        <f>AVERAGE('26.10 HOIMA-BULIISA-24h'!M103,'28.10 HOIMA-BULIISA-24h'!M103)</f>
        <v>2</v>
      </c>
      <c r="N103" s="49">
        <f>AVERAGE('26.10 HOIMA-BULIISA-24h'!N103,'28.10 HOIMA-BULIISA-24h'!N103)</f>
        <v>0</v>
      </c>
      <c r="O103" s="15">
        <f t="shared" si="35"/>
        <v>0</v>
      </c>
      <c r="P103" s="15">
        <f t="shared" si="36"/>
        <v>2</v>
      </c>
      <c r="R103" s="8"/>
      <c r="T103"/>
    </row>
    <row r="104" spans="2:20" ht="23.1" customHeight="1" x14ac:dyDescent="0.25">
      <c r="B104" s="25" t="s">
        <v>144</v>
      </c>
      <c r="C104" s="49">
        <f>AVERAGE('26.10 HOIMA-BULIISA-24h'!C104,'28.10 HOIMA-BULIISA-24h'!C104)</f>
        <v>0</v>
      </c>
      <c r="D104" s="49">
        <f>AVERAGE('26.10 HOIMA-BULIISA-24h'!D104,'28.10 HOIMA-BULIISA-24h'!D104)</f>
        <v>0</v>
      </c>
      <c r="E104" s="49">
        <f>AVERAGE('26.10 HOIMA-BULIISA-24h'!E104,'28.10 HOIMA-BULIISA-24h'!E104)</f>
        <v>0</v>
      </c>
      <c r="F104" s="49">
        <f>AVERAGE('26.10 HOIMA-BULIISA-24h'!F104,'28.10 HOIMA-BULIISA-24h'!F104)</f>
        <v>0</v>
      </c>
      <c r="G104" s="49">
        <f>AVERAGE('26.10 HOIMA-BULIISA-24h'!G104,'28.10 HOIMA-BULIISA-24h'!G104)</f>
        <v>0</v>
      </c>
      <c r="H104" s="49">
        <f>AVERAGE('26.10 HOIMA-BULIISA-24h'!H104,'28.10 HOIMA-BULIISA-24h'!H104)</f>
        <v>0</v>
      </c>
      <c r="I104" s="49">
        <f>AVERAGE('26.10 HOIMA-BULIISA-24h'!I104,'28.10 HOIMA-BULIISA-24h'!I104)</f>
        <v>0</v>
      </c>
      <c r="J104" s="49">
        <f>AVERAGE('26.10 HOIMA-BULIISA-24h'!J104,'28.10 HOIMA-BULIISA-24h'!J104)</f>
        <v>0</v>
      </c>
      <c r="K104" s="49">
        <f>AVERAGE('26.10 HOIMA-BULIISA-24h'!K104,'28.10 HOIMA-BULIISA-24h'!K104)</f>
        <v>0</v>
      </c>
      <c r="L104" s="49">
        <f>AVERAGE('26.10 HOIMA-BULIISA-24h'!L104,'28.10 HOIMA-BULIISA-24h'!L104)</f>
        <v>0</v>
      </c>
      <c r="M104" s="49">
        <f>AVERAGE('26.10 HOIMA-BULIISA-24h'!M104,'28.10 HOIMA-BULIISA-24h'!M104)</f>
        <v>2.5</v>
      </c>
      <c r="N104" s="49">
        <f>AVERAGE('26.10 HOIMA-BULIISA-24h'!N104,'28.10 HOIMA-BULIISA-24h'!N104)</f>
        <v>0</v>
      </c>
      <c r="O104" s="15">
        <f t="shared" si="35"/>
        <v>0</v>
      </c>
      <c r="P104" s="15">
        <f t="shared" si="36"/>
        <v>2.5</v>
      </c>
      <c r="R104" s="8"/>
      <c r="T104"/>
    </row>
    <row r="105" spans="2:20" ht="23.1" customHeight="1" x14ac:dyDescent="0.25">
      <c r="B105" s="23" t="s">
        <v>145</v>
      </c>
      <c r="C105" s="49">
        <f>AVERAGE('26.10 HOIMA-BULIISA-24h'!C105,'28.10 HOIMA-BULIISA-24h'!C105)</f>
        <v>0</v>
      </c>
      <c r="D105" s="49">
        <f>AVERAGE('26.10 HOIMA-BULIISA-24h'!D105,'28.10 HOIMA-BULIISA-24h'!D105)</f>
        <v>0</v>
      </c>
      <c r="E105" s="49">
        <f>AVERAGE('26.10 HOIMA-BULIISA-24h'!E105,'28.10 HOIMA-BULIISA-24h'!E105)</f>
        <v>0</v>
      </c>
      <c r="F105" s="49">
        <f>AVERAGE('26.10 HOIMA-BULIISA-24h'!F105,'28.10 HOIMA-BULIISA-24h'!F105)</f>
        <v>0</v>
      </c>
      <c r="G105" s="49">
        <f>AVERAGE('26.10 HOIMA-BULIISA-24h'!G105,'28.10 HOIMA-BULIISA-24h'!G105)</f>
        <v>0</v>
      </c>
      <c r="H105" s="49">
        <f>AVERAGE('26.10 HOIMA-BULIISA-24h'!H105,'28.10 HOIMA-BULIISA-24h'!H105)</f>
        <v>0</v>
      </c>
      <c r="I105" s="49">
        <f>AVERAGE('26.10 HOIMA-BULIISA-24h'!I105,'28.10 HOIMA-BULIISA-24h'!I105)</f>
        <v>0</v>
      </c>
      <c r="J105" s="49">
        <f>AVERAGE('26.10 HOIMA-BULIISA-24h'!J105,'28.10 HOIMA-BULIISA-24h'!J105)</f>
        <v>0.5</v>
      </c>
      <c r="K105" s="49">
        <f>AVERAGE('26.10 HOIMA-BULIISA-24h'!K105,'28.10 HOIMA-BULIISA-24h'!K105)</f>
        <v>0</v>
      </c>
      <c r="L105" s="49">
        <f>AVERAGE('26.10 HOIMA-BULIISA-24h'!L105,'28.10 HOIMA-BULIISA-24h'!L105)</f>
        <v>0</v>
      </c>
      <c r="M105" s="49">
        <f>AVERAGE('26.10 HOIMA-BULIISA-24h'!M105,'28.10 HOIMA-BULIISA-24h'!M105)</f>
        <v>4</v>
      </c>
      <c r="N105" s="49">
        <f>AVERAGE('26.10 HOIMA-BULIISA-24h'!N105,'28.10 HOIMA-BULIISA-24h'!N105)</f>
        <v>0</v>
      </c>
      <c r="O105" s="15">
        <f t="shared" si="35"/>
        <v>0.5</v>
      </c>
      <c r="P105" s="15">
        <f t="shared" si="36"/>
        <v>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13.142857142857146</v>
      </c>
      <c r="D106" s="16">
        <f t="shared" ref="D106:P106" si="37">SUM(D10:D105)</f>
        <v>6.8571428571428568</v>
      </c>
      <c r="E106" s="16">
        <f t="shared" si="37"/>
        <v>20.642857142857139</v>
      </c>
      <c r="F106" s="16">
        <f t="shared" si="37"/>
        <v>41.261904761904766</v>
      </c>
      <c r="G106" s="16">
        <f t="shared" si="37"/>
        <v>1.3571428571428572</v>
      </c>
      <c r="H106" s="16">
        <f t="shared" si="37"/>
        <v>0.14285714285714285</v>
      </c>
      <c r="I106" s="16">
        <f t="shared" si="37"/>
        <v>4.2857142857142856</v>
      </c>
      <c r="J106" s="16">
        <f t="shared" si="37"/>
        <v>6.4285714285714279</v>
      </c>
      <c r="K106" s="16">
        <f t="shared" si="37"/>
        <v>5.7142857142857135</v>
      </c>
      <c r="L106" s="16">
        <f t="shared" si="37"/>
        <v>0.71428571428571419</v>
      </c>
      <c r="M106" s="16">
        <f t="shared" si="37"/>
        <v>255.92857142857142</v>
      </c>
      <c r="N106" s="16">
        <f t="shared" si="37"/>
        <v>0</v>
      </c>
      <c r="O106" s="16">
        <f t="shared" si="37"/>
        <v>100.54761904761902</v>
      </c>
      <c r="P106" s="16">
        <f t="shared" si="37"/>
        <v>356.4761904761906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3.6868821800694625E-2</v>
      </c>
      <c r="D107" s="43">
        <f t="shared" si="38"/>
        <v>1.9235907026449364E-2</v>
      </c>
      <c r="E107" s="43">
        <f t="shared" si="38"/>
        <v>5.7908095110873602E-2</v>
      </c>
      <c r="F107" s="43">
        <f t="shared" si="38"/>
        <v>0.11574939887790539</v>
      </c>
      <c r="G107" s="43">
        <f t="shared" si="38"/>
        <v>3.8071065989847704E-3</v>
      </c>
      <c r="H107" s="43">
        <f t="shared" si="38"/>
        <v>4.0074806305102841E-4</v>
      </c>
      <c r="I107" s="43">
        <f t="shared" si="38"/>
        <v>1.2022441891530853E-2</v>
      </c>
      <c r="J107" s="43">
        <f t="shared" si="38"/>
        <v>1.803366283729628E-2</v>
      </c>
      <c r="K107" s="43">
        <f t="shared" si="38"/>
        <v>1.6029922522041135E-2</v>
      </c>
      <c r="L107" s="43">
        <f t="shared" si="38"/>
        <v>2.0037403152551418E-3</v>
      </c>
      <c r="M107" s="43">
        <f t="shared" si="38"/>
        <v>0.71794015495591745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0.13071276343831406</v>
      </c>
      <c r="D108" s="44">
        <f t="shared" ref="D108:N108" si="39">D106/$O$106</f>
        <v>6.8197963533033396E-2</v>
      </c>
      <c r="E108" s="44">
        <f t="shared" si="39"/>
        <v>0.20530428605256928</v>
      </c>
      <c r="F108" s="44">
        <f t="shared" si="39"/>
        <v>0.41037177362064897</v>
      </c>
      <c r="G108" s="44">
        <f t="shared" si="39"/>
        <v>1.3497513615912862E-2</v>
      </c>
      <c r="H108" s="44">
        <f t="shared" si="39"/>
        <v>1.4207909069381959E-3</v>
      </c>
      <c r="I108" s="44">
        <f t="shared" si="39"/>
        <v>4.2623727208145876E-2</v>
      </c>
      <c r="J108" s="44">
        <f t="shared" si="39"/>
        <v>6.3935590812218807E-2</v>
      </c>
      <c r="K108" s="44">
        <f t="shared" si="39"/>
        <v>5.6831636277527832E-2</v>
      </c>
      <c r="L108" s="44">
        <f t="shared" si="39"/>
        <v>7.103954534690979E-3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L55" zoomScale="60" workbookViewId="0">
      <selection activeCell="AE58" sqref="AE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5" t="s">
        <v>23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2:32" ht="20.100000000000001" customHeight="1" x14ac:dyDescent="0.25">
      <c r="B2" s="56" t="s">
        <v>95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2:32" ht="20.100000000000001" customHeight="1" x14ac:dyDescent="0.25">
      <c r="B3" s="22" t="s">
        <v>96</v>
      </c>
      <c r="C3" s="60" t="str">
        <f>'31.10 HOIMA-BULIISA'!C3:G3</f>
        <v>MCC - C4 - STN111A- BULIISA HOIMA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3" t="s">
        <v>162</v>
      </c>
      <c r="E5" s="64"/>
      <c r="F5" s="41" t="s">
        <v>1</v>
      </c>
      <c r="G5" s="61" t="str">
        <f>'Avg Week Hoima-Buliisa'!G5:H5</f>
        <v>KISIABI</v>
      </c>
      <c r="H5" s="62"/>
      <c r="I5" s="14"/>
      <c r="J5" s="2" t="s">
        <v>5</v>
      </c>
      <c r="K5" s="61" t="str">
        <f>'Avg Week Hoima-Buliisa'!K5:L5</f>
        <v>CATHY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5" t="s">
        <v>161</v>
      </c>
      <c r="E6" s="66"/>
      <c r="F6" s="2" t="s">
        <v>2</v>
      </c>
      <c r="G6" s="65" t="s">
        <v>161</v>
      </c>
      <c r="H6" s="66"/>
      <c r="J6" s="2" t="s">
        <v>21</v>
      </c>
      <c r="K6" s="61" t="str">
        <f>'Avg Week Hoima-Buliisa'!K6:L6</f>
        <v>LAWRENCE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Buliisa-Hoima'!C10+'Avg Week Hoima-Buliisa'!C10</f>
        <v>0.42857142857142855</v>
      </c>
      <c r="D10" s="49">
        <f>'Avg Week Buliisa-Hoima'!D10+'Avg Week Hoima-Buliisa'!D10</f>
        <v>0.14285714285714285</v>
      </c>
      <c r="E10" s="49">
        <f>'Avg Week Buliisa-Hoima'!E10+'Avg Week Hoima-Buliisa'!E10</f>
        <v>1.2857142857142856</v>
      </c>
      <c r="F10" s="49">
        <f>'Avg Week Buliisa-Hoima'!F10+'Avg Week Hoima-Buliisa'!F10</f>
        <v>1</v>
      </c>
      <c r="G10" s="49">
        <f>'Avg Week Buliisa-Hoima'!G10+'Avg Week Hoima-Buliisa'!G10</f>
        <v>0</v>
      </c>
      <c r="H10" s="49">
        <f>'Avg Week Buliisa-Hoima'!H10+'Avg Week Hoima-Buliisa'!H10</f>
        <v>0</v>
      </c>
      <c r="I10" s="49">
        <f>'Avg Week Buliisa-Hoima'!I10+'Avg Week Hoima-Buliisa'!I10</f>
        <v>0.14285714285714285</v>
      </c>
      <c r="J10" s="49">
        <f>'Avg Week Buliisa-Hoima'!J10+'Avg Week Hoima-Buliisa'!J10</f>
        <v>0</v>
      </c>
      <c r="K10" s="49">
        <f>'Avg Week Buliisa-Hoima'!K10+'Avg Week Hoima-Buliisa'!K10</f>
        <v>0.5714285714285714</v>
      </c>
      <c r="L10" s="49">
        <f>'Avg Week Buliisa-Hoima'!L10+'Avg Week Hoima-Buliisa'!L10</f>
        <v>0</v>
      </c>
      <c r="M10" s="49">
        <f>'Avg Week Buliisa-Hoima'!M10+'Avg Week Hoima-Buliisa'!M10</f>
        <v>7.7142857142857144</v>
      </c>
      <c r="N10" s="49">
        <f>'Avg Week Buliisa-Hoima'!N10+'Avg Week Hoima-Buliisa'!N10</f>
        <v>0</v>
      </c>
      <c r="O10" s="15">
        <f t="shared" ref="O10:O73" si="0">SUM(C10:L10,N10)</f>
        <v>3.5714285714285712</v>
      </c>
      <c r="P10" s="15">
        <f t="shared" ref="P10:P73" si="1">SUM(C10:N10)</f>
        <v>11.285714285714285</v>
      </c>
      <c r="R10" s="1" t="s">
        <v>6</v>
      </c>
      <c r="S10" s="17">
        <f t="shared" ref="S10:AF10" si="2">SUM(C10:C13)</f>
        <v>1.5714285714285714</v>
      </c>
      <c r="T10" s="17">
        <f t="shared" si="2"/>
        <v>1.1428571428571428</v>
      </c>
      <c r="U10" s="17">
        <f t="shared" si="2"/>
        <v>3.5714285714285712</v>
      </c>
      <c r="V10" s="17">
        <f t="shared" si="2"/>
        <v>5</v>
      </c>
      <c r="W10" s="17">
        <f t="shared" si="2"/>
        <v>0.2857142857142857</v>
      </c>
      <c r="X10" s="17">
        <f t="shared" si="2"/>
        <v>0</v>
      </c>
      <c r="Y10" s="17">
        <f t="shared" si="2"/>
        <v>0.5714285714285714</v>
      </c>
      <c r="Z10" s="17">
        <f t="shared" si="2"/>
        <v>0.71428571428571419</v>
      </c>
      <c r="AA10" s="17">
        <f t="shared" si="2"/>
        <v>0.8571428571428571</v>
      </c>
      <c r="AB10" s="17">
        <f t="shared" si="2"/>
        <v>0</v>
      </c>
      <c r="AC10" s="17">
        <f t="shared" si="2"/>
        <v>30.142857142857142</v>
      </c>
      <c r="AD10" s="17">
        <f t="shared" si="2"/>
        <v>0</v>
      </c>
      <c r="AE10" s="31">
        <f t="shared" si="2"/>
        <v>13.714285714285714</v>
      </c>
      <c r="AF10" s="31">
        <f t="shared" si="2"/>
        <v>43.857142857142854</v>
      </c>
    </row>
    <row r="11" spans="2:32" s="6" customFormat="1" ht="23.1" customHeight="1" x14ac:dyDescent="0.25">
      <c r="B11" s="23" t="s">
        <v>38</v>
      </c>
      <c r="C11" s="49">
        <f>'Avg Week Buliisa-Hoima'!C11+'Avg Week Hoima-Buliisa'!C11</f>
        <v>0.5714285714285714</v>
      </c>
      <c r="D11" s="49">
        <f>'Avg Week Buliisa-Hoima'!D11+'Avg Week Hoima-Buliisa'!D11</f>
        <v>0.2857142857142857</v>
      </c>
      <c r="E11" s="49">
        <f>'Avg Week Buliisa-Hoima'!E11+'Avg Week Hoima-Buliisa'!E11</f>
        <v>1</v>
      </c>
      <c r="F11" s="49">
        <f>'Avg Week Buliisa-Hoima'!F11+'Avg Week Hoima-Buliisa'!F11</f>
        <v>0.8571428571428571</v>
      </c>
      <c r="G11" s="49">
        <f>'Avg Week Buliisa-Hoima'!G11+'Avg Week Hoima-Buliisa'!G11</f>
        <v>0</v>
      </c>
      <c r="H11" s="49">
        <f>'Avg Week Buliisa-Hoima'!H11+'Avg Week Hoima-Buliisa'!H11</f>
        <v>0</v>
      </c>
      <c r="I11" s="49">
        <f>'Avg Week Buliisa-Hoima'!I11+'Avg Week Hoima-Buliisa'!I11</f>
        <v>0.14285714285714285</v>
      </c>
      <c r="J11" s="49">
        <f>'Avg Week Buliisa-Hoima'!J11+'Avg Week Hoima-Buliisa'!J11</f>
        <v>0.2857142857142857</v>
      </c>
      <c r="K11" s="49">
        <f>'Avg Week Buliisa-Hoima'!K11+'Avg Week Hoima-Buliisa'!K11</f>
        <v>0.2857142857142857</v>
      </c>
      <c r="L11" s="49">
        <f>'Avg Week Buliisa-Hoima'!L11+'Avg Week Hoima-Buliisa'!L11</f>
        <v>0</v>
      </c>
      <c r="M11" s="49">
        <f>'Avg Week Buliisa-Hoima'!M11+'Avg Week Hoima-Buliisa'!M11</f>
        <v>8.1428571428571423</v>
      </c>
      <c r="N11" s="49">
        <f>'Avg Week Buliisa-Hoima'!N11+'Avg Week Hoima-Buliisa'!N11</f>
        <v>0</v>
      </c>
      <c r="O11" s="15">
        <f t="shared" si="0"/>
        <v>3.4285714285714284</v>
      </c>
      <c r="P11" s="15">
        <f t="shared" si="1"/>
        <v>11.571428571428571</v>
      </c>
      <c r="R11" s="1" t="s">
        <v>7</v>
      </c>
      <c r="S11" s="17">
        <f t="shared" ref="S11:AF11" si="3">SUM(C14:C17)</f>
        <v>1.9999999999999998</v>
      </c>
      <c r="T11" s="17">
        <f t="shared" si="3"/>
        <v>0.5714285714285714</v>
      </c>
      <c r="U11" s="17">
        <f t="shared" si="3"/>
        <v>3.8571428571428568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0.85714285714285698</v>
      </c>
      <c r="Z11" s="17">
        <f t="shared" si="3"/>
        <v>0.5714285714285714</v>
      </c>
      <c r="AA11" s="17">
        <f t="shared" si="3"/>
        <v>0.2857142857142857</v>
      </c>
      <c r="AB11" s="17">
        <f t="shared" si="3"/>
        <v>0.2857142857142857</v>
      </c>
      <c r="AC11" s="17">
        <f t="shared" si="3"/>
        <v>33.857142857142854</v>
      </c>
      <c r="AD11" s="17">
        <f t="shared" si="3"/>
        <v>0</v>
      </c>
      <c r="AE11" s="31">
        <f t="shared" si="3"/>
        <v>14.428571428571429</v>
      </c>
      <c r="AF11" s="31">
        <f t="shared" si="3"/>
        <v>48.285714285714285</v>
      </c>
    </row>
    <row r="12" spans="2:32" ht="23.1" customHeight="1" x14ac:dyDescent="0.25">
      <c r="B12" s="23" t="s">
        <v>39</v>
      </c>
      <c r="C12" s="49">
        <f>'Avg Week Buliisa-Hoima'!C12+'Avg Week Hoima-Buliisa'!C12</f>
        <v>0.14285714285714285</v>
      </c>
      <c r="D12" s="49">
        <f>'Avg Week Buliisa-Hoima'!D12+'Avg Week Hoima-Buliisa'!D12</f>
        <v>0.2857142857142857</v>
      </c>
      <c r="E12" s="49">
        <f>'Avg Week Buliisa-Hoima'!E12+'Avg Week Hoima-Buliisa'!E12</f>
        <v>0.71428571428571419</v>
      </c>
      <c r="F12" s="49">
        <f>'Avg Week Buliisa-Hoima'!F12+'Avg Week Hoima-Buliisa'!F12</f>
        <v>1.7142857142857144</v>
      </c>
      <c r="G12" s="49">
        <f>'Avg Week Buliisa-Hoima'!G12+'Avg Week Hoima-Buliisa'!G12</f>
        <v>0.14285714285714285</v>
      </c>
      <c r="H12" s="49">
        <f>'Avg Week Buliisa-Hoima'!H12+'Avg Week Hoima-Buliisa'!H12</f>
        <v>0</v>
      </c>
      <c r="I12" s="49">
        <f>'Avg Week Buliisa-Hoima'!I12+'Avg Week Hoima-Buliisa'!I12</f>
        <v>0.14285714285714285</v>
      </c>
      <c r="J12" s="49">
        <f>'Avg Week Buliisa-Hoima'!J12+'Avg Week Hoima-Buliisa'!J12</f>
        <v>0</v>
      </c>
      <c r="K12" s="49">
        <f>'Avg Week Buliisa-Hoima'!K12+'Avg Week Hoima-Buliisa'!K12</f>
        <v>0</v>
      </c>
      <c r="L12" s="49">
        <f>'Avg Week Buliisa-Hoima'!L12+'Avg Week Hoima-Buliisa'!L12</f>
        <v>0</v>
      </c>
      <c r="M12" s="49">
        <f>'Avg Week Buliisa-Hoima'!M12+'Avg Week Hoima-Buliisa'!M12</f>
        <v>7.1428571428571432</v>
      </c>
      <c r="N12" s="49">
        <f>'Avg Week Buliisa-Hoima'!N12+'Avg Week Hoima-Buliisa'!N12</f>
        <v>0</v>
      </c>
      <c r="O12" s="15">
        <f t="shared" si="0"/>
        <v>3.1428571428571428</v>
      </c>
      <c r="P12" s="15">
        <f t="shared" si="1"/>
        <v>10.285714285714286</v>
      </c>
      <c r="R12" s="1" t="s">
        <v>8</v>
      </c>
      <c r="S12" s="17">
        <f t="shared" ref="S12:AF12" si="4">SUM(C18:C21)</f>
        <v>2</v>
      </c>
      <c r="T12" s="17">
        <f t="shared" si="4"/>
        <v>1.5714285714285712</v>
      </c>
      <c r="U12" s="17">
        <f t="shared" si="4"/>
        <v>2.2857142857142856</v>
      </c>
      <c r="V12" s="17">
        <f t="shared" si="4"/>
        <v>7.761904761904761</v>
      </c>
      <c r="W12" s="17">
        <f t="shared" si="4"/>
        <v>0</v>
      </c>
      <c r="X12" s="17">
        <f t="shared" si="4"/>
        <v>0.14285714285714285</v>
      </c>
      <c r="Y12" s="17">
        <f t="shared" si="4"/>
        <v>1.1428571428571428</v>
      </c>
      <c r="Z12" s="17">
        <f t="shared" si="4"/>
        <v>1.2857142857142856</v>
      </c>
      <c r="AA12" s="17">
        <f t="shared" si="4"/>
        <v>0.71428571428571419</v>
      </c>
      <c r="AB12" s="17">
        <f t="shared" si="4"/>
        <v>0.14285714285714285</v>
      </c>
      <c r="AC12" s="17">
        <f t="shared" si="4"/>
        <v>40.428571428571431</v>
      </c>
      <c r="AD12" s="17">
        <f t="shared" si="4"/>
        <v>0</v>
      </c>
      <c r="AE12" s="31">
        <f t="shared" si="4"/>
        <v>17.047619047619047</v>
      </c>
      <c r="AF12" s="31">
        <f t="shared" si="4"/>
        <v>57.476190476190474</v>
      </c>
    </row>
    <row r="13" spans="2:32" ht="23.1" customHeight="1" x14ac:dyDescent="0.25">
      <c r="B13" s="23" t="s">
        <v>40</v>
      </c>
      <c r="C13" s="49">
        <f>'Avg Week Buliisa-Hoima'!C13+'Avg Week Hoima-Buliisa'!C13</f>
        <v>0.42857142857142855</v>
      </c>
      <c r="D13" s="49">
        <f>'Avg Week Buliisa-Hoima'!D13+'Avg Week Hoima-Buliisa'!D13</f>
        <v>0.42857142857142855</v>
      </c>
      <c r="E13" s="49">
        <f>'Avg Week Buliisa-Hoima'!E13+'Avg Week Hoima-Buliisa'!E13</f>
        <v>0.5714285714285714</v>
      </c>
      <c r="F13" s="49">
        <f>'Avg Week Buliisa-Hoima'!F13+'Avg Week Hoima-Buliisa'!F13</f>
        <v>1.4285714285714284</v>
      </c>
      <c r="G13" s="49">
        <f>'Avg Week Buliisa-Hoima'!G13+'Avg Week Hoima-Buliisa'!G13</f>
        <v>0.14285714285714285</v>
      </c>
      <c r="H13" s="49">
        <f>'Avg Week Buliisa-Hoima'!H13+'Avg Week Hoima-Buliisa'!H13</f>
        <v>0</v>
      </c>
      <c r="I13" s="49">
        <f>'Avg Week Buliisa-Hoima'!I13+'Avg Week Hoima-Buliisa'!I13</f>
        <v>0.14285714285714285</v>
      </c>
      <c r="J13" s="49">
        <f>'Avg Week Buliisa-Hoima'!J13+'Avg Week Hoima-Buliisa'!J13</f>
        <v>0.42857142857142855</v>
      </c>
      <c r="K13" s="49">
        <f>'Avg Week Buliisa-Hoima'!K13+'Avg Week Hoima-Buliisa'!K13</f>
        <v>0</v>
      </c>
      <c r="L13" s="49">
        <f>'Avg Week Buliisa-Hoima'!L13+'Avg Week Hoima-Buliisa'!L13</f>
        <v>0</v>
      </c>
      <c r="M13" s="49">
        <f>'Avg Week Buliisa-Hoima'!M13+'Avg Week Hoima-Buliisa'!M13</f>
        <v>7.1428571428571432</v>
      </c>
      <c r="N13" s="49">
        <f>'Avg Week Buliisa-Hoima'!N13+'Avg Week Hoima-Buliisa'!N13</f>
        <v>0</v>
      </c>
      <c r="O13" s="15">
        <f t="shared" si="0"/>
        <v>3.5714285714285707</v>
      </c>
      <c r="P13" s="15">
        <f t="shared" si="1"/>
        <v>10.714285714285714</v>
      </c>
      <c r="R13" s="1" t="s">
        <v>9</v>
      </c>
      <c r="S13" s="17">
        <f t="shared" ref="S13:AF13" si="5">SUM(C22:C25)</f>
        <v>2.7142857142857144</v>
      </c>
      <c r="T13" s="17">
        <f t="shared" si="5"/>
        <v>0.71428571428571419</v>
      </c>
      <c r="U13" s="17">
        <f t="shared" si="5"/>
        <v>3.8571428571428568</v>
      </c>
      <c r="V13" s="17">
        <f t="shared" si="5"/>
        <v>5.1428571428571423</v>
      </c>
      <c r="W13" s="17">
        <f t="shared" si="5"/>
        <v>0.2857142857142857</v>
      </c>
      <c r="X13" s="17">
        <f t="shared" si="5"/>
        <v>0</v>
      </c>
      <c r="Y13" s="17">
        <f t="shared" si="5"/>
        <v>0.71428571428571419</v>
      </c>
      <c r="Z13" s="17">
        <f t="shared" si="5"/>
        <v>0.71428571428571419</v>
      </c>
      <c r="AA13" s="17">
        <f t="shared" si="5"/>
        <v>0.8571428571428571</v>
      </c>
      <c r="AB13" s="17">
        <f t="shared" si="5"/>
        <v>0</v>
      </c>
      <c r="AC13" s="17">
        <f t="shared" si="5"/>
        <v>36.285714285714285</v>
      </c>
      <c r="AD13" s="17">
        <f t="shared" si="5"/>
        <v>0</v>
      </c>
      <c r="AE13" s="31">
        <f t="shared" si="5"/>
        <v>14.999999999999998</v>
      </c>
      <c r="AF13" s="31">
        <f t="shared" si="5"/>
        <v>51.285714285714285</v>
      </c>
    </row>
    <row r="14" spans="2:32" ht="23.1" customHeight="1" x14ac:dyDescent="0.25">
      <c r="B14" s="23" t="s">
        <v>41</v>
      </c>
      <c r="C14" s="49">
        <f>'Avg Week Buliisa-Hoima'!C14+'Avg Week Hoima-Buliisa'!C14</f>
        <v>0.14285714285714285</v>
      </c>
      <c r="D14" s="49">
        <f>'Avg Week Buliisa-Hoima'!D14+'Avg Week Hoima-Buliisa'!D14</f>
        <v>0.2857142857142857</v>
      </c>
      <c r="E14" s="49">
        <f>'Avg Week Buliisa-Hoima'!E14+'Avg Week Hoima-Buliisa'!E14</f>
        <v>0.5714285714285714</v>
      </c>
      <c r="F14" s="49">
        <f>'Avg Week Buliisa-Hoima'!F14+'Avg Week Hoima-Buliisa'!F14</f>
        <v>2.4285714285714288</v>
      </c>
      <c r="G14" s="49">
        <f>'Avg Week Buliisa-Hoima'!G14+'Avg Week Hoima-Buliisa'!G14</f>
        <v>0</v>
      </c>
      <c r="H14" s="49">
        <f>'Avg Week Buliisa-Hoima'!H14+'Avg Week Hoima-Buliisa'!H14</f>
        <v>0</v>
      </c>
      <c r="I14" s="49">
        <f>'Avg Week Buliisa-Hoima'!I14+'Avg Week Hoima-Buliisa'!I14</f>
        <v>0.14285714285714285</v>
      </c>
      <c r="J14" s="49">
        <f>'Avg Week Buliisa-Hoima'!J14+'Avg Week Hoima-Buliisa'!J14</f>
        <v>0</v>
      </c>
      <c r="K14" s="49">
        <f>'Avg Week Buliisa-Hoima'!K14+'Avg Week Hoima-Buliisa'!K14</f>
        <v>0</v>
      </c>
      <c r="L14" s="49">
        <f>'Avg Week Buliisa-Hoima'!L14+'Avg Week Hoima-Buliisa'!L14</f>
        <v>0</v>
      </c>
      <c r="M14" s="49">
        <f>'Avg Week Buliisa-Hoima'!M14+'Avg Week Hoima-Buliisa'!M14</f>
        <v>7.1428571428571423</v>
      </c>
      <c r="N14" s="49">
        <f>'Avg Week Buliisa-Hoima'!N14+'Avg Week Hoima-Buliisa'!N14</f>
        <v>0</v>
      </c>
      <c r="O14" s="15">
        <f t="shared" si="0"/>
        <v>3.5714285714285716</v>
      </c>
      <c r="P14" s="15">
        <f t="shared" si="1"/>
        <v>10.714285714285714</v>
      </c>
      <c r="R14" s="1" t="s">
        <v>10</v>
      </c>
      <c r="S14" s="17">
        <f t="shared" ref="S14:AF14" si="6">SUM(C26:C29)</f>
        <v>1.714285714285714</v>
      </c>
      <c r="T14" s="17">
        <f t="shared" si="6"/>
        <v>1.2857142857142856</v>
      </c>
      <c r="U14" s="17">
        <f t="shared" si="6"/>
        <v>3.1428571428571428</v>
      </c>
      <c r="V14" s="17">
        <f t="shared" si="6"/>
        <v>4.7142857142857144</v>
      </c>
      <c r="W14" s="17">
        <f t="shared" si="6"/>
        <v>0</v>
      </c>
      <c r="X14" s="17">
        <f t="shared" si="6"/>
        <v>0</v>
      </c>
      <c r="Y14" s="17">
        <f t="shared" si="6"/>
        <v>0.14285714285714285</v>
      </c>
      <c r="Z14" s="17">
        <f t="shared" si="6"/>
        <v>0.5714285714285714</v>
      </c>
      <c r="AA14" s="17">
        <f t="shared" si="6"/>
        <v>0.42857142857142855</v>
      </c>
      <c r="AB14" s="17">
        <f t="shared" si="6"/>
        <v>0.2857142857142857</v>
      </c>
      <c r="AC14" s="17">
        <f t="shared" si="6"/>
        <v>34.142857142857146</v>
      </c>
      <c r="AD14" s="17">
        <f t="shared" si="6"/>
        <v>0</v>
      </c>
      <c r="AE14" s="31">
        <f t="shared" si="6"/>
        <v>12.285714285714285</v>
      </c>
      <c r="AF14" s="31">
        <f t="shared" si="6"/>
        <v>46.428571428571431</v>
      </c>
    </row>
    <row r="15" spans="2:32" ht="23.1" customHeight="1" x14ac:dyDescent="0.25">
      <c r="B15" s="23" t="s">
        <v>42</v>
      </c>
      <c r="C15" s="49">
        <f>'Avg Week Buliisa-Hoima'!C15+'Avg Week Hoima-Buliisa'!C15</f>
        <v>0.5714285714285714</v>
      </c>
      <c r="D15" s="49">
        <f>'Avg Week Buliisa-Hoima'!D15+'Avg Week Hoima-Buliisa'!D15</f>
        <v>0.2857142857142857</v>
      </c>
      <c r="E15" s="49">
        <f>'Avg Week Buliisa-Hoima'!E15+'Avg Week Hoima-Buliisa'!E15</f>
        <v>1.2857142857142856</v>
      </c>
      <c r="F15" s="49">
        <f>'Avg Week Buliisa-Hoima'!F15+'Avg Week Hoima-Buliisa'!F15</f>
        <v>1.5714285714285714</v>
      </c>
      <c r="G15" s="49">
        <f>'Avg Week Buliisa-Hoima'!G15+'Avg Week Hoima-Buliisa'!G15</f>
        <v>0</v>
      </c>
      <c r="H15" s="49">
        <f>'Avg Week Buliisa-Hoima'!H15+'Avg Week Hoima-Buliisa'!H15</f>
        <v>0</v>
      </c>
      <c r="I15" s="49">
        <f>'Avg Week Buliisa-Hoima'!I15+'Avg Week Hoima-Buliisa'!I15</f>
        <v>0.42857142857142855</v>
      </c>
      <c r="J15" s="49">
        <f>'Avg Week Buliisa-Hoima'!J15+'Avg Week Hoima-Buliisa'!J15</f>
        <v>0.14285714285714285</v>
      </c>
      <c r="K15" s="49">
        <f>'Avg Week Buliisa-Hoima'!K15+'Avg Week Hoima-Buliisa'!K15</f>
        <v>0</v>
      </c>
      <c r="L15" s="49">
        <f>'Avg Week Buliisa-Hoima'!L15+'Avg Week Hoima-Buliisa'!L15</f>
        <v>0</v>
      </c>
      <c r="M15" s="49">
        <f>'Avg Week Buliisa-Hoima'!M15+'Avg Week Hoima-Buliisa'!M15</f>
        <v>8.5714285714285712</v>
      </c>
      <c r="N15" s="49">
        <f>'Avg Week Buliisa-Hoima'!N15+'Avg Week Hoima-Buliisa'!N15</f>
        <v>0</v>
      </c>
      <c r="O15" s="15">
        <f t="shared" si="0"/>
        <v>4.2857142857142865</v>
      </c>
      <c r="P15" s="15">
        <f t="shared" si="1"/>
        <v>12.857142857142858</v>
      </c>
      <c r="R15" s="1" t="s">
        <v>11</v>
      </c>
      <c r="S15" s="17">
        <f t="shared" ref="S15:AF15" si="7">SUM(C30:C33)</f>
        <v>2.1428571428571428</v>
      </c>
      <c r="T15" s="17">
        <f t="shared" si="7"/>
        <v>0.8571428571428571</v>
      </c>
      <c r="U15" s="17">
        <f t="shared" si="7"/>
        <v>2.8571428571428572</v>
      </c>
      <c r="V15" s="17">
        <f t="shared" si="7"/>
        <v>4.9999999999999991</v>
      </c>
      <c r="W15" s="17">
        <f t="shared" si="7"/>
        <v>0.14285714285714285</v>
      </c>
      <c r="X15" s="17">
        <f t="shared" si="7"/>
        <v>0</v>
      </c>
      <c r="Y15" s="17">
        <f t="shared" si="7"/>
        <v>0.2857142857142857</v>
      </c>
      <c r="Z15" s="17">
        <f t="shared" si="7"/>
        <v>0.42857142857142855</v>
      </c>
      <c r="AA15" s="17">
        <f t="shared" si="7"/>
        <v>0</v>
      </c>
      <c r="AB15" s="17">
        <f t="shared" si="7"/>
        <v>0.42857142857142855</v>
      </c>
      <c r="AC15" s="17">
        <f t="shared" si="7"/>
        <v>31.428571428571431</v>
      </c>
      <c r="AD15" s="17">
        <f t="shared" si="7"/>
        <v>0</v>
      </c>
      <c r="AE15" s="31">
        <f t="shared" si="7"/>
        <v>12.142857142857142</v>
      </c>
      <c r="AF15" s="31">
        <f t="shared" si="7"/>
        <v>43.571428571428577</v>
      </c>
    </row>
    <row r="16" spans="2:32" ht="23.1" customHeight="1" x14ac:dyDescent="0.25">
      <c r="B16" s="23" t="s">
        <v>43</v>
      </c>
      <c r="C16" s="49">
        <f>'Avg Week Buliisa-Hoima'!C16+'Avg Week Hoima-Buliisa'!C16</f>
        <v>0.71428571428571419</v>
      </c>
      <c r="D16" s="49">
        <f>'Avg Week Buliisa-Hoima'!D16+'Avg Week Hoima-Buliisa'!D16</f>
        <v>0</v>
      </c>
      <c r="E16" s="49">
        <f>'Avg Week Buliisa-Hoima'!E16+'Avg Week Hoima-Buliisa'!E16</f>
        <v>1.4285714285714286</v>
      </c>
      <c r="F16" s="49">
        <f>'Avg Week Buliisa-Hoima'!F16+'Avg Week Hoima-Buliisa'!F16</f>
        <v>0.85714285714285721</v>
      </c>
      <c r="G16" s="49">
        <f>'Avg Week Buliisa-Hoima'!G16+'Avg Week Hoima-Buliisa'!G16</f>
        <v>0</v>
      </c>
      <c r="H16" s="49">
        <f>'Avg Week Buliisa-Hoima'!H16+'Avg Week Hoima-Buliisa'!H16</f>
        <v>0</v>
      </c>
      <c r="I16" s="49">
        <f>'Avg Week Buliisa-Hoima'!I16+'Avg Week Hoima-Buliisa'!I16</f>
        <v>0.14285714285714285</v>
      </c>
      <c r="J16" s="49">
        <f>'Avg Week Buliisa-Hoima'!J16+'Avg Week Hoima-Buliisa'!J16</f>
        <v>0.14285714285714285</v>
      </c>
      <c r="K16" s="49">
        <f>'Avg Week Buliisa-Hoima'!K16+'Avg Week Hoima-Buliisa'!K16</f>
        <v>0.2857142857142857</v>
      </c>
      <c r="L16" s="49">
        <f>'Avg Week Buliisa-Hoima'!L16+'Avg Week Hoima-Buliisa'!L16</f>
        <v>0</v>
      </c>
      <c r="M16" s="49">
        <f>'Avg Week Buliisa-Hoima'!M16+'Avg Week Hoima-Buliisa'!M16</f>
        <v>9.8571428571428577</v>
      </c>
      <c r="N16" s="49">
        <f>'Avg Week Buliisa-Hoima'!N16+'Avg Week Hoima-Buliisa'!N16</f>
        <v>0</v>
      </c>
      <c r="O16" s="15">
        <f t="shared" si="0"/>
        <v>3.5714285714285712</v>
      </c>
      <c r="P16" s="15">
        <f t="shared" si="1"/>
        <v>13.428571428571429</v>
      </c>
      <c r="R16" s="1" t="s">
        <v>12</v>
      </c>
      <c r="S16" s="17">
        <f t="shared" ref="S16:AF16" si="8">SUM(C34:C37)</f>
        <v>1.8571428571428572</v>
      </c>
      <c r="T16" s="17">
        <f t="shared" si="8"/>
        <v>0.5714285714285714</v>
      </c>
      <c r="U16" s="17">
        <f t="shared" si="8"/>
        <v>3.2857142857142856</v>
      </c>
      <c r="V16" s="17">
        <f t="shared" si="8"/>
        <v>5.7142857142857135</v>
      </c>
      <c r="W16" s="17">
        <f t="shared" si="8"/>
        <v>0</v>
      </c>
      <c r="X16" s="17">
        <f t="shared" si="8"/>
        <v>0</v>
      </c>
      <c r="Y16" s="17">
        <f t="shared" si="8"/>
        <v>0.5714285714285714</v>
      </c>
      <c r="Z16" s="17">
        <f t="shared" si="8"/>
        <v>0.42857142857142855</v>
      </c>
      <c r="AA16" s="17">
        <f t="shared" si="8"/>
        <v>0.14285714285714285</v>
      </c>
      <c r="AB16" s="17">
        <f t="shared" si="8"/>
        <v>0</v>
      </c>
      <c r="AC16" s="17">
        <f t="shared" si="8"/>
        <v>25.428571428571427</v>
      </c>
      <c r="AD16" s="17">
        <f t="shared" si="8"/>
        <v>0</v>
      </c>
      <c r="AE16" s="31">
        <f t="shared" si="8"/>
        <v>12.571428571428571</v>
      </c>
      <c r="AF16" s="31">
        <f t="shared" si="8"/>
        <v>38</v>
      </c>
    </row>
    <row r="17" spans="2:32" ht="23.1" customHeight="1" x14ac:dyDescent="0.25">
      <c r="B17" s="23" t="s">
        <v>44</v>
      </c>
      <c r="C17" s="49">
        <f>'Avg Week Buliisa-Hoima'!C17+'Avg Week Hoima-Buliisa'!C17</f>
        <v>0.5714285714285714</v>
      </c>
      <c r="D17" s="49">
        <f>'Avg Week Buliisa-Hoima'!D17+'Avg Week Hoima-Buliisa'!D17</f>
        <v>0</v>
      </c>
      <c r="E17" s="49">
        <f>'Avg Week Buliisa-Hoima'!E17+'Avg Week Hoima-Buliisa'!E17</f>
        <v>0.5714285714285714</v>
      </c>
      <c r="F17" s="49">
        <f>'Avg Week Buliisa-Hoima'!F17+'Avg Week Hoima-Buliisa'!F17</f>
        <v>1.1428571428571428</v>
      </c>
      <c r="G17" s="49">
        <f>'Avg Week Buliisa-Hoima'!G17+'Avg Week Hoima-Buliisa'!G17</f>
        <v>0</v>
      </c>
      <c r="H17" s="49">
        <f>'Avg Week Buliisa-Hoima'!H17+'Avg Week Hoima-Buliisa'!H17</f>
        <v>0</v>
      </c>
      <c r="I17" s="49">
        <f>'Avg Week Buliisa-Hoima'!I17+'Avg Week Hoima-Buliisa'!I17</f>
        <v>0.14285714285714285</v>
      </c>
      <c r="J17" s="49">
        <f>'Avg Week Buliisa-Hoima'!J17+'Avg Week Hoima-Buliisa'!J17</f>
        <v>0.2857142857142857</v>
      </c>
      <c r="K17" s="49">
        <f>'Avg Week Buliisa-Hoima'!K17+'Avg Week Hoima-Buliisa'!K17</f>
        <v>0</v>
      </c>
      <c r="L17" s="49">
        <f>'Avg Week Buliisa-Hoima'!L17+'Avg Week Hoima-Buliisa'!L17</f>
        <v>0.2857142857142857</v>
      </c>
      <c r="M17" s="49">
        <f>'Avg Week Buliisa-Hoima'!M17+'Avg Week Hoima-Buliisa'!M17</f>
        <v>8.2857142857142847</v>
      </c>
      <c r="N17" s="49">
        <f>'Avg Week Buliisa-Hoima'!N17+'Avg Week Hoima-Buliisa'!N17</f>
        <v>0</v>
      </c>
      <c r="O17" s="15">
        <f t="shared" si="0"/>
        <v>2.9999999999999996</v>
      </c>
      <c r="P17" s="15">
        <f t="shared" si="1"/>
        <v>11.285714285714285</v>
      </c>
      <c r="R17" s="1" t="s">
        <v>13</v>
      </c>
      <c r="S17" s="17">
        <f t="shared" ref="S17:AF17" si="9">SUM(C38:C41)</f>
        <v>1.4285714285714286</v>
      </c>
      <c r="T17" s="17">
        <f t="shared" si="9"/>
        <v>0.71428571428571419</v>
      </c>
      <c r="U17" s="17">
        <f t="shared" si="9"/>
        <v>4.1428571428571432</v>
      </c>
      <c r="V17" s="17">
        <f t="shared" si="9"/>
        <v>5.4285714285714288</v>
      </c>
      <c r="W17" s="17">
        <f t="shared" si="9"/>
        <v>0.42857142857142855</v>
      </c>
      <c r="X17" s="17">
        <f t="shared" si="9"/>
        <v>0.14285714285714285</v>
      </c>
      <c r="Y17" s="17">
        <f t="shared" si="9"/>
        <v>1.1428571428571428</v>
      </c>
      <c r="Z17" s="17">
        <f t="shared" si="9"/>
        <v>0.85714285714285698</v>
      </c>
      <c r="AA17" s="17">
        <f t="shared" si="9"/>
        <v>0.42857142857142855</v>
      </c>
      <c r="AB17" s="17">
        <f t="shared" si="9"/>
        <v>0.14285714285714285</v>
      </c>
      <c r="AC17" s="17">
        <f t="shared" si="9"/>
        <v>24.857142857142858</v>
      </c>
      <c r="AD17" s="17">
        <f t="shared" si="9"/>
        <v>0</v>
      </c>
      <c r="AE17" s="31">
        <f t="shared" si="9"/>
        <v>14.857142857142858</v>
      </c>
      <c r="AF17" s="31">
        <f t="shared" si="9"/>
        <v>39.714285714285715</v>
      </c>
    </row>
    <row r="18" spans="2:32" ht="23.1" customHeight="1" x14ac:dyDescent="0.25">
      <c r="B18" s="23" t="s">
        <v>45</v>
      </c>
      <c r="C18" s="49">
        <f>'Avg Week Buliisa-Hoima'!C18+'Avg Week Hoima-Buliisa'!C18</f>
        <v>0.5714285714285714</v>
      </c>
      <c r="D18" s="49">
        <f>'Avg Week Buliisa-Hoima'!D18+'Avg Week Hoima-Buliisa'!D18</f>
        <v>0.71428571428571419</v>
      </c>
      <c r="E18" s="49">
        <f>'Avg Week Buliisa-Hoima'!E18+'Avg Week Hoima-Buliisa'!E18</f>
        <v>0.8571428571428571</v>
      </c>
      <c r="F18" s="49">
        <f>'Avg Week Buliisa-Hoima'!F18+'Avg Week Hoima-Buliisa'!F18</f>
        <v>1.2857142857142856</v>
      </c>
      <c r="G18" s="49">
        <f>'Avg Week Buliisa-Hoima'!G18+'Avg Week Hoima-Buliisa'!G18</f>
        <v>0</v>
      </c>
      <c r="H18" s="49">
        <f>'Avg Week Buliisa-Hoima'!H18+'Avg Week Hoima-Buliisa'!H18</f>
        <v>0</v>
      </c>
      <c r="I18" s="49">
        <f>'Avg Week Buliisa-Hoima'!I18+'Avg Week Hoima-Buliisa'!I18</f>
        <v>0.14285714285714285</v>
      </c>
      <c r="J18" s="49">
        <f>'Avg Week Buliisa-Hoima'!J18+'Avg Week Hoima-Buliisa'!J18</f>
        <v>0.14285714285714285</v>
      </c>
      <c r="K18" s="49">
        <f>'Avg Week Buliisa-Hoima'!K18+'Avg Week Hoima-Buliisa'!K18</f>
        <v>0.2857142857142857</v>
      </c>
      <c r="L18" s="49">
        <f>'Avg Week Buliisa-Hoima'!L18+'Avg Week Hoima-Buliisa'!L18</f>
        <v>0</v>
      </c>
      <c r="M18" s="49">
        <f>'Avg Week Buliisa-Hoima'!M18+'Avg Week Hoima-Buliisa'!M18</f>
        <v>9.5714285714285712</v>
      </c>
      <c r="N18" s="49">
        <f>'Avg Week Buliisa-Hoima'!N18+'Avg Week Hoima-Buliisa'!N18</f>
        <v>0</v>
      </c>
      <c r="O18" s="15">
        <f t="shared" si="0"/>
        <v>3.9999999999999996</v>
      </c>
      <c r="P18" s="15">
        <f t="shared" si="1"/>
        <v>13.571428571428571</v>
      </c>
      <c r="R18" s="1" t="s">
        <v>14</v>
      </c>
      <c r="S18" s="17">
        <f t="shared" ref="S18:AF18" si="10">SUM(C42:C45)</f>
        <v>2.4285714285714284</v>
      </c>
      <c r="T18" s="17">
        <f t="shared" si="10"/>
        <v>0.42857142857142855</v>
      </c>
      <c r="U18" s="17">
        <f t="shared" si="10"/>
        <v>3.4285714285714284</v>
      </c>
      <c r="V18" s="17">
        <f t="shared" si="10"/>
        <v>5.5714285714285712</v>
      </c>
      <c r="W18" s="17">
        <f t="shared" si="10"/>
        <v>0</v>
      </c>
      <c r="X18" s="17">
        <f t="shared" si="10"/>
        <v>0</v>
      </c>
      <c r="Y18" s="17">
        <f t="shared" si="10"/>
        <v>0.5714285714285714</v>
      </c>
      <c r="Z18" s="17">
        <f t="shared" si="10"/>
        <v>1.1428571428571428</v>
      </c>
      <c r="AA18" s="17">
        <f t="shared" si="10"/>
        <v>0.42857142857142855</v>
      </c>
      <c r="AB18" s="17">
        <f t="shared" si="10"/>
        <v>0.14285714285714285</v>
      </c>
      <c r="AC18" s="17">
        <f t="shared" si="10"/>
        <v>34</v>
      </c>
      <c r="AD18" s="17">
        <f t="shared" si="10"/>
        <v>0</v>
      </c>
      <c r="AE18" s="31">
        <f t="shared" si="10"/>
        <v>14.142857142857141</v>
      </c>
      <c r="AF18" s="31">
        <f t="shared" si="10"/>
        <v>48.142857142857146</v>
      </c>
    </row>
    <row r="19" spans="2:32" ht="23.1" customHeight="1" x14ac:dyDescent="0.25">
      <c r="B19" s="23" t="s">
        <v>46</v>
      </c>
      <c r="C19" s="49">
        <f>'Avg Week Buliisa-Hoima'!C19+'Avg Week Hoima-Buliisa'!C19</f>
        <v>0.42857142857142855</v>
      </c>
      <c r="D19" s="49">
        <f>'Avg Week Buliisa-Hoima'!D19+'Avg Week Hoima-Buliisa'!D19</f>
        <v>0.5714285714285714</v>
      </c>
      <c r="E19" s="49">
        <f>'Avg Week Buliisa-Hoima'!E19+'Avg Week Hoima-Buliisa'!E19</f>
        <v>0.42857142857142855</v>
      </c>
      <c r="F19" s="49">
        <f>'Avg Week Buliisa-Hoima'!F19+'Avg Week Hoima-Buliisa'!F19</f>
        <v>2.6190476190476191</v>
      </c>
      <c r="G19" s="49">
        <f>'Avg Week Buliisa-Hoima'!G19+'Avg Week Hoima-Buliisa'!G19</f>
        <v>0</v>
      </c>
      <c r="H19" s="49">
        <f>'Avg Week Buliisa-Hoima'!H19+'Avg Week Hoima-Buliisa'!H19</f>
        <v>0</v>
      </c>
      <c r="I19" s="49">
        <f>'Avg Week Buliisa-Hoima'!I19+'Avg Week Hoima-Buliisa'!I19</f>
        <v>0.2857142857142857</v>
      </c>
      <c r="J19" s="49">
        <f>'Avg Week Buliisa-Hoima'!J19+'Avg Week Hoima-Buliisa'!J19</f>
        <v>0.8571428571428571</v>
      </c>
      <c r="K19" s="49">
        <f>'Avg Week Buliisa-Hoima'!K19+'Avg Week Hoima-Buliisa'!K19</f>
        <v>0.14285714285714285</v>
      </c>
      <c r="L19" s="49">
        <f>'Avg Week Buliisa-Hoima'!L19+'Avg Week Hoima-Buliisa'!L19</f>
        <v>0.14285714285714285</v>
      </c>
      <c r="M19" s="49">
        <f>'Avg Week Buliisa-Hoima'!M19+'Avg Week Hoima-Buliisa'!M19</f>
        <v>11.714285714285715</v>
      </c>
      <c r="N19" s="49">
        <f>'Avg Week Buliisa-Hoima'!N19+'Avg Week Hoima-Buliisa'!N19</f>
        <v>0</v>
      </c>
      <c r="O19" s="15">
        <f t="shared" si="0"/>
        <v>5.4761904761904763</v>
      </c>
      <c r="P19" s="15">
        <f t="shared" si="1"/>
        <v>17.19047619047619</v>
      </c>
      <c r="R19" s="1" t="s">
        <v>15</v>
      </c>
      <c r="S19" s="17">
        <f t="shared" ref="S19:AF19" si="11">SUM(C46:C49)</f>
        <v>2.1428571428571428</v>
      </c>
      <c r="T19" s="17">
        <f t="shared" si="11"/>
        <v>0.5714285714285714</v>
      </c>
      <c r="U19" s="17">
        <f t="shared" si="11"/>
        <v>2.5714285714285712</v>
      </c>
      <c r="V19" s="17">
        <f t="shared" si="11"/>
        <v>7.1428571428571432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1.2857142857142856</v>
      </c>
      <c r="AA19" s="17">
        <f t="shared" si="11"/>
        <v>1.1428571428571428</v>
      </c>
      <c r="AB19" s="17">
        <f t="shared" si="11"/>
        <v>0</v>
      </c>
      <c r="AC19" s="17">
        <f t="shared" si="11"/>
        <v>34.285714285714285</v>
      </c>
      <c r="AD19" s="17">
        <f t="shared" si="11"/>
        <v>0</v>
      </c>
      <c r="AE19" s="31">
        <f t="shared" si="11"/>
        <v>16.857142857142854</v>
      </c>
      <c r="AF19" s="31">
        <f t="shared" si="11"/>
        <v>51.142857142857139</v>
      </c>
    </row>
    <row r="20" spans="2:32" ht="23.1" customHeight="1" x14ac:dyDescent="0.25">
      <c r="B20" s="23" t="s">
        <v>47</v>
      </c>
      <c r="C20" s="49">
        <f>'Avg Week Buliisa-Hoima'!C20+'Avg Week Hoima-Buliisa'!C20</f>
        <v>0.42857142857142855</v>
      </c>
      <c r="D20" s="49">
        <f>'Avg Week Buliisa-Hoima'!D20+'Avg Week Hoima-Buliisa'!D20</f>
        <v>0.14285714285714285</v>
      </c>
      <c r="E20" s="49">
        <f>'Avg Week Buliisa-Hoima'!E20+'Avg Week Hoima-Buliisa'!E20</f>
        <v>0.71428571428571419</v>
      </c>
      <c r="F20" s="49">
        <f>'Avg Week Buliisa-Hoima'!F20+'Avg Week Hoima-Buliisa'!F20</f>
        <v>2.2857142857142856</v>
      </c>
      <c r="G20" s="49">
        <f>'Avg Week Buliisa-Hoima'!G20+'Avg Week Hoima-Buliisa'!G20</f>
        <v>0</v>
      </c>
      <c r="H20" s="49">
        <f>'Avg Week Buliisa-Hoima'!H20+'Avg Week Hoima-Buliisa'!H20</f>
        <v>0</v>
      </c>
      <c r="I20" s="49">
        <f>'Avg Week Buliisa-Hoima'!I20+'Avg Week Hoima-Buliisa'!I20</f>
        <v>0.42857142857142855</v>
      </c>
      <c r="J20" s="49">
        <f>'Avg Week Buliisa-Hoima'!J20+'Avg Week Hoima-Buliisa'!J20</f>
        <v>0</v>
      </c>
      <c r="K20" s="49">
        <f>'Avg Week Buliisa-Hoima'!K20+'Avg Week Hoima-Buliisa'!K20</f>
        <v>0</v>
      </c>
      <c r="L20" s="49">
        <f>'Avg Week Buliisa-Hoima'!L20+'Avg Week Hoima-Buliisa'!L20</f>
        <v>0</v>
      </c>
      <c r="M20" s="49">
        <f>'Avg Week Buliisa-Hoima'!M20+'Avg Week Hoima-Buliisa'!M20</f>
        <v>8.8571428571428577</v>
      </c>
      <c r="N20" s="49">
        <f>'Avg Week Buliisa-Hoima'!N20+'Avg Week Hoima-Buliisa'!N20</f>
        <v>0</v>
      </c>
      <c r="O20" s="15">
        <f t="shared" si="0"/>
        <v>3.9999999999999996</v>
      </c>
      <c r="P20" s="15">
        <f t="shared" si="1"/>
        <v>12.857142857142858</v>
      </c>
      <c r="R20" s="1" t="s">
        <v>16</v>
      </c>
      <c r="S20" s="17">
        <f t="shared" ref="S20:AF20" si="12">SUM(C50:C53)</f>
        <v>2.5714285714285712</v>
      </c>
      <c r="T20" s="17">
        <f t="shared" si="12"/>
        <v>0.8571428571428571</v>
      </c>
      <c r="U20" s="17">
        <f t="shared" si="12"/>
        <v>2.1428571428571423</v>
      </c>
      <c r="V20" s="17">
        <f t="shared" si="12"/>
        <v>4.8571428571428568</v>
      </c>
      <c r="W20" s="17">
        <f t="shared" si="12"/>
        <v>0</v>
      </c>
      <c r="X20" s="17">
        <f t="shared" si="12"/>
        <v>0</v>
      </c>
      <c r="Y20" s="17">
        <f t="shared" si="12"/>
        <v>0.71428571428571419</v>
      </c>
      <c r="Z20" s="17">
        <f t="shared" si="12"/>
        <v>0.14285714285714285</v>
      </c>
      <c r="AA20" s="17">
        <f t="shared" si="12"/>
        <v>0.71428571428571419</v>
      </c>
      <c r="AB20" s="17">
        <f t="shared" si="12"/>
        <v>0</v>
      </c>
      <c r="AC20" s="17">
        <f t="shared" si="12"/>
        <v>38.428571428571431</v>
      </c>
      <c r="AD20" s="17">
        <f t="shared" si="12"/>
        <v>0</v>
      </c>
      <c r="AE20" s="31">
        <f t="shared" si="12"/>
        <v>12</v>
      </c>
      <c r="AF20" s="31">
        <f t="shared" si="12"/>
        <v>50.428571428571431</v>
      </c>
    </row>
    <row r="21" spans="2:32" ht="23.1" customHeight="1" x14ac:dyDescent="0.25">
      <c r="B21" s="23" t="s">
        <v>48</v>
      </c>
      <c r="C21" s="49">
        <f>'Avg Week Buliisa-Hoima'!C21+'Avg Week Hoima-Buliisa'!C21</f>
        <v>0.5714285714285714</v>
      </c>
      <c r="D21" s="49">
        <f>'Avg Week Buliisa-Hoima'!D21+'Avg Week Hoima-Buliisa'!D21</f>
        <v>0.14285714285714285</v>
      </c>
      <c r="E21" s="49">
        <f>'Avg Week Buliisa-Hoima'!E21+'Avg Week Hoima-Buliisa'!E21</f>
        <v>0.2857142857142857</v>
      </c>
      <c r="F21" s="49">
        <f>'Avg Week Buliisa-Hoima'!F21+'Avg Week Hoima-Buliisa'!F21</f>
        <v>1.5714285714285714</v>
      </c>
      <c r="G21" s="49">
        <f>'Avg Week Buliisa-Hoima'!G21+'Avg Week Hoima-Buliisa'!G21</f>
        <v>0</v>
      </c>
      <c r="H21" s="49">
        <f>'Avg Week Buliisa-Hoima'!H21+'Avg Week Hoima-Buliisa'!H21</f>
        <v>0.14285714285714285</v>
      </c>
      <c r="I21" s="49">
        <f>'Avg Week Buliisa-Hoima'!I21+'Avg Week Hoima-Buliisa'!I21</f>
        <v>0.2857142857142857</v>
      </c>
      <c r="J21" s="49">
        <f>'Avg Week Buliisa-Hoima'!J21+'Avg Week Hoima-Buliisa'!J21</f>
        <v>0.2857142857142857</v>
      </c>
      <c r="K21" s="49">
        <f>'Avg Week Buliisa-Hoima'!K21+'Avg Week Hoima-Buliisa'!K21</f>
        <v>0.2857142857142857</v>
      </c>
      <c r="L21" s="49">
        <f>'Avg Week Buliisa-Hoima'!L21+'Avg Week Hoima-Buliisa'!L21</f>
        <v>0</v>
      </c>
      <c r="M21" s="49">
        <f>'Avg Week Buliisa-Hoima'!M21+'Avg Week Hoima-Buliisa'!M21</f>
        <v>10.285714285714285</v>
      </c>
      <c r="N21" s="49">
        <f>'Avg Week Buliisa-Hoima'!N21+'Avg Week Hoima-Buliisa'!N21</f>
        <v>0</v>
      </c>
      <c r="O21" s="15">
        <f t="shared" si="0"/>
        <v>3.5714285714285707</v>
      </c>
      <c r="P21" s="15">
        <f t="shared" si="1"/>
        <v>13.857142857142856</v>
      </c>
      <c r="R21" s="1" t="s">
        <v>20</v>
      </c>
      <c r="S21" s="34">
        <f t="shared" ref="S21:AF21" si="13">SUM(C54:C57)</f>
        <v>1.2857142857142856</v>
      </c>
      <c r="T21" s="17">
        <f t="shared" si="13"/>
        <v>1.4285714285714284</v>
      </c>
      <c r="U21" s="17">
        <f t="shared" si="13"/>
        <v>2.2857142857142856</v>
      </c>
      <c r="V21" s="17">
        <f t="shared" si="13"/>
        <v>4.2857142857142856</v>
      </c>
      <c r="W21" s="17">
        <f t="shared" si="13"/>
        <v>0</v>
      </c>
      <c r="X21" s="17">
        <f t="shared" si="13"/>
        <v>0</v>
      </c>
      <c r="Y21" s="17">
        <f t="shared" si="13"/>
        <v>0.71428571428571419</v>
      </c>
      <c r="Z21" s="17">
        <f t="shared" si="13"/>
        <v>0.5714285714285714</v>
      </c>
      <c r="AA21" s="17">
        <f t="shared" si="13"/>
        <v>0.85714285714285698</v>
      </c>
      <c r="AB21" s="17">
        <f t="shared" si="13"/>
        <v>0</v>
      </c>
      <c r="AC21" s="17">
        <f t="shared" si="13"/>
        <v>37.285714285714285</v>
      </c>
      <c r="AD21" s="17">
        <f t="shared" si="13"/>
        <v>0</v>
      </c>
      <c r="AE21" s="31">
        <f t="shared" si="13"/>
        <v>11.428571428571427</v>
      </c>
      <c r="AF21" s="31">
        <f t="shared" si="13"/>
        <v>48.714285714285708</v>
      </c>
    </row>
    <row r="22" spans="2:32" ht="23.1" customHeight="1" x14ac:dyDescent="0.25">
      <c r="B22" s="23" t="s">
        <v>49</v>
      </c>
      <c r="C22" s="49">
        <f>'Avg Week Buliisa-Hoima'!C22+'Avg Week Hoima-Buliisa'!C22</f>
        <v>0.5714285714285714</v>
      </c>
      <c r="D22" s="49">
        <f>'Avg Week Buliisa-Hoima'!D22+'Avg Week Hoima-Buliisa'!D22</f>
        <v>0</v>
      </c>
      <c r="E22" s="49">
        <f>'Avg Week Buliisa-Hoima'!E22+'Avg Week Hoima-Buliisa'!E22</f>
        <v>1.1428571428571428</v>
      </c>
      <c r="F22" s="49">
        <f>'Avg Week Buliisa-Hoima'!F22+'Avg Week Hoima-Buliisa'!F22</f>
        <v>0.8571428571428571</v>
      </c>
      <c r="G22" s="49">
        <f>'Avg Week Buliisa-Hoima'!G22+'Avg Week Hoima-Buliisa'!G22</f>
        <v>0.14285714285714285</v>
      </c>
      <c r="H22" s="49">
        <f>'Avg Week Buliisa-Hoima'!H22+'Avg Week Hoima-Buliisa'!H22</f>
        <v>0</v>
      </c>
      <c r="I22" s="49">
        <f>'Avg Week Buliisa-Hoima'!I22+'Avg Week Hoima-Buliisa'!I22</f>
        <v>0.42857142857142855</v>
      </c>
      <c r="J22" s="49">
        <f>'Avg Week Buliisa-Hoima'!J22+'Avg Week Hoima-Buliisa'!J22</f>
        <v>0.42857142857142855</v>
      </c>
      <c r="K22" s="49">
        <f>'Avg Week Buliisa-Hoima'!K22+'Avg Week Hoima-Buliisa'!K22</f>
        <v>0.14285714285714285</v>
      </c>
      <c r="L22" s="49">
        <f>'Avg Week Buliisa-Hoima'!L22+'Avg Week Hoima-Buliisa'!L22</f>
        <v>0</v>
      </c>
      <c r="M22" s="49">
        <f>'Avg Week Buliisa-Hoima'!M22+'Avg Week Hoima-Buliisa'!M22</f>
        <v>11.714285714285715</v>
      </c>
      <c r="N22" s="49">
        <f>'Avg Week Buliisa-Hoima'!N22+'Avg Week Hoima-Buliisa'!N22</f>
        <v>0</v>
      </c>
      <c r="O22" s="15">
        <f t="shared" si="0"/>
        <v>3.7142857142857135</v>
      </c>
      <c r="P22" s="15">
        <f t="shared" si="1"/>
        <v>15.428571428571429</v>
      </c>
      <c r="R22" s="1" t="s">
        <v>146</v>
      </c>
      <c r="S22" s="34">
        <f>SUM(C58:C61)</f>
        <v>1.5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3.5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38.5</v>
      </c>
      <c r="AD22" s="34">
        <f t="shared" si="14"/>
        <v>0</v>
      </c>
      <c r="AE22" s="31">
        <f t="shared" si="14"/>
        <v>9</v>
      </c>
      <c r="AF22" s="31">
        <f t="shared" si="14"/>
        <v>47.5</v>
      </c>
    </row>
    <row r="23" spans="2:32" ht="23.1" customHeight="1" x14ac:dyDescent="0.25">
      <c r="B23" s="23" t="s">
        <v>50</v>
      </c>
      <c r="C23" s="49">
        <f>'Avg Week Buliisa-Hoima'!C23+'Avg Week Hoima-Buliisa'!C23</f>
        <v>0.5714285714285714</v>
      </c>
      <c r="D23" s="49">
        <f>'Avg Week Buliisa-Hoima'!D23+'Avg Week Hoima-Buliisa'!D23</f>
        <v>0.42857142857142855</v>
      </c>
      <c r="E23" s="49">
        <f>'Avg Week Buliisa-Hoima'!E23+'Avg Week Hoima-Buliisa'!E23</f>
        <v>1.1428571428571428</v>
      </c>
      <c r="F23" s="49">
        <f>'Avg Week Buliisa-Hoima'!F23+'Avg Week Hoima-Buliisa'!F23</f>
        <v>1</v>
      </c>
      <c r="G23" s="49">
        <f>'Avg Week Buliisa-Hoima'!G23+'Avg Week Hoima-Buliisa'!G23</f>
        <v>0</v>
      </c>
      <c r="H23" s="49">
        <f>'Avg Week Buliisa-Hoima'!H23+'Avg Week Hoima-Buliisa'!H23</f>
        <v>0</v>
      </c>
      <c r="I23" s="49">
        <f>'Avg Week Buliisa-Hoima'!I23+'Avg Week Hoima-Buliisa'!I23</f>
        <v>0.14285714285714285</v>
      </c>
      <c r="J23" s="49">
        <f>'Avg Week Buliisa-Hoima'!J23+'Avg Week Hoima-Buliisa'!J23</f>
        <v>0</v>
      </c>
      <c r="K23" s="49">
        <f>'Avg Week Buliisa-Hoima'!K23+'Avg Week Hoima-Buliisa'!K23</f>
        <v>0.2857142857142857</v>
      </c>
      <c r="L23" s="49">
        <f>'Avg Week Buliisa-Hoima'!L23+'Avg Week Hoima-Buliisa'!L23</f>
        <v>0</v>
      </c>
      <c r="M23" s="49">
        <f>'Avg Week Buliisa-Hoima'!M23+'Avg Week Hoima-Buliisa'!M23</f>
        <v>9.5714285714285712</v>
      </c>
      <c r="N23" s="49">
        <f>'Avg Week Buliisa-Hoima'!N23+'Avg Week Hoima-Buliisa'!N23</f>
        <v>0</v>
      </c>
      <c r="O23" s="15">
        <f t="shared" si="0"/>
        <v>3.5714285714285712</v>
      </c>
      <c r="P23" s="15">
        <f t="shared" si="1"/>
        <v>13.142857142857142</v>
      </c>
      <c r="R23" s="1" t="s">
        <v>147</v>
      </c>
      <c r="S23" s="34">
        <f>SUM(C62:C65)</f>
        <v>0.5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2.5</v>
      </c>
      <c r="W23" s="34">
        <f t="shared" si="15"/>
        <v>0.5</v>
      </c>
      <c r="X23" s="34">
        <f t="shared" si="15"/>
        <v>0</v>
      </c>
      <c r="Y23" s="34">
        <f t="shared" si="15"/>
        <v>0.5</v>
      </c>
      <c r="Z23" s="34">
        <f t="shared" si="15"/>
        <v>0.5</v>
      </c>
      <c r="AA23" s="34">
        <f t="shared" si="15"/>
        <v>0.5</v>
      </c>
      <c r="AB23" s="34">
        <f t="shared" si="15"/>
        <v>0</v>
      </c>
      <c r="AC23" s="34">
        <f t="shared" si="15"/>
        <v>23</v>
      </c>
      <c r="AD23" s="34">
        <f t="shared" si="15"/>
        <v>0</v>
      </c>
      <c r="AE23" s="31">
        <f t="shared" si="15"/>
        <v>6</v>
      </c>
      <c r="AF23" s="31">
        <f t="shared" si="15"/>
        <v>29</v>
      </c>
    </row>
    <row r="24" spans="2:32" ht="23.1" customHeight="1" x14ac:dyDescent="0.25">
      <c r="B24" s="23" t="s">
        <v>51</v>
      </c>
      <c r="C24" s="49">
        <f>'Avg Week Buliisa-Hoima'!C24+'Avg Week Hoima-Buliisa'!C24</f>
        <v>0.5714285714285714</v>
      </c>
      <c r="D24" s="49">
        <f>'Avg Week Buliisa-Hoima'!D24+'Avg Week Hoima-Buliisa'!D24</f>
        <v>0</v>
      </c>
      <c r="E24" s="49">
        <f>'Avg Week Buliisa-Hoima'!E24+'Avg Week Hoima-Buliisa'!E24</f>
        <v>1</v>
      </c>
      <c r="F24" s="49">
        <f>'Avg Week Buliisa-Hoima'!F24+'Avg Week Hoima-Buliisa'!F24</f>
        <v>2.2857142857142856</v>
      </c>
      <c r="G24" s="49">
        <f>'Avg Week Buliisa-Hoima'!G24+'Avg Week Hoima-Buliisa'!G24</f>
        <v>0</v>
      </c>
      <c r="H24" s="49">
        <f>'Avg Week Buliisa-Hoima'!H24+'Avg Week Hoima-Buliisa'!H24</f>
        <v>0</v>
      </c>
      <c r="I24" s="49">
        <f>'Avg Week Buliisa-Hoima'!I24+'Avg Week Hoima-Buliisa'!I24</f>
        <v>0</v>
      </c>
      <c r="J24" s="49">
        <f>'Avg Week Buliisa-Hoima'!J24+'Avg Week Hoima-Buliisa'!J24</f>
        <v>0</v>
      </c>
      <c r="K24" s="49">
        <f>'Avg Week Buliisa-Hoima'!K24+'Avg Week Hoima-Buliisa'!K24</f>
        <v>0.14285714285714285</v>
      </c>
      <c r="L24" s="49">
        <f>'Avg Week Buliisa-Hoima'!L24+'Avg Week Hoima-Buliisa'!L24</f>
        <v>0</v>
      </c>
      <c r="M24" s="49">
        <f>'Avg Week Buliisa-Hoima'!M24+'Avg Week Hoima-Buliisa'!M24</f>
        <v>5.8571428571428577</v>
      </c>
      <c r="N24" s="49">
        <f>'Avg Week Buliisa-Hoima'!N24+'Avg Week Hoima-Buliisa'!N24</f>
        <v>0</v>
      </c>
      <c r="O24" s="15">
        <f t="shared" si="0"/>
        <v>3.9999999999999996</v>
      </c>
      <c r="P24" s="15">
        <f t="shared" si="1"/>
        <v>9.8571428571428577</v>
      </c>
      <c r="R24" s="1" t="s">
        <v>148</v>
      </c>
      <c r="S24" s="34">
        <f>SUM(C66:C69)</f>
        <v>0</v>
      </c>
      <c r="T24" s="34">
        <f t="shared" ref="T24:AF24" si="16">SUM(D66:D69)</f>
        <v>1.5</v>
      </c>
      <c r="U24" s="34">
        <f t="shared" si="16"/>
        <v>0</v>
      </c>
      <c r="V24" s="34">
        <f t="shared" si="16"/>
        <v>2.5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18</v>
      </c>
      <c r="AD24" s="34">
        <f t="shared" si="16"/>
        <v>0</v>
      </c>
      <c r="AE24" s="31">
        <f t="shared" si="16"/>
        <v>4</v>
      </c>
      <c r="AF24" s="31">
        <f t="shared" si="16"/>
        <v>22</v>
      </c>
    </row>
    <row r="25" spans="2:32" ht="23.1" customHeight="1" x14ac:dyDescent="0.25">
      <c r="B25" s="23" t="s">
        <v>52</v>
      </c>
      <c r="C25" s="49">
        <f>'Avg Week Buliisa-Hoima'!C25+'Avg Week Hoima-Buliisa'!C25</f>
        <v>1</v>
      </c>
      <c r="D25" s="49">
        <f>'Avg Week Buliisa-Hoima'!D25+'Avg Week Hoima-Buliisa'!D25</f>
        <v>0.2857142857142857</v>
      </c>
      <c r="E25" s="49">
        <f>'Avg Week Buliisa-Hoima'!E25+'Avg Week Hoima-Buliisa'!E25</f>
        <v>0.5714285714285714</v>
      </c>
      <c r="F25" s="49">
        <f>'Avg Week Buliisa-Hoima'!F25+'Avg Week Hoima-Buliisa'!F25</f>
        <v>1</v>
      </c>
      <c r="G25" s="49">
        <f>'Avg Week Buliisa-Hoima'!G25+'Avg Week Hoima-Buliisa'!G25</f>
        <v>0.14285714285714285</v>
      </c>
      <c r="H25" s="49">
        <f>'Avg Week Buliisa-Hoima'!H25+'Avg Week Hoima-Buliisa'!H25</f>
        <v>0</v>
      </c>
      <c r="I25" s="49">
        <f>'Avg Week Buliisa-Hoima'!I25+'Avg Week Hoima-Buliisa'!I25</f>
        <v>0.14285714285714285</v>
      </c>
      <c r="J25" s="49">
        <f>'Avg Week Buliisa-Hoima'!J25+'Avg Week Hoima-Buliisa'!J25</f>
        <v>0.2857142857142857</v>
      </c>
      <c r="K25" s="49">
        <f>'Avg Week Buliisa-Hoima'!K25+'Avg Week Hoima-Buliisa'!K25</f>
        <v>0.2857142857142857</v>
      </c>
      <c r="L25" s="49">
        <f>'Avg Week Buliisa-Hoima'!L25+'Avg Week Hoima-Buliisa'!L25</f>
        <v>0</v>
      </c>
      <c r="M25" s="49">
        <f>'Avg Week Buliisa-Hoima'!M25+'Avg Week Hoima-Buliisa'!M25</f>
        <v>9.1428571428571423</v>
      </c>
      <c r="N25" s="49">
        <f>'Avg Week Buliisa-Hoima'!N25+'Avg Week Hoima-Buliisa'!N25</f>
        <v>0</v>
      </c>
      <c r="O25" s="15">
        <f t="shared" si="0"/>
        <v>3.7142857142857135</v>
      </c>
      <c r="P25" s="15">
        <f t="shared" si="1"/>
        <v>12.857142857142856</v>
      </c>
      <c r="R25" s="1" t="s">
        <v>149</v>
      </c>
      <c r="S25" s="34">
        <f>SUM(C70:C73)</f>
        <v>0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0.5</v>
      </c>
      <c r="AA25" s="34">
        <f t="shared" si="17"/>
        <v>1</v>
      </c>
      <c r="AB25" s="34">
        <f t="shared" si="17"/>
        <v>0</v>
      </c>
      <c r="AC25" s="34">
        <f t="shared" si="17"/>
        <v>10.5</v>
      </c>
      <c r="AD25" s="34">
        <f t="shared" si="17"/>
        <v>0</v>
      </c>
      <c r="AE25" s="31">
        <f t="shared" si="17"/>
        <v>3</v>
      </c>
      <c r="AF25" s="31">
        <f t="shared" si="17"/>
        <v>13.5</v>
      </c>
    </row>
    <row r="26" spans="2:32" ht="23.1" customHeight="1" x14ac:dyDescent="0.25">
      <c r="B26" s="23" t="s">
        <v>53</v>
      </c>
      <c r="C26" s="49">
        <f>'Avg Week Buliisa-Hoima'!C26+'Avg Week Hoima-Buliisa'!C26</f>
        <v>0.14285714285714285</v>
      </c>
      <c r="D26" s="49">
        <f>'Avg Week Buliisa-Hoima'!D26+'Avg Week Hoima-Buliisa'!D26</f>
        <v>0</v>
      </c>
      <c r="E26" s="49">
        <f>'Avg Week Buliisa-Hoima'!E26+'Avg Week Hoima-Buliisa'!E26</f>
        <v>0.2857142857142857</v>
      </c>
      <c r="F26" s="49">
        <f>'Avg Week Buliisa-Hoima'!F26+'Avg Week Hoima-Buliisa'!F26</f>
        <v>1.2857142857142856</v>
      </c>
      <c r="G26" s="49">
        <f>'Avg Week Buliisa-Hoima'!G26+'Avg Week Hoima-Buliisa'!G26</f>
        <v>0</v>
      </c>
      <c r="H26" s="49">
        <f>'Avg Week Buliisa-Hoima'!H26+'Avg Week Hoima-Buliisa'!H26</f>
        <v>0</v>
      </c>
      <c r="I26" s="49">
        <f>'Avg Week Buliisa-Hoima'!I26+'Avg Week Hoima-Buliisa'!I26</f>
        <v>0</v>
      </c>
      <c r="J26" s="49">
        <f>'Avg Week Buliisa-Hoima'!J26+'Avg Week Hoima-Buliisa'!J26</f>
        <v>0</v>
      </c>
      <c r="K26" s="49">
        <f>'Avg Week Buliisa-Hoima'!K26+'Avg Week Hoima-Buliisa'!K26</f>
        <v>0.14285714285714285</v>
      </c>
      <c r="L26" s="49">
        <f>'Avg Week Buliisa-Hoima'!L26+'Avg Week Hoima-Buliisa'!L26</f>
        <v>0</v>
      </c>
      <c r="M26" s="49">
        <f>'Avg Week Buliisa-Hoima'!M26+'Avg Week Hoima-Buliisa'!M26</f>
        <v>7.1428571428571423</v>
      </c>
      <c r="N26" s="49">
        <f>'Avg Week Buliisa-Hoima'!N26+'Avg Week Hoima-Buliisa'!N26</f>
        <v>0</v>
      </c>
      <c r="O26" s="15">
        <f t="shared" si="0"/>
        <v>1.857142857142857</v>
      </c>
      <c r="P26" s="15">
        <f t="shared" si="1"/>
        <v>9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0.5</v>
      </c>
      <c r="AF26" s="31">
        <f t="shared" si="18"/>
        <v>1.5</v>
      </c>
    </row>
    <row r="27" spans="2:32" ht="23.1" customHeight="1" x14ac:dyDescent="0.25">
      <c r="B27" s="23" t="s">
        <v>54</v>
      </c>
      <c r="C27" s="49">
        <f>'Avg Week Buliisa-Hoima'!C27+'Avg Week Hoima-Buliisa'!C27</f>
        <v>0.71428571428571419</v>
      </c>
      <c r="D27" s="49">
        <f>'Avg Week Buliisa-Hoima'!D27+'Avg Week Hoima-Buliisa'!D27</f>
        <v>0.5714285714285714</v>
      </c>
      <c r="E27" s="49">
        <f>'Avg Week Buliisa-Hoima'!E27+'Avg Week Hoima-Buliisa'!E27</f>
        <v>0.2857142857142857</v>
      </c>
      <c r="F27" s="49">
        <f>'Avg Week Buliisa-Hoima'!F27+'Avg Week Hoima-Buliisa'!F27</f>
        <v>1.4285714285714286</v>
      </c>
      <c r="G27" s="49">
        <f>'Avg Week Buliisa-Hoima'!G27+'Avg Week Hoima-Buliisa'!G27</f>
        <v>0</v>
      </c>
      <c r="H27" s="49">
        <f>'Avg Week Buliisa-Hoima'!H27+'Avg Week Hoima-Buliisa'!H27</f>
        <v>0</v>
      </c>
      <c r="I27" s="49">
        <f>'Avg Week Buliisa-Hoima'!I27+'Avg Week Hoima-Buliisa'!I27</f>
        <v>0.14285714285714285</v>
      </c>
      <c r="J27" s="49">
        <f>'Avg Week Buliisa-Hoima'!J27+'Avg Week Hoima-Buliisa'!J27</f>
        <v>0.14285714285714285</v>
      </c>
      <c r="K27" s="49">
        <f>'Avg Week Buliisa-Hoima'!K27+'Avg Week Hoima-Buliisa'!K27</f>
        <v>0</v>
      </c>
      <c r="L27" s="49">
        <f>'Avg Week Buliisa-Hoima'!L27+'Avg Week Hoima-Buliisa'!L27</f>
        <v>0</v>
      </c>
      <c r="M27" s="49">
        <f>'Avg Week Buliisa-Hoima'!M27+'Avg Week Hoima-Buliisa'!M27</f>
        <v>9.5714285714285712</v>
      </c>
      <c r="N27" s="49">
        <f>'Avg Week Buliisa-Hoima'!N27+'Avg Week Hoima-Buliisa'!N27</f>
        <v>0</v>
      </c>
      <c r="O27" s="15">
        <f t="shared" si="0"/>
        <v>3.2857142857142856</v>
      </c>
      <c r="P27" s="15">
        <f t="shared" si="1"/>
        <v>12.857142857142858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1.5</v>
      </c>
      <c r="AD27" s="34">
        <f t="shared" si="19"/>
        <v>0</v>
      </c>
      <c r="AE27" s="31">
        <f t="shared" si="19"/>
        <v>0</v>
      </c>
      <c r="AF27" s="31">
        <f t="shared" si="19"/>
        <v>1.5</v>
      </c>
    </row>
    <row r="28" spans="2:32" ht="23.1" customHeight="1" x14ac:dyDescent="0.25">
      <c r="B28" s="23" t="s">
        <v>55</v>
      </c>
      <c r="C28" s="49">
        <f>'Avg Week Buliisa-Hoima'!C28+'Avg Week Hoima-Buliisa'!C28</f>
        <v>0.71428571428571419</v>
      </c>
      <c r="D28" s="49">
        <f>'Avg Week Buliisa-Hoima'!D28+'Avg Week Hoima-Buliisa'!D28</f>
        <v>0.14285714285714285</v>
      </c>
      <c r="E28" s="49">
        <f>'Avg Week Buliisa-Hoima'!E28+'Avg Week Hoima-Buliisa'!E28</f>
        <v>0.8571428571428571</v>
      </c>
      <c r="F28" s="49">
        <f>'Avg Week Buliisa-Hoima'!F28+'Avg Week Hoima-Buliisa'!F28</f>
        <v>1</v>
      </c>
      <c r="G28" s="49">
        <f>'Avg Week Buliisa-Hoima'!G28+'Avg Week Hoima-Buliisa'!G28</f>
        <v>0</v>
      </c>
      <c r="H28" s="49">
        <f>'Avg Week Buliisa-Hoima'!H28+'Avg Week Hoima-Buliisa'!H28</f>
        <v>0</v>
      </c>
      <c r="I28" s="49">
        <f>'Avg Week Buliisa-Hoima'!I28+'Avg Week Hoima-Buliisa'!I28</f>
        <v>0</v>
      </c>
      <c r="J28" s="49">
        <f>'Avg Week Buliisa-Hoima'!J28+'Avg Week Hoima-Buliisa'!J28</f>
        <v>0</v>
      </c>
      <c r="K28" s="49">
        <f>'Avg Week Buliisa-Hoima'!K28+'Avg Week Hoima-Buliisa'!K28</f>
        <v>0.2857142857142857</v>
      </c>
      <c r="L28" s="49">
        <f>'Avg Week Buliisa-Hoima'!L28+'Avg Week Hoima-Buliisa'!L28</f>
        <v>0.2857142857142857</v>
      </c>
      <c r="M28" s="49">
        <f>'Avg Week Buliisa-Hoima'!M28+'Avg Week Hoima-Buliisa'!M28</f>
        <v>8.7142857142857153</v>
      </c>
      <c r="N28" s="49">
        <f>'Avg Week Buliisa-Hoima'!N28+'Avg Week Hoima-Buliisa'!N28</f>
        <v>0</v>
      </c>
      <c r="O28" s="15">
        <f t="shared" si="0"/>
        <v>3.2857142857142851</v>
      </c>
      <c r="P28" s="15">
        <f t="shared" si="1"/>
        <v>12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1.5</v>
      </c>
      <c r="AD28" s="34">
        <f t="shared" si="20"/>
        <v>0</v>
      </c>
      <c r="AE28" s="31">
        <f t="shared" si="20"/>
        <v>0.5</v>
      </c>
      <c r="AF28" s="31">
        <f t="shared" si="20"/>
        <v>2</v>
      </c>
    </row>
    <row r="29" spans="2:32" ht="23.1" customHeight="1" x14ac:dyDescent="0.25">
      <c r="B29" s="23" t="s">
        <v>56</v>
      </c>
      <c r="C29" s="49">
        <f>'Avg Week Buliisa-Hoima'!C29+'Avg Week Hoima-Buliisa'!C29</f>
        <v>0.14285714285714285</v>
      </c>
      <c r="D29" s="49">
        <f>'Avg Week Buliisa-Hoima'!D29+'Avg Week Hoima-Buliisa'!D29</f>
        <v>0.5714285714285714</v>
      </c>
      <c r="E29" s="49">
        <f>'Avg Week Buliisa-Hoima'!E29+'Avg Week Hoima-Buliisa'!E29</f>
        <v>1.7142857142857144</v>
      </c>
      <c r="F29" s="49">
        <f>'Avg Week Buliisa-Hoima'!F29+'Avg Week Hoima-Buliisa'!F29</f>
        <v>1</v>
      </c>
      <c r="G29" s="49">
        <f>'Avg Week Buliisa-Hoima'!G29+'Avg Week Hoima-Buliisa'!G29</f>
        <v>0</v>
      </c>
      <c r="H29" s="49">
        <f>'Avg Week Buliisa-Hoima'!H29+'Avg Week Hoima-Buliisa'!H29</f>
        <v>0</v>
      </c>
      <c r="I29" s="49">
        <f>'Avg Week Buliisa-Hoima'!I29+'Avg Week Hoima-Buliisa'!I29</f>
        <v>0</v>
      </c>
      <c r="J29" s="49">
        <f>'Avg Week Buliisa-Hoima'!J29+'Avg Week Hoima-Buliisa'!J29</f>
        <v>0.42857142857142855</v>
      </c>
      <c r="K29" s="49">
        <f>'Avg Week Buliisa-Hoima'!K29+'Avg Week Hoima-Buliisa'!K29</f>
        <v>0</v>
      </c>
      <c r="L29" s="49">
        <f>'Avg Week Buliisa-Hoima'!L29+'Avg Week Hoima-Buliisa'!L29</f>
        <v>0</v>
      </c>
      <c r="M29" s="49">
        <f>'Avg Week Buliisa-Hoima'!M29+'Avg Week Hoima-Buliisa'!M29</f>
        <v>8.7142857142857135</v>
      </c>
      <c r="N29" s="49">
        <f>'Avg Week Buliisa-Hoima'!N29+'Avg Week Hoima-Buliisa'!N29</f>
        <v>0</v>
      </c>
      <c r="O29" s="15">
        <f t="shared" si="0"/>
        <v>3.8571428571428572</v>
      </c>
      <c r="P29" s="15">
        <f t="shared" si="1"/>
        <v>12.571428571428571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2.5</v>
      </c>
      <c r="AD29" s="34">
        <f t="shared" si="21"/>
        <v>0</v>
      </c>
      <c r="AE29" s="31">
        <f t="shared" si="21"/>
        <v>0.5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'Avg Week Buliisa-Hoima'!C30+'Avg Week Hoima-Buliisa'!C30</f>
        <v>1.1428571428571428</v>
      </c>
      <c r="D30" s="49">
        <f>'Avg Week Buliisa-Hoima'!D30+'Avg Week Hoima-Buliisa'!D30</f>
        <v>0</v>
      </c>
      <c r="E30" s="49">
        <f>'Avg Week Buliisa-Hoima'!E30+'Avg Week Hoima-Buliisa'!E30</f>
        <v>0.5714285714285714</v>
      </c>
      <c r="F30" s="49">
        <f>'Avg Week Buliisa-Hoima'!F30+'Avg Week Hoima-Buliisa'!F30</f>
        <v>1.5714285714285714</v>
      </c>
      <c r="G30" s="49">
        <f>'Avg Week Buliisa-Hoima'!G30+'Avg Week Hoima-Buliisa'!G30</f>
        <v>0</v>
      </c>
      <c r="H30" s="49">
        <f>'Avg Week Buliisa-Hoima'!H30+'Avg Week Hoima-Buliisa'!H30</f>
        <v>0</v>
      </c>
      <c r="I30" s="49">
        <f>'Avg Week Buliisa-Hoima'!I30+'Avg Week Hoima-Buliisa'!I30</f>
        <v>0</v>
      </c>
      <c r="J30" s="49">
        <f>'Avg Week Buliisa-Hoima'!J30+'Avg Week Hoima-Buliisa'!J30</f>
        <v>0.14285714285714285</v>
      </c>
      <c r="K30" s="49">
        <f>'Avg Week Buliisa-Hoima'!K30+'Avg Week Hoima-Buliisa'!K30</f>
        <v>0</v>
      </c>
      <c r="L30" s="49">
        <f>'Avg Week Buliisa-Hoima'!L30+'Avg Week Hoima-Buliisa'!L30</f>
        <v>0.2857142857142857</v>
      </c>
      <c r="M30" s="49">
        <f>'Avg Week Buliisa-Hoima'!M30+'Avg Week Hoima-Buliisa'!M30</f>
        <v>8.4285714285714288</v>
      </c>
      <c r="N30" s="49">
        <f>'Avg Week Buliisa-Hoima'!N30+'Avg Week Hoima-Buliisa'!N30</f>
        <v>0</v>
      </c>
      <c r="O30" s="15">
        <f t="shared" si="0"/>
        <v>3.714285714285714</v>
      </c>
      <c r="P30" s="15">
        <f t="shared" si="1"/>
        <v>12.142857142857142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0.5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0.5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1</v>
      </c>
      <c r="AF30" s="31">
        <f t="shared" si="22"/>
        <v>3</v>
      </c>
    </row>
    <row r="31" spans="2:32" ht="23.1" customHeight="1" x14ac:dyDescent="0.25">
      <c r="B31" s="24" t="s">
        <v>58</v>
      </c>
      <c r="C31" s="49">
        <f>'Avg Week Buliisa-Hoima'!C31+'Avg Week Hoima-Buliisa'!C31</f>
        <v>0.71428571428571419</v>
      </c>
      <c r="D31" s="49">
        <f>'Avg Week Buliisa-Hoima'!D31+'Avg Week Hoima-Buliisa'!D31</f>
        <v>0.42857142857142855</v>
      </c>
      <c r="E31" s="49">
        <f>'Avg Week Buliisa-Hoima'!E31+'Avg Week Hoima-Buliisa'!E31</f>
        <v>1</v>
      </c>
      <c r="F31" s="49">
        <f>'Avg Week Buliisa-Hoima'!F31+'Avg Week Hoima-Buliisa'!F31</f>
        <v>1.2857142857142856</v>
      </c>
      <c r="G31" s="49">
        <f>'Avg Week Buliisa-Hoima'!G31+'Avg Week Hoima-Buliisa'!G31</f>
        <v>0</v>
      </c>
      <c r="H31" s="49">
        <f>'Avg Week Buliisa-Hoima'!H31+'Avg Week Hoima-Buliisa'!H31</f>
        <v>0</v>
      </c>
      <c r="I31" s="49">
        <f>'Avg Week Buliisa-Hoima'!I31+'Avg Week Hoima-Buliisa'!I31</f>
        <v>0</v>
      </c>
      <c r="J31" s="49">
        <f>'Avg Week Buliisa-Hoima'!J31+'Avg Week Hoima-Buliisa'!J31</f>
        <v>0.14285714285714285</v>
      </c>
      <c r="K31" s="49">
        <f>'Avg Week Buliisa-Hoima'!K31+'Avg Week Hoima-Buliisa'!K31</f>
        <v>0</v>
      </c>
      <c r="L31" s="49">
        <f>'Avg Week Buliisa-Hoima'!L31+'Avg Week Hoima-Buliisa'!L31</f>
        <v>0</v>
      </c>
      <c r="M31" s="49">
        <f>'Avg Week Buliisa-Hoima'!M31+'Avg Week Hoima-Buliisa'!M31</f>
        <v>9</v>
      </c>
      <c r="N31" s="49">
        <f>'Avg Week Buliisa-Hoima'!N31+'Avg Week Hoima-Buliisa'!N31</f>
        <v>0</v>
      </c>
      <c r="O31" s="15">
        <f t="shared" si="0"/>
        <v>3.5714285714285712</v>
      </c>
      <c r="P31" s="15">
        <f t="shared" si="1"/>
        <v>12.571428571428571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0.5</v>
      </c>
      <c r="AF31" s="31">
        <f t="shared" si="23"/>
        <v>4.5</v>
      </c>
    </row>
    <row r="32" spans="2:32" ht="23.1" customHeight="1" x14ac:dyDescent="0.25">
      <c r="B32" s="24" t="s">
        <v>59</v>
      </c>
      <c r="C32" s="49">
        <f>'Avg Week Buliisa-Hoima'!C32+'Avg Week Hoima-Buliisa'!C32</f>
        <v>0.2857142857142857</v>
      </c>
      <c r="D32" s="49">
        <f>'Avg Week Buliisa-Hoima'!D32+'Avg Week Hoima-Buliisa'!D32</f>
        <v>0</v>
      </c>
      <c r="E32" s="49">
        <f>'Avg Week Buliisa-Hoima'!E32+'Avg Week Hoima-Buliisa'!E32</f>
        <v>0.42857142857142855</v>
      </c>
      <c r="F32" s="49">
        <f>'Avg Week Buliisa-Hoima'!F32+'Avg Week Hoima-Buliisa'!F32</f>
        <v>1.2857142857142856</v>
      </c>
      <c r="G32" s="49">
        <f>'Avg Week Buliisa-Hoima'!G32+'Avg Week Hoima-Buliisa'!G32</f>
        <v>0.14285714285714285</v>
      </c>
      <c r="H32" s="49">
        <f>'Avg Week Buliisa-Hoima'!H32+'Avg Week Hoima-Buliisa'!H32</f>
        <v>0</v>
      </c>
      <c r="I32" s="49">
        <f>'Avg Week Buliisa-Hoima'!I32+'Avg Week Hoima-Buliisa'!I32</f>
        <v>0.14285714285714285</v>
      </c>
      <c r="J32" s="49">
        <f>'Avg Week Buliisa-Hoima'!J32+'Avg Week Hoima-Buliisa'!J32</f>
        <v>0</v>
      </c>
      <c r="K32" s="49">
        <f>'Avg Week Buliisa-Hoima'!K32+'Avg Week Hoima-Buliisa'!K32</f>
        <v>0</v>
      </c>
      <c r="L32" s="49">
        <f>'Avg Week Buliisa-Hoima'!L32+'Avg Week Hoima-Buliisa'!L32</f>
        <v>0.14285714285714285</v>
      </c>
      <c r="M32" s="49">
        <f>'Avg Week Buliisa-Hoima'!M32+'Avg Week Hoima-Buliisa'!M32</f>
        <v>7.7142857142857135</v>
      </c>
      <c r="N32" s="49">
        <f>'Avg Week Buliisa-Hoima'!N32+'Avg Week Hoima-Buliisa'!N32</f>
        <v>0</v>
      </c>
      <c r="O32" s="15">
        <f t="shared" si="0"/>
        <v>2.4285714285714284</v>
      </c>
      <c r="P32" s="15">
        <f t="shared" si="1"/>
        <v>10.142857142857142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</v>
      </c>
      <c r="AD32" s="34">
        <f t="shared" si="24"/>
        <v>0</v>
      </c>
      <c r="AE32" s="31">
        <f t="shared" si="24"/>
        <v>0.5</v>
      </c>
      <c r="AF32" s="31">
        <f t="shared" si="24"/>
        <v>6.5</v>
      </c>
    </row>
    <row r="33" spans="2:32" ht="23.1" customHeight="1" x14ac:dyDescent="0.25">
      <c r="B33" s="23" t="s">
        <v>60</v>
      </c>
      <c r="C33" s="49">
        <f>'Avg Week Buliisa-Hoima'!C33+'Avg Week Hoima-Buliisa'!C33</f>
        <v>0</v>
      </c>
      <c r="D33" s="49">
        <f>'Avg Week Buliisa-Hoima'!D33+'Avg Week Hoima-Buliisa'!D33</f>
        <v>0.42857142857142855</v>
      </c>
      <c r="E33" s="49">
        <f>'Avg Week Buliisa-Hoima'!E33+'Avg Week Hoima-Buliisa'!E33</f>
        <v>0.8571428571428571</v>
      </c>
      <c r="F33" s="49">
        <f>'Avg Week Buliisa-Hoima'!F33+'Avg Week Hoima-Buliisa'!F33</f>
        <v>0.8571428571428571</v>
      </c>
      <c r="G33" s="49">
        <f>'Avg Week Buliisa-Hoima'!G33+'Avg Week Hoima-Buliisa'!G33</f>
        <v>0</v>
      </c>
      <c r="H33" s="49">
        <f>'Avg Week Buliisa-Hoima'!H33+'Avg Week Hoima-Buliisa'!H33</f>
        <v>0</v>
      </c>
      <c r="I33" s="49">
        <f>'Avg Week Buliisa-Hoima'!I33+'Avg Week Hoima-Buliisa'!I33</f>
        <v>0.14285714285714285</v>
      </c>
      <c r="J33" s="49">
        <f>'Avg Week Buliisa-Hoima'!J33+'Avg Week Hoima-Buliisa'!J33</f>
        <v>0.14285714285714285</v>
      </c>
      <c r="K33" s="49">
        <f>'Avg Week Buliisa-Hoima'!K33+'Avg Week Hoima-Buliisa'!K33</f>
        <v>0</v>
      </c>
      <c r="L33" s="49">
        <f>'Avg Week Buliisa-Hoima'!L33+'Avg Week Hoima-Buliisa'!L33</f>
        <v>0</v>
      </c>
      <c r="M33" s="49">
        <f>'Avg Week Buliisa-Hoima'!M33+'Avg Week Hoima-Buliisa'!M33</f>
        <v>6.2857142857142856</v>
      </c>
      <c r="N33" s="49">
        <f>'Avg Week Buliisa-Hoima'!N33+'Avg Week Hoima-Buliisa'!N33</f>
        <v>0</v>
      </c>
      <c r="O33" s="15">
        <f t="shared" si="0"/>
        <v>2.4285714285714284</v>
      </c>
      <c r="P33" s="15">
        <f t="shared" si="1"/>
        <v>8.7142857142857135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17</v>
      </c>
      <c r="AD33" s="34">
        <f t="shared" si="25"/>
        <v>0</v>
      </c>
      <c r="AE33" s="31">
        <f t="shared" si="25"/>
        <v>2.5</v>
      </c>
      <c r="AF33" s="31">
        <f t="shared" si="25"/>
        <v>19.5</v>
      </c>
    </row>
    <row r="34" spans="2:32" ht="23.1" customHeight="1" x14ac:dyDescent="0.25">
      <c r="B34" s="24" t="s">
        <v>61</v>
      </c>
      <c r="C34" s="49">
        <f>'Avg Week Buliisa-Hoima'!C34+'Avg Week Hoima-Buliisa'!C34</f>
        <v>0.42857142857142855</v>
      </c>
      <c r="D34" s="49">
        <f>'Avg Week Buliisa-Hoima'!D34+'Avg Week Hoima-Buliisa'!D34</f>
        <v>0</v>
      </c>
      <c r="E34" s="49">
        <f>'Avg Week Buliisa-Hoima'!E34+'Avg Week Hoima-Buliisa'!E34</f>
        <v>0.2857142857142857</v>
      </c>
      <c r="F34" s="49">
        <f>'Avg Week Buliisa-Hoima'!F34+'Avg Week Hoima-Buliisa'!F34</f>
        <v>2</v>
      </c>
      <c r="G34" s="49">
        <f>'Avg Week Buliisa-Hoima'!G34+'Avg Week Hoima-Buliisa'!G34</f>
        <v>0</v>
      </c>
      <c r="H34" s="49">
        <f>'Avg Week Buliisa-Hoima'!H34+'Avg Week Hoima-Buliisa'!H34</f>
        <v>0</v>
      </c>
      <c r="I34" s="49">
        <f>'Avg Week Buliisa-Hoima'!I34+'Avg Week Hoima-Buliisa'!I34</f>
        <v>0</v>
      </c>
      <c r="J34" s="49">
        <f>'Avg Week Buliisa-Hoima'!J34+'Avg Week Hoima-Buliisa'!J34</f>
        <v>0.14285714285714285</v>
      </c>
      <c r="K34" s="49">
        <f>'Avg Week Buliisa-Hoima'!K34+'Avg Week Hoima-Buliisa'!K34</f>
        <v>0</v>
      </c>
      <c r="L34" s="49">
        <f>'Avg Week Buliisa-Hoima'!L34+'Avg Week Hoima-Buliisa'!L34</f>
        <v>0</v>
      </c>
      <c r="M34" s="49">
        <f>'Avg Week Buliisa-Hoima'!M34+'Avg Week Hoima-Buliisa'!M34</f>
        <v>6.2857142857142856</v>
      </c>
      <c r="N34" s="49">
        <f>'Avg Week Buliisa-Hoima'!N34+'Avg Week Hoima-Buliisa'!N34</f>
        <v>0</v>
      </c>
      <c r="O34" s="15">
        <f t="shared" si="0"/>
        <v>2.8571428571428572</v>
      </c>
      <c r="P34" s="15">
        <f t="shared" si="1"/>
        <v>9.1428571428571423</v>
      </c>
      <c r="R34" s="38" t="s">
        <v>90</v>
      </c>
      <c r="S34" s="39">
        <f t="shared" ref="S34:AF34" si="26">MAX(S10:S12)</f>
        <v>2</v>
      </c>
      <c r="T34" s="39">
        <f t="shared" si="26"/>
        <v>1.5714285714285712</v>
      </c>
      <c r="U34" s="39">
        <f t="shared" si="26"/>
        <v>3.8571428571428568</v>
      </c>
      <c r="V34" s="39">
        <f t="shared" si="26"/>
        <v>7.761904761904761</v>
      </c>
      <c r="W34" s="39">
        <f t="shared" si="26"/>
        <v>0.2857142857142857</v>
      </c>
      <c r="X34" s="39">
        <f t="shared" si="26"/>
        <v>0.14285714285714285</v>
      </c>
      <c r="Y34" s="39">
        <f t="shared" si="26"/>
        <v>1.1428571428571428</v>
      </c>
      <c r="Z34" s="39">
        <f t="shared" si="26"/>
        <v>1.2857142857142856</v>
      </c>
      <c r="AA34" s="39">
        <f t="shared" si="26"/>
        <v>0.8571428571428571</v>
      </c>
      <c r="AB34" s="39">
        <f t="shared" si="26"/>
        <v>0.2857142857142857</v>
      </c>
      <c r="AC34" s="39">
        <f t="shared" si="26"/>
        <v>40.428571428571431</v>
      </c>
      <c r="AD34" s="39">
        <f t="shared" si="26"/>
        <v>0</v>
      </c>
      <c r="AE34" s="40">
        <f t="shared" si="26"/>
        <v>17.047619047619047</v>
      </c>
      <c r="AF34" s="40">
        <f t="shared" si="26"/>
        <v>57.476190476190474</v>
      </c>
    </row>
    <row r="35" spans="2:32" ht="23.1" customHeight="1" x14ac:dyDescent="0.25">
      <c r="B35" s="24" t="s">
        <v>62</v>
      </c>
      <c r="C35" s="49">
        <f>'Avg Week Buliisa-Hoima'!C35+'Avg Week Hoima-Buliisa'!C35</f>
        <v>0.71428571428571419</v>
      </c>
      <c r="D35" s="49">
        <f>'Avg Week Buliisa-Hoima'!D35+'Avg Week Hoima-Buliisa'!D35</f>
        <v>0.14285714285714285</v>
      </c>
      <c r="E35" s="49">
        <f>'Avg Week Buliisa-Hoima'!E35+'Avg Week Hoima-Buliisa'!E35</f>
        <v>1.1428571428571428</v>
      </c>
      <c r="F35" s="49">
        <f>'Avg Week Buliisa-Hoima'!F35+'Avg Week Hoima-Buliisa'!F35</f>
        <v>1.4285714285714286</v>
      </c>
      <c r="G35" s="49">
        <f>'Avg Week Buliisa-Hoima'!G35+'Avg Week Hoima-Buliisa'!G35</f>
        <v>0</v>
      </c>
      <c r="H35" s="49">
        <f>'Avg Week Buliisa-Hoima'!H35+'Avg Week Hoima-Buliisa'!H35</f>
        <v>0</v>
      </c>
      <c r="I35" s="49">
        <f>'Avg Week Buliisa-Hoima'!I35+'Avg Week Hoima-Buliisa'!I35</f>
        <v>0</v>
      </c>
      <c r="J35" s="49">
        <f>'Avg Week Buliisa-Hoima'!J35+'Avg Week Hoima-Buliisa'!J35</f>
        <v>0</v>
      </c>
      <c r="K35" s="49">
        <f>'Avg Week Buliisa-Hoima'!K35+'Avg Week Hoima-Buliisa'!K35</f>
        <v>0.14285714285714285</v>
      </c>
      <c r="L35" s="49">
        <f>'Avg Week Buliisa-Hoima'!L35+'Avg Week Hoima-Buliisa'!L35</f>
        <v>0</v>
      </c>
      <c r="M35" s="49">
        <f>'Avg Week Buliisa-Hoima'!M35+'Avg Week Hoima-Buliisa'!M35</f>
        <v>7.8571428571428568</v>
      </c>
      <c r="N35" s="49">
        <f>'Avg Week Buliisa-Hoima'!N35+'Avg Week Hoima-Buliisa'!N35</f>
        <v>0</v>
      </c>
      <c r="O35" s="15">
        <f t="shared" si="0"/>
        <v>3.5714285714285712</v>
      </c>
      <c r="P35" s="15">
        <f t="shared" si="1"/>
        <v>11.428571428571427</v>
      </c>
      <c r="R35" s="38" t="s">
        <v>91</v>
      </c>
      <c r="S35" s="39">
        <f t="shared" ref="S35:AF35" si="27">MAX(S13:S18)</f>
        <v>2.7142857142857144</v>
      </c>
      <c r="T35" s="39">
        <f t="shared" si="27"/>
        <v>1.2857142857142856</v>
      </c>
      <c r="U35" s="39">
        <f t="shared" si="27"/>
        <v>4.1428571428571432</v>
      </c>
      <c r="V35" s="39">
        <f t="shared" si="27"/>
        <v>5.7142857142857135</v>
      </c>
      <c r="W35" s="39">
        <f t="shared" si="27"/>
        <v>0.42857142857142855</v>
      </c>
      <c r="X35" s="39">
        <f t="shared" si="27"/>
        <v>0.14285714285714285</v>
      </c>
      <c r="Y35" s="39">
        <f t="shared" si="27"/>
        <v>1.1428571428571428</v>
      </c>
      <c r="Z35" s="39">
        <f t="shared" si="27"/>
        <v>1.1428571428571428</v>
      </c>
      <c r="AA35" s="39">
        <f t="shared" si="27"/>
        <v>0.8571428571428571</v>
      </c>
      <c r="AB35" s="39">
        <f t="shared" si="27"/>
        <v>0.42857142857142855</v>
      </c>
      <c r="AC35" s="39">
        <f t="shared" si="27"/>
        <v>36.285714285714285</v>
      </c>
      <c r="AD35" s="39">
        <f t="shared" si="27"/>
        <v>0</v>
      </c>
      <c r="AE35" s="40">
        <f t="shared" si="27"/>
        <v>14.999999999999998</v>
      </c>
      <c r="AF35" s="40">
        <f t="shared" si="27"/>
        <v>51.285714285714285</v>
      </c>
    </row>
    <row r="36" spans="2:32" ht="23.1" customHeight="1" x14ac:dyDescent="0.25">
      <c r="B36" s="24" t="s">
        <v>63</v>
      </c>
      <c r="C36" s="49">
        <f>'Avg Week Buliisa-Hoima'!C36+'Avg Week Hoima-Buliisa'!C36</f>
        <v>0.42857142857142855</v>
      </c>
      <c r="D36" s="49">
        <f>'Avg Week Buliisa-Hoima'!D36+'Avg Week Hoima-Buliisa'!D36</f>
        <v>0.2857142857142857</v>
      </c>
      <c r="E36" s="49">
        <f>'Avg Week Buliisa-Hoima'!E36+'Avg Week Hoima-Buliisa'!E36</f>
        <v>0.5714285714285714</v>
      </c>
      <c r="F36" s="49">
        <f>'Avg Week Buliisa-Hoima'!F36+'Avg Week Hoima-Buliisa'!F36</f>
        <v>1.1428571428571428</v>
      </c>
      <c r="G36" s="49">
        <f>'Avg Week Buliisa-Hoima'!G36+'Avg Week Hoima-Buliisa'!G36</f>
        <v>0</v>
      </c>
      <c r="H36" s="49">
        <f>'Avg Week Buliisa-Hoima'!H36+'Avg Week Hoima-Buliisa'!H36</f>
        <v>0</v>
      </c>
      <c r="I36" s="49">
        <f>'Avg Week Buliisa-Hoima'!I36+'Avg Week Hoima-Buliisa'!I36</f>
        <v>0.14285714285714285</v>
      </c>
      <c r="J36" s="49">
        <f>'Avg Week Buliisa-Hoima'!J36+'Avg Week Hoima-Buliisa'!J36</f>
        <v>0</v>
      </c>
      <c r="K36" s="49">
        <f>'Avg Week Buliisa-Hoima'!K36+'Avg Week Hoima-Buliisa'!K36</f>
        <v>0</v>
      </c>
      <c r="L36" s="49">
        <f>'Avg Week Buliisa-Hoima'!L36+'Avg Week Hoima-Buliisa'!L36</f>
        <v>0</v>
      </c>
      <c r="M36" s="49">
        <f>'Avg Week Buliisa-Hoima'!M36+'Avg Week Hoima-Buliisa'!M36</f>
        <v>5.2857142857142856</v>
      </c>
      <c r="N36" s="49">
        <f>'Avg Week Buliisa-Hoima'!N36+'Avg Week Hoima-Buliisa'!N36</f>
        <v>0</v>
      </c>
      <c r="O36" s="15">
        <f t="shared" si="0"/>
        <v>2.5714285714285712</v>
      </c>
      <c r="P36" s="15">
        <f t="shared" si="1"/>
        <v>7.8571428571428568</v>
      </c>
      <c r="R36" s="38" t="s">
        <v>92</v>
      </c>
      <c r="S36" s="39">
        <f t="shared" ref="S36:AF36" si="28">MAX(S19:S21)</f>
        <v>2.5714285714285712</v>
      </c>
      <c r="T36" s="39">
        <f t="shared" si="28"/>
        <v>1.4285714285714284</v>
      </c>
      <c r="U36" s="39">
        <f t="shared" si="28"/>
        <v>2.5714285714285712</v>
      </c>
      <c r="V36" s="39">
        <f t="shared" si="28"/>
        <v>7.1428571428571432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1.2857142857142856</v>
      </c>
      <c r="AA36" s="39">
        <f t="shared" si="28"/>
        <v>1.1428571428571428</v>
      </c>
      <c r="AB36" s="39">
        <f t="shared" si="28"/>
        <v>0</v>
      </c>
      <c r="AC36" s="39">
        <f t="shared" si="28"/>
        <v>38.428571428571431</v>
      </c>
      <c r="AD36" s="39">
        <f t="shared" si="28"/>
        <v>0</v>
      </c>
      <c r="AE36" s="40">
        <f t="shared" si="28"/>
        <v>16.857142857142854</v>
      </c>
      <c r="AF36" s="40">
        <f t="shared" si="28"/>
        <v>51.142857142857139</v>
      </c>
    </row>
    <row r="37" spans="2:32" ht="23.1" customHeight="1" x14ac:dyDescent="0.25">
      <c r="B37" s="23" t="s">
        <v>64</v>
      </c>
      <c r="C37" s="49">
        <f>'Avg Week Buliisa-Hoima'!C37+'Avg Week Hoima-Buliisa'!C37</f>
        <v>0.2857142857142857</v>
      </c>
      <c r="D37" s="49">
        <f>'Avg Week Buliisa-Hoima'!D37+'Avg Week Hoima-Buliisa'!D37</f>
        <v>0.14285714285714285</v>
      </c>
      <c r="E37" s="49">
        <f>'Avg Week Buliisa-Hoima'!E37+'Avg Week Hoima-Buliisa'!E37</f>
        <v>1.2857142857142856</v>
      </c>
      <c r="F37" s="49">
        <f>'Avg Week Buliisa-Hoima'!F37+'Avg Week Hoima-Buliisa'!F37</f>
        <v>1.1428571428571428</v>
      </c>
      <c r="G37" s="49">
        <f>'Avg Week Buliisa-Hoima'!G37+'Avg Week Hoima-Buliisa'!G37</f>
        <v>0</v>
      </c>
      <c r="H37" s="49">
        <f>'Avg Week Buliisa-Hoima'!H37+'Avg Week Hoima-Buliisa'!H37</f>
        <v>0</v>
      </c>
      <c r="I37" s="49">
        <f>'Avg Week Buliisa-Hoima'!I37+'Avg Week Hoima-Buliisa'!I37</f>
        <v>0.42857142857142855</v>
      </c>
      <c r="J37" s="49">
        <f>'Avg Week Buliisa-Hoima'!J37+'Avg Week Hoima-Buliisa'!J37</f>
        <v>0.2857142857142857</v>
      </c>
      <c r="K37" s="49">
        <f>'Avg Week Buliisa-Hoima'!K37+'Avg Week Hoima-Buliisa'!K37</f>
        <v>0</v>
      </c>
      <c r="L37" s="49">
        <f>'Avg Week Buliisa-Hoima'!L37+'Avg Week Hoima-Buliisa'!L37</f>
        <v>0</v>
      </c>
      <c r="M37" s="49">
        <f>'Avg Week Buliisa-Hoima'!M37+'Avg Week Hoima-Buliisa'!M37</f>
        <v>6</v>
      </c>
      <c r="N37" s="49">
        <f>'Avg Week Buliisa-Hoima'!N37+'Avg Week Hoima-Buliisa'!N37</f>
        <v>0</v>
      </c>
      <c r="O37" s="15">
        <f t="shared" si="0"/>
        <v>3.5714285714285707</v>
      </c>
      <c r="P37" s="15">
        <f t="shared" si="1"/>
        <v>9.5714285714285712</v>
      </c>
      <c r="R37" s="37" t="s">
        <v>85</v>
      </c>
      <c r="S37" s="35">
        <f t="shared" ref="S37:AF37" si="29">SUM(S10:S12)</f>
        <v>5.5714285714285712</v>
      </c>
      <c r="T37" s="16">
        <f t="shared" si="29"/>
        <v>3.2857142857142856</v>
      </c>
      <c r="U37" s="16">
        <f t="shared" si="29"/>
        <v>9.7142857142857135</v>
      </c>
      <c r="V37" s="16">
        <f t="shared" si="29"/>
        <v>18.761904761904759</v>
      </c>
      <c r="W37" s="16">
        <f t="shared" si="29"/>
        <v>0.2857142857142857</v>
      </c>
      <c r="X37" s="16">
        <f t="shared" si="29"/>
        <v>0.14285714285714285</v>
      </c>
      <c r="Y37" s="16">
        <f t="shared" si="29"/>
        <v>2.5714285714285712</v>
      </c>
      <c r="Z37" s="16">
        <f t="shared" si="29"/>
        <v>2.5714285714285712</v>
      </c>
      <c r="AA37" s="16">
        <f t="shared" si="29"/>
        <v>1.857142857142857</v>
      </c>
      <c r="AB37" s="16">
        <f t="shared" si="29"/>
        <v>0.42857142857142855</v>
      </c>
      <c r="AC37" s="16">
        <f t="shared" si="29"/>
        <v>104.42857142857143</v>
      </c>
      <c r="AD37" s="16">
        <f t="shared" si="29"/>
        <v>0</v>
      </c>
      <c r="AE37" s="32">
        <f t="shared" si="29"/>
        <v>45.19047619047619</v>
      </c>
      <c r="AF37" s="32">
        <f t="shared" si="29"/>
        <v>149.61904761904762</v>
      </c>
    </row>
    <row r="38" spans="2:32" ht="23.1" customHeight="1" x14ac:dyDescent="0.25">
      <c r="B38" s="24" t="s">
        <v>65</v>
      </c>
      <c r="C38" s="49">
        <f>'Avg Week Buliisa-Hoima'!C38+'Avg Week Hoima-Buliisa'!C38</f>
        <v>0.5714285714285714</v>
      </c>
      <c r="D38" s="49">
        <f>'Avg Week Buliisa-Hoima'!D38+'Avg Week Hoima-Buliisa'!D38</f>
        <v>0</v>
      </c>
      <c r="E38" s="49">
        <f>'Avg Week Buliisa-Hoima'!E38+'Avg Week Hoima-Buliisa'!E38</f>
        <v>0.8571428571428571</v>
      </c>
      <c r="F38" s="49">
        <f>'Avg Week Buliisa-Hoima'!F38+'Avg Week Hoima-Buliisa'!F38</f>
        <v>1</v>
      </c>
      <c r="G38" s="49">
        <f>'Avg Week Buliisa-Hoima'!G38+'Avg Week Hoima-Buliisa'!G38</f>
        <v>0.14285714285714285</v>
      </c>
      <c r="H38" s="49">
        <f>'Avg Week Buliisa-Hoima'!H38+'Avg Week Hoima-Buliisa'!H38</f>
        <v>0</v>
      </c>
      <c r="I38" s="49">
        <f>'Avg Week Buliisa-Hoima'!I38+'Avg Week Hoima-Buliisa'!I38</f>
        <v>0.2857142857142857</v>
      </c>
      <c r="J38" s="49">
        <f>'Avg Week Buliisa-Hoima'!J38+'Avg Week Hoima-Buliisa'!J38</f>
        <v>0.14285714285714285</v>
      </c>
      <c r="K38" s="49">
        <f>'Avg Week Buliisa-Hoima'!K38+'Avg Week Hoima-Buliisa'!K38</f>
        <v>0.14285714285714285</v>
      </c>
      <c r="L38" s="49">
        <f>'Avg Week Buliisa-Hoima'!L38+'Avg Week Hoima-Buliisa'!L38</f>
        <v>0</v>
      </c>
      <c r="M38" s="49">
        <f>'Avg Week Buliisa-Hoima'!M38+'Avg Week Hoima-Buliisa'!M38</f>
        <v>6.5714285714285712</v>
      </c>
      <c r="N38" s="49">
        <f>'Avg Week Buliisa-Hoima'!N38+'Avg Week Hoima-Buliisa'!N38</f>
        <v>0</v>
      </c>
      <c r="O38" s="15">
        <f t="shared" si="0"/>
        <v>3.1428571428571423</v>
      </c>
      <c r="P38" s="15">
        <f t="shared" si="1"/>
        <v>9.7142857142857135</v>
      </c>
      <c r="R38" s="28" t="s">
        <v>86</v>
      </c>
      <c r="S38" s="16">
        <f t="shared" ref="S38:AF38" si="30">SUM(S13:S18)</f>
        <v>12.285714285714286</v>
      </c>
      <c r="T38" s="16">
        <f t="shared" si="30"/>
        <v>4.5714285714285712</v>
      </c>
      <c r="U38" s="16">
        <f t="shared" si="30"/>
        <v>20.714285714285712</v>
      </c>
      <c r="V38" s="16">
        <f t="shared" si="30"/>
        <v>31.571428571428569</v>
      </c>
      <c r="W38" s="16">
        <f t="shared" si="30"/>
        <v>0.8571428571428571</v>
      </c>
      <c r="X38" s="16">
        <f t="shared" si="30"/>
        <v>0.14285714285714285</v>
      </c>
      <c r="Y38" s="16">
        <f t="shared" si="30"/>
        <v>3.4285714285714279</v>
      </c>
      <c r="Z38" s="16">
        <f t="shared" si="30"/>
        <v>4.1428571428571423</v>
      </c>
      <c r="AA38" s="16">
        <f t="shared" si="30"/>
        <v>2.2857142857142856</v>
      </c>
      <c r="AB38" s="16">
        <f t="shared" si="30"/>
        <v>0.99999999999999978</v>
      </c>
      <c r="AC38" s="16">
        <f t="shared" si="30"/>
        <v>186.14285714285714</v>
      </c>
      <c r="AD38" s="16">
        <f t="shared" si="30"/>
        <v>0</v>
      </c>
      <c r="AE38" s="32">
        <f t="shared" si="30"/>
        <v>81</v>
      </c>
      <c r="AF38" s="32">
        <f t="shared" si="30"/>
        <v>267.14285714285717</v>
      </c>
    </row>
    <row r="39" spans="2:32" ht="23.1" customHeight="1" x14ac:dyDescent="0.25">
      <c r="B39" s="24" t="s">
        <v>66</v>
      </c>
      <c r="C39" s="49">
        <f>'Avg Week Buliisa-Hoima'!C39+'Avg Week Hoima-Buliisa'!C39</f>
        <v>0</v>
      </c>
      <c r="D39" s="49">
        <f>'Avg Week Buliisa-Hoima'!D39+'Avg Week Hoima-Buliisa'!D39</f>
        <v>0.14285714285714285</v>
      </c>
      <c r="E39" s="49">
        <f>'Avg Week Buliisa-Hoima'!E39+'Avg Week Hoima-Buliisa'!E39</f>
        <v>1</v>
      </c>
      <c r="F39" s="49">
        <f>'Avg Week Buliisa-Hoima'!F39+'Avg Week Hoima-Buliisa'!F39</f>
        <v>1.5714285714285716</v>
      </c>
      <c r="G39" s="49">
        <f>'Avg Week Buliisa-Hoima'!G39+'Avg Week Hoima-Buliisa'!G39</f>
        <v>0</v>
      </c>
      <c r="H39" s="49">
        <f>'Avg Week Buliisa-Hoima'!H39+'Avg Week Hoima-Buliisa'!H39</f>
        <v>0</v>
      </c>
      <c r="I39" s="49">
        <f>'Avg Week Buliisa-Hoima'!I39+'Avg Week Hoima-Buliisa'!I39</f>
        <v>0.2857142857142857</v>
      </c>
      <c r="J39" s="49">
        <f>'Avg Week Buliisa-Hoima'!J39+'Avg Week Hoima-Buliisa'!J39</f>
        <v>0</v>
      </c>
      <c r="K39" s="49">
        <f>'Avg Week Buliisa-Hoima'!K39+'Avg Week Hoima-Buliisa'!K39</f>
        <v>0.2857142857142857</v>
      </c>
      <c r="L39" s="49">
        <f>'Avg Week Buliisa-Hoima'!L39+'Avg Week Hoima-Buliisa'!L39</f>
        <v>0</v>
      </c>
      <c r="M39" s="49">
        <f>'Avg Week Buliisa-Hoima'!M39+'Avg Week Hoima-Buliisa'!M39</f>
        <v>6.2857142857142856</v>
      </c>
      <c r="N39" s="49">
        <f>'Avg Week Buliisa-Hoima'!N39+'Avg Week Hoima-Buliisa'!N39</f>
        <v>0</v>
      </c>
      <c r="O39" s="15">
        <f t="shared" si="0"/>
        <v>3.2857142857142856</v>
      </c>
      <c r="P39" s="15">
        <f t="shared" si="1"/>
        <v>9.5714285714285712</v>
      </c>
      <c r="R39" s="29" t="s">
        <v>87</v>
      </c>
      <c r="S39" s="16">
        <f t="shared" ref="S39:AF39" si="31">SUM(S19:S21)</f>
        <v>5.9999999999999991</v>
      </c>
      <c r="T39" s="16">
        <f t="shared" si="31"/>
        <v>2.8571428571428568</v>
      </c>
      <c r="U39" s="16">
        <f t="shared" si="31"/>
        <v>6.9999999999999991</v>
      </c>
      <c r="V39" s="16">
        <f t="shared" si="31"/>
        <v>16.285714285714285</v>
      </c>
      <c r="W39" s="16">
        <f t="shared" si="31"/>
        <v>0</v>
      </c>
      <c r="X39" s="16">
        <f t="shared" si="31"/>
        <v>0</v>
      </c>
      <c r="Y39" s="16">
        <f t="shared" si="31"/>
        <v>3.4285714285714288</v>
      </c>
      <c r="Z39" s="16">
        <f t="shared" si="31"/>
        <v>1.9999999999999998</v>
      </c>
      <c r="AA39" s="16">
        <f t="shared" si="31"/>
        <v>2.714285714285714</v>
      </c>
      <c r="AB39" s="16">
        <f t="shared" si="31"/>
        <v>0</v>
      </c>
      <c r="AC39" s="16">
        <f t="shared" si="31"/>
        <v>110</v>
      </c>
      <c r="AD39" s="16">
        <f t="shared" si="31"/>
        <v>0</v>
      </c>
      <c r="AE39" s="32">
        <f t="shared" si="31"/>
        <v>40.285714285714278</v>
      </c>
      <c r="AF39" s="32">
        <f t="shared" si="31"/>
        <v>150.28571428571428</v>
      </c>
    </row>
    <row r="40" spans="2:32" ht="23.1" customHeight="1" x14ac:dyDescent="0.25">
      <c r="B40" s="24" t="s">
        <v>67</v>
      </c>
      <c r="C40" s="49">
        <f>'Avg Week Buliisa-Hoima'!C40+'Avg Week Hoima-Buliisa'!C40</f>
        <v>0.42857142857142855</v>
      </c>
      <c r="D40" s="49">
        <f>'Avg Week Buliisa-Hoima'!D40+'Avg Week Hoima-Buliisa'!D40</f>
        <v>0.14285714285714285</v>
      </c>
      <c r="E40" s="49">
        <f>'Avg Week Buliisa-Hoima'!E40+'Avg Week Hoima-Buliisa'!E40</f>
        <v>0.8571428571428571</v>
      </c>
      <c r="F40" s="49">
        <f>'Avg Week Buliisa-Hoima'!F40+'Avg Week Hoima-Buliisa'!F40</f>
        <v>0.5714285714285714</v>
      </c>
      <c r="G40" s="49">
        <f>'Avg Week Buliisa-Hoima'!G40+'Avg Week Hoima-Buliisa'!G40</f>
        <v>0.2857142857142857</v>
      </c>
      <c r="H40" s="49">
        <f>'Avg Week Buliisa-Hoima'!H40+'Avg Week Hoima-Buliisa'!H40</f>
        <v>0.14285714285714285</v>
      </c>
      <c r="I40" s="49">
        <f>'Avg Week Buliisa-Hoima'!I40+'Avg Week Hoima-Buliisa'!I40</f>
        <v>0.14285714285714285</v>
      </c>
      <c r="J40" s="49">
        <f>'Avg Week Buliisa-Hoima'!J40+'Avg Week Hoima-Buliisa'!J40</f>
        <v>0</v>
      </c>
      <c r="K40" s="49">
        <f>'Avg Week Buliisa-Hoima'!K40+'Avg Week Hoima-Buliisa'!K40</f>
        <v>0</v>
      </c>
      <c r="L40" s="49">
        <f>'Avg Week Buliisa-Hoima'!L40+'Avg Week Hoima-Buliisa'!L40</f>
        <v>0</v>
      </c>
      <c r="M40" s="49">
        <f>'Avg Week Buliisa-Hoima'!M40+'Avg Week Hoima-Buliisa'!M40</f>
        <v>6.1428571428571423</v>
      </c>
      <c r="N40" s="49">
        <f>'Avg Week Buliisa-Hoima'!N40+'Avg Week Hoima-Buliisa'!N40</f>
        <v>0</v>
      </c>
      <c r="O40" s="15">
        <f t="shared" si="0"/>
        <v>2.5714285714285712</v>
      </c>
      <c r="P40" s="15">
        <f t="shared" si="1"/>
        <v>8.7142857142857135</v>
      </c>
      <c r="R40" s="5" t="s">
        <v>17</v>
      </c>
      <c r="S40" s="16">
        <f t="shared" ref="S40:AF40" si="32">SUM(S10:S21)</f>
        <v>23.857142857142854</v>
      </c>
      <c r="T40" s="16">
        <f t="shared" si="32"/>
        <v>10.714285714285715</v>
      </c>
      <c r="U40" s="16">
        <f t="shared" si="32"/>
        <v>37.428571428571423</v>
      </c>
      <c r="V40" s="16">
        <f t="shared" si="32"/>
        <v>66.61904761904762</v>
      </c>
      <c r="W40" s="16">
        <f t="shared" si="32"/>
        <v>1.1428571428571428</v>
      </c>
      <c r="X40" s="16">
        <f t="shared" si="32"/>
        <v>0.2857142857142857</v>
      </c>
      <c r="Y40" s="16">
        <f t="shared" si="32"/>
        <v>9.428571428571427</v>
      </c>
      <c r="Z40" s="16">
        <f t="shared" si="32"/>
        <v>8.7142857142857135</v>
      </c>
      <c r="AA40" s="16">
        <f t="shared" si="32"/>
        <v>6.8571428571428559</v>
      </c>
      <c r="AB40" s="16">
        <f t="shared" si="32"/>
        <v>1.4285714285714284</v>
      </c>
      <c r="AC40" s="16">
        <f t="shared" si="32"/>
        <v>400.57142857142856</v>
      </c>
      <c r="AD40" s="16">
        <f t="shared" si="32"/>
        <v>0</v>
      </c>
      <c r="AE40" s="32">
        <f t="shared" si="32"/>
        <v>166.47619047619045</v>
      </c>
      <c r="AF40" s="32">
        <f t="shared" si="32"/>
        <v>567.04761904761904</v>
      </c>
    </row>
    <row r="41" spans="2:32" ht="23.1" customHeight="1" x14ac:dyDescent="0.25">
      <c r="B41" s="23" t="s">
        <v>68</v>
      </c>
      <c r="C41" s="49">
        <f>'Avg Week Buliisa-Hoima'!C41+'Avg Week Hoima-Buliisa'!C41</f>
        <v>0.42857142857142855</v>
      </c>
      <c r="D41" s="49">
        <f>'Avg Week Buliisa-Hoima'!D41+'Avg Week Hoima-Buliisa'!D41</f>
        <v>0.42857142857142855</v>
      </c>
      <c r="E41" s="49">
        <f>'Avg Week Buliisa-Hoima'!E41+'Avg Week Hoima-Buliisa'!E41</f>
        <v>1.4285714285714286</v>
      </c>
      <c r="F41" s="49">
        <f>'Avg Week Buliisa-Hoima'!F41+'Avg Week Hoima-Buliisa'!F41</f>
        <v>2.2857142857142856</v>
      </c>
      <c r="G41" s="49">
        <f>'Avg Week Buliisa-Hoima'!G41+'Avg Week Hoima-Buliisa'!G41</f>
        <v>0</v>
      </c>
      <c r="H41" s="49">
        <f>'Avg Week Buliisa-Hoima'!H41+'Avg Week Hoima-Buliisa'!H41</f>
        <v>0</v>
      </c>
      <c r="I41" s="49">
        <f>'Avg Week Buliisa-Hoima'!I41+'Avg Week Hoima-Buliisa'!I41</f>
        <v>0.42857142857142855</v>
      </c>
      <c r="J41" s="49">
        <f>'Avg Week Buliisa-Hoima'!J41+'Avg Week Hoima-Buliisa'!J41</f>
        <v>0.71428571428571419</v>
      </c>
      <c r="K41" s="49">
        <f>'Avg Week Buliisa-Hoima'!K41+'Avg Week Hoima-Buliisa'!K41</f>
        <v>0</v>
      </c>
      <c r="L41" s="49">
        <f>'Avg Week Buliisa-Hoima'!L41+'Avg Week Hoima-Buliisa'!L41</f>
        <v>0.14285714285714285</v>
      </c>
      <c r="M41" s="49">
        <f>'Avg Week Buliisa-Hoima'!M41+'Avg Week Hoima-Buliisa'!M41</f>
        <v>5.8571428571428577</v>
      </c>
      <c r="N41" s="49">
        <f>'Avg Week Buliisa-Hoima'!N41+'Avg Week Hoima-Buliisa'!N41</f>
        <v>0</v>
      </c>
      <c r="O41" s="15">
        <f t="shared" si="0"/>
        <v>5.8571428571428577</v>
      </c>
      <c r="P41" s="15">
        <f t="shared" si="1"/>
        <v>11.714285714285715</v>
      </c>
      <c r="R41" s="5" t="s">
        <v>181</v>
      </c>
      <c r="S41" s="16">
        <f>SUM(S10:S33)</f>
        <v>26.357142857142854</v>
      </c>
      <c r="T41" s="16">
        <f t="shared" ref="T41:AD41" si="33">SUM(T10:T33)</f>
        <v>14.714285714285715</v>
      </c>
      <c r="U41" s="16">
        <f t="shared" si="33"/>
        <v>39.428571428571423</v>
      </c>
      <c r="V41" s="16">
        <f t="shared" si="33"/>
        <v>79.61904761904762</v>
      </c>
      <c r="W41" s="16">
        <f t="shared" si="33"/>
        <v>2.1428571428571428</v>
      </c>
      <c r="X41" s="16">
        <f t="shared" si="33"/>
        <v>0.2857142857142857</v>
      </c>
      <c r="Y41" s="16">
        <f t="shared" si="33"/>
        <v>9.928571428571427</v>
      </c>
      <c r="Z41" s="16">
        <f t="shared" si="33"/>
        <v>11.714285714285714</v>
      </c>
      <c r="AA41" s="16">
        <f t="shared" si="33"/>
        <v>8.8571428571428559</v>
      </c>
      <c r="AB41" s="16">
        <f t="shared" si="33"/>
        <v>1.4285714285714284</v>
      </c>
      <c r="AC41" s="16">
        <f t="shared" si="33"/>
        <v>526.07142857142856</v>
      </c>
      <c r="AD41" s="16">
        <f t="shared" si="33"/>
        <v>0</v>
      </c>
      <c r="AE41" s="32">
        <f>SUM(AE10:AE33)</f>
        <v>194.47619047619045</v>
      </c>
      <c r="AF41" s="32">
        <f>SUM(AF10:AF33)</f>
        <v>720.54761904761904</v>
      </c>
    </row>
    <row r="42" spans="2:32" ht="23.1" customHeight="1" x14ac:dyDescent="0.25">
      <c r="B42" s="24" t="s">
        <v>69</v>
      </c>
      <c r="C42" s="49">
        <f>'Avg Week Buliisa-Hoima'!C42+'Avg Week Hoima-Buliisa'!C42</f>
        <v>0.42857142857142855</v>
      </c>
      <c r="D42" s="49">
        <f>'Avg Week Buliisa-Hoima'!D42+'Avg Week Hoima-Buliisa'!D42</f>
        <v>0.14285714285714285</v>
      </c>
      <c r="E42" s="49">
        <f>'Avg Week Buliisa-Hoima'!E42+'Avg Week Hoima-Buliisa'!E42</f>
        <v>1.1428571428571428</v>
      </c>
      <c r="F42" s="49">
        <f>'Avg Week Buliisa-Hoima'!F42+'Avg Week Hoima-Buliisa'!F42</f>
        <v>1.2857142857142856</v>
      </c>
      <c r="G42" s="49">
        <f>'Avg Week Buliisa-Hoima'!G42+'Avg Week Hoima-Buliisa'!G42</f>
        <v>0</v>
      </c>
      <c r="H42" s="49">
        <f>'Avg Week Buliisa-Hoima'!H42+'Avg Week Hoima-Buliisa'!H42</f>
        <v>0</v>
      </c>
      <c r="I42" s="49">
        <f>'Avg Week Buliisa-Hoima'!I42+'Avg Week Hoima-Buliisa'!I42</f>
        <v>0.14285714285714285</v>
      </c>
      <c r="J42" s="49">
        <f>'Avg Week Buliisa-Hoima'!J42+'Avg Week Hoima-Buliisa'!J42</f>
        <v>0.2857142857142857</v>
      </c>
      <c r="K42" s="49">
        <f>'Avg Week Buliisa-Hoima'!K42+'Avg Week Hoima-Buliisa'!K42</f>
        <v>0</v>
      </c>
      <c r="L42" s="49">
        <f>'Avg Week Buliisa-Hoima'!L42+'Avg Week Hoima-Buliisa'!L42</f>
        <v>0.14285714285714285</v>
      </c>
      <c r="M42" s="49">
        <f>'Avg Week Buliisa-Hoima'!M42+'Avg Week Hoima-Buliisa'!M42</f>
        <v>6.7142857142857144</v>
      </c>
      <c r="N42" s="49">
        <f>'Avg Week Buliisa-Hoima'!N42+'Avg Week Hoima-Buliisa'!N42</f>
        <v>0</v>
      </c>
      <c r="O42" s="15">
        <f t="shared" si="0"/>
        <v>3.5714285714285712</v>
      </c>
      <c r="P42" s="15">
        <f t="shared" si="1"/>
        <v>10.285714285714285</v>
      </c>
      <c r="R42" s="5" t="s">
        <v>160</v>
      </c>
      <c r="S42" s="48">
        <f>S41/S40</f>
        <v>1.1047904191616766</v>
      </c>
      <c r="T42" s="48">
        <f t="shared" ref="T42:AF42" si="34">T41/T40</f>
        <v>1.3733333333333333</v>
      </c>
      <c r="U42" s="48">
        <f t="shared" si="34"/>
        <v>1.0534351145038168</v>
      </c>
      <c r="V42" s="48">
        <f t="shared" si="34"/>
        <v>1.1951393852751966</v>
      </c>
      <c r="W42" s="48">
        <f t="shared" si="34"/>
        <v>1.875</v>
      </c>
      <c r="X42" s="48">
        <f t="shared" si="34"/>
        <v>1</v>
      </c>
      <c r="Y42" s="48">
        <f t="shared" si="34"/>
        <v>1.053030303030303</v>
      </c>
      <c r="Z42" s="48">
        <f t="shared" si="34"/>
        <v>1.3442622950819672</v>
      </c>
      <c r="AA42" s="48">
        <f t="shared" si="34"/>
        <v>1.2916666666666667</v>
      </c>
      <c r="AB42" s="48">
        <f t="shared" si="34"/>
        <v>1</v>
      </c>
      <c r="AC42" s="48">
        <f t="shared" si="34"/>
        <v>1.31330242510699</v>
      </c>
      <c r="AD42" s="48">
        <v>0</v>
      </c>
      <c r="AE42" s="51">
        <f t="shared" si="34"/>
        <v>1.1681922196796339</v>
      </c>
      <c r="AF42" s="51">
        <f t="shared" si="34"/>
        <v>1.2707003694994961</v>
      </c>
    </row>
    <row r="43" spans="2:32" ht="23.1" customHeight="1" x14ac:dyDescent="0.25">
      <c r="B43" s="23" t="s">
        <v>70</v>
      </c>
      <c r="C43" s="49">
        <f>'Avg Week Buliisa-Hoima'!C43+'Avg Week Hoima-Buliisa'!C43</f>
        <v>0.2857142857142857</v>
      </c>
      <c r="D43" s="49">
        <f>'Avg Week Buliisa-Hoima'!D43+'Avg Week Hoima-Buliisa'!D43</f>
        <v>0</v>
      </c>
      <c r="E43" s="49">
        <f>'Avg Week Buliisa-Hoima'!E43+'Avg Week Hoima-Buliisa'!E43</f>
        <v>0.5714285714285714</v>
      </c>
      <c r="F43" s="49">
        <f>'Avg Week Buliisa-Hoima'!F43+'Avg Week Hoima-Buliisa'!F43</f>
        <v>0.8571428571428571</v>
      </c>
      <c r="G43" s="49">
        <f>'Avg Week Buliisa-Hoima'!G43+'Avg Week Hoima-Buliisa'!G43</f>
        <v>0</v>
      </c>
      <c r="H43" s="49">
        <f>'Avg Week Buliisa-Hoima'!H43+'Avg Week Hoima-Buliisa'!H43</f>
        <v>0</v>
      </c>
      <c r="I43" s="49">
        <f>'Avg Week Buliisa-Hoima'!I43+'Avg Week Hoima-Buliisa'!I43</f>
        <v>0</v>
      </c>
      <c r="J43" s="49">
        <f>'Avg Week Buliisa-Hoima'!J43+'Avg Week Hoima-Buliisa'!J43</f>
        <v>0.71428571428571419</v>
      </c>
      <c r="K43" s="49">
        <f>'Avg Week Buliisa-Hoima'!K43+'Avg Week Hoima-Buliisa'!K43</f>
        <v>0.42857142857142855</v>
      </c>
      <c r="L43" s="49">
        <f>'Avg Week Buliisa-Hoima'!L43+'Avg Week Hoima-Buliisa'!L43</f>
        <v>0</v>
      </c>
      <c r="M43" s="49">
        <f>'Avg Week Buliisa-Hoima'!M43+'Avg Week Hoima-Buliisa'!M43</f>
        <v>6.7142857142857153</v>
      </c>
      <c r="N43" s="49">
        <f>'Avg Week Buliisa-Hoima'!N43+'Avg Week Hoima-Buliisa'!N43</f>
        <v>0</v>
      </c>
      <c r="O43" s="15">
        <f t="shared" si="0"/>
        <v>2.8571428571428568</v>
      </c>
      <c r="P43" s="15">
        <f t="shared" si="1"/>
        <v>9.571428571428573</v>
      </c>
    </row>
    <row r="44" spans="2:32" ht="23.1" customHeight="1" x14ac:dyDescent="0.25">
      <c r="B44" s="25" t="s">
        <v>71</v>
      </c>
      <c r="C44" s="49">
        <f>'Avg Week Buliisa-Hoima'!C44+'Avg Week Hoima-Buliisa'!C44</f>
        <v>1</v>
      </c>
      <c r="D44" s="49">
        <f>'Avg Week Buliisa-Hoima'!D44+'Avg Week Hoima-Buliisa'!D44</f>
        <v>0.14285714285714285</v>
      </c>
      <c r="E44" s="49">
        <f>'Avg Week Buliisa-Hoima'!E44+'Avg Week Hoima-Buliisa'!E44</f>
        <v>0.42857142857142855</v>
      </c>
      <c r="F44" s="49">
        <f>'Avg Week Buliisa-Hoima'!F44+'Avg Week Hoima-Buliisa'!F44</f>
        <v>2</v>
      </c>
      <c r="G44" s="49">
        <f>'Avg Week Buliisa-Hoima'!G44+'Avg Week Hoima-Buliisa'!G44</f>
        <v>0</v>
      </c>
      <c r="H44" s="49">
        <f>'Avg Week Buliisa-Hoima'!H44+'Avg Week Hoima-Buliisa'!H44</f>
        <v>0</v>
      </c>
      <c r="I44" s="49">
        <f>'Avg Week Buliisa-Hoima'!I44+'Avg Week Hoima-Buliisa'!I44</f>
        <v>0.2857142857142857</v>
      </c>
      <c r="J44" s="49">
        <f>'Avg Week Buliisa-Hoima'!J44+'Avg Week Hoima-Buliisa'!J44</f>
        <v>0.14285714285714285</v>
      </c>
      <c r="K44" s="49">
        <f>'Avg Week Buliisa-Hoima'!K44+'Avg Week Hoima-Buliisa'!K44</f>
        <v>0</v>
      </c>
      <c r="L44" s="49">
        <f>'Avg Week Buliisa-Hoima'!L44+'Avg Week Hoima-Buliisa'!L44</f>
        <v>0</v>
      </c>
      <c r="M44" s="49">
        <f>'Avg Week Buliisa-Hoima'!M44+'Avg Week Hoima-Buliisa'!M44</f>
        <v>9.8571428571428577</v>
      </c>
      <c r="N44" s="49">
        <f>'Avg Week Buliisa-Hoima'!N44+'Avg Week Hoima-Buliisa'!N44</f>
        <v>0</v>
      </c>
      <c r="O44" s="15">
        <f t="shared" si="0"/>
        <v>3.9999999999999996</v>
      </c>
      <c r="P44" s="15">
        <f t="shared" si="1"/>
        <v>13.857142857142858</v>
      </c>
    </row>
    <row r="45" spans="2:32" ht="23.1" customHeight="1" x14ac:dyDescent="0.25">
      <c r="B45" s="23" t="s">
        <v>72</v>
      </c>
      <c r="C45" s="49">
        <f>'Avg Week Buliisa-Hoima'!C45+'Avg Week Hoima-Buliisa'!C45</f>
        <v>0.71428571428571419</v>
      </c>
      <c r="D45" s="49">
        <f>'Avg Week Buliisa-Hoima'!D45+'Avg Week Hoima-Buliisa'!D45</f>
        <v>0.14285714285714285</v>
      </c>
      <c r="E45" s="49">
        <f>'Avg Week Buliisa-Hoima'!E45+'Avg Week Hoima-Buliisa'!E45</f>
        <v>1.2857142857142856</v>
      </c>
      <c r="F45" s="49">
        <f>'Avg Week Buliisa-Hoima'!F45+'Avg Week Hoima-Buliisa'!F45</f>
        <v>1.4285714285714286</v>
      </c>
      <c r="G45" s="49">
        <f>'Avg Week Buliisa-Hoima'!G45+'Avg Week Hoima-Buliisa'!G45</f>
        <v>0</v>
      </c>
      <c r="H45" s="49">
        <f>'Avg Week Buliisa-Hoima'!H45+'Avg Week Hoima-Buliisa'!H45</f>
        <v>0</v>
      </c>
      <c r="I45" s="49">
        <f>'Avg Week Buliisa-Hoima'!I45+'Avg Week Hoima-Buliisa'!I45</f>
        <v>0.14285714285714285</v>
      </c>
      <c r="J45" s="49">
        <f>'Avg Week Buliisa-Hoima'!J45+'Avg Week Hoima-Buliisa'!J45</f>
        <v>0</v>
      </c>
      <c r="K45" s="49">
        <f>'Avg Week Buliisa-Hoima'!K45+'Avg Week Hoima-Buliisa'!K45</f>
        <v>0</v>
      </c>
      <c r="L45" s="49">
        <f>'Avg Week Buliisa-Hoima'!L45+'Avg Week Hoima-Buliisa'!L45</f>
        <v>0</v>
      </c>
      <c r="M45" s="49">
        <f>'Avg Week Buliisa-Hoima'!M45+'Avg Week Hoima-Buliisa'!M45</f>
        <v>10.714285714285715</v>
      </c>
      <c r="N45" s="49">
        <f>'Avg Week Buliisa-Hoima'!N45+'Avg Week Hoima-Buliisa'!N45</f>
        <v>0</v>
      </c>
      <c r="O45" s="15">
        <f t="shared" si="0"/>
        <v>3.714285714285714</v>
      </c>
      <c r="P45" s="15">
        <f t="shared" si="1"/>
        <v>14.428571428571429</v>
      </c>
    </row>
    <row r="46" spans="2:32" ht="23.1" customHeight="1" x14ac:dyDescent="0.25">
      <c r="B46" s="24" t="s">
        <v>73</v>
      </c>
      <c r="C46" s="49">
        <f>'Avg Week Buliisa-Hoima'!C46+'Avg Week Hoima-Buliisa'!C46</f>
        <v>0.71428571428571419</v>
      </c>
      <c r="D46" s="49">
        <f>'Avg Week Buliisa-Hoima'!D46+'Avg Week Hoima-Buliisa'!D46</f>
        <v>0.2857142857142857</v>
      </c>
      <c r="E46" s="49">
        <f>'Avg Week Buliisa-Hoima'!E46+'Avg Week Hoima-Buliisa'!E46</f>
        <v>1.1428571428571428</v>
      </c>
      <c r="F46" s="49">
        <f>'Avg Week Buliisa-Hoima'!F46+'Avg Week Hoima-Buliisa'!F46</f>
        <v>2.4285714285714288</v>
      </c>
      <c r="G46" s="49">
        <f>'Avg Week Buliisa-Hoima'!G46+'Avg Week Hoima-Buliisa'!G46</f>
        <v>0</v>
      </c>
      <c r="H46" s="49">
        <f>'Avg Week Buliisa-Hoima'!H46+'Avg Week Hoima-Buliisa'!H46</f>
        <v>0</v>
      </c>
      <c r="I46" s="49">
        <f>'Avg Week Buliisa-Hoima'!I46+'Avg Week Hoima-Buliisa'!I46</f>
        <v>1.1428571428571428</v>
      </c>
      <c r="J46" s="49">
        <f>'Avg Week Buliisa-Hoima'!J46+'Avg Week Hoima-Buliisa'!J46</f>
        <v>0.2857142857142857</v>
      </c>
      <c r="K46" s="49">
        <f>'Avg Week Buliisa-Hoima'!K46+'Avg Week Hoima-Buliisa'!K46</f>
        <v>0.42857142857142855</v>
      </c>
      <c r="L46" s="49">
        <f>'Avg Week Buliisa-Hoima'!L46+'Avg Week Hoima-Buliisa'!L46</f>
        <v>0</v>
      </c>
      <c r="M46" s="49">
        <f>'Avg Week Buliisa-Hoima'!M46+'Avg Week Hoima-Buliisa'!M46</f>
        <v>8.5714285714285712</v>
      </c>
      <c r="N46" s="49">
        <f>'Avg Week Buliisa-Hoima'!N46+'Avg Week Hoima-Buliisa'!N46</f>
        <v>0</v>
      </c>
      <c r="O46" s="15">
        <f t="shared" si="0"/>
        <v>6.4285714285714279</v>
      </c>
      <c r="P46" s="15">
        <f t="shared" si="1"/>
        <v>15</v>
      </c>
      <c r="R46" s="8"/>
      <c r="T46"/>
    </row>
    <row r="47" spans="2:32" ht="23.1" customHeight="1" x14ac:dyDescent="0.25">
      <c r="B47" s="24" t="s">
        <v>74</v>
      </c>
      <c r="C47" s="49">
        <f>'Avg Week Buliisa-Hoima'!C47+'Avg Week Hoima-Buliisa'!C47</f>
        <v>1.1428571428571428</v>
      </c>
      <c r="D47" s="49">
        <f>'Avg Week Buliisa-Hoima'!D47+'Avg Week Hoima-Buliisa'!D47</f>
        <v>0.2857142857142857</v>
      </c>
      <c r="E47" s="49">
        <f>'Avg Week Buliisa-Hoima'!E47+'Avg Week Hoima-Buliisa'!E47</f>
        <v>0.5714285714285714</v>
      </c>
      <c r="F47" s="49">
        <f>'Avg Week Buliisa-Hoima'!F47+'Avg Week Hoima-Buliisa'!F47</f>
        <v>1.8571428571428572</v>
      </c>
      <c r="G47" s="49">
        <f>'Avg Week Buliisa-Hoima'!G47+'Avg Week Hoima-Buliisa'!G47</f>
        <v>0</v>
      </c>
      <c r="H47" s="49">
        <f>'Avg Week Buliisa-Hoima'!H47+'Avg Week Hoima-Buliisa'!H47</f>
        <v>0</v>
      </c>
      <c r="I47" s="49">
        <f>'Avg Week Buliisa-Hoima'!I47+'Avg Week Hoima-Buliisa'!I47</f>
        <v>0.42857142857142855</v>
      </c>
      <c r="J47" s="49">
        <f>'Avg Week Buliisa-Hoima'!J47+'Avg Week Hoima-Buliisa'!J47</f>
        <v>0.2857142857142857</v>
      </c>
      <c r="K47" s="49">
        <f>'Avg Week Buliisa-Hoima'!K47+'Avg Week Hoima-Buliisa'!K47</f>
        <v>0</v>
      </c>
      <c r="L47" s="49">
        <f>'Avg Week Buliisa-Hoima'!L47+'Avg Week Hoima-Buliisa'!L47</f>
        <v>0</v>
      </c>
      <c r="M47" s="49">
        <f>'Avg Week Buliisa-Hoima'!M47+'Avg Week Hoima-Buliisa'!M47</f>
        <v>9.1428571428571423</v>
      </c>
      <c r="N47" s="49">
        <f>'Avg Week Buliisa-Hoima'!N47+'Avg Week Hoima-Buliisa'!N47</f>
        <v>0</v>
      </c>
      <c r="O47" s="15">
        <f t="shared" si="0"/>
        <v>4.5714285714285712</v>
      </c>
      <c r="P47" s="15">
        <f t="shared" si="1"/>
        <v>13.714285714285714</v>
      </c>
      <c r="R47" s="8"/>
      <c r="T47"/>
    </row>
    <row r="48" spans="2:32" ht="23.1" customHeight="1" x14ac:dyDescent="0.25">
      <c r="B48" s="24" t="s">
        <v>75</v>
      </c>
      <c r="C48" s="49">
        <f>'Avg Week Buliisa-Hoima'!C48+'Avg Week Hoima-Buliisa'!C48</f>
        <v>0.2857142857142857</v>
      </c>
      <c r="D48" s="49">
        <f>'Avg Week Buliisa-Hoima'!D48+'Avg Week Hoima-Buliisa'!D48</f>
        <v>0</v>
      </c>
      <c r="E48" s="49">
        <f>'Avg Week Buliisa-Hoima'!E48+'Avg Week Hoima-Buliisa'!E48</f>
        <v>0.71428571428571419</v>
      </c>
      <c r="F48" s="49">
        <f>'Avg Week Buliisa-Hoima'!F48+'Avg Week Hoima-Buliisa'!F48</f>
        <v>1.2857142857142856</v>
      </c>
      <c r="G48" s="49">
        <f>'Avg Week Buliisa-Hoima'!G48+'Avg Week Hoima-Buliisa'!G48</f>
        <v>0</v>
      </c>
      <c r="H48" s="49">
        <f>'Avg Week Buliisa-Hoima'!H48+'Avg Week Hoima-Buliisa'!H48</f>
        <v>0</v>
      </c>
      <c r="I48" s="49">
        <f>'Avg Week Buliisa-Hoima'!I48+'Avg Week Hoima-Buliisa'!I48</f>
        <v>0.42857142857142855</v>
      </c>
      <c r="J48" s="49">
        <f>'Avg Week Buliisa-Hoima'!J48+'Avg Week Hoima-Buliisa'!J48</f>
        <v>0.2857142857142857</v>
      </c>
      <c r="K48" s="49">
        <f>'Avg Week Buliisa-Hoima'!K48+'Avg Week Hoima-Buliisa'!K48</f>
        <v>0.2857142857142857</v>
      </c>
      <c r="L48" s="49">
        <f>'Avg Week Buliisa-Hoima'!L48+'Avg Week Hoima-Buliisa'!L48</f>
        <v>0</v>
      </c>
      <c r="M48" s="49">
        <f>'Avg Week Buliisa-Hoima'!M48+'Avg Week Hoima-Buliisa'!M48</f>
        <v>8.2857142857142847</v>
      </c>
      <c r="N48" s="49">
        <f>'Avg Week Buliisa-Hoima'!N48+'Avg Week Hoima-Buliisa'!N48</f>
        <v>0</v>
      </c>
      <c r="O48" s="15">
        <f t="shared" si="0"/>
        <v>3.2857142857142851</v>
      </c>
      <c r="P48" s="15">
        <f t="shared" si="1"/>
        <v>11.571428571428569</v>
      </c>
      <c r="R48" s="8"/>
      <c r="T48"/>
    </row>
    <row r="49" spans="2:20" ht="23.1" customHeight="1" x14ac:dyDescent="0.25">
      <c r="B49" s="23" t="s">
        <v>76</v>
      </c>
      <c r="C49" s="49">
        <f>'Avg Week Buliisa-Hoima'!C49+'Avg Week Hoima-Buliisa'!C49</f>
        <v>0</v>
      </c>
      <c r="D49" s="49">
        <f>'Avg Week Buliisa-Hoima'!D49+'Avg Week Hoima-Buliisa'!D49</f>
        <v>0</v>
      </c>
      <c r="E49" s="49">
        <f>'Avg Week Buliisa-Hoima'!E49+'Avg Week Hoima-Buliisa'!E49</f>
        <v>0.14285714285714285</v>
      </c>
      <c r="F49" s="49">
        <f>'Avg Week Buliisa-Hoima'!F49+'Avg Week Hoima-Buliisa'!F49</f>
        <v>1.5714285714285714</v>
      </c>
      <c r="G49" s="49">
        <f>'Avg Week Buliisa-Hoima'!G49+'Avg Week Hoima-Buliisa'!G49</f>
        <v>0</v>
      </c>
      <c r="H49" s="49">
        <f>'Avg Week Buliisa-Hoima'!H49+'Avg Week Hoima-Buliisa'!H49</f>
        <v>0</v>
      </c>
      <c r="I49" s="49">
        <f>'Avg Week Buliisa-Hoima'!I49+'Avg Week Hoima-Buliisa'!I49</f>
        <v>0</v>
      </c>
      <c r="J49" s="49">
        <f>'Avg Week Buliisa-Hoima'!J49+'Avg Week Hoima-Buliisa'!J49</f>
        <v>0.42857142857142855</v>
      </c>
      <c r="K49" s="49">
        <f>'Avg Week Buliisa-Hoima'!K49+'Avg Week Hoima-Buliisa'!K49</f>
        <v>0.42857142857142855</v>
      </c>
      <c r="L49" s="49">
        <f>'Avg Week Buliisa-Hoima'!L49+'Avg Week Hoima-Buliisa'!L49</f>
        <v>0</v>
      </c>
      <c r="M49" s="49">
        <f>'Avg Week Buliisa-Hoima'!M49+'Avg Week Hoima-Buliisa'!M49</f>
        <v>8.2857142857142847</v>
      </c>
      <c r="N49" s="49">
        <f>'Avg Week Buliisa-Hoima'!N49+'Avg Week Hoima-Buliisa'!N49</f>
        <v>0</v>
      </c>
      <c r="O49" s="15">
        <f t="shared" si="0"/>
        <v>2.5714285714285712</v>
      </c>
      <c r="P49" s="15">
        <f t="shared" si="1"/>
        <v>10.857142857142856</v>
      </c>
      <c r="R49" s="8"/>
      <c r="T49"/>
    </row>
    <row r="50" spans="2:20" ht="23.1" customHeight="1" x14ac:dyDescent="0.25">
      <c r="B50" s="24" t="s">
        <v>77</v>
      </c>
      <c r="C50" s="49">
        <f>'Avg Week Buliisa-Hoima'!C50+'Avg Week Hoima-Buliisa'!C50</f>
        <v>0.5714285714285714</v>
      </c>
      <c r="D50" s="49">
        <f>'Avg Week Buliisa-Hoima'!D50+'Avg Week Hoima-Buliisa'!D50</f>
        <v>0</v>
      </c>
      <c r="E50" s="49">
        <f>'Avg Week Buliisa-Hoima'!E50+'Avg Week Hoima-Buliisa'!E50</f>
        <v>0.71428571428571419</v>
      </c>
      <c r="F50" s="49">
        <f>'Avg Week Buliisa-Hoima'!F50+'Avg Week Hoima-Buliisa'!F50</f>
        <v>1</v>
      </c>
      <c r="G50" s="49">
        <f>'Avg Week Buliisa-Hoima'!G50+'Avg Week Hoima-Buliisa'!G50</f>
        <v>0</v>
      </c>
      <c r="H50" s="49">
        <f>'Avg Week Buliisa-Hoima'!H50+'Avg Week Hoima-Buliisa'!H50</f>
        <v>0</v>
      </c>
      <c r="I50" s="49">
        <f>'Avg Week Buliisa-Hoima'!I50+'Avg Week Hoima-Buliisa'!I50</f>
        <v>0.2857142857142857</v>
      </c>
      <c r="J50" s="49">
        <f>'Avg Week Buliisa-Hoima'!J50+'Avg Week Hoima-Buliisa'!J50</f>
        <v>0.14285714285714285</v>
      </c>
      <c r="K50" s="49">
        <f>'Avg Week Buliisa-Hoima'!K50+'Avg Week Hoima-Buliisa'!K50</f>
        <v>0</v>
      </c>
      <c r="L50" s="49">
        <f>'Avg Week Buliisa-Hoima'!L50+'Avg Week Hoima-Buliisa'!L50</f>
        <v>0</v>
      </c>
      <c r="M50" s="49">
        <f>'Avg Week Buliisa-Hoima'!M50+'Avg Week Hoima-Buliisa'!M50</f>
        <v>7.7142857142857144</v>
      </c>
      <c r="N50" s="49">
        <f>'Avg Week Buliisa-Hoima'!N50+'Avg Week Hoima-Buliisa'!N50</f>
        <v>0</v>
      </c>
      <c r="O50" s="15">
        <f t="shared" si="0"/>
        <v>2.714285714285714</v>
      </c>
      <c r="P50" s="15">
        <f t="shared" si="1"/>
        <v>10.428571428571429</v>
      </c>
      <c r="R50" s="8"/>
      <c r="T50"/>
    </row>
    <row r="51" spans="2:20" ht="23.1" customHeight="1" x14ac:dyDescent="0.25">
      <c r="B51" s="24" t="s">
        <v>78</v>
      </c>
      <c r="C51" s="49">
        <f>'Avg Week Buliisa-Hoima'!C51+'Avg Week Hoima-Buliisa'!C51</f>
        <v>0.2857142857142857</v>
      </c>
      <c r="D51" s="49">
        <f>'Avg Week Buliisa-Hoima'!D51+'Avg Week Hoima-Buliisa'!D51</f>
        <v>0</v>
      </c>
      <c r="E51" s="49">
        <f>'Avg Week Buliisa-Hoima'!E51+'Avg Week Hoima-Buliisa'!E51</f>
        <v>0.2857142857142857</v>
      </c>
      <c r="F51" s="49">
        <f>'Avg Week Buliisa-Hoima'!F51+'Avg Week Hoima-Buliisa'!F51</f>
        <v>0.8571428571428571</v>
      </c>
      <c r="G51" s="49">
        <f>'Avg Week Buliisa-Hoima'!G51+'Avg Week Hoima-Buliisa'!G51</f>
        <v>0</v>
      </c>
      <c r="H51" s="49">
        <f>'Avg Week Buliisa-Hoima'!H51+'Avg Week Hoima-Buliisa'!H51</f>
        <v>0</v>
      </c>
      <c r="I51" s="49">
        <f>'Avg Week Buliisa-Hoima'!I51+'Avg Week Hoima-Buliisa'!I51</f>
        <v>0</v>
      </c>
      <c r="J51" s="49">
        <f>'Avg Week Buliisa-Hoima'!J51+'Avg Week Hoima-Buliisa'!J51</f>
        <v>0</v>
      </c>
      <c r="K51" s="49">
        <f>'Avg Week Buliisa-Hoima'!K51+'Avg Week Hoima-Buliisa'!K51</f>
        <v>0.2857142857142857</v>
      </c>
      <c r="L51" s="49">
        <f>'Avg Week Buliisa-Hoima'!L51+'Avg Week Hoima-Buliisa'!L51</f>
        <v>0</v>
      </c>
      <c r="M51" s="49">
        <f>'Avg Week Buliisa-Hoima'!M51+'Avg Week Hoima-Buliisa'!M51</f>
        <v>8.571428571428573</v>
      </c>
      <c r="N51" s="49">
        <f>'Avg Week Buliisa-Hoima'!N51+'Avg Week Hoima-Buliisa'!N51</f>
        <v>0</v>
      </c>
      <c r="O51" s="15">
        <f t="shared" si="0"/>
        <v>1.714285714285714</v>
      </c>
      <c r="P51" s="15">
        <f t="shared" si="1"/>
        <v>10.285714285714286</v>
      </c>
      <c r="R51" s="8"/>
      <c r="T51"/>
    </row>
    <row r="52" spans="2:20" ht="23.1" customHeight="1" x14ac:dyDescent="0.25">
      <c r="B52" s="24" t="s">
        <v>79</v>
      </c>
      <c r="C52" s="49">
        <f>'Avg Week Buliisa-Hoima'!C52+'Avg Week Hoima-Buliisa'!C52</f>
        <v>0.5714285714285714</v>
      </c>
      <c r="D52" s="49">
        <f>'Avg Week Buliisa-Hoima'!D52+'Avg Week Hoima-Buliisa'!D52</f>
        <v>0.42857142857142855</v>
      </c>
      <c r="E52" s="49">
        <f>'Avg Week Buliisa-Hoima'!E52+'Avg Week Hoima-Buliisa'!E52</f>
        <v>0.71428571428571419</v>
      </c>
      <c r="F52" s="49">
        <f>'Avg Week Buliisa-Hoima'!F52+'Avg Week Hoima-Buliisa'!F52</f>
        <v>1.2857142857142856</v>
      </c>
      <c r="G52" s="49">
        <f>'Avg Week Buliisa-Hoima'!G52+'Avg Week Hoima-Buliisa'!G52</f>
        <v>0</v>
      </c>
      <c r="H52" s="49">
        <f>'Avg Week Buliisa-Hoima'!H52+'Avg Week Hoima-Buliisa'!H52</f>
        <v>0</v>
      </c>
      <c r="I52" s="49">
        <f>'Avg Week Buliisa-Hoima'!I52+'Avg Week Hoima-Buliisa'!I52</f>
        <v>0.2857142857142857</v>
      </c>
      <c r="J52" s="49">
        <f>'Avg Week Buliisa-Hoima'!J52+'Avg Week Hoima-Buliisa'!J52</f>
        <v>0</v>
      </c>
      <c r="K52" s="49">
        <f>'Avg Week Buliisa-Hoima'!K52+'Avg Week Hoima-Buliisa'!K52</f>
        <v>0.2857142857142857</v>
      </c>
      <c r="L52" s="49">
        <f>'Avg Week Buliisa-Hoima'!L52+'Avg Week Hoima-Buliisa'!L52</f>
        <v>0</v>
      </c>
      <c r="M52" s="49">
        <f>'Avg Week Buliisa-Hoima'!M52+'Avg Week Hoima-Buliisa'!M52</f>
        <v>9.4285714285714288</v>
      </c>
      <c r="N52" s="49">
        <f>'Avg Week Buliisa-Hoima'!N52+'Avg Week Hoima-Buliisa'!N52</f>
        <v>0</v>
      </c>
      <c r="O52" s="15">
        <f t="shared" si="0"/>
        <v>3.5714285714285712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49">
        <f>'Avg Week Buliisa-Hoima'!C53+'Avg Week Hoima-Buliisa'!C53</f>
        <v>1.1428571428571428</v>
      </c>
      <c r="D53" s="49">
        <f>'Avg Week Buliisa-Hoima'!D53+'Avg Week Hoima-Buliisa'!D53</f>
        <v>0.42857142857142855</v>
      </c>
      <c r="E53" s="49">
        <f>'Avg Week Buliisa-Hoima'!E53+'Avg Week Hoima-Buliisa'!E53</f>
        <v>0.42857142857142855</v>
      </c>
      <c r="F53" s="49">
        <f>'Avg Week Buliisa-Hoima'!F53+'Avg Week Hoima-Buliisa'!F53</f>
        <v>1.7142857142857142</v>
      </c>
      <c r="G53" s="49">
        <f>'Avg Week Buliisa-Hoima'!G53+'Avg Week Hoima-Buliisa'!G53</f>
        <v>0</v>
      </c>
      <c r="H53" s="49">
        <f>'Avg Week Buliisa-Hoima'!H53+'Avg Week Hoima-Buliisa'!H53</f>
        <v>0</v>
      </c>
      <c r="I53" s="49">
        <f>'Avg Week Buliisa-Hoima'!I53+'Avg Week Hoima-Buliisa'!I53</f>
        <v>0.14285714285714285</v>
      </c>
      <c r="J53" s="49">
        <f>'Avg Week Buliisa-Hoima'!J53+'Avg Week Hoima-Buliisa'!J53</f>
        <v>0</v>
      </c>
      <c r="K53" s="49">
        <f>'Avg Week Buliisa-Hoima'!K53+'Avg Week Hoima-Buliisa'!K53</f>
        <v>0.14285714285714285</v>
      </c>
      <c r="L53" s="49">
        <f>'Avg Week Buliisa-Hoima'!L53+'Avg Week Hoima-Buliisa'!L53</f>
        <v>0</v>
      </c>
      <c r="M53" s="49">
        <f>'Avg Week Buliisa-Hoima'!M53+'Avg Week Hoima-Buliisa'!M53</f>
        <v>12.714285714285715</v>
      </c>
      <c r="N53" s="49">
        <f>'Avg Week Buliisa-Hoima'!N53+'Avg Week Hoima-Buliisa'!N53</f>
        <v>0</v>
      </c>
      <c r="O53" s="15">
        <f t="shared" si="0"/>
        <v>4</v>
      </c>
      <c r="P53" s="15">
        <f t="shared" si="1"/>
        <v>16.714285714285715</v>
      </c>
      <c r="R53" s="8"/>
      <c r="T53"/>
    </row>
    <row r="54" spans="2:20" ht="23.1" customHeight="1" x14ac:dyDescent="0.25">
      <c r="B54" s="23" t="s">
        <v>81</v>
      </c>
      <c r="C54" s="49">
        <f>'Avg Week Buliisa-Hoima'!C54+'Avg Week Hoima-Buliisa'!C54</f>
        <v>0.42857142857142855</v>
      </c>
      <c r="D54" s="49">
        <f>'Avg Week Buliisa-Hoima'!D54+'Avg Week Hoima-Buliisa'!D54</f>
        <v>0.42857142857142855</v>
      </c>
      <c r="E54" s="49">
        <f>'Avg Week Buliisa-Hoima'!E54+'Avg Week Hoima-Buliisa'!E54</f>
        <v>0.71428571428571419</v>
      </c>
      <c r="F54" s="49">
        <f>'Avg Week Buliisa-Hoima'!F54+'Avg Week Hoima-Buliisa'!F54</f>
        <v>1.1428571428571428</v>
      </c>
      <c r="G54" s="49">
        <f>'Avg Week Buliisa-Hoima'!G54+'Avg Week Hoima-Buliisa'!G54</f>
        <v>0</v>
      </c>
      <c r="H54" s="49">
        <f>'Avg Week Buliisa-Hoima'!H54+'Avg Week Hoima-Buliisa'!H54</f>
        <v>0</v>
      </c>
      <c r="I54" s="49">
        <f>'Avg Week Buliisa-Hoima'!I54+'Avg Week Hoima-Buliisa'!I54</f>
        <v>0.14285714285714285</v>
      </c>
      <c r="J54" s="49">
        <f>'Avg Week Buliisa-Hoima'!J54+'Avg Week Hoima-Buliisa'!J54</f>
        <v>0</v>
      </c>
      <c r="K54" s="49">
        <f>'Avg Week Buliisa-Hoima'!K54+'Avg Week Hoima-Buliisa'!K54</f>
        <v>0.14285714285714285</v>
      </c>
      <c r="L54" s="49">
        <f>'Avg Week Buliisa-Hoima'!L54+'Avg Week Hoima-Buliisa'!L54</f>
        <v>0</v>
      </c>
      <c r="M54" s="49">
        <f>'Avg Week Buliisa-Hoima'!M54+'Avg Week Hoima-Buliisa'!M54</f>
        <v>12</v>
      </c>
      <c r="N54" s="49">
        <f>'Avg Week Buliisa-Hoima'!N54+'Avg Week Hoima-Buliisa'!N54</f>
        <v>0</v>
      </c>
      <c r="O54" s="15">
        <f t="shared" si="0"/>
        <v>2.9999999999999996</v>
      </c>
      <c r="P54" s="15">
        <f t="shared" si="1"/>
        <v>15</v>
      </c>
      <c r="R54" s="8"/>
      <c r="T54"/>
    </row>
    <row r="55" spans="2:20" ht="23.1" customHeight="1" x14ac:dyDescent="0.25">
      <c r="B55" s="23" t="s">
        <v>82</v>
      </c>
      <c r="C55" s="49">
        <f>'Avg Week Buliisa-Hoima'!C55+'Avg Week Hoima-Buliisa'!C55</f>
        <v>0.42857142857142855</v>
      </c>
      <c r="D55" s="49">
        <f>'Avg Week Buliisa-Hoima'!D55+'Avg Week Hoima-Buliisa'!D55</f>
        <v>0.5714285714285714</v>
      </c>
      <c r="E55" s="49">
        <f>'Avg Week Buliisa-Hoima'!E55+'Avg Week Hoima-Buliisa'!E55</f>
        <v>0.85714285714285721</v>
      </c>
      <c r="F55" s="49">
        <f>'Avg Week Buliisa-Hoima'!F55+'Avg Week Hoima-Buliisa'!F55</f>
        <v>1.7142857142857142</v>
      </c>
      <c r="G55" s="49">
        <f>'Avg Week Buliisa-Hoima'!G55+'Avg Week Hoima-Buliisa'!G55</f>
        <v>0</v>
      </c>
      <c r="H55" s="49">
        <f>'Avg Week Buliisa-Hoima'!H55+'Avg Week Hoima-Buliisa'!H55</f>
        <v>0</v>
      </c>
      <c r="I55" s="49">
        <f>'Avg Week Buliisa-Hoima'!I55+'Avg Week Hoima-Buliisa'!I55</f>
        <v>0.2857142857142857</v>
      </c>
      <c r="J55" s="49">
        <f>'Avg Week Buliisa-Hoima'!J55+'Avg Week Hoima-Buliisa'!J55</f>
        <v>0.14285714285714285</v>
      </c>
      <c r="K55" s="49">
        <f>'Avg Week Buliisa-Hoima'!K55+'Avg Week Hoima-Buliisa'!K55</f>
        <v>0.42857142857142855</v>
      </c>
      <c r="L55" s="49">
        <f>'Avg Week Buliisa-Hoima'!L55+'Avg Week Hoima-Buliisa'!L55</f>
        <v>0</v>
      </c>
      <c r="M55" s="49">
        <f>'Avg Week Buliisa-Hoima'!M55+'Avg Week Hoima-Buliisa'!M55</f>
        <v>9.7142857142857153</v>
      </c>
      <c r="N55" s="49">
        <f>'Avg Week Buliisa-Hoima'!N55+'Avg Week Hoima-Buliisa'!N55</f>
        <v>0</v>
      </c>
      <c r="O55" s="15">
        <f t="shared" si="0"/>
        <v>4.4285714285714279</v>
      </c>
      <c r="P55" s="15">
        <f t="shared" si="1"/>
        <v>14.142857142857142</v>
      </c>
      <c r="R55" s="8"/>
      <c r="T55"/>
    </row>
    <row r="56" spans="2:20" ht="23.1" customHeight="1" x14ac:dyDescent="0.25">
      <c r="B56" s="23" t="s">
        <v>83</v>
      </c>
      <c r="C56" s="49">
        <f>'Avg Week Buliisa-Hoima'!C56+'Avg Week Hoima-Buliisa'!C56</f>
        <v>0.14285714285714285</v>
      </c>
      <c r="D56" s="49">
        <f>'Avg Week Buliisa-Hoima'!D56+'Avg Week Hoima-Buliisa'!D56</f>
        <v>0.14285714285714285</v>
      </c>
      <c r="E56" s="49">
        <f>'Avg Week Buliisa-Hoima'!E56+'Avg Week Hoima-Buliisa'!E56</f>
        <v>0.71428571428571419</v>
      </c>
      <c r="F56" s="49">
        <f>'Avg Week Buliisa-Hoima'!F56+'Avg Week Hoima-Buliisa'!F56</f>
        <v>0.8571428571428571</v>
      </c>
      <c r="G56" s="49">
        <f>'Avg Week Buliisa-Hoima'!G56+'Avg Week Hoima-Buliisa'!G56</f>
        <v>0</v>
      </c>
      <c r="H56" s="49">
        <f>'Avg Week Buliisa-Hoima'!H56+'Avg Week Hoima-Buliisa'!H56</f>
        <v>0</v>
      </c>
      <c r="I56" s="49">
        <f>'Avg Week Buliisa-Hoima'!I56+'Avg Week Hoima-Buliisa'!I56</f>
        <v>0.2857142857142857</v>
      </c>
      <c r="J56" s="49">
        <f>'Avg Week Buliisa-Hoima'!J56+'Avg Week Hoima-Buliisa'!J56</f>
        <v>0.14285714285714285</v>
      </c>
      <c r="K56" s="49">
        <f>'Avg Week Buliisa-Hoima'!K56+'Avg Week Hoima-Buliisa'!K56</f>
        <v>0.14285714285714285</v>
      </c>
      <c r="L56" s="49">
        <f>'Avg Week Buliisa-Hoima'!L56+'Avg Week Hoima-Buliisa'!L56</f>
        <v>0</v>
      </c>
      <c r="M56" s="49">
        <f>'Avg Week Buliisa-Hoima'!M56+'Avg Week Hoima-Buliisa'!M56</f>
        <v>8</v>
      </c>
      <c r="N56" s="49">
        <f>'Avg Week Buliisa-Hoima'!N56+'Avg Week Hoima-Buliisa'!N56</f>
        <v>0</v>
      </c>
      <c r="O56" s="15">
        <f t="shared" si="0"/>
        <v>2.4285714285714284</v>
      </c>
      <c r="P56" s="15">
        <f t="shared" si="1"/>
        <v>10.428571428571429</v>
      </c>
      <c r="R56" s="8"/>
      <c r="T56"/>
    </row>
    <row r="57" spans="2:20" ht="23.1" customHeight="1" x14ac:dyDescent="0.25">
      <c r="B57" s="23" t="s">
        <v>84</v>
      </c>
      <c r="C57" s="49">
        <f>'Avg Week Buliisa-Hoima'!C57+'Avg Week Hoima-Buliisa'!C57</f>
        <v>0.2857142857142857</v>
      </c>
      <c r="D57" s="49">
        <f>'Avg Week Buliisa-Hoima'!D57+'Avg Week Hoima-Buliisa'!D57</f>
        <v>0.2857142857142857</v>
      </c>
      <c r="E57" s="49">
        <f>'Avg Week Buliisa-Hoima'!E57+'Avg Week Hoima-Buliisa'!E57</f>
        <v>0</v>
      </c>
      <c r="F57" s="49">
        <f>'Avg Week Buliisa-Hoima'!F57+'Avg Week Hoima-Buliisa'!F57</f>
        <v>0.5714285714285714</v>
      </c>
      <c r="G57" s="49">
        <f>'Avg Week Buliisa-Hoima'!G57+'Avg Week Hoima-Buliisa'!G57</f>
        <v>0</v>
      </c>
      <c r="H57" s="49">
        <f>'Avg Week Buliisa-Hoima'!H57+'Avg Week Hoima-Buliisa'!H57</f>
        <v>0</v>
      </c>
      <c r="I57" s="49">
        <f>'Avg Week Buliisa-Hoima'!I57+'Avg Week Hoima-Buliisa'!I57</f>
        <v>0</v>
      </c>
      <c r="J57" s="49">
        <f>'Avg Week Buliisa-Hoima'!J57+'Avg Week Hoima-Buliisa'!J57</f>
        <v>0.2857142857142857</v>
      </c>
      <c r="K57" s="49">
        <f>'Avg Week Buliisa-Hoima'!K57+'Avg Week Hoima-Buliisa'!K57</f>
        <v>0.14285714285714285</v>
      </c>
      <c r="L57" s="49">
        <f>'Avg Week Buliisa-Hoima'!L57+'Avg Week Hoima-Buliisa'!L57</f>
        <v>0</v>
      </c>
      <c r="M57" s="49">
        <f>'Avg Week Buliisa-Hoima'!M57+'Avg Week Hoima-Buliisa'!M57</f>
        <v>7.5714285714285712</v>
      </c>
      <c r="N57" s="49">
        <f>'Avg Week Buliisa-Hoima'!N57+'Avg Week Hoima-Buliisa'!N57</f>
        <v>0</v>
      </c>
      <c r="O57" s="15">
        <f t="shared" si="0"/>
        <v>1.5714285714285712</v>
      </c>
      <c r="P57" s="15">
        <f t="shared" si="1"/>
        <v>9.1428571428571423</v>
      </c>
      <c r="R57" s="8"/>
      <c r="T57"/>
    </row>
    <row r="58" spans="2:20" ht="23.1" customHeight="1" x14ac:dyDescent="0.25">
      <c r="B58" s="23" t="s">
        <v>99</v>
      </c>
      <c r="C58" s="49">
        <f>'Avg Week Buliisa-Hoima'!C58+'Avg Week Hoima-Buliisa'!C58</f>
        <v>1</v>
      </c>
      <c r="D58" s="49">
        <f>'Avg Week Buliisa-Hoima'!D58+'Avg Week Hoima-Buliisa'!D58</f>
        <v>0</v>
      </c>
      <c r="E58" s="49">
        <f>'Avg Week Buliisa-Hoima'!E58+'Avg Week Hoima-Buliisa'!E58</f>
        <v>0.5</v>
      </c>
      <c r="F58" s="49">
        <f>'Avg Week Buliisa-Hoima'!F58+'Avg Week Hoima-Buliisa'!F58</f>
        <v>1.5</v>
      </c>
      <c r="G58" s="49">
        <f>'Avg Week Buliisa-Hoima'!G58+'Avg Week Hoima-Buliisa'!G58</f>
        <v>0</v>
      </c>
      <c r="H58" s="49">
        <f>'Avg Week Buliisa-Hoima'!H58+'Avg Week Hoima-Buliisa'!H58</f>
        <v>0</v>
      </c>
      <c r="I58" s="49">
        <f>'Avg Week Buliisa-Hoima'!I58+'Avg Week Hoima-Buliisa'!I58</f>
        <v>0</v>
      </c>
      <c r="J58" s="49">
        <f>'Avg Week Buliisa-Hoima'!J58+'Avg Week Hoima-Buliisa'!J58</f>
        <v>0</v>
      </c>
      <c r="K58" s="49">
        <f>'Avg Week Buliisa-Hoima'!K58+'Avg Week Hoima-Buliisa'!K58</f>
        <v>0</v>
      </c>
      <c r="L58" s="49">
        <f>'Avg Week Buliisa-Hoima'!L58+'Avg Week Hoima-Buliisa'!L58</f>
        <v>0</v>
      </c>
      <c r="M58" s="49">
        <f>'Avg Week Buliisa-Hoima'!M58+'Avg Week Hoima-Buliisa'!M58</f>
        <v>11.5</v>
      </c>
      <c r="N58" s="49">
        <f>'Avg Week Buliisa-Hoima'!N58+'Avg Week Hoima-Buliisa'!N58</f>
        <v>0</v>
      </c>
      <c r="O58" s="15">
        <f t="shared" si="0"/>
        <v>3</v>
      </c>
      <c r="P58" s="15">
        <f t="shared" si="1"/>
        <v>14.5</v>
      </c>
      <c r="R58" s="8"/>
      <c r="T58"/>
    </row>
    <row r="59" spans="2:20" ht="23.1" customHeight="1" x14ac:dyDescent="0.25">
      <c r="B59" s="23" t="s">
        <v>100</v>
      </c>
      <c r="C59" s="49">
        <f>'Avg Week Buliisa-Hoima'!C59+'Avg Week Hoima-Buliisa'!C59</f>
        <v>0</v>
      </c>
      <c r="D59" s="49">
        <f>'Avg Week Buliisa-Hoima'!D59+'Avg Week Hoima-Buliisa'!D59</f>
        <v>1</v>
      </c>
      <c r="E59" s="49">
        <f>'Avg Week Buliisa-Hoima'!E59+'Avg Week Hoima-Buliisa'!E59</f>
        <v>0.5</v>
      </c>
      <c r="F59" s="49">
        <f>'Avg Week Buliisa-Hoima'!F59+'Avg Week Hoima-Buliisa'!F59</f>
        <v>2</v>
      </c>
      <c r="G59" s="49">
        <f>'Avg Week Buliisa-Hoima'!G59+'Avg Week Hoima-Buliisa'!G59</f>
        <v>0</v>
      </c>
      <c r="H59" s="49">
        <f>'Avg Week Buliisa-Hoima'!H59+'Avg Week Hoima-Buliisa'!H59</f>
        <v>0</v>
      </c>
      <c r="I59" s="49">
        <f>'Avg Week Buliisa-Hoima'!I59+'Avg Week Hoima-Buliisa'!I59</f>
        <v>0</v>
      </c>
      <c r="J59" s="49">
        <f>'Avg Week Buliisa-Hoima'!J59+'Avg Week Hoima-Buliisa'!J59</f>
        <v>0</v>
      </c>
      <c r="K59" s="49">
        <f>'Avg Week Buliisa-Hoima'!K59+'Avg Week Hoima-Buliisa'!K59</f>
        <v>0</v>
      </c>
      <c r="L59" s="49">
        <f>'Avg Week Buliisa-Hoima'!L59+'Avg Week Hoima-Buliisa'!L59</f>
        <v>0</v>
      </c>
      <c r="M59" s="49">
        <f>'Avg Week Buliisa-Hoima'!M59+'Avg Week Hoima-Buliisa'!M59</f>
        <v>12</v>
      </c>
      <c r="N59" s="49">
        <f>'Avg Week Buliisa-Hoima'!N59+'Avg Week Hoima-Buliisa'!N59</f>
        <v>0</v>
      </c>
      <c r="O59" s="15">
        <f t="shared" si="0"/>
        <v>3.5</v>
      </c>
      <c r="P59" s="15">
        <f t="shared" si="1"/>
        <v>15.5</v>
      </c>
      <c r="R59" s="8"/>
      <c r="T59"/>
    </row>
    <row r="60" spans="2:20" ht="23.1" customHeight="1" x14ac:dyDescent="0.25">
      <c r="B60" s="23" t="s">
        <v>101</v>
      </c>
      <c r="C60" s="49">
        <f>'Avg Week Buliisa-Hoima'!C60+'Avg Week Hoima-Buliisa'!C60</f>
        <v>0.5</v>
      </c>
      <c r="D60" s="49">
        <f>'Avg Week Buliisa-Hoima'!D60+'Avg Week Hoima-Buliisa'!D60</f>
        <v>0</v>
      </c>
      <c r="E60" s="49">
        <f>'Avg Week Buliisa-Hoima'!E60+'Avg Week Hoima-Buliisa'!E60</f>
        <v>1</v>
      </c>
      <c r="F60" s="49">
        <f>'Avg Week Buliisa-Hoima'!F60+'Avg Week Hoima-Buliisa'!F60</f>
        <v>0</v>
      </c>
      <c r="G60" s="49">
        <f>'Avg Week Buliisa-Hoima'!G60+'Avg Week Hoima-Buliisa'!G60</f>
        <v>0</v>
      </c>
      <c r="H60" s="49">
        <f>'Avg Week Buliisa-Hoima'!H60+'Avg Week Hoima-Buliisa'!H60</f>
        <v>0</v>
      </c>
      <c r="I60" s="49">
        <f>'Avg Week Buliisa-Hoima'!I60+'Avg Week Hoima-Buliisa'!I60</f>
        <v>0</v>
      </c>
      <c r="J60" s="49">
        <f>'Avg Week Buliisa-Hoima'!J60+'Avg Week Hoima-Buliisa'!J60</f>
        <v>0.5</v>
      </c>
      <c r="K60" s="49">
        <f>'Avg Week Buliisa-Hoima'!K60+'Avg Week Hoima-Buliisa'!K60</f>
        <v>0</v>
      </c>
      <c r="L60" s="49">
        <f>'Avg Week Buliisa-Hoima'!L60+'Avg Week Hoima-Buliisa'!L60</f>
        <v>0</v>
      </c>
      <c r="M60" s="49">
        <f>'Avg Week Buliisa-Hoima'!M60+'Avg Week Hoima-Buliisa'!M60</f>
        <v>11.5</v>
      </c>
      <c r="N60" s="49">
        <f>'Avg Week Buliisa-Hoima'!N60+'Avg Week Hoima-Buliisa'!N60</f>
        <v>0</v>
      </c>
      <c r="O60" s="15">
        <f t="shared" si="0"/>
        <v>2</v>
      </c>
      <c r="P60" s="15">
        <f t="shared" si="1"/>
        <v>13.5</v>
      </c>
      <c r="R60" s="8"/>
      <c r="T60"/>
    </row>
    <row r="61" spans="2:20" ht="23.1" customHeight="1" x14ac:dyDescent="0.25">
      <c r="B61" s="23" t="s">
        <v>102</v>
      </c>
      <c r="C61" s="49">
        <f>'Avg Week Buliisa-Hoima'!C61+'Avg Week Hoima-Buliisa'!C61</f>
        <v>0</v>
      </c>
      <c r="D61" s="49">
        <f>'Avg Week Buliisa-Hoima'!D61+'Avg Week Hoima-Buliisa'!D61</f>
        <v>0</v>
      </c>
      <c r="E61" s="49">
        <f>'Avg Week Buliisa-Hoima'!E61+'Avg Week Hoima-Buliisa'!E61</f>
        <v>0</v>
      </c>
      <c r="F61" s="49">
        <f>'Avg Week Buliisa-Hoima'!F61+'Avg Week Hoima-Buliisa'!F61</f>
        <v>0</v>
      </c>
      <c r="G61" s="49">
        <f>'Avg Week Buliisa-Hoima'!G61+'Avg Week Hoima-Buliisa'!G61</f>
        <v>0</v>
      </c>
      <c r="H61" s="49">
        <f>'Avg Week Buliisa-Hoima'!H61+'Avg Week Hoima-Buliisa'!H61</f>
        <v>0</v>
      </c>
      <c r="I61" s="49">
        <f>'Avg Week Buliisa-Hoima'!I61+'Avg Week Hoima-Buliisa'!I61</f>
        <v>0</v>
      </c>
      <c r="J61" s="49">
        <f>'Avg Week Buliisa-Hoima'!J61+'Avg Week Hoima-Buliisa'!J61</f>
        <v>0.5</v>
      </c>
      <c r="K61" s="49">
        <f>'Avg Week Buliisa-Hoima'!K61+'Avg Week Hoima-Buliisa'!K61</f>
        <v>0</v>
      </c>
      <c r="L61" s="49">
        <f>'Avg Week Buliisa-Hoima'!L61+'Avg Week Hoima-Buliisa'!L61</f>
        <v>0</v>
      </c>
      <c r="M61" s="49">
        <f>'Avg Week Buliisa-Hoima'!M61+'Avg Week Hoima-Buliisa'!M61</f>
        <v>3.5</v>
      </c>
      <c r="N61" s="49">
        <f>'Avg Week Buliisa-Hoima'!N61+'Avg Week Hoima-Buliisa'!N61</f>
        <v>0</v>
      </c>
      <c r="O61" s="15">
        <f t="shared" si="0"/>
        <v>0.5</v>
      </c>
      <c r="P61" s="15">
        <f t="shared" si="1"/>
        <v>4</v>
      </c>
      <c r="R61" s="8"/>
      <c r="T61"/>
    </row>
    <row r="62" spans="2:20" ht="23.1" customHeight="1" x14ac:dyDescent="0.25">
      <c r="B62" s="23" t="s">
        <v>107</v>
      </c>
      <c r="C62" s="49">
        <f>'Avg Week Buliisa-Hoima'!C62+'Avg Week Hoima-Buliisa'!C62</f>
        <v>0</v>
      </c>
      <c r="D62" s="49">
        <f>'Avg Week Buliisa-Hoima'!D62+'Avg Week Hoima-Buliisa'!D62</f>
        <v>0.5</v>
      </c>
      <c r="E62" s="49">
        <f>'Avg Week Buliisa-Hoima'!E62+'Avg Week Hoima-Buliisa'!E62</f>
        <v>0</v>
      </c>
      <c r="F62" s="49">
        <f>'Avg Week Buliisa-Hoima'!F62+'Avg Week Hoima-Buliisa'!F62</f>
        <v>0.5</v>
      </c>
      <c r="G62" s="49">
        <f>'Avg Week Buliisa-Hoima'!G62+'Avg Week Hoima-Buliisa'!G62</f>
        <v>0</v>
      </c>
      <c r="H62" s="49">
        <f>'Avg Week Buliisa-Hoima'!H62+'Avg Week Hoima-Buliisa'!H62</f>
        <v>0</v>
      </c>
      <c r="I62" s="49">
        <f>'Avg Week Buliisa-Hoima'!I62+'Avg Week Hoima-Buliisa'!I62</f>
        <v>0</v>
      </c>
      <c r="J62" s="49">
        <f>'Avg Week Buliisa-Hoima'!J62+'Avg Week Hoima-Buliisa'!J62</f>
        <v>0</v>
      </c>
      <c r="K62" s="49">
        <f>'Avg Week Buliisa-Hoima'!K62+'Avg Week Hoima-Buliisa'!K62</f>
        <v>0.5</v>
      </c>
      <c r="L62" s="49">
        <f>'Avg Week Buliisa-Hoima'!L62+'Avg Week Hoima-Buliisa'!L62</f>
        <v>0</v>
      </c>
      <c r="M62" s="49">
        <f>'Avg Week Buliisa-Hoima'!M62+'Avg Week Hoima-Buliisa'!M62</f>
        <v>7.5</v>
      </c>
      <c r="N62" s="49">
        <f>'Avg Week Buliisa-Hoima'!N62+'Avg Week Hoima-Buliisa'!N62</f>
        <v>0</v>
      </c>
      <c r="O62" s="15">
        <f t="shared" si="0"/>
        <v>1.5</v>
      </c>
      <c r="P62" s="15">
        <f t="shared" si="1"/>
        <v>9</v>
      </c>
      <c r="R62" s="8"/>
      <c r="T62"/>
    </row>
    <row r="63" spans="2:20" ht="23.1" customHeight="1" x14ac:dyDescent="0.25">
      <c r="B63" s="23" t="s">
        <v>108</v>
      </c>
      <c r="C63" s="49">
        <f>'Avg Week Buliisa-Hoima'!C63+'Avg Week Hoima-Buliisa'!C63</f>
        <v>0</v>
      </c>
      <c r="D63" s="49">
        <f>'Avg Week Buliisa-Hoima'!D63+'Avg Week Hoima-Buliisa'!D63</f>
        <v>0</v>
      </c>
      <c r="E63" s="49">
        <f>'Avg Week Buliisa-Hoima'!E63+'Avg Week Hoima-Buliisa'!E63</f>
        <v>0</v>
      </c>
      <c r="F63" s="49">
        <f>'Avg Week Buliisa-Hoima'!F63+'Avg Week Hoima-Buliisa'!F63</f>
        <v>0.5</v>
      </c>
      <c r="G63" s="49">
        <f>'Avg Week Buliisa-Hoima'!G63+'Avg Week Hoima-Buliisa'!G63</f>
        <v>0.5</v>
      </c>
      <c r="H63" s="49">
        <f>'Avg Week Buliisa-Hoima'!H63+'Avg Week Hoima-Buliisa'!H63</f>
        <v>0</v>
      </c>
      <c r="I63" s="49">
        <f>'Avg Week Buliisa-Hoima'!I63+'Avg Week Hoima-Buliisa'!I63</f>
        <v>0.5</v>
      </c>
      <c r="J63" s="49">
        <f>'Avg Week Buliisa-Hoima'!J63+'Avg Week Hoima-Buliisa'!J63</f>
        <v>0</v>
      </c>
      <c r="K63" s="49">
        <f>'Avg Week Buliisa-Hoima'!K63+'Avg Week Hoima-Buliisa'!K63</f>
        <v>0</v>
      </c>
      <c r="L63" s="49">
        <f>'Avg Week Buliisa-Hoima'!L63+'Avg Week Hoima-Buliisa'!L63</f>
        <v>0</v>
      </c>
      <c r="M63" s="49">
        <f>'Avg Week Buliisa-Hoima'!M63+'Avg Week Hoima-Buliisa'!M63</f>
        <v>4</v>
      </c>
      <c r="N63" s="49">
        <f>'Avg Week Buliisa-Hoima'!N63+'Avg Week Hoima-Buliisa'!N63</f>
        <v>0</v>
      </c>
      <c r="O63" s="15">
        <f t="shared" si="0"/>
        <v>1.5</v>
      </c>
      <c r="P63" s="15">
        <f t="shared" si="1"/>
        <v>5.5</v>
      </c>
      <c r="R63" s="8"/>
      <c r="T63"/>
    </row>
    <row r="64" spans="2:20" ht="23.1" customHeight="1" x14ac:dyDescent="0.25">
      <c r="B64" s="23" t="s">
        <v>109</v>
      </c>
      <c r="C64" s="49">
        <f>'Avg Week Buliisa-Hoima'!C64+'Avg Week Hoima-Buliisa'!C64</f>
        <v>0</v>
      </c>
      <c r="D64" s="49">
        <f>'Avg Week Buliisa-Hoima'!D64+'Avg Week Hoima-Buliisa'!D64</f>
        <v>0.5</v>
      </c>
      <c r="E64" s="49">
        <f>'Avg Week Buliisa-Hoima'!E64+'Avg Week Hoima-Buliisa'!E64</f>
        <v>0</v>
      </c>
      <c r="F64" s="49">
        <f>'Avg Week Buliisa-Hoima'!F64+'Avg Week Hoima-Buliisa'!F64</f>
        <v>1</v>
      </c>
      <c r="G64" s="49">
        <f>'Avg Week Buliisa-Hoima'!G64+'Avg Week Hoima-Buliisa'!G64</f>
        <v>0</v>
      </c>
      <c r="H64" s="49">
        <f>'Avg Week Buliisa-Hoima'!H64+'Avg Week Hoima-Buliisa'!H64</f>
        <v>0</v>
      </c>
      <c r="I64" s="49">
        <f>'Avg Week Buliisa-Hoima'!I64+'Avg Week Hoima-Buliisa'!I64</f>
        <v>0</v>
      </c>
      <c r="J64" s="49">
        <f>'Avg Week Buliisa-Hoima'!J64+'Avg Week Hoima-Buliisa'!J64</f>
        <v>0</v>
      </c>
      <c r="K64" s="49">
        <f>'Avg Week Buliisa-Hoima'!K64+'Avg Week Hoima-Buliisa'!K64</f>
        <v>0</v>
      </c>
      <c r="L64" s="49">
        <f>'Avg Week Buliisa-Hoima'!L64+'Avg Week Hoima-Buliisa'!L64</f>
        <v>0</v>
      </c>
      <c r="M64" s="49">
        <f>'Avg Week Buliisa-Hoima'!M64+'Avg Week Hoima-Buliisa'!M64</f>
        <v>5</v>
      </c>
      <c r="N64" s="49">
        <f>'Avg Week Buliisa-Hoima'!N64+'Avg Week Hoima-Buliisa'!N64</f>
        <v>0</v>
      </c>
      <c r="O64" s="15">
        <f t="shared" si="0"/>
        <v>1.5</v>
      </c>
      <c r="P64" s="15">
        <f t="shared" si="1"/>
        <v>6.5</v>
      </c>
      <c r="R64" s="8"/>
      <c r="T64"/>
    </row>
    <row r="65" spans="2:20" ht="23.1" customHeight="1" x14ac:dyDescent="0.25">
      <c r="B65" s="23" t="s">
        <v>158</v>
      </c>
      <c r="C65" s="49">
        <f>'Avg Week Buliisa-Hoima'!C65+'Avg Week Hoima-Buliisa'!C65</f>
        <v>0.5</v>
      </c>
      <c r="D65" s="49">
        <f>'Avg Week Buliisa-Hoima'!D65+'Avg Week Hoima-Buliisa'!D65</f>
        <v>0</v>
      </c>
      <c r="E65" s="49">
        <f>'Avg Week Buliisa-Hoima'!E65+'Avg Week Hoima-Buliisa'!E65</f>
        <v>0</v>
      </c>
      <c r="F65" s="49">
        <f>'Avg Week Buliisa-Hoima'!F65+'Avg Week Hoima-Buliisa'!F65</f>
        <v>0.5</v>
      </c>
      <c r="G65" s="49">
        <f>'Avg Week Buliisa-Hoima'!G65+'Avg Week Hoima-Buliisa'!G65</f>
        <v>0</v>
      </c>
      <c r="H65" s="49">
        <f>'Avg Week Buliisa-Hoima'!H65+'Avg Week Hoima-Buliisa'!H65</f>
        <v>0</v>
      </c>
      <c r="I65" s="49">
        <f>'Avg Week Buliisa-Hoima'!I65+'Avg Week Hoima-Buliisa'!I65</f>
        <v>0</v>
      </c>
      <c r="J65" s="49">
        <f>'Avg Week Buliisa-Hoima'!J65+'Avg Week Hoima-Buliisa'!J65</f>
        <v>0.5</v>
      </c>
      <c r="K65" s="49">
        <f>'Avg Week Buliisa-Hoima'!K65+'Avg Week Hoima-Buliisa'!K65</f>
        <v>0</v>
      </c>
      <c r="L65" s="49">
        <f>'Avg Week Buliisa-Hoima'!L65+'Avg Week Hoima-Buliisa'!L65</f>
        <v>0</v>
      </c>
      <c r="M65" s="49">
        <f>'Avg Week Buliisa-Hoima'!M65+'Avg Week Hoima-Buliisa'!M65</f>
        <v>6.5</v>
      </c>
      <c r="N65" s="49">
        <f>'Avg Week Buliisa-Hoima'!N65+'Avg Week Hoima-Buliisa'!N65</f>
        <v>0</v>
      </c>
      <c r="O65" s="15">
        <f t="shared" si="0"/>
        <v>1.5</v>
      </c>
      <c r="P65" s="15">
        <f t="shared" si="1"/>
        <v>8</v>
      </c>
      <c r="R65" s="8"/>
      <c r="T65"/>
    </row>
    <row r="66" spans="2:20" ht="23.1" customHeight="1" x14ac:dyDescent="0.25">
      <c r="B66" s="23" t="s">
        <v>103</v>
      </c>
      <c r="C66" s="49">
        <f>'Avg Week Buliisa-Hoima'!C66+'Avg Week Hoima-Buliisa'!C66</f>
        <v>0</v>
      </c>
      <c r="D66" s="49">
        <f>'Avg Week Buliisa-Hoima'!D66+'Avg Week Hoima-Buliisa'!D66</f>
        <v>0</v>
      </c>
      <c r="E66" s="49">
        <f>'Avg Week Buliisa-Hoima'!E66+'Avg Week Hoima-Buliisa'!E66</f>
        <v>0</v>
      </c>
      <c r="F66" s="49">
        <f>'Avg Week Buliisa-Hoima'!F66+'Avg Week Hoima-Buliisa'!F66</f>
        <v>0</v>
      </c>
      <c r="G66" s="49">
        <f>'Avg Week Buliisa-Hoima'!G66+'Avg Week Hoima-Buliisa'!G66</f>
        <v>0</v>
      </c>
      <c r="H66" s="49">
        <f>'Avg Week Buliisa-Hoima'!H66+'Avg Week Hoima-Buliisa'!H66</f>
        <v>0</v>
      </c>
      <c r="I66" s="49">
        <f>'Avg Week Buliisa-Hoima'!I66+'Avg Week Hoima-Buliisa'!I66</f>
        <v>0</v>
      </c>
      <c r="J66" s="49">
        <f>'Avg Week Buliisa-Hoima'!J66+'Avg Week Hoima-Buliisa'!J66</f>
        <v>0</v>
      </c>
      <c r="K66" s="49">
        <f>'Avg Week Buliisa-Hoima'!K66+'Avg Week Hoima-Buliisa'!K66</f>
        <v>0</v>
      </c>
      <c r="L66" s="49">
        <f>'Avg Week Buliisa-Hoima'!L66+'Avg Week Hoima-Buliisa'!L66</f>
        <v>0</v>
      </c>
      <c r="M66" s="49">
        <f>'Avg Week Buliisa-Hoima'!M66+'Avg Week Hoima-Buliisa'!M66</f>
        <v>3.5</v>
      </c>
      <c r="N66" s="49">
        <f>'Avg Week Buliisa-Hoima'!N66+'Avg Week Hoima-Buliisa'!N66</f>
        <v>0</v>
      </c>
      <c r="O66" s="15">
        <f t="shared" si="0"/>
        <v>0</v>
      </c>
      <c r="P66" s="15">
        <f t="shared" si="1"/>
        <v>3.5</v>
      </c>
      <c r="R66" s="8"/>
      <c r="T66"/>
    </row>
    <row r="67" spans="2:20" ht="23.1" customHeight="1" x14ac:dyDescent="0.25">
      <c r="B67" s="23" t="s">
        <v>104</v>
      </c>
      <c r="C67" s="49">
        <f>'Avg Week Buliisa-Hoima'!C67+'Avg Week Hoima-Buliisa'!C67</f>
        <v>0</v>
      </c>
      <c r="D67" s="49">
        <f>'Avg Week Buliisa-Hoima'!D67+'Avg Week Hoima-Buliisa'!D67</f>
        <v>1</v>
      </c>
      <c r="E67" s="49">
        <f>'Avg Week Buliisa-Hoima'!E67+'Avg Week Hoima-Buliisa'!E67</f>
        <v>0</v>
      </c>
      <c r="F67" s="49">
        <f>'Avg Week Buliisa-Hoima'!F67+'Avg Week Hoima-Buliisa'!F67</f>
        <v>2.5</v>
      </c>
      <c r="G67" s="49">
        <f>'Avg Week Buliisa-Hoima'!G67+'Avg Week Hoima-Buliisa'!G67</f>
        <v>0</v>
      </c>
      <c r="H67" s="49">
        <f>'Avg Week Buliisa-Hoima'!H67+'Avg Week Hoima-Buliisa'!H67</f>
        <v>0</v>
      </c>
      <c r="I67" s="49">
        <f>'Avg Week Buliisa-Hoima'!I67+'Avg Week Hoima-Buliisa'!I67</f>
        <v>0</v>
      </c>
      <c r="J67" s="49">
        <f>'Avg Week Buliisa-Hoima'!J67+'Avg Week Hoima-Buliisa'!J67</f>
        <v>0</v>
      </c>
      <c r="K67" s="49">
        <f>'Avg Week Buliisa-Hoima'!K67+'Avg Week Hoima-Buliisa'!K67</f>
        <v>0</v>
      </c>
      <c r="L67" s="49">
        <f>'Avg Week Buliisa-Hoima'!L67+'Avg Week Hoima-Buliisa'!L67</f>
        <v>0</v>
      </c>
      <c r="M67" s="49">
        <f>'Avg Week Buliisa-Hoima'!M67+'Avg Week Hoima-Buliisa'!M67</f>
        <v>4</v>
      </c>
      <c r="N67" s="49">
        <f>'Avg Week Buliisa-Hoima'!N67+'Avg Week Hoima-Buliisa'!N67</f>
        <v>0</v>
      </c>
      <c r="O67" s="15">
        <f t="shared" si="0"/>
        <v>3.5</v>
      </c>
      <c r="P67" s="15">
        <f t="shared" si="1"/>
        <v>7.5</v>
      </c>
      <c r="R67" s="8"/>
      <c r="T67"/>
    </row>
    <row r="68" spans="2:20" ht="23.1" customHeight="1" x14ac:dyDescent="0.25">
      <c r="B68" s="23" t="s">
        <v>105</v>
      </c>
      <c r="C68" s="49">
        <f>'Avg Week Buliisa-Hoima'!C68+'Avg Week Hoima-Buliisa'!C68</f>
        <v>0</v>
      </c>
      <c r="D68" s="49">
        <f>'Avg Week Buliisa-Hoima'!D68+'Avg Week Hoima-Buliisa'!D68</f>
        <v>0.5</v>
      </c>
      <c r="E68" s="49">
        <f>'Avg Week Buliisa-Hoima'!E68+'Avg Week Hoima-Buliisa'!E68</f>
        <v>0</v>
      </c>
      <c r="F68" s="49">
        <f>'Avg Week Buliisa-Hoima'!F68+'Avg Week Hoima-Buliisa'!F68</f>
        <v>0</v>
      </c>
      <c r="G68" s="49">
        <f>'Avg Week Buliisa-Hoima'!G68+'Avg Week Hoima-Buliisa'!G68</f>
        <v>0</v>
      </c>
      <c r="H68" s="49">
        <f>'Avg Week Buliisa-Hoima'!H68+'Avg Week Hoima-Buliisa'!H68</f>
        <v>0</v>
      </c>
      <c r="I68" s="49">
        <f>'Avg Week Buliisa-Hoima'!I68+'Avg Week Hoima-Buliisa'!I68</f>
        <v>0</v>
      </c>
      <c r="J68" s="49">
        <f>'Avg Week Buliisa-Hoima'!J68+'Avg Week Hoima-Buliisa'!J68</f>
        <v>0</v>
      </c>
      <c r="K68" s="49">
        <f>'Avg Week Buliisa-Hoima'!K68+'Avg Week Hoima-Buliisa'!K68</f>
        <v>0</v>
      </c>
      <c r="L68" s="49">
        <f>'Avg Week Buliisa-Hoima'!L68+'Avg Week Hoima-Buliisa'!L68</f>
        <v>0</v>
      </c>
      <c r="M68" s="49">
        <f>'Avg Week Buliisa-Hoima'!M68+'Avg Week Hoima-Buliisa'!M68</f>
        <v>4.5</v>
      </c>
      <c r="N68" s="49">
        <f>'Avg Week Buliisa-Hoima'!N68+'Avg Week Hoima-Buliisa'!N68</f>
        <v>0</v>
      </c>
      <c r="O68" s="15">
        <f t="shared" si="0"/>
        <v>0.5</v>
      </c>
      <c r="P68" s="15">
        <f t="shared" si="1"/>
        <v>5</v>
      </c>
      <c r="R68" s="8"/>
      <c r="T68"/>
    </row>
    <row r="69" spans="2:20" ht="23.1" customHeight="1" x14ac:dyDescent="0.25">
      <c r="B69" s="23" t="s">
        <v>106</v>
      </c>
      <c r="C69" s="49">
        <f>'Avg Week Buliisa-Hoima'!C69+'Avg Week Hoima-Buliisa'!C69</f>
        <v>0</v>
      </c>
      <c r="D69" s="49">
        <f>'Avg Week Buliisa-Hoima'!D69+'Avg Week Hoima-Buliisa'!D69</f>
        <v>0</v>
      </c>
      <c r="E69" s="49">
        <f>'Avg Week Buliisa-Hoima'!E69+'Avg Week Hoima-Buliisa'!E69</f>
        <v>0</v>
      </c>
      <c r="F69" s="49">
        <f>'Avg Week Buliisa-Hoima'!F69+'Avg Week Hoima-Buliisa'!F69</f>
        <v>0</v>
      </c>
      <c r="G69" s="49">
        <f>'Avg Week Buliisa-Hoima'!G69+'Avg Week Hoima-Buliisa'!G69</f>
        <v>0</v>
      </c>
      <c r="H69" s="49">
        <f>'Avg Week Buliisa-Hoima'!H69+'Avg Week Hoima-Buliisa'!H69</f>
        <v>0</v>
      </c>
      <c r="I69" s="49">
        <f>'Avg Week Buliisa-Hoima'!I69+'Avg Week Hoima-Buliisa'!I69</f>
        <v>0</v>
      </c>
      <c r="J69" s="49">
        <f>'Avg Week Buliisa-Hoima'!J69+'Avg Week Hoima-Buliisa'!J69</f>
        <v>0</v>
      </c>
      <c r="K69" s="49">
        <f>'Avg Week Buliisa-Hoima'!K69+'Avg Week Hoima-Buliisa'!K69</f>
        <v>0</v>
      </c>
      <c r="L69" s="49">
        <f>'Avg Week Buliisa-Hoima'!L69+'Avg Week Hoima-Buliisa'!L69</f>
        <v>0</v>
      </c>
      <c r="M69" s="49">
        <f>'Avg Week Buliisa-Hoima'!M69+'Avg Week Hoima-Buliisa'!M69</f>
        <v>6</v>
      </c>
      <c r="N69" s="49">
        <f>'Avg Week Buliisa-Hoima'!N69+'Avg Week Hoima-Buliisa'!N69</f>
        <v>0</v>
      </c>
      <c r="O69" s="15">
        <f t="shared" si="0"/>
        <v>0</v>
      </c>
      <c r="P69" s="15">
        <f t="shared" si="1"/>
        <v>6</v>
      </c>
      <c r="R69" s="8"/>
      <c r="T69"/>
    </row>
    <row r="70" spans="2:20" ht="23.1" customHeight="1" x14ac:dyDescent="0.25">
      <c r="B70" s="23" t="s">
        <v>110</v>
      </c>
      <c r="C70" s="49">
        <f>'Avg Week Buliisa-Hoima'!C70+'Avg Week Hoima-Buliisa'!C70</f>
        <v>0</v>
      </c>
      <c r="D70" s="49">
        <f>'Avg Week Buliisa-Hoima'!D70+'Avg Week Hoima-Buliisa'!D70</f>
        <v>0</v>
      </c>
      <c r="E70" s="49">
        <f>'Avg Week Buliisa-Hoima'!E70+'Avg Week Hoima-Buliisa'!E70</f>
        <v>0</v>
      </c>
      <c r="F70" s="49">
        <f>'Avg Week Buliisa-Hoima'!F70+'Avg Week Hoima-Buliisa'!F70</f>
        <v>0</v>
      </c>
      <c r="G70" s="49">
        <f>'Avg Week Buliisa-Hoima'!G70+'Avg Week Hoima-Buliisa'!G70</f>
        <v>0</v>
      </c>
      <c r="H70" s="49">
        <f>'Avg Week Buliisa-Hoima'!H70+'Avg Week Hoima-Buliisa'!H70</f>
        <v>0</v>
      </c>
      <c r="I70" s="49">
        <f>'Avg Week Buliisa-Hoima'!I70+'Avg Week Hoima-Buliisa'!I70</f>
        <v>0</v>
      </c>
      <c r="J70" s="49">
        <f>'Avg Week Buliisa-Hoima'!J70+'Avg Week Hoima-Buliisa'!J70</f>
        <v>0</v>
      </c>
      <c r="K70" s="49">
        <f>'Avg Week Buliisa-Hoima'!K70+'Avg Week Hoima-Buliisa'!K70</f>
        <v>0</v>
      </c>
      <c r="L70" s="49">
        <f>'Avg Week Buliisa-Hoima'!L70+'Avg Week Hoima-Buliisa'!L70</f>
        <v>0</v>
      </c>
      <c r="M70" s="49">
        <f>'Avg Week Buliisa-Hoima'!M70+'Avg Week Hoima-Buliisa'!M70</f>
        <v>2</v>
      </c>
      <c r="N70" s="49">
        <f>'Avg Week Buliisa-Hoima'!N70+'Avg Week Hoima-Buliisa'!N70</f>
        <v>0</v>
      </c>
      <c r="O70" s="15">
        <f t="shared" si="0"/>
        <v>0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'Avg Week Buliisa-Hoima'!C71+'Avg Week Hoima-Buliisa'!C71</f>
        <v>0</v>
      </c>
      <c r="D71" s="49">
        <f>'Avg Week Buliisa-Hoima'!D71+'Avg Week Hoima-Buliisa'!D71</f>
        <v>0</v>
      </c>
      <c r="E71" s="49">
        <f>'Avg Week Buliisa-Hoima'!E71+'Avg Week Hoima-Buliisa'!E71</f>
        <v>0</v>
      </c>
      <c r="F71" s="49">
        <f>'Avg Week Buliisa-Hoima'!F71+'Avg Week Hoima-Buliisa'!F71</f>
        <v>0.5</v>
      </c>
      <c r="G71" s="49">
        <f>'Avg Week Buliisa-Hoima'!G71+'Avg Week Hoima-Buliisa'!G71</f>
        <v>0</v>
      </c>
      <c r="H71" s="49">
        <f>'Avg Week Buliisa-Hoima'!H71+'Avg Week Hoima-Buliisa'!H71</f>
        <v>0</v>
      </c>
      <c r="I71" s="49">
        <f>'Avg Week Buliisa-Hoima'!I71+'Avg Week Hoima-Buliisa'!I71</f>
        <v>0</v>
      </c>
      <c r="J71" s="49">
        <f>'Avg Week Buliisa-Hoima'!J71+'Avg Week Hoima-Buliisa'!J71</f>
        <v>0</v>
      </c>
      <c r="K71" s="49">
        <f>'Avg Week Buliisa-Hoima'!K71+'Avg Week Hoima-Buliisa'!K71</f>
        <v>1</v>
      </c>
      <c r="L71" s="49">
        <f>'Avg Week Buliisa-Hoima'!L71+'Avg Week Hoima-Buliisa'!L71</f>
        <v>0</v>
      </c>
      <c r="M71" s="49">
        <f>'Avg Week Buliisa-Hoima'!M71+'Avg Week Hoima-Buliisa'!M71</f>
        <v>3.5</v>
      </c>
      <c r="N71" s="49">
        <f>'Avg Week Buliisa-Hoima'!N71+'Avg Week Hoima-Buliisa'!N71</f>
        <v>0</v>
      </c>
      <c r="O71" s="15">
        <f t="shared" si="0"/>
        <v>1.5</v>
      </c>
      <c r="P71" s="15">
        <f t="shared" si="1"/>
        <v>5</v>
      </c>
      <c r="R71" s="8"/>
      <c r="T71"/>
    </row>
    <row r="72" spans="2:20" ht="23.1" customHeight="1" x14ac:dyDescent="0.25">
      <c r="B72" s="23" t="s">
        <v>112</v>
      </c>
      <c r="C72" s="49">
        <f>'Avg Week Buliisa-Hoima'!C72+'Avg Week Hoima-Buliisa'!C72</f>
        <v>0</v>
      </c>
      <c r="D72" s="49">
        <f>'Avg Week Buliisa-Hoima'!D72+'Avg Week Hoima-Buliisa'!D72</f>
        <v>0.5</v>
      </c>
      <c r="E72" s="49">
        <f>'Avg Week Buliisa-Hoima'!E72+'Avg Week Hoima-Buliisa'!E72</f>
        <v>0</v>
      </c>
      <c r="F72" s="49">
        <f>'Avg Week Buliisa-Hoima'!F72+'Avg Week Hoima-Buliisa'!F72</f>
        <v>0.5</v>
      </c>
      <c r="G72" s="49">
        <f>'Avg Week Buliisa-Hoima'!G72+'Avg Week Hoima-Buliisa'!G72</f>
        <v>0</v>
      </c>
      <c r="H72" s="49">
        <f>'Avg Week Buliisa-Hoima'!H72+'Avg Week Hoima-Buliisa'!H72</f>
        <v>0</v>
      </c>
      <c r="I72" s="49">
        <f>'Avg Week Buliisa-Hoima'!I72+'Avg Week Hoima-Buliisa'!I72</f>
        <v>0</v>
      </c>
      <c r="J72" s="49">
        <f>'Avg Week Buliisa-Hoima'!J72+'Avg Week Hoima-Buliisa'!J72</f>
        <v>0</v>
      </c>
      <c r="K72" s="49">
        <f>'Avg Week Buliisa-Hoima'!K72+'Avg Week Hoima-Buliisa'!K72</f>
        <v>0</v>
      </c>
      <c r="L72" s="49">
        <f>'Avg Week Buliisa-Hoima'!L72+'Avg Week Hoima-Buliisa'!L72</f>
        <v>0</v>
      </c>
      <c r="M72" s="49">
        <f>'Avg Week Buliisa-Hoima'!M72+'Avg Week Hoima-Buliisa'!M72</f>
        <v>4</v>
      </c>
      <c r="N72" s="49">
        <f>'Avg Week Buliisa-Hoima'!N72+'Avg Week Hoima-Buliisa'!N72</f>
        <v>0</v>
      </c>
      <c r="O72" s="15">
        <f t="shared" si="0"/>
        <v>1</v>
      </c>
      <c r="P72" s="15">
        <f t="shared" si="1"/>
        <v>5</v>
      </c>
      <c r="R72" s="8"/>
      <c r="T72"/>
    </row>
    <row r="73" spans="2:20" ht="23.1" customHeight="1" x14ac:dyDescent="0.25">
      <c r="B73" s="23" t="s">
        <v>113</v>
      </c>
      <c r="C73" s="49">
        <f>'Avg Week Buliisa-Hoima'!C73+'Avg Week Hoima-Buliisa'!C73</f>
        <v>0</v>
      </c>
      <c r="D73" s="49">
        <f>'Avg Week Buliisa-Hoima'!D73+'Avg Week Hoima-Buliisa'!D73</f>
        <v>0</v>
      </c>
      <c r="E73" s="49">
        <f>'Avg Week Buliisa-Hoima'!E73+'Avg Week Hoima-Buliisa'!E73</f>
        <v>0</v>
      </c>
      <c r="F73" s="49">
        <f>'Avg Week Buliisa-Hoima'!F73+'Avg Week Hoima-Buliisa'!F73</f>
        <v>0</v>
      </c>
      <c r="G73" s="49">
        <f>'Avg Week Buliisa-Hoima'!G73+'Avg Week Hoima-Buliisa'!G73</f>
        <v>0</v>
      </c>
      <c r="H73" s="49">
        <f>'Avg Week Buliisa-Hoima'!H73+'Avg Week Hoima-Buliisa'!H73</f>
        <v>0</v>
      </c>
      <c r="I73" s="49">
        <f>'Avg Week Buliisa-Hoima'!I73+'Avg Week Hoima-Buliisa'!I73</f>
        <v>0</v>
      </c>
      <c r="J73" s="49">
        <f>'Avg Week Buliisa-Hoima'!J73+'Avg Week Hoima-Buliisa'!J73</f>
        <v>0.5</v>
      </c>
      <c r="K73" s="49">
        <f>'Avg Week Buliisa-Hoima'!K73+'Avg Week Hoima-Buliisa'!K73</f>
        <v>0</v>
      </c>
      <c r="L73" s="49">
        <f>'Avg Week Buliisa-Hoima'!L73+'Avg Week Hoima-Buliisa'!L73</f>
        <v>0</v>
      </c>
      <c r="M73" s="49">
        <f>'Avg Week Buliisa-Hoima'!M73+'Avg Week Hoima-Buliisa'!M73</f>
        <v>1</v>
      </c>
      <c r="N73" s="49">
        <f>'Avg Week Buliisa-Hoima'!N73+'Avg Week Hoima-Buliisa'!N73</f>
        <v>0</v>
      </c>
      <c r="O73" s="15">
        <f t="shared" si="0"/>
        <v>0.5</v>
      </c>
      <c r="P73" s="15">
        <f t="shared" si="1"/>
        <v>1.5</v>
      </c>
      <c r="R73" s="8"/>
      <c r="T73"/>
    </row>
    <row r="74" spans="2:20" ht="23.1" customHeight="1" x14ac:dyDescent="0.25">
      <c r="B74" s="23" t="s">
        <v>114</v>
      </c>
      <c r="C74" s="49">
        <f>'Avg Week Buliisa-Hoima'!C74+'Avg Week Hoima-Buliisa'!C74</f>
        <v>0</v>
      </c>
      <c r="D74" s="49">
        <f>'Avg Week Buliisa-Hoima'!D74+'Avg Week Hoima-Buliisa'!D74</f>
        <v>0</v>
      </c>
      <c r="E74" s="49">
        <f>'Avg Week Buliisa-Hoima'!E74+'Avg Week Hoima-Buliisa'!E74</f>
        <v>0</v>
      </c>
      <c r="F74" s="49">
        <f>'Avg Week Buliisa-Hoima'!F74+'Avg Week Hoima-Buliisa'!F74</f>
        <v>0</v>
      </c>
      <c r="G74" s="49">
        <f>'Avg Week Buliisa-Hoima'!G74+'Avg Week Hoima-Buliisa'!G74</f>
        <v>0</v>
      </c>
      <c r="H74" s="49">
        <f>'Avg Week Buliisa-Hoima'!H74+'Avg Week Hoima-Buliisa'!H74</f>
        <v>0</v>
      </c>
      <c r="I74" s="49">
        <f>'Avg Week Buliisa-Hoima'!I74+'Avg Week Hoima-Buliisa'!I74</f>
        <v>0</v>
      </c>
      <c r="J74" s="49">
        <f>'Avg Week Buliisa-Hoima'!J74+'Avg Week Hoima-Buliisa'!J74</f>
        <v>0</v>
      </c>
      <c r="K74" s="49">
        <f>'Avg Week Buliisa-Hoima'!K74+'Avg Week Hoima-Buliisa'!K74</f>
        <v>0</v>
      </c>
      <c r="L74" s="49">
        <f>'Avg Week Buliisa-Hoima'!L74+'Avg Week Hoima-Buliisa'!L74</f>
        <v>0</v>
      </c>
      <c r="M74" s="49">
        <f>'Avg Week Buliisa-Hoima'!M74+'Avg Week Hoima-Buliisa'!M74</f>
        <v>0</v>
      </c>
      <c r="N74" s="49">
        <f>'Avg Week Buliisa-Hoima'!N74+'Avg Week Hoima-Buliisa'!N74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23" t="s">
        <v>115</v>
      </c>
      <c r="C75" s="49">
        <f>'Avg Week Buliisa-Hoima'!C75+'Avg Week Hoima-Buliisa'!C75</f>
        <v>0</v>
      </c>
      <c r="D75" s="49">
        <f>'Avg Week Buliisa-Hoima'!D75+'Avg Week Hoima-Buliisa'!D75</f>
        <v>0</v>
      </c>
      <c r="E75" s="49">
        <f>'Avg Week Buliisa-Hoima'!E75+'Avg Week Hoima-Buliisa'!E75</f>
        <v>0</v>
      </c>
      <c r="F75" s="49">
        <f>'Avg Week Buliisa-Hoima'!F75+'Avg Week Hoima-Buliisa'!F75</f>
        <v>0</v>
      </c>
      <c r="G75" s="49">
        <f>'Avg Week Buliisa-Hoima'!G75+'Avg Week Hoima-Buliisa'!G75</f>
        <v>0</v>
      </c>
      <c r="H75" s="49">
        <f>'Avg Week Buliisa-Hoima'!H75+'Avg Week Hoima-Buliisa'!H75</f>
        <v>0</v>
      </c>
      <c r="I75" s="49">
        <f>'Avg Week Buliisa-Hoima'!I75+'Avg Week Hoima-Buliisa'!I75</f>
        <v>0</v>
      </c>
      <c r="J75" s="49">
        <f>'Avg Week Buliisa-Hoima'!J75+'Avg Week Hoima-Buliisa'!J75</f>
        <v>0</v>
      </c>
      <c r="K75" s="49">
        <f>'Avg Week Buliisa-Hoima'!K75+'Avg Week Hoima-Buliisa'!K75</f>
        <v>0</v>
      </c>
      <c r="L75" s="49">
        <f>'Avg Week Buliisa-Hoima'!L75+'Avg Week Hoima-Buliisa'!L75</f>
        <v>0</v>
      </c>
      <c r="M75" s="49">
        <f>'Avg Week Buliisa-Hoima'!M75+'Avg Week Hoima-Buliisa'!M75</f>
        <v>0.5</v>
      </c>
      <c r="N75" s="49">
        <f>'Avg Week Buliisa-Hoima'!N75+'Avg Week Hoima-Buliisa'!N75</f>
        <v>0</v>
      </c>
      <c r="O75" s="15">
        <f t="shared" si="35"/>
        <v>0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49">
        <f>'Avg Week Buliisa-Hoima'!C76+'Avg Week Hoima-Buliisa'!C76</f>
        <v>0</v>
      </c>
      <c r="D76" s="49">
        <f>'Avg Week Buliisa-Hoima'!D76+'Avg Week Hoima-Buliisa'!D76</f>
        <v>0</v>
      </c>
      <c r="E76" s="49">
        <f>'Avg Week Buliisa-Hoima'!E76+'Avg Week Hoima-Buliisa'!E76</f>
        <v>0</v>
      </c>
      <c r="F76" s="49">
        <f>'Avg Week Buliisa-Hoima'!F76+'Avg Week Hoima-Buliisa'!F76</f>
        <v>0</v>
      </c>
      <c r="G76" s="49">
        <f>'Avg Week Buliisa-Hoima'!G76+'Avg Week Hoima-Buliisa'!G76</f>
        <v>0</v>
      </c>
      <c r="H76" s="49">
        <f>'Avg Week Buliisa-Hoima'!H76+'Avg Week Hoima-Buliisa'!H76</f>
        <v>0</v>
      </c>
      <c r="I76" s="49">
        <f>'Avg Week Buliisa-Hoima'!I76+'Avg Week Hoima-Buliisa'!I76</f>
        <v>0</v>
      </c>
      <c r="J76" s="49">
        <f>'Avg Week Buliisa-Hoima'!J76+'Avg Week Hoima-Buliisa'!J76</f>
        <v>0</v>
      </c>
      <c r="K76" s="49">
        <f>'Avg Week Buliisa-Hoima'!K76+'Avg Week Hoima-Buliisa'!K76</f>
        <v>0</v>
      </c>
      <c r="L76" s="49">
        <f>'Avg Week Buliisa-Hoima'!L76+'Avg Week Hoima-Buliisa'!L76</f>
        <v>0</v>
      </c>
      <c r="M76" s="49">
        <f>'Avg Week Buliisa-Hoima'!M76+'Avg Week Hoima-Buliisa'!M76</f>
        <v>0.5</v>
      </c>
      <c r="N76" s="49">
        <f>'Avg Week Buliisa-Hoima'!N76+'Avg Week Hoima-Buliisa'!N76</f>
        <v>0</v>
      </c>
      <c r="O76" s="15">
        <f t="shared" si="35"/>
        <v>0</v>
      </c>
      <c r="P76" s="15">
        <f t="shared" si="36"/>
        <v>0.5</v>
      </c>
      <c r="R76" s="8"/>
      <c r="T76"/>
    </row>
    <row r="77" spans="2:20" ht="23.1" customHeight="1" x14ac:dyDescent="0.25">
      <c r="B77" s="23" t="s">
        <v>117</v>
      </c>
      <c r="C77" s="49">
        <f>'Avg Week Buliisa-Hoima'!C77+'Avg Week Hoima-Buliisa'!C77</f>
        <v>0</v>
      </c>
      <c r="D77" s="49">
        <f>'Avg Week Buliisa-Hoima'!D77+'Avg Week Hoima-Buliisa'!D77</f>
        <v>0</v>
      </c>
      <c r="E77" s="49">
        <f>'Avg Week Buliisa-Hoima'!E77+'Avg Week Hoima-Buliisa'!E77</f>
        <v>0</v>
      </c>
      <c r="F77" s="49">
        <f>'Avg Week Buliisa-Hoima'!F77+'Avg Week Hoima-Buliisa'!F77</f>
        <v>0</v>
      </c>
      <c r="G77" s="49">
        <f>'Avg Week Buliisa-Hoima'!G77+'Avg Week Hoima-Buliisa'!G77</f>
        <v>0</v>
      </c>
      <c r="H77" s="49">
        <f>'Avg Week Buliisa-Hoima'!H77+'Avg Week Hoima-Buliisa'!H77</f>
        <v>0</v>
      </c>
      <c r="I77" s="49">
        <f>'Avg Week Buliisa-Hoima'!I77+'Avg Week Hoima-Buliisa'!I77</f>
        <v>0</v>
      </c>
      <c r="J77" s="49">
        <f>'Avg Week Buliisa-Hoima'!J77+'Avg Week Hoima-Buliisa'!J77</f>
        <v>0.5</v>
      </c>
      <c r="K77" s="49">
        <f>'Avg Week Buliisa-Hoima'!K77+'Avg Week Hoima-Buliisa'!K77</f>
        <v>0</v>
      </c>
      <c r="L77" s="49">
        <f>'Avg Week Buliisa-Hoima'!L77+'Avg Week Hoima-Buliisa'!L77</f>
        <v>0</v>
      </c>
      <c r="M77" s="49">
        <f>'Avg Week Buliisa-Hoima'!M77+'Avg Week Hoima-Buliisa'!M77</f>
        <v>0</v>
      </c>
      <c r="N77" s="49">
        <f>'Avg Week Buliisa-Hoima'!N77+'Avg Week Hoima-Buliisa'!N77</f>
        <v>0</v>
      </c>
      <c r="O77" s="15">
        <f t="shared" si="35"/>
        <v>0.5</v>
      </c>
      <c r="P77" s="15">
        <f t="shared" si="36"/>
        <v>0.5</v>
      </c>
      <c r="R77" s="8"/>
      <c r="T77"/>
    </row>
    <row r="78" spans="2:20" ht="23.1" customHeight="1" x14ac:dyDescent="0.25">
      <c r="B78" s="24" t="s">
        <v>118</v>
      </c>
      <c r="C78" s="49">
        <f>'Avg Week Buliisa-Hoima'!C78+'Avg Week Hoima-Buliisa'!C78</f>
        <v>0</v>
      </c>
      <c r="D78" s="49">
        <f>'Avg Week Buliisa-Hoima'!D78+'Avg Week Hoima-Buliisa'!D78</f>
        <v>0</v>
      </c>
      <c r="E78" s="49">
        <f>'Avg Week Buliisa-Hoima'!E78+'Avg Week Hoima-Buliisa'!E78</f>
        <v>0</v>
      </c>
      <c r="F78" s="49">
        <f>'Avg Week Buliisa-Hoima'!F78+'Avg Week Hoima-Buliisa'!F78</f>
        <v>0</v>
      </c>
      <c r="G78" s="49">
        <f>'Avg Week Buliisa-Hoima'!G78+'Avg Week Hoima-Buliisa'!G78</f>
        <v>0</v>
      </c>
      <c r="H78" s="49">
        <f>'Avg Week Buliisa-Hoima'!H78+'Avg Week Hoima-Buliisa'!H78</f>
        <v>0</v>
      </c>
      <c r="I78" s="49">
        <f>'Avg Week Buliisa-Hoima'!I78+'Avg Week Hoima-Buliisa'!I78</f>
        <v>0</v>
      </c>
      <c r="J78" s="49">
        <f>'Avg Week Buliisa-Hoima'!J78+'Avg Week Hoima-Buliisa'!J78</f>
        <v>0</v>
      </c>
      <c r="K78" s="49">
        <f>'Avg Week Buliisa-Hoima'!K78+'Avg Week Hoima-Buliisa'!K78</f>
        <v>0</v>
      </c>
      <c r="L78" s="49">
        <f>'Avg Week Buliisa-Hoima'!L78+'Avg Week Hoima-Buliisa'!L78</f>
        <v>0</v>
      </c>
      <c r="M78" s="49">
        <f>'Avg Week Buliisa-Hoima'!M78+'Avg Week Hoima-Buliisa'!M78</f>
        <v>0.5</v>
      </c>
      <c r="N78" s="49">
        <f>'Avg Week Buliisa-Hoima'!N78+'Avg Week Hoima-Buliisa'!N78</f>
        <v>0</v>
      </c>
      <c r="O78" s="15">
        <f t="shared" si="35"/>
        <v>0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'Avg Week Buliisa-Hoima'!C79+'Avg Week Hoima-Buliisa'!C79</f>
        <v>0</v>
      </c>
      <c r="D79" s="49">
        <f>'Avg Week Buliisa-Hoima'!D79+'Avg Week Hoima-Buliisa'!D79</f>
        <v>0</v>
      </c>
      <c r="E79" s="49">
        <f>'Avg Week Buliisa-Hoima'!E79+'Avg Week Hoima-Buliisa'!E79</f>
        <v>0</v>
      </c>
      <c r="F79" s="49">
        <f>'Avg Week Buliisa-Hoima'!F79+'Avg Week Hoima-Buliisa'!F79</f>
        <v>0</v>
      </c>
      <c r="G79" s="49">
        <f>'Avg Week Buliisa-Hoima'!G79+'Avg Week Hoima-Buliisa'!G79</f>
        <v>0</v>
      </c>
      <c r="H79" s="49">
        <f>'Avg Week Buliisa-Hoima'!H79+'Avg Week Hoima-Buliisa'!H79</f>
        <v>0</v>
      </c>
      <c r="I79" s="49">
        <f>'Avg Week Buliisa-Hoima'!I79+'Avg Week Hoima-Buliisa'!I79</f>
        <v>0</v>
      </c>
      <c r="J79" s="49">
        <f>'Avg Week Buliisa-Hoima'!J79+'Avg Week Hoima-Buliisa'!J79</f>
        <v>0</v>
      </c>
      <c r="K79" s="49">
        <f>'Avg Week Buliisa-Hoima'!K79+'Avg Week Hoima-Buliisa'!K79</f>
        <v>0</v>
      </c>
      <c r="L79" s="49">
        <f>'Avg Week Buliisa-Hoima'!L79+'Avg Week Hoima-Buliisa'!L79</f>
        <v>0</v>
      </c>
      <c r="M79" s="49">
        <f>'Avg Week Buliisa-Hoima'!M79+'Avg Week Hoima-Buliisa'!M79</f>
        <v>0.5</v>
      </c>
      <c r="N79" s="49">
        <f>'Avg Week Buliisa-Hoima'!N79+'Avg Week Hoima-Buliisa'!N79</f>
        <v>0</v>
      </c>
      <c r="O79" s="15">
        <f t="shared" si="35"/>
        <v>0</v>
      </c>
      <c r="P79" s="15">
        <f t="shared" si="36"/>
        <v>0.5</v>
      </c>
      <c r="R79" s="8"/>
      <c r="T79"/>
    </row>
    <row r="80" spans="2:20" ht="23.1" customHeight="1" x14ac:dyDescent="0.25">
      <c r="B80" s="25" t="s">
        <v>120</v>
      </c>
      <c r="C80" s="49">
        <f>'Avg Week Buliisa-Hoima'!C80+'Avg Week Hoima-Buliisa'!C80</f>
        <v>0</v>
      </c>
      <c r="D80" s="49">
        <f>'Avg Week Buliisa-Hoima'!D80+'Avg Week Hoima-Buliisa'!D80</f>
        <v>0</v>
      </c>
      <c r="E80" s="49">
        <f>'Avg Week Buliisa-Hoima'!E80+'Avg Week Hoima-Buliisa'!E80</f>
        <v>0</v>
      </c>
      <c r="F80" s="49">
        <f>'Avg Week Buliisa-Hoima'!F80+'Avg Week Hoima-Buliisa'!F80</f>
        <v>0</v>
      </c>
      <c r="G80" s="49">
        <f>'Avg Week Buliisa-Hoima'!G80+'Avg Week Hoima-Buliisa'!G80</f>
        <v>0</v>
      </c>
      <c r="H80" s="49">
        <f>'Avg Week Buliisa-Hoima'!H80+'Avg Week Hoima-Buliisa'!H80</f>
        <v>0</v>
      </c>
      <c r="I80" s="49">
        <f>'Avg Week Buliisa-Hoima'!I80+'Avg Week Hoima-Buliisa'!I80</f>
        <v>0</v>
      </c>
      <c r="J80" s="49">
        <f>'Avg Week Buliisa-Hoima'!J80+'Avg Week Hoima-Buliisa'!J80</f>
        <v>0</v>
      </c>
      <c r="K80" s="49">
        <f>'Avg Week Buliisa-Hoima'!K80+'Avg Week Hoima-Buliisa'!K80</f>
        <v>0</v>
      </c>
      <c r="L80" s="49">
        <f>'Avg Week Buliisa-Hoima'!L80+'Avg Week Hoima-Buliisa'!L80</f>
        <v>0</v>
      </c>
      <c r="M80" s="49">
        <f>'Avg Week Buliisa-Hoima'!M80+'Avg Week Hoima-Buliisa'!M80</f>
        <v>0</v>
      </c>
      <c r="N80" s="49">
        <f>'Avg Week Buliisa-Hoima'!N80+'Avg Week Hoima-Buliisa'!N80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'Avg Week Buliisa-Hoima'!C81+'Avg Week Hoima-Buliisa'!C81</f>
        <v>0</v>
      </c>
      <c r="D81" s="49">
        <f>'Avg Week Buliisa-Hoima'!D81+'Avg Week Hoima-Buliisa'!D81</f>
        <v>0</v>
      </c>
      <c r="E81" s="49">
        <f>'Avg Week Buliisa-Hoima'!E81+'Avg Week Hoima-Buliisa'!E81</f>
        <v>0</v>
      </c>
      <c r="F81" s="49">
        <f>'Avg Week Buliisa-Hoima'!F81+'Avg Week Hoima-Buliisa'!F81</f>
        <v>0</v>
      </c>
      <c r="G81" s="49">
        <f>'Avg Week Buliisa-Hoima'!G81+'Avg Week Hoima-Buliisa'!G81</f>
        <v>0</v>
      </c>
      <c r="H81" s="49">
        <f>'Avg Week Buliisa-Hoima'!H81+'Avg Week Hoima-Buliisa'!H81</f>
        <v>0</v>
      </c>
      <c r="I81" s="49">
        <f>'Avg Week Buliisa-Hoima'!I81+'Avg Week Hoima-Buliisa'!I81</f>
        <v>0</v>
      </c>
      <c r="J81" s="49">
        <f>'Avg Week Buliisa-Hoima'!J81+'Avg Week Hoima-Buliisa'!J81</f>
        <v>0</v>
      </c>
      <c r="K81" s="49">
        <f>'Avg Week Buliisa-Hoima'!K81+'Avg Week Hoima-Buliisa'!K81</f>
        <v>0</v>
      </c>
      <c r="L81" s="49">
        <f>'Avg Week Buliisa-Hoima'!L81+'Avg Week Hoima-Buliisa'!L81</f>
        <v>0</v>
      </c>
      <c r="M81" s="49">
        <f>'Avg Week Buliisa-Hoima'!M81+'Avg Week Hoima-Buliisa'!M81</f>
        <v>0.5</v>
      </c>
      <c r="N81" s="49">
        <f>'Avg Week Buliisa-Hoima'!N81+'Avg Week Hoima-Buliisa'!N81</f>
        <v>0</v>
      </c>
      <c r="O81" s="15">
        <f t="shared" si="35"/>
        <v>0</v>
      </c>
      <c r="P81" s="15">
        <f t="shared" si="36"/>
        <v>0.5</v>
      </c>
      <c r="R81" s="8"/>
      <c r="T81"/>
    </row>
    <row r="82" spans="2:20" ht="23.1" customHeight="1" x14ac:dyDescent="0.25">
      <c r="B82" s="24" t="s">
        <v>122</v>
      </c>
      <c r="C82" s="49">
        <f>'Avg Week Buliisa-Hoima'!C82+'Avg Week Hoima-Buliisa'!C82</f>
        <v>0.5</v>
      </c>
      <c r="D82" s="49">
        <f>'Avg Week Buliisa-Hoima'!D82+'Avg Week Hoima-Buliisa'!D82</f>
        <v>0</v>
      </c>
      <c r="E82" s="49">
        <f>'Avg Week Buliisa-Hoima'!E82+'Avg Week Hoima-Buliisa'!E82</f>
        <v>0</v>
      </c>
      <c r="F82" s="49">
        <f>'Avg Week Buliisa-Hoima'!F82+'Avg Week Hoima-Buliisa'!F82</f>
        <v>0</v>
      </c>
      <c r="G82" s="49">
        <f>'Avg Week Buliisa-Hoima'!G82+'Avg Week Hoima-Buliisa'!G82</f>
        <v>0</v>
      </c>
      <c r="H82" s="49">
        <f>'Avg Week Buliisa-Hoima'!H82+'Avg Week Hoima-Buliisa'!H82</f>
        <v>0</v>
      </c>
      <c r="I82" s="49">
        <f>'Avg Week Buliisa-Hoima'!I82+'Avg Week Hoima-Buliisa'!I82</f>
        <v>0</v>
      </c>
      <c r="J82" s="49">
        <f>'Avg Week Buliisa-Hoima'!J82+'Avg Week Hoima-Buliisa'!J82</f>
        <v>0</v>
      </c>
      <c r="K82" s="49">
        <f>'Avg Week Buliisa-Hoima'!K82+'Avg Week Hoima-Buliisa'!K82</f>
        <v>0</v>
      </c>
      <c r="L82" s="49">
        <f>'Avg Week Buliisa-Hoima'!L82+'Avg Week Hoima-Buliisa'!L82</f>
        <v>0</v>
      </c>
      <c r="M82" s="49">
        <f>'Avg Week Buliisa-Hoima'!M82+'Avg Week Hoima-Buliisa'!M82</f>
        <v>0.5</v>
      </c>
      <c r="N82" s="49">
        <f>'Avg Week Buliisa-Hoima'!N82+'Avg Week Hoima-Buliisa'!N82</f>
        <v>0</v>
      </c>
      <c r="O82" s="15">
        <f t="shared" si="35"/>
        <v>0.5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'Avg Week Buliisa-Hoima'!C83+'Avg Week Hoima-Buliisa'!C83</f>
        <v>0</v>
      </c>
      <c r="D83" s="49">
        <f>'Avg Week Buliisa-Hoima'!D83+'Avg Week Hoima-Buliisa'!D83</f>
        <v>0</v>
      </c>
      <c r="E83" s="49">
        <f>'Avg Week Buliisa-Hoima'!E83+'Avg Week Hoima-Buliisa'!E83</f>
        <v>0</v>
      </c>
      <c r="F83" s="49">
        <f>'Avg Week Buliisa-Hoima'!F83+'Avg Week Hoima-Buliisa'!F83</f>
        <v>0</v>
      </c>
      <c r="G83" s="49">
        <f>'Avg Week Buliisa-Hoima'!G83+'Avg Week Hoima-Buliisa'!G83</f>
        <v>0</v>
      </c>
      <c r="H83" s="49">
        <f>'Avg Week Buliisa-Hoima'!H83+'Avg Week Hoima-Buliisa'!H83</f>
        <v>0</v>
      </c>
      <c r="I83" s="49">
        <f>'Avg Week Buliisa-Hoima'!I83+'Avg Week Hoima-Buliisa'!I83</f>
        <v>0</v>
      </c>
      <c r="J83" s="49">
        <f>'Avg Week Buliisa-Hoima'!J83+'Avg Week Hoima-Buliisa'!J83</f>
        <v>0</v>
      </c>
      <c r="K83" s="49">
        <f>'Avg Week Buliisa-Hoima'!K83+'Avg Week Hoima-Buliisa'!K83</f>
        <v>0</v>
      </c>
      <c r="L83" s="49">
        <f>'Avg Week Buliisa-Hoima'!L83+'Avg Week Hoima-Buliisa'!L83</f>
        <v>0</v>
      </c>
      <c r="M83" s="49">
        <f>'Avg Week Buliisa-Hoima'!M83+'Avg Week Hoima-Buliisa'!M83</f>
        <v>0.5</v>
      </c>
      <c r="N83" s="49">
        <f>'Avg Week Buliisa-Hoima'!N83+'Avg Week Hoima-Buliisa'!N83</f>
        <v>0</v>
      </c>
      <c r="O83" s="15">
        <f t="shared" si="35"/>
        <v>0</v>
      </c>
      <c r="P83" s="15">
        <f t="shared" si="36"/>
        <v>0.5</v>
      </c>
      <c r="R83" s="8"/>
      <c r="T83"/>
    </row>
    <row r="84" spans="2:20" ht="23.1" customHeight="1" x14ac:dyDescent="0.25">
      <c r="B84" s="25" t="s">
        <v>124</v>
      </c>
      <c r="C84" s="49">
        <f>'Avg Week Buliisa-Hoima'!C84+'Avg Week Hoima-Buliisa'!C84</f>
        <v>0</v>
      </c>
      <c r="D84" s="49">
        <f>'Avg Week Buliisa-Hoima'!D84+'Avg Week Hoima-Buliisa'!D84</f>
        <v>0</v>
      </c>
      <c r="E84" s="49">
        <f>'Avg Week Buliisa-Hoima'!E84+'Avg Week Hoima-Buliisa'!E84</f>
        <v>0</v>
      </c>
      <c r="F84" s="49">
        <f>'Avg Week Buliisa-Hoima'!F84+'Avg Week Hoima-Buliisa'!F84</f>
        <v>0</v>
      </c>
      <c r="G84" s="49">
        <f>'Avg Week Buliisa-Hoima'!G84+'Avg Week Hoima-Buliisa'!G84</f>
        <v>0</v>
      </c>
      <c r="H84" s="49">
        <f>'Avg Week Buliisa-Hoima'!H84+'Avg Week Hoima-Buliisa'!H84</f>
        <v>0</v>
      </c>
      <c r="I84" s="49">
        <f>'Avg Week Buliisa-Hoima'!I84+'Avg Week Hoima-Buliisa'!I84</f>
        <v>0</v>
      </c>
      <c r="J84" s="49">
        <f>'Avg Week Buliisa-Hoima'!J84+'Avg Week Hoima-Buliisa'!J84</f>
        <v>0</v>
      </c>
      <c r="K84" s="49">
        <f>'Avg Week Buliisa-Hoima'!K84+'Avg Week Hoima-Buliisa'!K84</f>
        <v>0</v>
      </c>
      <c r="L84" s="49">
        <f>'Avg Week Buliisa-Hoima'!L84+'Avg Week Hoima-Buliisa'!L84</f>
        <v>0</v>
      </c>
      <c r="M84" s="49">
        <f>'Avg Week Buliisa-Hoima'!M84+'Avg Week Hoima-Buliisa'!M84</f>
        <v>0</v>
      </c>
      <c r="N84" s="49">
        <f>'Avg Week Buliisa-Hoima'!N84+'Avg Week Hoima-Buliisa'!N84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'Avg Week Buliisa-Hoima'!C85+'Avg Week Hoima-Buliisa'!C85</f>
        <v>0</v>
      </c>
      <c r="D85" s="49">
        <f>'Avg Week Buliisa-Hoima'!D85+'Avg Week Hoima-Buliisa'!D85</f>
        <v>0</v>
      </c>
      <c r="E85" s="49">
        <f>'Avg Week Buliisa-Hoima'!E85+'Avg Week Hoima-Buliisa'!E85</f>
        <v>0</v>
      </c>
      <c r="F85" s="49">
        <f>'Avg Week Buliisa-Hoima'!F85+'Avg Week Hoima-Buliisa'!F85</f>
        <v>0</v>
      </c>
      <c r="G85" s="49">
        <f>'Avg Week Buliisa-Hoima'!G85+'Avg Week Hoima-Buliisa'!G85</f>
        <v>0</v>
      </c>
      <c r="H85" s="49">
        <f>'Avg Week Buliisa-Hoima'!H85+'Avg Week Hoima-Buliisa'!H85</f>
        <v>0</v>
      </c>
      <c r="I85" s="49">
        <f>'Avg Week Buliisa-Hoima'!I85+'Avg Week Hoima-Buliisa'!I85</f>
        <v>0</v>
      </c>
      <c r="J85" s="49">
        <f>'Avg Week Buliisa-Hoima'!J85+'Avg Week Hoima-Buliisa'!J85</f>
        <v>0</v>
      </c>
      <c r="K85" s="49">
        <f>'Avg Week Buliisa-Hoima'!K85+'Avg Week Hoima-Buliisa'!K85</f>
        <v>0</v>
      </c>
      <c r="L85" s="49">
        <f>'Avg Week Buliisa-Hoima'!L85+'Avg Week Hoima-Buliisa'!L85</f>
        <v>0</v>
      </c>
      <c r="M85" s="49">
        <f>'Avg Week Buliisa-Hoima'!M85+'Avg Week Hoima-Buliisa'!M85</f>
        <v>0.5</v>
      </c>
      <c r="N85" s="49">
        <f>'Avg Week Buliisa-Hoima'!N85+'Avg Week Hoima-Buliisa'!N85</f>
        <v>0</v>
      </c>
      <c r="O85" s="15">
        <f t="shared" si="35"/>
        <v>0</v>
      </c>
      <c r="P85" s="15">
        <f t="shared" si="36"/>
        <v>0.5</v>
      </c>
      <c r="R85" s="8"/>
      <c r="T85"/>
    </row>
    <row r="86" spans="2:20" ht="23.1" customHeight="1" x14ac:dyDescent="0.25">
      <c r="B86" s="24" t="s">
        <v>126</v>
      </c>
      <c r="C86" s="49">
        <f>'Avg Week Buliisa-Hoima'!C86+'Avg Week Hoima-Buliisa'!C86</f>
        <v>0</v>
      </c>
      <c r="D86" s="49">
        <f>'Avg Week Buliisa-Hoima'!D86+'Avg Week Hoima-Buliisa'!D86</f>
        <v>0</v>
      </c>
      <c r="E86" s="49">
        <f>'Avg Week Buliisa-Hoima'!E86+'Avg Week Hoima-Buliisa'!E86</f>
        <v>0</v>
      </c>
      <c r="F86" s="49">
        <f>'Avg Week Buliisa-Hoima'!F86+'Avg Week Hoima-Buliisa'!F86</f>
        <v>0</v>
      </c>
      <c r="G86" s="49">
        <f>'Avg Week Buliisa-Hoima'!G86+'Avg Week Hoima-Buliisa'!G86</f>
        <v>0</v>
      </c>
      <c r="H86" s="49">
        <f>'Avg Week Buliisa-Hoima'!H86+'Avg Week Hoima-Buliisa'!H86</f>
        <v>0</v>
      </c>
      <c r="I86" s="49">
        <f>'Avg Week Buliisa-Hoima'!I86+'Avg Week Hoima-Buliisa'!I86</f>
        <v>0</v>
      </c>
      <c r="J86" s="49">
        <f>'Avg Week Buliisa-Hoima'!J86+'Avg Week Hoima-Buliisa'!J86</f>
        <v>0</v>
      </c>
      <c r="K86" s="49">
        <f>'Avg Week Buliisa-Hoima'!K86+'Avg Week Hoima-Buliisa'!K86</f>
        <v>0</v>
      </c>
      <c r="L86" s="49">
        <f>'Avg Week Buliisa-Hoima'!L86+'Avg Week Hoima-Buliisa'!L86</f>
        <v>0</v>
      </c>
      <c r="M86" s="49">
        <f>'Avg Week Buliisa-Hoima'!M86+'Avg Week Hoima-Buliisa'!M86</f>
        <v>0.5</v>
      </c>
      <c r="N86" s="49">
        <f>'Avg Week Buliisa-Hoima'!N86+'Avg Week Hoima-Buliisa'!N86</f>
        <v>0</v>
      </c>
      <c r="O86" s="15">
        <f t="shared" si="35"/>
        <v>0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'Avg Week Buliisa-Hoima'!C87+'Avg Week Hoima-Buliisa'!C87</f>
        <v>0</v>
      </c>
      <c r="D87" s="49">
        <f>'Avg Week Buliisa-Hoima'!D87+'Avg Week Hoima-Buliisa'!D87</f>
        <v>0</v>
      </c>
      <c r="E87" s="49">
        <f>'Avg Week Buliisa-Hoima'!E87+'Avg Week Hoima-Buliisa'!E87</f>
        <v>0</v>
      </c>
      <c r="F87" s="49">
        <f>'Avg Week Buliisa-Hoima'!F87+'Avg Week Hoima-Buliisa'!F87</f>
        <v>0.5</v>
      </c>
      <c r="G87" s="49">
        <f>'Avg Week Buliisa-Hoima'!G87+'Avg Week Hoima-Buliisa'!G87</f>
        <v>0</v>
      </c>
      <c r="H87" s="49">
        <f>'Avg Week Buliisa-Hoima'!H87+'Avg Week Hoima-Buliisa'!H87</f>
        <v>0</v>
      </c>
      <c r="I87" s="49">
        <f>'Avg Week Buliisa-Hoima'!I87+'Avg Week Hoima-Buliisa'!I87</f>
        <v>0</v>
      </c>
      <c r="J87" s="49">
        <f>'Avg Week Buliisa-Hoima'!J87+'Avg Week Hoima-Buliisa'!J87</f>
        <v>0</v>
      </c>
      <c r="K87" s="49">
        <f>'Avg Week Buliisa-Hoima'!K87+'Avg Week Hoima-Buliisa'!K87</f>
        <v>0</v>
      </c>
      <c r="L87" s="49">
        <f>'Avg Week Buliisa-Hoima'!L87+'Avg Week Hoima-Buliisa'!L87</f>
        <v>0</v>
      </c>
      <c r="M87" s="49">
        <f>'Avg Week Buliisa-Hoima'!M87+'Avg Week Hoima-Buliisa'!M87</f>
        <v>1</v>
      </c>
      <c r="N87" s="49">
        <f>'Avg Week Buliisa-Hoima'!N87+'Avg Week Hoima-Buliisa'!N87</f>
        <v>0</v>
      </c>
      <c r="O87" s="15">
        <f t="shared" si="35"/>
        <v>0.5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'Avg Week Buliisa-Hoima'!C88+'Avg Week Hoima-Buliisa'!C88</f>
        <v>0</v>
      </c>
      <c r="D88" s="49">
        <f>'Avg Week Buliisa-Hoima'!D88+'Avg Week Hoima-Buliisa'!D88</f>
        <v>0</v>
      </c>
      <c r="E88" s="49">
        <f>'Avg Week Buliisa-Hoima'!E88+'Avg Week Hoima-Buliisa'!E88</f>
        <v>0</v>
      </c>
      <c r="F88" s="49">
        <f>'Avg Week Buliisa-Hoima'!F88+'Avg Week Hoima-Buliisa'!F88</f>
        <v>0</v>
      </c>
      <c r="G88" s="49">
        <f>'Avg Week Buliisa-Hoima'!G88+'Avg Week Hoima-Buliisa'!G88</f>
        <v>0</v>
      </c>
      <c r="H88" s="49">
        <f>'Avg Week Buliisa-Hoima'!H88+'Avg Week Hoima-Buliisa'!H88</f>
        <v>0</v>
      </c>
      <c r="I88" s="49">
        <f>'Avg Week Buliisa-Hoima'!I88+'Avg Week Hoima-Buliisa'!I88</f>
        <v>0</v>
      </c>
      <c r="J88" s="49">
        <f>'Avg Week Buliisa-Hoima'!J88+'Avg Week Hoima-Buliisa'!J88</f>
        <v>0</v>
      </c>
      <c r="K88" s="49">
        <f>'Avg Week Buliisa-Hoima'!K88+'Avg Week Hoima-Buliisa'!K88</f>
        <v>0</v>
      </c>
      <c r="L88" s="49">
        <f>'Avg Week Buliisa-Hoima'!L88+'Avg Week Hoima-Buliisa'!L88</f>
        <v>0</v>
      </c>
      <c r="M88" s="49">
        <f>'Avg Week Buliisa-Hoima'!M88+'Avg Week Hoima-Buliisa'!M88</f>
        <v>1</v>
      </c>
      <c r="N88" s="49">
        <f>'Avg Week Buliisa-Hoima'!N88+'Avg Week Hoima-Buliisa'!N88</f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'Avg Week Buliisa-Hoima'!C89+'Avg Week Hoima-Buliisa'!C89</f>
        <v>0</v>
      </c>
      <c r="D89" s="49">
        <f>'Avg Week Buliisa-Hoima'!D89+'Avg Week Hoima-Buliisa'!D89</f>
        <v>0</v>
      </c>
      <c r="E89" s="49">
        <f>'Avg Week Buliisa-Hoima'!E89+'Avg Week Hoima-Buliisa'!E89</f>
        <v>0</v>
      </c>
      <c r="F89" s="49">
        <f>'Avg Week Buliisa-Hoima'!F89+'Avg Week Hoima-Buliisa'!F89</f>
        <v>0</v>
      </c>
      <c r="G89" s="49">
        <f>'Avg Week Buliisa-Hoima'!G89+'Avg Week Hoima-Buliisa'!G89</f>
        <v>0</v>
      </c>
      <c r="H89" s="49">
        <f>'Avg Week Buliisa-Hoima'!H89+'Avg Week Hoima-Buliisa'!H89</f>
        <v>0</v>
      </c>
      <c r="I89" s="49">
        <f>'Avg Week Buliisa-Hoima'!I89+'Avg Week Hoima-Buliisa'!I89</f>
        <v>0</v>
      </c>
      <c r="J89" s="49">
        <f>'Avg Week Buliisa-Hoima'!J89+'Avg Week Hoima-Buliisa'!J89</f>
        <v>0</v>
      </c>
      <c r="K89" s="49">
        <f>'Avg Week Buliisa-Hoima'!K89+'Avg Week Hoima-Buliisa'!K89</f>
        <v>0</v>
      </c>
      <c r="L89" s="49">
        <f>'Avg Week Buliisa-Hoima'!L89+'Avg Week Hoima-Buliisa'!L89</f>
        <v>0</v>
      </c>
      <c r="M89" s="49">
        <f>'Avg Week Buliisa-Hoima'!M89+'Avg Week Hoima-Buliisa'!M89</f>
        <v>0</v>
      </c>
      <c r="N89" s="49">
        <f>'Avg Week Buliisa-Hoima'!N89+'Avg Week Hoima-Buliisa'!N89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'Avg Week Buliisa-Hoima'!C90+'Avg Week Hoima-Buliisa'!C90</f>
        <v>0</v>
      </c>
      <c r="D90" s="49">
        <f>'Avg Week Buliisa-Hoima'!D90+'Avg Week Hoima-Buliisa'!D90</f>
        <v>0</v>
      </c>
      <c r="E90" s="49">
        <f>'Avg Week Buliisa-Hoima'!E90+'Avg Week Hoima-Buliisa'!E90</f>
        <v>0</v>
      </c>
      <c r="F90" s="49">
        <f>'Avg Week Buliisa-Hoima'!F90+'Avg Week Hoima-Buliisa'!F90</f>
        <v>0</v>
      </c>
      <c r="G90" s="49">
        <f>'Avg Week Buliisa-Hoima'!G90+'Avg Week Hoima-Buliisa'!G90</f>
        <v>0</v>
      </c>
      <c r="H90" s="49">
        <f>'Avg Week Buliisa-Hoima'!H90+'Avg Week Hoima-Buliisa'!H90</f>
        <v>0</v>
      </c>
      <c r="I90" s="49">
        <f>'Avg Week Buliisa-Hoima'!I90+'Avg Week Hoima-Buliisa'!I90</f>
        <v>0</v>
      </c>
      <c r="J90" s="49">
        <f>'Avg Week Buliisa-Hoima'!J90+'Avg Week Hoima-Buliisa'!J90</f>
        <v>0</v>
      </c>
      <c r="K90" s="49">
        <f>'Avg Week Buliisa-Hoima'!K90+'Avg Week Hoima-Buliisa'!K90</f>
        <v>0</v>
      </c>
      <c r="L90" s="49">
        <f>'Avg Week Buliisa-Hoima'!L90+'Avg Week Hoima-Buliisa'!L90</f>
        <v>0</v>
      </c>
      <c r="M90" s="49">
        <f>'Avg Week Buliisa-Hoima'!M90+'Avg Week Hoima-Buliisa'!M90</f>
        <v>1</v>
      </c>
      <c r="N90" s="49">
        <f>'Avg Week Buliisa-Hoima'!N90+'Avg Week Hoima-Buliisa'!N90</f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'Avg Week Buliisa-Hoima'!C91+'Avg Week Hoima-Buliisa'!C91</f>
        <v>0</v>
      </c>
      <c r="D91" s="49">
        <f>'Avg Week Buliisa-Hoima'!D91+'Avg Week Hoima-Buliisa'!D91</f>
        <v>0</v>
      </c>
      <c r="E91" s="49">
        <f>'Avg Week Buliisa-Hoima'!E91+'Avg Week Hoima-Buliisa'!E91</f>
        <v>0</v>
      </c>
      <c r="F91" s="49">
        <f>'Avg Week Buliisa-Hoima'!F91+'Avg Week Hoima-Buliisa'!F91</f>
        <v>0</v>
      </c>
      <c r="G91" s="49">
        <f>'Avg Week Buliisa-Hoima'!G91+'Avg Week Hoima-Buliisa'!G91</f>
        <v>0</v>
      </c>
      <c r="H91" s="49">
        <f>'Avg Week Buliisa-Hoima'!H91+'Avg Week Hoima-Buliisa'!H91</f>
        <v>0</v>
      </c>
      <c r="I91" s="49">
        <f>'Avg Week Buliisa-Hoima'!I91+'Avg Week Hoima-Buliisa'!I91</f>
        <v>0</v>
      </c>
      <c r="J91" s="49">
        <f>'Avg Week Buliisa-Hoima'!J91+'Avg Week Hoima-Buliisa'!J91</f>
        <v>0</v>
      </c>
      <c r="K91" s="49">
        <f>'Avg Week Buliisa-Hoima'!K91+'Avg Week Hoima-Buliisa'!K91</f>
        <v>0</v>
      </c>
      <c r="L91" s="49">
        <f>'Avg Week Buliisa-Hoima'!L91+'Avg Week Hoima-Buliisa'!L91</f>
        <v>0</v>
      </c>
      <c r="M91" s="49">
        <f>'Avg Week Buliisa-Hoima'!M91+'Avg Week Hoima-Buliisa'!M91</f>
        <v>0.5</v>
      </c>
      <c r="N91" s="49">
        <f>'Avg Week Buliisa-Hoima'!N91+'Avg Week Hoima-Buliisa'!N91</f>
        <v>0</v>
      </c>
      <c r="O91" s="15">
        <f t="shared" si="35"/>
        <v>0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'Avg Week Buliisa-Hoima'!C92+'Avg Week Hoima-Buliisa'!C92</f>
        <v>0</v>
      </c>
      <c r="D92" s="49">
        <f>'Avg Week Buliisa-Hoima'!D92+'Avg Week Hoima-Buliisa'!D92</f>
        <v>0</v>
      </c>
      <c r="E92" s="49">
        <f>'Avg Week Buliisa-Hoima'!E92+'Avg Week Hoima-Buliisa'!E92</f>
        <v>0</v>
      </c>
      <c r="F92" s="49">
        <f>'Avg Week Buliisa-Hoima'!F92+'Avg Week Hoima-Buliisa'!F92</f>
        <v>0</v>
      </c>
      <c r="G92" s="49">
        <f>'Avg Week Buliisa-Hoima'!G92+'Avg Week Hoima-Buliisa'!G92</f>
        <v>0.5</v>
      </c>
      <c r="H92" s="49">
        <f>'Avg Week Buliisa-Hoima'!H92+'Avg Week Hoima-Buliisa'!H92</f>
        <v>0</v>
      </c>
      <c r="I92" s="49">
        <f>'Avg Week Buliisa-Hoima'!I92+'Avg Week Hoima-Buliisa'!I92</f>
        <v>0</v>
      </c>
      <c r="J92" s="49">
        <f>'Avg Week Buliisa-Hoima'!J92+'Avg Week Hoima-Buliisa'!J92</f>
        <v>0</v>
      </c>
      <c r="K92" s="49">
        <f>'Avg Week Buliisa-Hoima'!K92+'Avg Week Hoima-Buliisa'!K92</f>
        <v>0.5</v>
      </c>
      <c r="L92" s="49">
        <f>'Avg Week Buliisa-Hoima'!L92+'Avg Week Hoima-Buliisa'!L92</f>
        <v>0</v>
      </c>
      <c r="M92" s="49">
        <f>'Avg Week Buliisa-Hoima'!M92+'Avg Week Hoima-Buliisa'!M92</f>
        <v>0</v>
      </c>
      <c r="N92" s="49">
        <f>'Avg Week Buliisa-Hoima'!N92+'Avg Week Hoima-Buliisa'!N92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'Avg Week Buliisa-Hoima'!C93+'Avg Week Hoima-Buliisa'!C93</f>
        <v>0</v>
      </c>
      <c r="D93" s="49">
        <f>'Avg Week Buliisa-Hoima'!D93+'Avg Week Hoima-Buliisa'!D93</f>
        <v>0</v>
      </c>
      <c r="E93" s="49">
        <f>'Avg Week Buliisa-Hoima'!E93+'Avg Week Hoima-Buliisa'!E93</f>
        <v>0</v>
      </c>
      <c r="F93" s="49">
        <f>'Avg Week Buliisa-Hoima'!F93+'Avg Week Hoima-Buliisa'!F93</f>
        <v>0</v>
      </c>
      <c r="G93" s="49">
        <f>'Avg Week Buliisa-Hoima'!G93+'Avg Week Hoima-Buliisa'!G93</f>
        <v>0</v>
      </c>
      <c r="H93" s="49">
        <f>'Avg Week Buliisa-Hoima'!H93+'Avg Week Hoima-Buliisa'!H93</f>
        <v>0</v>
      </c>
      <c r="I93" s="49">
        <f>'Avg Week Buliisa-Hoima'!I93+'Avg Week Hoima-Buliisa'!I93</f>
        <v>0</v>
      </c>
      <c r="J93" s="49">
        <f>'Avg Week Buliisa-Hoima'!J93+'Avg Week Hoima-Buliisa'!J93</f>
        <v>0</v>
      </c>
      <c r="K93" s="49">
        <f>'Avg Week Buliisa-Hoima'!K93+'Avg Week Hoima-Buliisa'!K93</f>
        <v>0</v>
      </c>
      <c r="L93" s="49">
        <f>'Avg Week Buliisa-Hoima'!L93+'Avg Week Hoima-Buliisa'!L93</f>
        <v>0</v>
      </c>
      <c r="M93" s="49">
        <f>'Avg Week Buliisa-Hoima'!M93+'Avg Week Hoima-Buliisa'!M93</f>
        <v>0.5</v>
      </c>
      <c r="N93" s="49">
        <f>'Avg Week Buliisa-Hoima'!N93+'Avg Week Hoima-Buliisa'!N93</f>
        <v>0</v>
      </c>
      <c r="O93" s="15">
        <f t="shared" si="35"/>
        <v>0</v>
      </c>
      <c r="P93" s="15">
        <f t="shared" si="36"/>
        <v>0.5</v>
      </c>
      <c r="R93" s="8"/>
      <c r="T93"/>
    </row>
    <row r="94" spans="2:20" ht="23.1" customHeight="1" x14ac:dyDescent="0.25">
      <c r="B94" s="24" t="s">
        <v>134</v>
      </c>
      <c r="C94" s="49">
        <f>'Avg Week Buliisa-Hoima'!C94+'Avg Week Hoima-Buliisa'!C94</f>
        <v>0</v>
      </c>
      <c r="D94" s="49">
        <f>'Avg Week Buliisa-Hoima'!D94+'Avg Week Hoima-Buliisa'!D94</f>
        <v>0</v>
      </c>
      <c r="E94" s="49">
        <f>'Avg Week Buliisa-Hoima'!E94+'Avg Week Hoima-Buliisa'!E94</f>
        <v>0</v>
      </c>
      <c r="F94" s="49">
        <f>'Avg Week Buliisa-Hoima'!F94+'Avg Week Hoima-Buliisa'!F94</f>
        <v>0</v>
      </c>
      <c r="G94" s="49">
        <f>'Avg Week Buliisa-Hoima'!G94+'Avg Week Hoima-Buliisa'!G94</f>
        <v>0</v>
      </c>
      <c r="H94" s="49">
        <f>'Avg Week Buliisa-Hoima'!H94+'Avg Week Hoima-Buliisa'!H94</f>
        <v>0</v>
      </c>
      <c r="I94" s="49">
        <f>'Avg Week Buliisa-Hoima'!I94+'Avg Week Hoima-Buliisa'!I94</f>
        <v>0</v>
      </c>
      <c r="J94" s="49">
        <f>'Avg Week Buliisa-Hoima'!J94+'Avg Week Hoima-Buliisa'!J94</f>
        <v>0</v>
      </c>
      <c r="K94" s="49">
        <f>'Avg Week Buliisa-Hoima'!K94+'Avg Week Hoima-Buliisa'!K94</f>
        <v>0</v>
      </c>
      <c r="L94" s="49">
        <f>'Avg Week Buliisa-Hoima'!L94+'Avg Week Hoima-Buliisa'!L94</f>
        <v>0</v>
      </c>
      <c r="M94" s="49">
        <f>'Avg Week Buliisa-Hoima'!M94+'Avg Week Hoima-Buliisa'!M94</f>
        <v>1.5</v>
      </c>
      <c r="N94" s="49">
        <f>'Avg Week Buliisa-Hoima'!N94+'Avg Week Hoima-Buliisa'!N94</f>
        <v>0</v>
      </c>
      <c r="O94" s="15">
        <f t="shared" si="35"/>
        <v>0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'Avg Week Buliisa-Hoima'!C95+'Avg Week Hoima-Buliisa'!C95</f>
        <v>0</v>
      </c>
      <c r="D95" s="49">
        <f>'Avg Week Buliisa-Hoima'!D95+'Avg Week Hoima-Buliisa'!D95</f>
        <v>0</v>
      </c>
      <c r="E95" s="49">
        <f>'Avg Week Buliisa-Hoima'!E95+'Avg Week Hoima-Buliisa'!E95</f>
        <v>0</v>
      </c>
      <c r="F95" s="49">
        <f>'Avg Week Buliisa-Hoima'!F95+'Avg Week Hoima-Buliisa'!F95</f>
        <v>0.5</v>
      </c>
      <c r="G95" s="49">
        <f>'Avg Week Buliisa-Hoima'!G95+'Avg Week Hoima-Buliisa'!G95</f>
        <v>0</v>
      </c>
      <c r="H95" s="49">
        <f>'Avg Week Buliisa-Hoima'!H95+'Avg Week Hoima-Buliisa'!H95</f>
        <v>0</v>
      </c>
      <c r="I95" s="49">
        <f>'Avg Week Buliisa-Hoima'!I95+'Avg Week Hoima-Buliisa'!I95</f>
        <v>0</v>
      </c>
      <c r="J95" s="49">
        <f>'Avg Week Buliisa-Hoima'!J95+'Avg Week Hoima-Buliisa'!J95</f>
        <v>0</v>
      </c>
      <c r="K95" s="49">
        <f>'Avg Week Buliisa-Hoima'!K95+'Avg Week Hoima-Buliisa'!K95</f>
        <v>0</v>
      </c>
      <c r="L95" s="49">
        <f>'Avg Week Buliisa-Hoima'!L95+'Avg Week Hoima-Buliisa'!L95</f>
        <v>0</v>
      </c>
      <c r="M95" s="49">
        <f>'Avg Week Buliisa-Hoima'!M95+'Avg Week Hoima-Buliisa'!M95</f>
        <v>1.5</v>
      </c>
      <c r="N95" s="49">
        <f>'Avg Week Buliisa-Hoima'!N95+'Avg Week Hoima-Buliisa'!N95</f>
        <v>0</v>
      </c>
      <c r="O95" s="15">
        <f t="shared" si="35"/>
        <v>0.5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'Avg Week Buliisa-Hoima'!C96+'Avg Week Hoima-Buliisa'!C96</f>
        <v>0</v>
      </c>
      <c r="D96" s="49">
        <f>'Avg Week Buliisa-Hoima'!D96+'Avg Week Hoima-Buliisa'!D96</f>
        <v>0</v>
      </c>
      <c r="E96" s="49">
        <f>'Avg Week Buliisa-Hoima'!E96+'Avg Week Hoima-Buliisa'!E96</f>
        <v>0</v>
      </c>
      <c r="F96" s="49">
        <f>'Avg Week Buliisa-Hoima'!F96+'Avg Week Hoima-Buliisa'!F96</f>
        <v>0</v>
      </c>
      <c r="G96" s="49">
        <f>'Avg Week Buliisa-Hoima'!G96+'Avg Week Hoima-Buliisa'!G96</f>
        <v>0</v>
      </c>
      <c r="H96" s="49">
        <f>'Avg Week Buliisa-Hoima'!H96+'Avg Week Hoima-Buliisa'!H96</f>
        <v>0</v>
      </c>
      <c r="I96" s="49">
        <f>'Avg Week Buliisa-Hoima'!I96+'Avg Week Hoima-Buliisa'!I96</f>
        <v>0</v>
      </c>
      <c r="J96" s="49">
        <f>'Avg Week Buliisa-Hoima'!J96+'Avg Week Hoima-Buliisa'!J96</f>
        <v>0</v>
      </c>
      <c r="K96" s="49">
        <f>'Avg Week Buliisa-Hoima'!K96+'Avg Week Hoima-Buliisa'!K96</f>
        <v>0</v>
      </c>
      <c r="L96" s="49">
        <f>'Avg Week Buliisa-Hoima'!L96+'Avg Week Hoima-Buliisa'!L96</f>
        <v>0</v>
      </c>
      <c r="M96" s="49">
        <f>'Avg Week Buliisa-Hoima'!M96+'Avg Week Hoima-Buliisa'!M96</f>
        <v>0</v>
      </c>
      <c r="N96" s="49">
        <f>'Avg Week Buliisa-Hoima'!N96+'Avg Week Hoima-Buliisa'!N96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'Avg Week Buliisa-Hoima'!C97+'Avg Week Hoima-Buliisa'!C97</f>
        <v>0</v>
      </c>
      <c r="D97" s="49">
        <f>'Avg Week Buliisa-Hoima'!D97+'Avg Week Hoima-Buliisa'!D97</f>
        <v>0</v>
      </c>
      <c r="E97" s="49">
        <f>'Avg Week Buliisa-Hoima'!E97+'Avg Week Hoima-Buliisa'!E97</f>
        <v>0</v>
      </c>
      <c r="F97" s="49">
        <f>'Avg Week Buliisa-Hoima'!F97+'Avg Week Hoima-Buliisa'!F97</f>
        <v>0</v>
      </c>
      <c r="G97" s="49">
        <f>'Avg Week Buliisa-Hoima'!G97+'Avg Week Hoima-Buliisa'!G97</f>
        <v>0</v>
      </c>
      <c r="H97" s="49">
        <f>'Avg Week Buliisa-Hoima'!H97+'Avg Week Hoima-Buliisa'!H97</f>
        <v>0</v>
      </c>
      <c r="I97" s="49">
        <f>'Avg Week Buliisa-Hoima'!I97+'Avg Week Hoima-Buliisa'!I97</f>
        <v>0</v>
      </c>
      <c r="J97" s="49">
        <f>'Avg Week Buliisa-Hoima'!J97+'Avg Week Hoima-Buliisa'!J97</f>
        <v>0</v>
      </c>
      <c r="K97" s="49">
        <f>'Avg Week Buliisa-Hoima'!K97+'Avg Week Hoima-Buliisa'!K97</f>
        <v>0</v>
      </c>
      <c r="L97" s="49">
        <f>'Avg Week Buliisa-Hoima'!L97+'Avg Week Hoima-Buliisa'!L97</f>
        <v>0</v>
      </c>
      <c r="M97" s="49">
        <f>'Avg Week Buliisa-Hoima'!M97+'Avg Week Hoima-Buliisa'!M97</f>
        <v>1</v>
      </c>
      <c r="N97" s="49">
        <f>'Avg Week Buliisa-Hoima'!N97+'Avg Week Hoima-Buliisa'!N97</f>
        <v>0</v>
      </c>
      <c r="O97" s="15">
        <f t="shared" si="35"/>
        <v>0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'Avg Week Buliisa-Hoima'!C98+'Avg Week Hoima-Buliisa'!C98</f>
        <v>0</v>
      </c>
      <c r="D98" s="49">
        <f>'Avg Week Buliisa-Hoima'!D98+'Avg Week Hoima-Buliisa'!D98</f>
        <v>0</v>
      </c>
      <c r="E98" s="49">
        <f>'Avg Week Buliisa-Hoima'!E98+'Avg Week Hoima-Buliisa'!E98</f>
        <v>0</v>
      </c>
      <c r="F98" s="49">
        <f>'Avg Week Buliisa-Hoima'!F98+'Avg Week Hoima-Buliisa'!F98</f>
        <v>0</v>
      </c>
      <c r="G98" s="49">
        <f>'Avg Week Buliisa-Hoima'!G98+'Avg Week Hoima-Buliisa'!G98</f>
        <v>0</v>
      </c>
      <c r="H98" s="49">
        <f>'Avg Week Buliisa-Hoima'!H98+'Avg Week Hoima-Buliisa'!H98</f>
        <v>0</v>
      </c>
      <c r="I98" s="49">
        <f>'Avg Week Buliisa-Hoima'!I98+'Avg Week Hoima-Buliisa'!I98</f>
        <v>0</v>
      </c>
      <c r="J98" s="49">
        <f>'Avg Week Buliisa-Hoima'!J98+'Avg Week Hoima-Buliisa'!J98</f>
        <v>0</v>
      </c>
      <c r="K98" s="49">
        <f>'Avg Week Buliisa-Hoima'!K98+'Avg Week Hoima-Buliisa'!K98</f>
        <v>0</v>
      </c>
      <c r="L98" s="49">
        <f>'Avg Week Buliisa-Hoima'!L98+'Avg Week Hoima-Buliisa'!L98</f>
        <v>0</v>
      </c>
      <c r="M98" s="49">
        <f>'Avg Week Buliisa-Hoima'!M98+'Avg Week Hoima-Buliisa'!M98</f>
        <v>1.5</v>
      </c>
      <c r="N98" s="49">
        <f>'Avg Week Buliisa-Hoima'!N98+'Avg Week Hoima-Buliisa'!N98</f>
        <v>0</v>
      </c>
      <c r="O98" s="15">
        <f t="shared" si="35"/>
        <v>0</v>
      </c>
      <c r="P98" s="15">
        <f t="shared" si="36"/>
        <v>1.5</v>
      </c>
      <c r="R98" s="8"/>
      <c r="T98"/>
    </row>
    <row r="99" spans="2:20" ht="23.1" customHeight="1" x14ac:dyDescent="0.25">
      <c r="B99" s="23" t="s">
        <v>139</v>
      </c>
      <c r="C99" s="49">
        <f>'Avg Week Buliisa-Hoima'!C99+'Avg Week Hoima-Buliisa'!C99</f>
        <v>0</v>
      </c>
      <c r="D99" s="49">
        <f>'Avg Week Buliisa-Hoima'!D99+'Avg Week Hoima-Buliisa'!D99</f>
        <v>0</v>
      </c>
      <c r="E99" s="49">
        <f>'Avg Week Buliisa-Hoima'!E99+'Avg Week Hoima-Buliisa'!E99</f>
        <v>0</v>
      </c>
      <c r="F99" s="49">
        <f>'Avg Week Buliisa-Hoima'!F99+'Avg Week Hoima-Buliisa'!F99</f>
        <v>0</v>
      </c>
      <c r="G99" s="49">
        <f>'Avg Week Buliisa-Hoima'!G99+'Avg Week Hoima-Buliisa'!G99</f>
        <v>0</v>
      </c>
      <c r="H99" s="49">
        <f>'Avg Week Buliisa-Hoima'!H99+'Avg Week Hoima-Buliisa'!H99</f>
        <v>0</v>
      </c>
      <c r="I99" s="49">
        <f>'Avg Week Buliisa-Hoima'!I99+'Avg Week Hoima-Buliisa'!I99</f>
        <v>0</v>
      </c>
      <c r="J99" s="49">
        <f>'Avg Week Buliisa-Hoima'!J99+'Avg Week Hoima-Buliisa'!J99</f>
        <v>0</v>
      </c>
      <c r="K99" s="49">
        <f>'Avg Week Buliisa-Hoima'!K99+'Avg Week Hoima-Buliisa'!K99</f>
        <v>0</v>
      </c>
      <c r="L99" s="49">
        <f>'Avg Week Buliisa-Hoima'!L99+'Avg Week Hoima-Buliisa'!L99</f>
        <v>0</v>
      </c>
      <c r="M99" s="49">
        <f>'Avg Week Buliisa-Hoima'!M99+'Avg Week Hoima-Buliisa'!M99</f>
        <v>1</v>
      </c>
      <c r="N99" s="49">
        <f>'Avg Week Buliisa-Hoima'!N99+'Avg Week Hoima-Buliisa'!N99</f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'Avg Week Buliisa-Hoima'!C100+'Avg Week Hoima-Buliisa'!C100</f>
        <v>0</v>
      </c>
      <c r="D100" s="49">
        <f>'Avg Week Buliisa-Hoima'!D100+'Avg Week Hoima-Buliisa'!D100</f>
        <v>0</v>
      </c>
      <c r="E100" s="49">
        <f>'Avg Week Buliisa-Hoima'!E100+'Avg Week Hoima-Buliisa'!E100</f>
        <v>0</v>
      </c>
      <c r="F100" s="49">
        <f>'Avg Week Buliisa-Hoima'!F100+'Avg Week Hoima-Buliisa'!F100</f>
        <v>0.5</v>
      </c>
      <c r="G100" s="49">
        <f>'Avg Week Buliisa-Hoima'!G100+'Avg Week Hoima-Buliisa'!G100</f>
        <v>0</v>
      </c>
      <c r="H100" s="49">
        <f>'Avg Week Buliisa-Hoima'!H100+'Avg Week Hoima-Buliisa'!H100</f>
        <v>0</v>
      </c>
      <c r="I100" s="49">
        <f>'Avg Week Buliisa-Hoima'!I100+'Avg Week Hoima-Buliisa'!I100</f>
        <v>0</v>
      </c>
      <c r="J100" s="49">
        <f>'Avg Week Buliisa-Hoima'!J100+'Avg Week Hoima-Buliisa'!J100</f>
        <v>0</v>
      </c>
      <c r="K100" s="49">
        <f>'Avg Week Buliisa-Hoima'!K100+'Avg Week Hoima-Buliisa'!K100</f>
        <v>0</v>
      </c>
      <c r="L100" s="49">
        <f>'Avg Week Buliisa-Hoima'!L100+'Avg Week Hoima-Buliisa'!L100</f>
        <v>0</v>
      </c>
      <c r="M100" s="49">
        <f>'Avg Week Buliisa-Hoima'!M100+'Avg Week Hoima-Buliisa'!M100</f>
        <v>1.5</v>
      </c>
      <c r="N100" s="49">
        <f>'Avg Week Buliisa-Hoima'!N100+'Avg Week Hoima-Buliisa'!N100</f>
        <v>0</v>
      </c>
      <c r="O100" s="15">
        <f t="shared" si="35"/>
        <v>0.5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'Avg Week Buliisa-Hoima'!C101+'Avg Week Hoima-Buliisa'!C101</f>
        <v>0</v>
      </c>
      <c r="D101" s="49">
        <f>'Avg Week Buliisa-Hoima'!D101+'Avg Week Hoima-Buliisa'!D101</f>
        <v>0</v>
      </c>
      <c r="E101" s="49">
        <f>'Avg Week Buliisa-Hoima'!E101+'Avg Week Hoima-Buliisa'!E101</f>
        <v>0</v>
      </c>
      <c r="F101" s="49">
        <f>'Avg Week Buliisa-Hoima'!F101+'Avg Week Hoima-Buliisa'!F101</f>
        <v>0</v>
      </c>
      <c r="G101" s="49">
        <f>'Avg Week Buliisa-Hoima'!G101+'Avg Week Hoima-Buliisa'!G101</f>
        <v>0</v>
      </c>
      <c r="H101" s="49">
        <f>'Avg Week Buliisa-Hoima'!H101+'Avg Week Hoima-Buliisa'!H101</f>
        <v>0</v>
      </c>
      <c r="I101" s="49">
        <f>'Avg Week Buliisa-Hoima'!I101+'Avg Week Hoima-Buliisa'!I101</f>
        <v>0</v>
      </c>
      <c r="J101" s="49">
        <f>'Avg Week Buliisa-Hoima'!J101+'Avg Week Hoima-Buliisa'!J101</f>
        <v>0</v>
      </c>
      <c r="K101" s="49">
        <f>'Avg Week Buliisa-Hoima'!K101+'Avg Week Hoima-Buliisa'!K101</f>
        <v>0</v>
      </c>
      <c r="L101" s="49">
        <f>'Avg Week Buliisa-Hoima'!L101+'Avg Week Hoima-Buliisa'!L101</f>
        <v>0</v>
      </c>
      <c r="M101" s="49">
        <f>'Avg Week Buliisa-Hoima'!M101+'Avg Week Hoima-Buliisa'!M101</f>
        <v>2</v>
      </c>
      <c r="N101" s="49">
        <f>'Avg Week Buliisa-Hoima'!N101+'Avg Week Hoima-Buliisa'!N101</f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'Avg Week Buliisa-Hoima'!C102+'Avg Week Hoima-Buliisa'!C102</f>
        <v>0</v>
      </c>
      <c r="D102" s="49">
        <f>'Avg Week Buliisa-Hoima'!D102+'Avg Week Hoima-Buliisa'!D102</f>
        <v>0</v>
      </c>
      <c r="E102" s="49">
        <f>'Avg Week Buliisa-Hoima'!E102+'Avg Week Hoima-Buliisa'!E102</f>
        <v>0</v>
      </c>
      <c r="F102" s="49">
        <f>'Avg Week Buliisa-Hoima'!F102+'Avg Week Hoima-Buliisa'!F102</f>
        <v>0.5</v>
      </c>
      <c r="G102" s="49">
        <f>'Avg Week Buliisa-Hoima'!G102+'Avg Week Hoima-Buliisa'!G102</f>
        <v>0</v>
      </c>
      <c r="H102" s="49">
        <f>'Avg Week Buliisa-Hoima'!H102+'Avg Week Hoima-Buliisa'!H102</f>
        <v>0</v>
      </c>
      <c r="I102" s="49">
        <f>'Avg Week Buliisa-Hoima'!I102+'Avg Week Hoima-Buliisa'!I102</f>
        <v>0</v>
      </c>
      <c r="J102" s="49">
        <f>'Avg Week Buliisa-Hoima'!J102+'Avg Week Hoima-Buliisa'!J102</f>
        <v>0</v>
      </c>
      <c r="K102" s="49">
        <f>'Avg Week Buliisa-Hoima'!K102+'Avg Week Hoima-Buliisa'!K102</f>
        <v>0</v>
      </c>
      <c r="L102" s="49">
        <f>'Avg Week Buliisa-Hoima'!L102+'Avg Week Hoima-Buliisa'!L102</f>
        <v>0</v>
      </c>
      <c r="M102" s="49">
        <f>'Avg Week Buliisa-Hoima'!M102+'Avg Week Hoima-Buliisa'!M102</f>
        <v>0.5</v>
      </c>
      <c r="N102" s="49">
        <f>'Avg Week Buliisa-Hoima'!N102+'Avg Week Hoima-Buliisa'!N102</f>
        <v>0</v>
      </c>
      <c r="O102" s="15">
        <f t="shared" si="35"/>
        <v>0.5</v>
      </c>
      <c r="P102" s="15">
        <f t="shared" si="36"/>
        <v>1</v>
      </c>
      <c r="R102" s="8"/>
      <c r="T102"/>
    </row>
    <row r="103" spans="2:20" ht="23.1" customHeight="1" x14ac:dyDescent="0.25">
      <c r="B103" s="23" t="s">
        <v>143</v>
      </c>
      <c r="C103" s="49">
        <f>'Avg Week Buliisa-Hoima'!C103+'Avg Week Hoima-Buliisa'!C103</f>
        <v>0</v>
      </c>
      <c r="D103" s="49">
        <f>'Avg Week Buliisa-Hoima'!D103+'Avg Week Hoima-Buliisa'!D103</f>
        <v>0</v>
      </c>
      <c r="E103" s="49">
        <f>'Avg Week Buliisa-Hoima'!E103+'Avg Week Hoima-Buliisa'!E103</f>
        <v>0</v>
      </c>
      <c r="F103" s="49">
        <f>'Avg Week Buliisa-Hoima'!F103+'Avg Week Hoima-Buliisa'!F103</f>
        <v>1</v>
      </c>
      <c r="G103" s="49">
        <f>'Avg Week Buliisa-Hoima'!G103+'Avg Week Hoima-Buliisa'!G103</f>
        <v>0</v>
      </c>
      <c r="H103" s="49">
        <f>'Avg Week Buliisa-Hoima'!H103+'Avg Week Hoima-Buliisa'!H103</f>
        <v>0</v>
      </c>
      <c r="I103" s="49">
        <f>'Avg Week Buliisa-Hoima'!I103+'Avg Week Hoima-Buliisa'!I103</f>
        <v>0</v>
      </c>
      <c r="J103" s="49">
        <f>'Avg Week Buliisa-Hoima'!J103+'Avg Week Hoima-Buliisa'!J103</f>
        <v>0</v>
      </c>
      <c r="K103" s="49">
        <f>'Avg Week Buliisa-Hoima'!K103+'Avg Week Hoima-Buliisa'!K103</f>
        <v>0</v>
      </c>
      <c r="L103" s="49">
        <f>'Avg Week Buliisa-Hoima'!L103+'Avg Week Hoima-Buliisa'!L103</f>
        <v>0</v>
      </c>
      <c r="M103" s="49">
        <f>'Avg Week Buliisa-Hoima'!M103+'Avg Week Hoima-Buliisa'!M103</f>
        <v>4</v>
      </c>
      <c r="N103" s="49">
        <f>'Avg Week Buliisa-Hoima'!N103+'Avg Week Hoima-Buliisa'!N103</f>
        <v>0</v>
      </c>
      <c r="O103" s="15">
        <f t="shared" si="35"/>
        <v>1</v>
      </c>
      <c r="P103" s="15">
        <f t="shared" si="36"/>
        <v>5</v>
      </c>
      <c r="R103" s="8"/>
      <c r="T103"/>
    </row>
    <row r="104" spans="2:20" ht="23.1" customHeight="1" x14ac:dyDescent="0.25">
      <c r="B104" s="25" t="s">
        <v>144</v>
      </c>
      <c r="C104" s="49">
        <f>'Avg Week Buliisa-Hoima'!C104+'Avg Week Hoima-Buliisa'!C104</f>
        <v>0</v>
      </c>
      <c r="D104" s="49">
        <f>'Avg Week Buliisa-Hoima'!D104+'Avg Week Hoima-Buliisa'!D104</f>
        <v>0</v>
      </c>
      <c r="E104" s="49">
        <f>'Avg Week Buliisa-Hoima'!E104+'Avg Week Hoima-Buliisa'!E104</f>
        <v>0</v>
      </c>
      <c r="F104" s="49">
        <f>'Avg Week Buliisa-Hoima'!F104+'Avg Week Hoima-Buliisa'!F104</f>
        <v>0</v>
      </c>
      <c r="G104" s="49">
        <f>'Avg Week Buliisa-Hoima'!G104+'Avg Week Hoima-Buliisa'!G104</f>
        <v>0</v>
      </c>
      <c r="H104" s="49">
        <f>'Avg Week Buliisa-Hoima'!H104+'Avg Week Hoima-Buliisa'!H104</f>
        <v>0</v>
      </c>
      <c r="I104" s="49">
        <f>'Avg Week Buliisa-Hoima'!I104+'Avg Week Hoima-Buliisa'!I104</f>
        <v>0</v>
      </c>
      <c r="J104" s="49">
        <f>'Avg Week Buliisa-Hoima'!J104+'Avg Week Hoima-Buliisa'!J104</f>
        <v>0</v>
      </c>
      <c r="K104" s="49">
        <f>'Avg Week Buliisa-Hoima'!K104+'Avg Week Hoima-Buliisa'!K104</f>
        <v>0</v>
      </c>
      <c r="L104" s="49">
        <f>'Avg Week Buliisa-Hoima'!L104+'Avg Week Hoima-Buliisa'!L104</f>
        <v>0</v>
      </c>
      <c r="M104" s="49">
        <f>'Avg Week Buliisa-Hoima'!M104+'Avg Week Hoima-Buliisa'!M104</f>
        <v>3.5</v>
      </c>
      <c r="N104" s="49">
        <f>'Avg Week Buliisa-Hoima'!N104+'Avg Week Hoima-Buliisa'!N104</f>
        <v>0</v>
      </c>
      <c r="O104" s="15">
        <f t="shared" si="35"/>
        <v>0</v>
      </c>
      <c r="P104" s="15">
        <f t="shared" si="36"/>
        <v>3.5</v>
      </c>
      <c r="R104" s="8"/>
      <c r="T104"/>
    </row>
    <row r="105" spans="2:20" ht="23.1" customHeight="1" x14ac:dyDescent="0.25">
      <c r="B105" s="23" t="s">
        <v>145</v>
      </c>
      <c r="C105" s="49">
        <f>'Avg Week Buliisa-Hoima'!C105+'Avg Week Hoima-Buliisa'!C105</f>
        <v>0</v>
      </c>
      <c r="D105" s="49">
        <f>'Avg Week Buliisa-Hoima'!D105+'Avg Week Hoima-Buliisa'!D105</f>
        <v>0</v>
      </c>
      <c r="E105" s="49">
        <f>'Avg Week Buliisa-Hoima'!E105+'Avg Week Hoima-Buliisa'!E105</f>
        <v>0</v>
      </c>
      <c r="F105" s="49">
        <f>'Avg Week Buliisa-Hoima'!F105+'Avg Week Hoima-Buliisa'!F105</f>
        <v>0.5</v>
      </c>
      <c r="G105" s="49">
        <f>'Avg Week Buliisa-Hoima'!G105+'Avg Week Hoima-Buliisa'!G105</f>
        <v>0</v>
      </c>
      <c r="H105" s="49">
        <f>'Avg Week Buliisa-Hoima'!H105+'Avg Week Hoima-Buliisa'!H105</f>
        <v>0</v>
      </c>
      <c r="I105" s="49">
        <f>'Avg Week Buliisa-Hoima'!I105+'Avg Week Hoima-Buliisa'!I105</f>
        <v>0</v>
      </c>
      <c r="J105" s="49">
        <f>'Avg Week Buliisa-Hoima'!J105+'Avg Week Hoima-Buliisa'!J105</f>
        <v>0.5</v>
      </c>
      <c r="K105" s="49">
        <f>'Avg Week Buliisa-Hoima'!K105+'Avg Week Hoima-Buliisa'!K105</f>
        <v>0</v>
      </c>
      <c r="L105" s="49">
        <f>'Avg Week Buliisa-Hoima'!L105+'Avg Week Hoima-Buliisa'!L105</f>
        <v>0</v>
      </c>
      <c r="M105" s="49">
        <f>'Avg Week Buliisa-Hoima'!M105+'Avg Week Hoima-Buliisa'!M105</f>
        <v>9</v>
      </c>
      <c r="N105" s="49">
        <f>'Avg Week Buliisa-Hoima'!N105+'Avg Week Hoima-Buliisa'!N105</f>
        <v>0</v>
      </c>
      <c r="O105" s="15">
        <f t="shared" si="35"/>
        <v>1</v>
      </c>
      <c r="P105" s="15">
        <f t="shared" si="36"/>
        <v>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26.357142857142851</v>
      </c>
      <c r="D106" s="16">
        <f t="shared" ref="D106:P106" si="37">SUM(D10:D105)</f>
        <v>14.714285714285719</v>
      </c>
      <c r="E106" s="16">
        <f t="shared" si="37"/>
        <v>39.428571428571431</v>
      </c>
      <c r="F106" s="16">
        <f t="shared" si="37"/>
        <v>79.619047619047606</v>
      </c>
      <c r="G106" s="16">
        <f t="shared" si="37"/>
        <v>2.1428571428571428</v>
      </c>
      <c r="H106" s="16">
        <f t="shared" si="37"/>
        <v>0.2857142857142857</v>
      </c>
      <c r="I106" s="16">
        <f t="shared" si="37"/>
        <v>9.9285714285714306</v>
      </c>
      <c r="J106" s="16">
        <f t="shared" si="37"/>
        <v>11.714285714285714</v>
      </c>
      <c r="K106" s="16">
        <f t="shared" si="37"/>
        <v>8.8571428571428577</v>
      </c>
      <c r="L106" s="16">
        <f t="shared" si="37"/>
        <v>1.4285714285714284</v>
      </c>
      <c r="M106" s="16">
        <f t="shared" si="37"/>
        <v>526.07142857142856</v>
      </c>
      <c r="N106" s="16">
        <f t="shared" si="37"/>
        <v>0</v>
      </c>
      <c r="O106" s="16">
        <f t="shared" si="37"/>
        <v>194.47619047619051</v>
      </c>
      <c r="P106" s="16">
        <f t="shared" si="37"/>
        <v>720.54761904761892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3.6579321283415386E-2</v>
      </c>
      <c r="D107" s="43">
        <f t="shared" si="38"/>
        <v>2.0420976109440582E-2</v>
      </c>
      <c r="E107" s="43">
        <f t="shared" si="38"/>
        <v>5.4720285497141738E-2</v>
      </c>
      <c r="F107" s="43">
        <f t="shared" si="38"/>
        <v>0.11049796781548425</v>
      </c>
      <c r="G107" s="43">
        <f t="shared" si="38"/>
        <v>2.973928559627268E-3</v>
      </c>
      <c r="H107" s="43">
        <f t="shared" si="38"/>
        <v>3.9652380795030239E-4</v>
      </c>
      <c r="I107" s="43">
        <f t="shared" si="38"/>
        <v>1.3779202326273011E-2</v>
      </c>
      <c r="J107" s="43">
        <f t="shared" si="38"/>
        <v>1.6257476125962397E-2</v>
      </c>
      <c r="K107" s="43">
        <f t="shared" si="38"/>
        <v>1.2292238046459375E-2</v>
      </c>
      <c r="L107" s="43">
        <f t="shared" si="38"/>
        <v>1.9826190397515117E-3</v>
      </c>
      <c r="M107" s="43">
        <f t="shared" si="38"/>
        <v>0.73009946138849435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0.13552889324191963</v>
      </c>
      <c r="D108" s="44">
        <f t="shared" ref="D108:N108" si="39">D106/$O$106</f>
        <v>7.5661116552399613E-2</v>
      </c>
      <c r="E108" s="44">
        <f t="shared" si="39"/>
        <v>0.20274240940254651</v>
      </c>
      <c r="F108" s="44">
        <f t="shared" si="39"/>
        <v>0.4094025465230165</v>
      </c>
      <c r="G108" s="44">
        <f t="shared" si="39"/>
        <v>1.1018609206660136E-2</v>
      </c>
      <c r="H108" s="44">
        <f t="shared" si="39"/>
        <v>1.4691478942213513E-3</v>
      </c>
      <c r="I108" s="44">
        <f t="shared" si="39"/>
        <v>5.1052889324191969E-2</v>
      </c>
      <c r="J108" s="44">
        <f t="shared" si="39"/>
        <v>6.0235063663075399E-2</v>
      </c>
      <c r="K108" s="44">
        <f t="shared" si="39"/>
        <v>4.5543584720861896E-2</v>
      </c>
      <c r="L108" s="44">
        <f t="shared" si="39"/>
        <v>7.3457394711067556E-3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25.10 BULIISA-HOIMA</vt:lpstr>
      <vt:lpstr>25.10 HOIMA-BULIISA</vt:lpstr>
      <vt:lpstr>26.10 BULIISA-HOIMA-24h</vt:lpstr>
      <vt:lpstr>26.10 HOIMA-BULIISA-24h</vt:lpstr>
      <vt:lpstr>27.10 BULIISA-HOIMA</vt:lpstr>
      <vt:lpstr>27.10 HOIMA-BULIISA</vt:lpstr>
      <vt:lpstr>28.10 BULIISA-HOIMA-24h</vt:lpstr>
      <vt:lpstr>28.10 HOIMA-BULIISA-24h</vt:lpstr>
      <vt:lpstr>29.10 BULIISA-HOIMA</vt:lpstr>
      <vt:lpstr>29.10 HOIMA-BULIISA</vt:lpstr>
      <vt:lpstr>30.10 BULIISA-HOIMA</vt:lpstr>
      <vt:lpstr>30.10 HOIMA-BULIISA</vt:lpstr>
      <vt:lpstr>31.10 BULIISA-HOIMA</vt:lpstr>
      <vt:lpstr>31.10 HOIMA-BULIISA</vt:lpstr>
      <vt:lpstr>Avg Week Buliisa-Hoima</vt:lpstr>
      <vt:lpstr>Avg Week Hoima-Buliisa</vt:lpstr>
      <vt:lpstr>Avg Week Buliisa-Hoima-2Dir</vt:lpstr>
      <vt:lpstr>'25.10 BULIISA-HOIMA'!Print_Area</vt:lpstr>
      <vt:lpstr>'25.10 HOIMA-BULIISA'!Print_Area</vt:lpstr>
      <vt:lpstr>'26.10 BULIISA-HOIMA-24h'!Print_Area</vt:lpstr>
      <vt:lpstr>'26.10 HOIMA-BULIISA-24h'!Print_Area</vt:lpstr>
      <vt:lpstr>'27.10 BULIISA-HOIMA'!Print_Area</vt:lpstr>
      <vt:lpstr>'27.10 HOIMA-BULIISA'!Print_Area</vt:lpstr>
      <vt:lpstr>'28.10 BULIISA-HOIMA-24h'!Print_Area</vt:lpstr>
      <vt:lpstr>'28.10 HOIMA-BULIISA-24h'!Print_Area</vt:lpstr>
      <vt:lpstr>'29.10 BULIISA-HOIMA'!Print_Area</vt:lpstr>
      <vt:lpstr>'29.10 HOIMA-BULIISA'!Print_Area</vt:lpstr>
      <vt:lpstr>'30.10 BULIISA-HOIMA'!Print_Area</vt:lpstr>
      <vt:lpstr>'30.10 HOIMA-BULIISA'!Print_Area</vt:lpstr>
      <vt:lpstr>'31.10 BULIISA-HOIMA'!Print_Area</vt:lpstr>
      <vt:lpstr>'31.10 HOIMA-BULIISA'!Print_Area</vt:lpstr>
      <vt:lpstr>'Avg Week Buliisa-Hoima'!Print_Area</vt:lpstr>
      <vt:lpstr>'Avg Week Buliisa-Hoima-2Dir'!Print_Area</vt:lpstr>
      <vt:lpstr>'Avg Week Hoima-Buliisa'!Print_Area</vt:lpstr>
      <vt:lpstr>'25.10 BULIISA-HOIMA'!Print_Titles</vt:lpstr>
      <vt:lpstr>'25.10 HOIMA-BULIISA'!Print_Titles</vt:lpstr>
      <vt:lpstr>'26.10 BULIISA-HOIMA-24h'!Print_Titles</vt:lpstr>
      <vt:lpstr>'26.10 HOIMA-BULIISA-24h'!Print_Titles</vt:lpstr>
      <vt:lpstr>'27.10 BULIISA-HOIMA'!Print_Titles</vt:lpstr>
      <vt:lpstr>'27.10 HOIMA-BULIISA'!Print_Titles</vt:lpstr>
      <vt:lpstr>'28.10 BULIISA-HOIMA-24h'!Print_Titles</vt:lpstr>
      <vt:lpstr>'28.10 HOIMA-BULIISA-24h'!Print_Titles</vt:lpstr>
      <vt:lpstr>'29.10 BULIISA-HOIMA'!Print_Titles</vt:lpstr>
      <vt:lpstr>'29.10 HOIMA-BULIISA'!Print_Titles</vt:lpstr>
      <vt:lpstr>'30.10 BULIISA-HOIMA'!Print_Titles</vt:lpstr>
      <vt:lpstr>'30.10 HOIMA-BULIISA'!Print_Titles</vt:lpstr>
      <vt:lpstr>'31.10 BULIISA-HOIMA'!Print_Titles</vt:lpstr>
      <vt:lpstr>'31.10 HOIMA-BULIISA'!Print_Titles</vt:lpstr>
      <vt:lpstr>'Avg Week Buliisa-Hoima'!Print_Titles</vt:lpstr>
      <vt:lpstr>'Avg Week Buliisa-Hoima-2Dir'!Print_Titles</vt:lpstr>
      <vt:lpstr>'Avg Week Hoima-Buliisa'!Print_Titles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2020-01-15T13:50:57Z</dcterms:modified>
</cp:coreProperties>
</file>