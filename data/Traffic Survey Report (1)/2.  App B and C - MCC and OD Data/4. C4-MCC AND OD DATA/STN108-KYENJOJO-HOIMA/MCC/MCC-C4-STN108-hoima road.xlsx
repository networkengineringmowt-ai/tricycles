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EDMP\EDMP Analysis\C-4 Analysis Complete-Benard\STN108-KYENJOJO-HOIMA\MCC\"/>
    </mc:Choice>
  </mc:AlternateContent>
  <xr:revisionPtr revIDLastSave="0" documentId="13_ncr:1_{7AF795C0-E46D-4213-B1C4-FB2F97BB6C1C}" xr6:coauthVersionLast="45" xr6:coauthVersionMax="45" xr10:uidLastSave="{00000000-0000-0000-0000-000000000000}"/>
  <bookViews>
    <workbookView xWindow="-120" yWindow="-120" windowWidth="20730" windowHeight="11160" tabRatio="888" firstSheet="14" activeTab="16" xr2:uid="{00000000-000D-0000-FFFF-FFFF00000000}"/>
  </bookViews>
  <sheets>
    <sheet name="25.10 KYENJOJO-HOIMA" sheetId="93" r:id="rId1"/>
    <sheet name="25.10 HOIMA-KYENJOJO" sheetId="94" r:id="rId2"/>
    <sheet name="26.10 KYENJOJO-HOIMA-24h" sheetId="101" r:id="rId3"/>
    <sheet name="26.10 HOIMA-KYENJOJO-24h" sheetId="109" r:id="rId4"/>
    <sheet name="27.10 KYENJOJO-HOIMA" sheetId="95" r:id="rId5"/>
    <sheet name="27.10 HOIMA-KYENJOJO" sheetId="96" r:id="rId6"/>
    <sheet name="28.10 KYENJOJO-HOIMA-24h" sheetId="105" r:id="rId7"/>
    <sheet name="28.10 HOIMA-KYENJOJO-24h" sheetId="110" r:id="rId8"/>
    <sheet name="29.10 KYENJOJO-HOIMA" sheetId="97" r:id="rId9"/>
    <sheet name="29.10 HOIMA-KYENJOJO" sheetId="98" r:id="rId10"/>
    <sheet name="30.10 KYENJOJO-HOIMA" sheetId="99" r:id="rId11"/>
    <sheet name="30.10 HOIMA-KYENJOJO" sheetId="100" r:id="rId12"/>
    <sheet name="31.10 KYENJOJO-HOIMA" sheetId="103" r:id="rId13"/>
    <sheet name="31.10 HOIMA-KYENJOJO" sheetId="104" r:id="rId14"/>
    <sheet name="Avg Week Kyenjojo-Hoima" sheetId="107" r:id="rId15"/>
    <sheet name="Avg Week Hoima-Kyenjojo" sheetId="108" r:id="rId16"/>
    <sheet name="Avg Week Kyenjojo-Hoima-2Dir" sheetId="111" r:id="rId17"/>
  </sheets>
  <definedNames>
    <definedName name="_xlnm.Print_Area" localSheetId="1">'25.10 HOIMA-KYENJOJO'!$A$1:$AF$60</definedName>
    <definedName name="_xlnm.Print_Area" localSheetId="0">'25.10 KYENJOJO-HOIMA'!$A$1:$AF$60</definedName>
    <definedName name="_xlnm.Print_Area" localSheetId="3">'26.10 HOIMA-KYENJOJO-24h'!$A$1:$AF$108</definedName>
    <definedName name="_xlnm.Print_Area" localSheetId="2">'26.10 KYENJOJO-HOIMA-24h'!$A$1:$AF$108</definedName>
    <definedName name="_xlnm.Print_Area" localSheetId="5">'27.10 HOIMA-KYENJOJO'!$A$1:$AF$60</definedName>
    <definedName name="_xlnm.Print_Area" localSheetId="4">'27.10 KYENJOJO-HOIMA'!$A$1:$AF$60</definedName>
    <definedName name="_xlnm.Print_Area" localSheetId="7">'28.10 HOIMA-KYENJOJO-24h'!$A$1:$AF$108</definedName>
    <definedName name="_xlnm.Print_Area" localSheetId="6">'28.10 KYENJOJO-HOIMA-24h'!$A$1:$AF$108</definedName>
    <definedName name="_xlnm.Print_Area" localSheetId="9">'29.10 HOIMA-KYENJOJO'!$A$1:$AF$60</definedName>
    <definedName name="_xlnm.Print_Area" localSheetId="8">'29.10 KYENJOJO-HOIMA'!$A$1:$AF$60</definedName>
    <definedName name="_xlnm.Print_Area" localSheetId="11">'30.10 HOIMA-KYENJOJO'!$A$1:$AF$60</definedName>
    <definedName name="_xlnm.Print_Area" localSheetId="10">'30.10 KYENJOJO-HOIMA'!$A$1:$AF$60</definedName>
    <definedName name="_xlnm.Print_Area" localSheetId="13">'31.10 HOIMA-KYENJOJO'!$A$1:$AF$60</definedName>
    <definedName name="_xlnm.Print_Area" localSheetId="12">'31.10 KYENJOJO-HOIMA'!$A$1:$AF$60</definedName>
    <definedName name="_xlnm.Print_Area" localSheetId="15">'Avg Week Hoima-Kyenjojo'!$A$1:$AF$108</definedName>
    <definedName name="_xlnm.Print_Area" localSheetId="14">'Avg Week Kyenjojo-Hoima'!$A$1:$AF$108</definedName>
    <definedName name="_xlnm.Print_Area" localSheetId="16">'Avg Week Kyenjojo-Hoima-2Dir'!$A$1:$AF$108</definedName>
    <definedName name="_xlnm.Print_Titles" localSheetId="1">'25.10 HOIMA-KYENJOJO'!$1:$8</definedName>
    <definedName name="_xlnm.Print_Titles" localSheetId="0">'25.10 KYENJOJO-HOIMA'!$1:$8</definedName>
    <definedName name="_xlnm.Print_Titles" localSheetId="3">'26.10 HOIMA-KYENJOJO-24h'!$1:$8</definedName>
    <definedName name="_xlnm.Print_Titles" localSheetId="2">'26.10 KYENJOJO-HOIMA-24h'!$1:$8</definedName>
    <definedName name="_xlnm.Print_Titles" localSheetId="5">'27.10 HOIMA-KYENJOJO'!$1:$8</definedName>
    <definedName name="_xlnm.Print_Titles" localSheetId="4">'27.10 KYENJOJO-HOIMA'!$1:$8</definedName>
    <definedName name="_xlnm.Print_Titles" localSheetId="7">'28.10 HOIMA-KYENJOJO-24h'!$1:$8</definedName>
    <definedName name="_xlnm.Print_Titles" localSheetId="6">'28.10 KYENJOJO-HOIMA-24h'!$1:$8</definedName>
    <definedName name="_xlnm.Print_Titles" localSheetId="9">'29.10 HOIMA-KYENJOJO'!$1:$8</definedName>
    <definedName name="_xlnm.Print_Titles" localSheetId="8">'29.10 KYENJOJO-HOIMA'!$1:$8</definedName>
    <definedName name="_xlnm.Print_Titles" localSheetId="11">'30.10 HOIMA-KYENJOJO'!$1:$8</definedName>
    <definedName name="_xlnm.Print_Titles" localSheetId="10">'30.10 KYENJOJO-HOIMA'!$1:$8</definedName>
    <definedName name="_xlnm.Print_Titles" localSheetId="13">'31.10 HOIMA-KYENJOJO'!$1:$8</definedName>
    <definedName name="_xlnm.Print_Titles" localSheetId="12">'31.10 KYENJOJO-HOIMA'!$1:$8</definedName>
    <definedName name="_xlnm.Print_Titles" localSheetId="15">'Avg Week Hoima-Kyenjojo'!$1:$8</definedName>
    <definedName name="_xlnm.Print_Titles" localSheetId="14">'Avg Week Kyenjojo-Hoima'!$1:$8</definedName>
    <definedName name="_xlnm.Print_Titles" localSheetId="16">'Avg Week Kyenjojo-Hoima-2Dir'!$1:$8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5" i="108" l="1"/>
  <c r="P74" i="108"/>
  <c r="O67" i="107"/>
  <c r="I61" i="111"/>
  <c r="J61" i="111"/>
  <c r="M65" i="111"/>
  <c r="G67" i="111"/>
  <c r="J71" i="111"/>
  <c r="K71" i="111"/>
  <c r="M76" i="111"/>
  <c r="H77" i="111"/>
  <c r="K82" i="111"/>
  <c r="AA28" i="111" s="1"/>
  <c r="D87" i="111"/>
  <c r="L92" i="111"/>
  <c r="I98" i="111"/>
  <c r="I101" i="111"/>
  <c r="L103" i="111"/>
  <c r="G105" i="111"/>
  <c r="M105" i="111"/>
  <c r="C75" i="111"/>
  <c r="C98" i="111"/>
  <c r="D58" i="108"/>
  <c r="E58" i="108"/>
  <c r="F58" i="108"/>
  <c r="G58" i="108"/>
  <c r="H58" i="108"/>
  <c r="I58" i="108"/>
  <c r="J58" i="108"/>
  <c r="K58" i="108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I62" i="108"/>
  <c r="J62" i="108"/>
  <c r="Z23" i="108" s="1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V24" i="108" s="1"/>
  <c r="G66" i="108"/>
  <c r="H66" i="108"/>
  <c r="I66" i="108"/>
  <c r="J66" i="108"/>
  <c r="K66" i="108"/>
  <c r="L66" i="108"/>
  <c r="M66" i="108"/>
  <c r="N66" i="108"/>
  <c r="AD24" i="108" s="1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Z25" i="108" s="1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V26" i="108" s="1"/>
  <c r="G74" i="108"/>
  <c r="H74" i="108"/>
  <c r="I74" i="108"/>
  <c r="J74" i="108"/>
  <c r="K74" i="108"/>
  <c r="L74" i="108"/>
  <c r="M74" i="108"/>
  <c r="N74" i="108"/>
  <c r="AD26" i="108" s="1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Z27" i="108" s="1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V28" i="108" s="1"/>
  <c r="G82" i="108"/>
  <c r="H82" i="108"/>
  <c r="I82" i="108"/>
  <c r="J82" i="108"/>
  <c r="K82" i="108"/>
  <c r="L82" i="108"/>
  <c r="M82" i="108"/>
  <c r="N82" i="108"/>
  <c r="AD28" i="108" s="1"/>
  <c r="D83" i="108"/>
  <c r="O83" i="108" s="1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Z29" i="108" s="1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V30" i="108" s="1"/>
  <c r="G90" i="108"/>
  <c r="H90" i="108"/>
  <c r="I90" i="108"/>
  <c r="J90" i="108"/>
  <c r="K90" i="108"/>
  <c r="L90" i="108"/>
  <c r="M90" i="108"/>
  <c r="N90" i="108"/>
  <c r="AD30" i="108" s="1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Z31" i="108" s="1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V32" i="108" s="1"/>
  <c r="G98" i="108"/>
  <c r="H98" i="108"/>
  <c r="I98" i="108"/>
  <c r="J98" i="108"/>
  <c r="K98" i="108"/>
  <c r="L98" i="108"/>
  <c r="M98" i="108"/>
  <c r="N98" i="108"/>
  <c r="AD32" i="108" s="1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I102" i="108"/>
  <c r="J102" i="108"/>
  <c r="Z33" i="108" s="1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P62" i="108" s="1"/>
  <c r="C63" i="108"/>
  <c r="P63" i="108" s="1"/>
  <c r="C64" i="108"/>
  <c r="C65" i="108"/>
  <c r="C66" i="108"/>
  <c r="P66" i="108" s="1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P86" i="108" s="1"/>
  <c r="C87" i="108"/>
  <c r="C88" i="108"/>
  <c r="C89" i="108"/>
  <c r="C90" i="108"/>
  <c r="O90" i="108" s="1"/>
  <c r="C91" i="108"/>
  <c r="C92" i="108"/>
  <c r="C93" i="108"/>
  <c r="C94" i="108"/>
  <c r="C95" i="108"/>
  <c r="P95" i="108" s="1"/>
  <c r="C96" i="108"/>
  <c r="C97" i="108"/>
  <c r="C98" i="108"/>
  <c r="P98" i="108" s="1"/>
  <c r="C99" i="108"/>
  <c r="C100" i="108"/>
  <c r="C101" i="108"/>
  <c r="C102" i="108"/>
  <c r="C103" i="108"/>
  <c r="C104" i="108"/>
  <c r="C105" i="108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E59" i="107"/>
  <c r="F59" i="107"/>
  <c r="F59" i="111" s="1"/>
  <c r="G59" i="107"/>
  <c r="G59" i="111" s="1"/>
  <c r="H59" i="107"/>
  <c r="H59" i="111" s="1"/>
  <c r="I59" i="107"/>
  <c r="I59" i="111" s="1"/>
  <c r="J59" i="107"/>
  <c r="J59" i="111" s="1"/>
  <c r="K59" i="107"/>
  <c r="L59" i="107"/>
  <c r="M59" i="107"/>
  <c r="N59" i="107"/>
  <c r="N59" i="111" s="1"/>
  <c r="D60" i="107"/>
  <c r="D60" i="111" s="1"/>
  <c r="E60" i="107"/>
  <c r="E60" i="111" s="1"/>
  <c r="F60" i="107"/>
  <c r="F60" i="111" s="1"/>
  <c r="G60" i="107"/>
  <c r="G60" i="111" s="1"/>
  <c r="H60" i="107"/>
  <c r="I60" i="107"/>
  <c r="J60" i="107"/>
  <c r="K60" i="107"/>
  <c r="K60" i="111" s="1"/>
  <c r="L60" i="107"/>
  <c r="L60" i="111" s="1"/>
  <c r="M60" i="107"/>
  <c r="M60" i="111" s="1"/>
  <c r="N60" i="107"/>
  <c r="N60" i="111" s="1"/>
  <c r="D61" i="107"/>
  <c r="D61" i="111" s="1"/>
  <c r="E61" i="107"/>
  <c r="F61" i="107"/>
  <c r="G61" i="107"/>
  <c r="H61" i="107"/>
  <c r="H61" i="111" s="1"/>
  <c r="I61" i="107"/>
  <c r="J61" i="107"/>
  <c r="K61" i="107"/>
  <c r="K61" i="111" s="1"/>
  <c r="L61" i="107"/>
  <c r="L61" i="111" s="1"/>
  <c r="M61" i="107"/>
  <c r="N61" i="107"/>
  <c r="D62" i="107"/>
  <c r="E62" i="107"/>
  <c r="U23" i="107" s="1"/>
  <c r="F62" i="107"/>
  <c r="G62" i="107"/>
  <c r="H62" i="107"/>
  <c r="I62" i="107"/>
  <c r="J62" i="107"/>
  <c r="K62" i="107"/>
  <c r="L62" i="107"/>
  <c r="M62" i="107"/>
  <c r="N62" i="107"/>
  <c r="D63" i="107"/>
  <c r="D63" i="111" s="1"/>
  <c r="E63" i="107"/>
  <c r="E63" i="111" s="1"/>
  <c r="F63" i="107"/>
  <c r="F63" i="111" s="1"/>
  <c r="G63" i="107"/>
  <c r="H63" i="107"/>
  <c r="I63" i="107"/>
  <c r="J63" i="107"/>
  <c r="J63" i="111" s="1"/>
  <c r="K63" i="107"/>
  <c r="K63" i="111" s="1"/>
  <c r="L63" i="107"/>
  <c r="L63" i="111" s="1"/>
  <c r="M63" i="107"/>
  <c r="M63" i="111" s="1"/>
  <c r="N63" i="107"/>
  <c r="N63" i="111" s="1"/>
  <c r="D64" i="107"/>
  <c r="E64" i="107"/>
  <c r="F64" i="107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M64" i="107"/>
  <c r="N64" i="107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J65" i="107"/>
  <c r="K65" i="107"/>
  <c r="L65" i="107"/>
  <c r="L65" i="111" s="1"/>
  <c r="M65" i="107"/>
  <c r="N65" i="107"/>
  <c r="N65" i="111" s="1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E67" i="107"/>
  <c r="F67" i="107"/>
  <c r="F67" i="111" s="1"/>
  <c r="G67" i="107"/>
  <c r="H67" i="107"/>
  <c r="H67" i="111" s="1"/>
  <c r="I67" i="107"/>
  <c r="I67" i="111" s="1"/>
  <c r="J67" i="107"/>
  <c r="J67" i="111" s="1"/>
  <c r="K67" i="107"/>
  <c r="L67" i="107"/>
  <c r="M67" i="107"/>
  <c r="N67" i="107"/>
  <c r="N67" i="111" s="1"/>
  <c r="D68" i="107"/>
  <c r="D68" i="111" s="1"/>
  <c r="E68" i="107"/>
  <c r="E68" i="111" s="1"/>
  <c r="F68" i="107"/>
  <c r="F68" i="111" s="1"/>
  <c r="G68" i="107"/>
  <c r="G68" i="111" s="1"/>
  <c r="H68" i="107"/>
  <c r="I68" i="107"/>
  <c r="J68" i="107"/>
  <c r="K68" i="107"/>
  <c r="K68" i="111" s="1"/>
  <c r="L68" i="107"/>
  <c r="L68" i="111" s="1"/>
  <c r="M68" i="107"/>
  <c r="M68" i="111" s="1"/>
  <c r="N68" i="107"/>
  <c r="N68" i="111" s="1"/>
  <c r="D69" i="107"/>
  <c r="D69" i="111" s="1"/>
  <c r="E69" i="107"/>
  <c r="F69" i="107"/>
  <c r="G69" i="107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N69" i="107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D71" i="111" s="1"/>
  <c r="E71" i="107"/>
  <c r="E71" i="111" s="1"/>
  <c r="F71" i="107"/>
  <c r="F71" i="111" s="1"/>
  <c r="G71" i="107"/>
  <c r="H71" i="107"/>
  <c r="I71" i="107"/>
  <c r="J71" i="107"/>
  <c r="K71" i="107"/>
  <c r="L71" i="107"/>
  <c r="L71" i="111" s="1"/>
  <c r="M71" i="107"/>
  <c r="M71" i="111" s="1"/>
  <c r="N71" i="107"/>
  <c r="N71" i="111" s="1"/>
  <c r="D72" i="107"/>
  <c r="E72" i="107"/>
  <c r="F72" i="107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M72" i="107"/>
  <c r="N72" i="107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J73" i="107"/>
  <c r="K73" i="107"/>
  <c r="L73" i="107"/>
  <c r="L73" i="111" s="1"/>
  <c r="M73" i="107"/>
  <c r="M73" i="111" s="1"/>
  <c r="N73" i="107"/>
  <c r="N73" i="111" s="1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E75" i="107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L75" i="107"/>
  <c r="M75" i="107"/>
  <c r="N75" i="107"/>
  <c r="N75" i="111" s="1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J76" i="107"/>
  <c r="K76" i="107"/>
  <c r="K76" i="111" s="1"/>
  <c r="L76" i="107"/>
  <c r="L76" i="111" s="1"/>
  <c r="M76" i="107"/>
  <c r="N76" i="107"/>
  <c r="N76" i="111" s="1"/>
  <c r="D77" i="107"/>
  <c r="D77" i="111" s="1"/>
  <c r="E77" i="107"/>
  <c r="E77" i="111" s="1"/>
  <c r="F77" i="107"/>
  <c r="G77" i="107"/>
  <c r="H77" i="107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N77" i="111" s="1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D79" i="111" s="1"/>
  <c r="E79" i="107"/>
  <c r="E79" i="111" s="1"/>
  <c r="F79" i="107"/>
  <c r="F79" i="111" s="1"/>
  <c r="G79" i="107"/>
  <c r="G79" i="111" s="1"/>
  <c r="H79" i="107"/>
  <c r="H79" i="111" s="1"/>
  <c r="I79" i="107"/>
  <c r="J79" i="107"/>
  <c r="J79" i="111" s="1"/>
  <c r="K79" i="107"/>
  <c r="K79" i="111" s="1"/>
  <c r="L79" i="107"/>
  <c r="L79" i="111" s="1"/>
  <c r="M79" i="107"/>
  <c r="M79" i="111" s="1"/>
  <c r="N79" i="107"/>
  <c r="N79" i="111" s="1"/>
  <c r="D80" i="107"/>
  <c r="D80" i="111" s="1"/>
  <c r="E80" i="107"/>
  <c r="E80" i="111" s="1"/>
  <c r="F80" i="107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L81" i="107"/>
  <c r="L81" i="111" s="1"/>
  <c r="M81" i="107"/>
  <c r="M81" i="111" s="1"/>
  <c r="N81" i="107"/>
  <c r="N81" i="111" s="1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D83" i="111" s="1"/>
  <c r="E83" i="107"/>
  <c r="F83" i="107"/>
  <c r="F83" i="111" s="1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N83" i="107"/>
  <c r="N83" i="111" s="1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K84" i="107"/>
  <c r="K84" i="111" s="1"/>
  <c r="L84" i="107"/>
  <c r="L84" i="111" s="1"/>
  <c r="M84" i="107"/>
  <c r="M84" i="111" s="1"/>
  <c r="N84" i="107"/>
  <c r="N84" i="111" s="1"/>
  <c r="D85" i="107"/>
  <c r="D85" i="111" s="1"/>
  <c r="E85" i="107"/>
  <c r="E85" i="111" s="1"/>
  <c r="F85" i="107"/>
  <c r="F85" i="111" s="1"/>
  <c r="G85" i="107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D86" i="107"/>
  <c r="E86" i="107"/>
  <c r="F86" i="107"/>
  <c r="G86" i="107"/>
  <c r="H86" i="107"/>
  <c r="I86" i="107"/>
  <c r="J86" i="107"/>
  <c r="K86" i="107"/>
  <c r="L86" i="107"/>
  <c r="M86" i="107"/>
  <c r="M86" i="111" s="1"/>
  <c r="AC29" i="111" s="1"/>
  <c r="N86" i="107"/>
  <c r="N86" i="111" s="1"/>
  <c r="D87" i="107"/>
  <c r="E87" i="107"/>
  <c r="E87" i="111" s="1"/>
  <c r="F87" i="107"/>
  <c r="F87" i="111" s="1"/>
  <c r="G87" i="107"/>
  <c r="G87" i="111" s="1"/>
  <c r="H87" i="107"/>
  <c r="H87" i="111" s="1"/>
  <c r="I87" i="107"/>
  <c r="J87" i="107"/>
  <c r="J87" i="111" s="1"/>
  <c r="K87" i="107"/>
  <c r="K87" i="111" s="1"/>
  <c r="L87" i="107"/>
  <c r="L87" i="111" s="1"/>
  <c r="M87" i="107"/>
  <c r="M87" i="111" s="1"/>
  <c r="N87" i="107"/>
  <c r="N87" i="111" s="1"/>
  <c r="D88" i="107"/>
  <c r="D88" i="111" s="1"/>
  <c r="E88" i="107"/>
  <c r="E88" i="111" s="1"/>
  <c r="F88" i="107"/>
  <c r="G88" i="107"/>
  <c r="G88" i="111" s="1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D89" i="107"/>
  <c r="D89" i="111" s="1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L89" i="107"/>
  <c r="L89" i="111" s="1"/>
  <c r="M89" i="107"/>
  <c r="M89" i="111" s="1"/>
  <c r="N89" i="107"/>
  <c r="N89" i="111" s="1"/>
  <c r="D90" i="107"/>
  <c r="E90" i="107"/>
  <c r="F90" i="107"/>
  <c r="G90" i="107"/>
  <c r="H90" i="107"/>
  <c r="I90" i="107"/>
  <c r="J90" i="107"/>
  <c r="J90" i="111" s="1"/>
  <c r="Z30" i="111" s="1"/>
  <c r="K90" i="107"/>
  <c r="K90" i="111" s="1"/>
  <c r="AA30" i="111" s="1"/>
  <c r="L90" i="107"/>
  <c r="M90" i="107"/>
  <c r="N90" i="107"/>
  <c r="D91" i="107"/>
  <c r="D91" i="111" s="1"/>
  <c r="E91" i="107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N91" i="111" s="1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M92" i="107"/>
  <c r="M92" i="111" s="1"/>
  <c r="N92" i="107"/>
  <c r="N92" i="111" s="1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D94" i="107"/>
  <c r="E94" i="107"/>
  <c r="F94" i="107"/>
  <c r="G94" i="107"/>
  <c r="H94" i="107"/>
  <c r="I94" i="107"/>
  <c r="J94" i="107"/>
  <c r="K94" i="107"/>
  <c r="L94" i="107"/>
  <c r="M94" i="107"/>
  <c r="M94" i="111" s="1"/>
  <c r="AC31" i="111" s="1"/>
  <c r="N94" i="107"/>
  <c r="N94" i="111" s="1"/>
  <c r="AD31" i="111" s="1"/>
  <c r="D95" i="107"/>
  <c r="D95" i="111" s="1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N95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D97" i="107"/>
  <c r="D97" i="111" s="1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D98" i="107"/>
  <c r="E98" i="107"/>
  <c r="F98" i="107"/>
  <c r="G98" i="107"/>
  <c r="H98" i="107"/>
  <c r="I98" i="107"/>
  <c r="J98" i="107"/>
  <c r="K98" i="107"/>
  <c r="AA32" i="107" s="1"/>
  <c r="L98" i="107"/>
  <c r="M98" i="107"/>
  <c r="N98" i="107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N99" i="111" s="1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D102" i="107"/>
  <c r="E102" i="107"/>
  <c r="F102" i="107"/>
  <c r="G102" i="107"/>
  <c r="W33" i="107" s="1"/>
  <c r="H102" i="107"/>
  <c r="I102" i="107"/>
  <c r="J102" i="107"/>
  <c r="K102" i="107"/>
  <c r="L102" i="107"/>
  <c r="M102" i="107"/>
  <c r="N102" i="107"/>
  <c r="N102" i="111" s="1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F105" i="111" s="1"/>
  <c r="G105" i="107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N105" i="107"/>
  <c r="N105" i="111" s="1"/>
  <c r="C59" i="107"/>
  <c r="C60" i="107"/>
  <c r="C61" i="107"/>
  <c r="C62" i="107"/>
  <c r="C63" i="107"/>
  <c r="C64" i="107"/>
  <c r="C65" i="107"/>
  <c r="C66" i="107"/>
  <c r="C67" i="107"/>
  <c r="C68" i="107"/>
  <c r="C69" i="107"/>
  <c r="C70" i="107"/>
  <c r="O70" i="107" s="1"/>
  <c r="C71" i="107"/>
  <c r="C72" i="107"/>
  <c r="C73" i="107"/>
  <c r="C73" i="111" s="1"/>
  <c r="C74" i="107"/>
  <c r="C74" i="111" s="1"/>
  <c r="C75" i="107"/>
  <c r="C76" i="107"/>
  <c r="C77" i="107"/>
  <c r="C78" i="107"/>
  <c r="P78" i="107" s="1"/>
  <c r="C79" i="107"/>
  <c r="O79" i="107" s="1"/>
  <c r="C80" i="107"/>
  <c r="C81" i="107"/>
  <c r="C82" i="107"/>
  <c r="C83" i="107"/>
  <c r="C84" i="107"/>
  <c r="C85" i="107"/>
  <c r="C86" i="107"/>
  <c r="C87" i="107"/>
  <c r="C88" i="107"/>
  <c r="C89" i="107"/>
  <c r="C89" i="111" s="1"/>
  <c r="C90" i="107"/>
  <c r="C90" i="111" s="1"/>
  <c r="C91" i="107"/>
  <c r="C91" i="111" s="1"/>
  <c r="C92" i="107"/>
  <c r="C93" i="107"/>
  <c r="C94" i="107"/>
  <c r="C95" i="107"/>
  <c r="C96" i="107"/>
  <c r="C97" i="107"/>
  <c r="C97" i="111" s="1"/>
  <c r="C98" i="107"/>
  <c r="C99" i="107"/>
  <c r="C100" i="107"/>
  <c r="C101" i="107"/>
  <c r="C102" i="107"/>
  <c r="P102" i="107" s="1"/>
  <c r="C103" i="107"/>
  <c r="C104" i="107"/>
  <c r="C105" i="107"/>
  <c r="C58" i="111"/>
  <c r="C58" i="108"/>
  <c r="C58" i="107"/>
  <c r="AD33" i="111" l="1"/>
  <c r="AF29" i="108"/>
  <c r="S29" i="107"/>
  <c r="P86" i="107"/>
  <c r="O86" i="107"/>
  <c r="C86" i="111"/>
  <c r="S23" i="107"/>
  <c r="C62" i="111"/>
  <c r="P62" i="107"/>
  <c r="AF23" i="107" s="1"/>
  <c r="O62" i="107"/>
  <c r="AA33" i="107"/>
  <c r="K102" i="111"/>
  <c r="AA33" i="111" s="1"/>
  <c r="AA31" i="107"/>
  <c r="K94" i="111"/>
  <c r="AA31" i="111" s="1"/>
  <c r="AA27" i="107"/>
  <c r="K78" i="111"/>
  <c r="AA27" i="111" s="1"/>
  <c r="S32" i="111"/>
  <c r="O91" i="107"/>
  <c r="P101" i="107"/>
  <c r="O101" i="107"/>
  <c r="C101" i="111"/>
  <c r="P85" i="107"/>
  <c r="O85" i="107"/>
  <c r="C85" i="111"/>
  <c r="P69" i="107"/>
  <c r="O69" i="107"/>
  <c r="C69" i="111"/>
  <c r="P61" i="107"/>
  <c r="O61" i="107"/>
  <c r="C61" i="111"/>
  <c r="AD32" i="107"/>
  <c r="N98" i="111"/>
  <c r="AD32" i="111" s="1"/>
  <c r="Z31" i="107"/>
  <c r="J94" i="111"/>
  <c r="Z31" i="111" s="1"/>
  <c r="AD30" i="107"/>
  <c r="N90" i="111"/>
  <c r="AD30" i="111" s="1"/>
  <c r="V30" i="107"/>
  <c r="F90" i="111"/>
  <c r="V30" i="111" s="1"/>
  <c r="AD28" i="107"/>
  <c r="N82" i="111"/>
  <c r="AD28" i="111" s="1"/>
  <c r="AF32" i="108"/>
  <c r="S22" i="107"/>
  <c r="P100" i="107"/>
  <c r="O100" i="107"/>
  <c r="C100" i="111"/>
  <c r="P92" i="107"/>
  <c r="O92" i="107"/>
  <c r="C92" i="111"/>
  <c r="O92" i="111" s="1"/>
  <c r="P84" i="107"/>
  <c r="O84" i="107"/>
  <c r="C84" i="111"/>
  <c r="P76" i="107"/>
  <c r="O76" i="107"/>
  <c r="C76" i="111"/>
  <c r="S26" i="111" s="1"/>
  <c r="P68" i="107"/>
  <c r="O68" i="107"/>
  <c r="C68" i="111"/>
  <c r="P60" i="107"/>
  <c r="O60" i="107"/>
  <c r="C60" i="111"/>
  <c r="Y33" i="107"/>
  <c r="I102" i="111"/>
  <c r="Y33" i="111" s="1"/>
  <c r="AC32" i="107"/>
  <c r="M98" i="111"/>
  <c r="AC32" i="111" s="1"/>
  <c r="U32" i="107"/>
  <c r="E98" i="111"/>
  <c r="U32" i="111" s="1"/>
  <c r="Y31" i="107"/>
  <c r="I94" i="111"/>
  <c r="Y31" i="111" s="1"/>
  <c r="AC30" i="107"/>
  <c r="M90" i="111"/>
  <c r="AC30" i="111" s="1"/>
  <c r="U30" i="107"/>
  <c r="E90" i="111"/>
  <c r="U30" i="111" s="1"/>
  <c r="Y29" i="107"/>
  <c r="I86" i="111"/>
  <c r="AC28" i="107"/>
  <c r="M82" i="111"/>
  <c r="U28" i="107"/>
  <c r="E82" i="111"/>
  <c r="Y27" i="107"/>
  <c r="I78" i="111"/>
  <c r="Y27" i="111" s="1"/>
  <c r="P70" i="107"/>
  <c r="O102" i="107"/>
  <c r="P93" i="107"/>
  <c r="O93" i="107"/>
  <c r="C93" i="111"/>
  <c r="P77" i="107"/>
  <c r="O77" i="107"/>
  <c r="C77" i="111"/>
  <c r="O77" i="111" s="1"/>
  <c r="Z33" i="107"/>
  <c r="J102" i="111"/>
  <c r="Z33" i="111" s="1"/>
  <c r="V32" i="107"/>
  <c r="F98" i="111"/>
  <c r="V32" i="111" s="1"/>
  <c r="Z29" i="107"/>
  <c r="J86" i="111"/>
  <c r="Z29" i="111" s="1"/>
  <c r="V28" i="107"/>
  <c r="F82" i="111"/>
  <c r="V28" i="111" s="1"/>
  <c r="Z27" i="107"/>
  <c r="J78" i="111"/>
  <c r="Z27" i="111" s="1"/>
  <c r="O99" i="107"/>
  <c r="S22" i="108"/>
  <c r="P58" i="108"/>
  <c r="O58" i="108"/>
  <c r="P99" i="107"/>
  <c r="P91" i="107"/>
  <c r="P83" i="107"/>
  <c r="O83" i="107"/>
  <c r="P75" i="107"/>
  <c r="O75" i="107"/>
  <c r="P67" i="107"/>
  <c r="P59" i="107"/>
  <c r="X33" i="107"/>
  <c r="AB32" i="107"/>
  <c r="L98" i="111"/>
  <c r="AB32" i="111" s="1"/>
  <c r="T32" i="107"/>
  <c r="D98" i="111"/>
  <c r="T32" i="111" s="1"/>
  <c r="X31" i="107"/>
  <c r="H94" i="111"/>
  <c r="X31" i="111" s="1"/>
  <c r="AB30" i="107"/>
  <c r="L90" i="111"/>
  <c r="AB30" i="111" s="1"/>
  <c r="T30" i="107"/>
  <c r="D90" i="111"/>
  <c r="T30" i="111" s="1"/>
  <c r="X29" i="107"/>
  <c r="H86" i="111"/>
  <c r="X29" i="111" s="1"/>
  <c r="AB28" i="107"/>
  <c r="L82" i="111"/>
  <c r="AB28" i="111" s="1"/>
  <c r="T28" i="107"/>
  <c r="D82" i="111"/>
  <c r="T28" i="111" s="1"/>
  <c r="X27" i="107"/>
  <c r="H78" i="111"/>
  <c r="X27" i="111" s="1"/>
  <c r="C67" i="111"/>
  <c r="O86" i="108"/>
  <c r="S27" i="107"/>
  <c r="O78" i="107"/>
  <c r="AE27" i="107" s="1"/>
  <c r="C78" i="111"/>
  <c r="S27" i="111" s="1"/>
  <c r="S30" i="107"/>
  <c r="S24" i="107"/>
  <c r="P66" i="107"/>
  <c r="O66" i="107"/>
  <c r="W31" i="107"/>
  <c r="AA30" i="107"/>
  <c r="W29" i="107"/>
  <c r="G86" i="111"/>
  <c r="W29" i="111" s="1"/>
  <c r="AA28" i="107"/>
  <c r="W27" i="107"/>
  <c r="G78" i="111"/>
  <c r="W27" i="111" s="1"/>
  <c r="AA26" i="107"/>
  <c r="K74" i="111"/>
  <c r="W25" i="107"/>
  <c r="G70" i="111"/>
  <c r="AA24" i="107"/>
  <c r="K66" i="111"/>
  <c r="AA24" i="111" s="1"/>
  <c r="W23" i="107"/>
  <c r="G62" i="111"/>
  <c r="AA22" i="107"/>
  <c r="K58" i="111"/>
  <c r="P103" i="108"/>
  <c r="O103" i="108"/>
  <c r="P87" i="108"/>
  <c r="O87" i="108"/>
  <c r="P79" i="108"/>
  <c r="O79" i="108"/>
  <c r="P71" i="108"/>
  <c r="O71" i="108"/>
  <c r="AB33" i="108"/>
  <c r="T33" i="108"/>
  <c r="X32" i="108"/>
  <c r="AB31" i="108"/>
  <c r="T31" i="108"/>
  <c r="X30" i="108"/>
  <c r="AB29" i="108"/>
  <c r="T29" i="108"/>
  <c r="X28" i="108"/>
  <c r="AB27" i="108"/>
  <c r="T27" i="108"/>
  <c r="X26" i="108"/>
  <c r="AB25" i="108"/>
  <c r="T25" i="108"/>
  <c r="X24" i="108"/>
  <c r="AB23" i="108"/>
  <c r="T23" i="108"/>
  <c r="X22" i="108"/>
  <c r="C66" i="111"/>
  <c r="S24" i="111" s="1"/>
  <c r="AA29" i="107"/>
  <c r="K86" i="111"/>
  <c r="S28" i="107"/>
  <c r="P82" i="107"/>
  <c r="AF28" i="107" s="1"/>
  <c r="P89" i="107"/>
  <c r="O89" i="107"/>
  <c r="P65" i="107"/>
  <c r="O65" i="107"/>
  <c r="AD33" i="107"/>
  <c r="V33" i="107"/>
  <c r="Z32" i="107"/>
  <c r="AD31" i="107"/>
  <c r="V31" i="107"/>
  <c r="F94" i="111"/>
  <c r="V31" i="111" s="1"/>
  <c r="Z30" i="107"/>
  <c r="AD29" i="107"/>
  <c r="V29" i="107"/>
  <c r="F86" i="111"/>
  <c r="Z28" i="107"/>
  <c r="J82" i="111"/>
  <c r="AD27" i="107"/>
  <c r="V27" i="107"/>
  <c r="F78" i="111"/>
  <c r="V27" i="111" s="1"/>
  <c r="Z26" i="107"/>
  <c r="J74" i="111"/>
  <c r="AD25" i="107"/>
  <c r="N70" i="111"/>
  <c r="V25" i="107"/>
  <c r="F70" i="111"/>
  <c r="Z24" i="107"/>
  <c r="J66" i="111"/>
  <c r="Z24" i="111" s="1"/>
  <c r="AD23" i="107"/>
  <c r="N62" i="111"/>
  <c r="V23" i="107"/>
  <c r="F62" i="111"/>
  <c r="Z22" i="107"/>
  <c r="J58" i="111"/>
  <c r="S33" i="108"/>
  <c r="P102" i="108"/>
  <c r="AF33" i="108" s="1"/>
  <c r="O102" i="108"/>
  <c r="AE33" i="108" s="1"/>
  <c r="S31" i="108"/>
  <c r="O94" i="108"/>
  <c r="S29" i="108"/>
  <c r="S27" i="108"/>
  <c r="P78" i="108"/>
  <c r="O78" i="108"/>
  <c r="S25" i="108"/>
  <c r="P70" i="108"/>
  <c r="AF25" i="108" s="1"/>
  <c r="O70" i="108"/>
  <c r="S23" i="108"/>
  <c r="O62" i="108"/>
  <c r="AA33" i="108"/>
  <c r="W32" i="108"/>
  <c r="AA31" i="108"/>
  <c r="W30" i="108"/>
  <c r="AA29" i="108"/>
  <c r="W28" i="108"/>
  <c r="AA27" i="108"/>
  <c r="W26" i="108"/>
  <c r="AA25" i="108"/>
  <c r="W24" i="108"/>
  <c r="AA23" i="108"/>
  <c r="W22" i="108"/>
  <c r="C83" i="111"/>
  <c r="O83" i="111" s="1"/>
  <c r="C65" i="111"/>
  <c r="H102" i="111"/>
  <c r="X33" i="111" s="1"/>
  <c r="O58" i="107"/>
  <c r="O82" i="107"/>
  <c r="O63" i="108"/>
  <c r="P94" i="108"/>
  <c r="AF31" i="108" s="1"/>
  <c r="S31" i="107"/>
  <c r="C94" i="111"/>
  <c r="S31" i="111" s="1"/>
  <c r="P94" i="107"/>
  <c r="O94" i="107"/>
  <c r="W28" i="107"/>
  <c r="G82" i="111"/>
  <c r="S26" i="107"/>
  <c r="P74" i="107"/>
  <c r="AF26" i="107" s="1"/>
  <c r="O74" i="107"/>
  <c r="AE26" i="107" s="1"/>
  <c r="P105" i="107"/>
  <c r="O105" i="107"/>
  <c r="P81" i="107"/>
  <c r="O81" i="107"/>
  <c r="P96" i="107"/>
  <c r="O96" i="107"/>
  <c r="C96" i="111"/>
  <c r="P96" i="111" s="1"/>
  <c r="P72" i="107"/>
  <c r="O72" i="107"/>
  <c r="C72" i="111"/>
  <c r="AC33" i="107"/>
  <c r="M102" i="111"/>
  <c r="AC33" i="111" s="1"/>
  <c r="Y30" i="107"/>
  <c r="I90" i="111"/>
  <c r="Y30" i="111" s="1"/>
  <c r="AC29" i="107"/>
  <c r="Y28" i="107"/>
  <c r="I82" i="111"/>
  <c r="Y28" i="111" s="1"/>
  <c r="U27" i="107"/>
  <c r="E78" i="111"/>
  <c r="U27" i="111" s="1"/>
  <c r="AC25" i="107"/>
  <c r="M70" i="111"/>
  <c r="Y24" i="107"/>
  <c r="I66" i="111"/>
  <c r="Y24" i="111" s="1"/>
  <c r="AC23" i="107"/>
  <c r="M62" i="111"/>
  <c r="Y22" i="107"/>
  <c r="I58" i="111"/>
  <c r="P101" i="108"/>
  <c r="O101" i="108"/>
  <c r="P93" i="108"/>
  <c r="O93" i="108"/>
  <c r="P85" i="108"/>
  <c r="O85" i="108"/>
  <c r="P77" i="108"/>
  <c r="O77" i="108"/>
  <c r="P69" i="108"/>
  <c r="O69" i="108"/>
  <c r="P61" i="108"/>
  <c r="O61" i="108"/>
  <c r="AD22" i="108"/>
  <c r="V22" i="108"/>
  <c r="C105" i="111"/>
  <c r="C82" i="111"/>
  <c r="C59" i="111"/>
  <c r="S22" i="111" s="1"/>
  <c r="G102" i="111"/>
  <c r="W33" i="111" s="1"/>
  <c r="K98" i="111"/>
  <c r="AA32" i="111" s="1"/>
  <c r="G94" i="111"/>
  <c r="W31" i="111" s="1"/>
  <c r="N78" i="111"/>
  <c r="AD27" i="111" s="1"/>
  <c r="P58" i="107"/>
  <c r="O90" i="107"/>
  <c r="O66" i="108"/>
  <c r="O95" i="108"/>
  <c r="S33" i="107"/>
  <c r="C102" i="111"/>
  <c r="S25" i="107"/>
  <c r="C70" i="111"/>
  <c r="S25" i="111" s="1"/>
  <c r="W32" i="107"/>
  <c r="G98" i="111"/>
  <c r="W32" i="111" s="1"/>
  <c r="W30" i="107"/>
  <c r="G90" i="111"/>
  <c r="W30" i="111" s="1"/>
  <c r="Y32" i="111"/>
  <c r="S32" i="107"/>
  <c r="P98" i="107"/>
  <c r="O98" i="107"/>
  <c r="AE32" i="107" s="1"/>
  <c r="P97" i="107"/>
  <c r="O97" i="107"/>
  <c r="P73" i="107"/>
  <c r="O73" i="107"/>
  <c r="P104" i="107"/>
  <c r="O104" i="107"/>
  <c r="C104" i="111"/>
  <c r="P104" i="111" s="1"/>
  <c r="P88" i="107"/>
  <c r="O88" i="107"/>
  <c r="C88" i="111"/>
  <c r="P80" i="107"/>
  <c r="O80" i="107"/>
  <c r="C80" i="111"/>
  <c r="P64" i="107"/>
  <c r="O64" i="107"/>
  <c r="C64" i="111"/>
  <c r="O64" i="111" s="1"/>
  <c r="U33" i="107"/>
  <c r="E102" i="111"/>
  <c r="U33" i="111" s="1"/>
  <c r="Y32" i="107"/>
  <c r="AC31" i="107"/>
  <c r="U31" i="107"/>
  <c r="E94" i="111"/>
  <c r="U31" i="111" s="1"/>
  <c r="U29" i="107"/>
  <c r="E86" i="111"/>
  <c r="U29" i="111" s="1"/>
  <c r="AC27" i="107"/>
  <c r="M78" i="111"/>
  <c r="AC27" i="111" s="1"/>
  <c r="Y26" i="107"/>
  <c r="I74" i="111"/>
  <c r="U25" i="107"/>
  <c r="E70" i="111"/>
  <c r="U25" i="111" s="1"/>
  <c r="P103" i="107"/>
  <c r="AF33" i="107" s="1"/>
  <c r="C103" i="111"/>
  <c r="P103" i="111" s="1"/>
  <c r="O103" i="107"/>
  <c r="P95" i="107"/>
  <c r="O95" i="107"/>
  <c r="C95" i="111"/>
  <c r="P87" i="107"/>
  <c r="O87" i="107"/>
  <c r="C87" i="111"/>
  <c r="P87" i="111" s="1"/>
  <c r="P79" i="107"/>
  <c r="AF27" i="107" s="1"/>
  <c r="C79" i="111"/>
  <c r="P71" i="107"/>
  <c r="C71" i="111"/>
  <c r="O71" i="107"/>
  <c r="AE25" i="107" s="1"/>
  <c r="P63" i="107"/>
  <c r="O63" i="107"/>
  <c r="C63" i="111"/>
  <c r="P63" i="111" s="1"/>
  <c r="AB33" i="107"/>
  <c r="L102" i="111"/>
  <c r="AB33" i="111" s="1"/>
  <c r="T33" i="107"/>
  <c r="D102" i="111"/>
  <c r="T33" i="111" s="1"/>
  <c r="X32" i="107"/>
  <c r="H98" i="111"/>
  <c r="X32" i="111" s="1"/>
  <c r="AB31" i="107"/>
  <c r="L94" i="111"/>
  <c r="AB31" i="111" s="1"/>
  <c r="T31" i="107"/>
  <c r="D94" i="111"/>
  <c r="T31" i="111" s="1"/>
  <c r="E91" i="111"/>
  <c r="X30" i="107"/>
  <c r="H90" i="111"/>
  <c r="X30" i="111" s="1"/>
  <c r="K89" i="111"/>
  <c r="N88" i="111"/>
  <c r="AD29" i="111" s="1"/>
  <c r="F88" i="111"/>
  <c r="P88" i="111" s="1"/>
  <c r="I87" i="111"/>
  <c r="AB29" i="107"/>
  <c r="L86" i="111"/>
  <c r="AB29" i="111" s="1"/>
  <c r="T29" i="107"/>
  <c r="D86" i="111"/>
  <c r="T29" i="111" s="1"/>
  <c r="G85" i="111"/>
  <c r="J84" i="111"/>
  <c r="O84" i="111" s="1"/>
  <c r="M83" i="111"/>
  <c r="E83" i="111"/>
  <c r="X28" i="107"/>
  <c r="H82" i="111"/>
  <c r="X28" i="111" s="1"/>
  <c r="K81" i="111"/>
  <c r="N80" i="111"/>
  <c r="F80" i="111"/>
  <c r="I79" i="111"/>
  <c r="O79" i="111" s="1"/>
  <c r="AB27" i="107"/>
  <c r="L78" i="111"/>
  <c r="AB27" i="111" s="1"/>
  <c r="T27" i="107"/>
  <c r="D78" i="111"/>
  <c r="T27" i="111" s="1"/>
  <c r="G77" i="111"/>
  <c r="J76" i="111"/>
  <c r="M75" i="111"/>
  <c r="E75" i="111"/>
  <c r="X26" i="107"/>
  <c r="H74" i="111"/>
  <c r="X26" i="111" s="1"/>
  <c r="C99" i="111"/>
  <c r="C81" i="111"/>
  <c r="F102" i="111"/>
  <c r="V33" i="111" s="1"/>
  <c r="J98" i="111"/>
  <c r="Z32" i="111" s="1"/>
  <c r="E62" i="111"/>
  <c r="O59" i="107"/>
  <c r="P90" i="107"/>
  <c r="AF30" i="107" s="1"/>
  <c r="O74" i="108"/>
  <c r="AE26" i="108" s="1"/>
  <c r="O98" i="108"/>
  <c r="K73" i="111"/>
  <c r="N72" i="111"/>
  <c r="F72" i="111"/>
  <c r="I71" i="111"/>
  <c r="AB25" i="107"/>
  <c r="L70" i="111"/>
  <c r="AB25" i="111" s="1"/>
  <c r="T25" i="107"/>
  <c r="D70" i="111"/>
  <c r="G69" i="111"/>
  <c r="J68" i="111"/>
  <c r="M67" i="111"/>
  <c r="E67" i="111"/>
  <c r="X24" i="107"/>
  <c r="H66" i="111"/>
  <c r="X24" i="111" s="1"/>
  <c r="K65" i="111"/>
  <c r="O65" i="111" s="1"/>
  <c r="N64" i="111"/>
  <c r="F64" i="111"/>
  <c r="I63" i="111"/>
  <c r="AB23" i="107"/>
  <c r="L62" i="111"/>
  <c r="T23" i="107"/>
  <c r="D62" i="111"/>
  <c r="T23" i="111" s="1"/>
  <c r="G61" i="111"/>
  <c r="J60" i="111"/>
  <c r="M59" i="111"/>
  <c r="E59" i="111"/>
  <c r="X22" i="107"/>
  <c r="H58" i="111"/>
  <c r="P100" i="108"/>
  <c r="O100" i="108"/>
  <c r="P92" i="108"/>
  <c r="O92" i="108"/>
  <c r="P84" i="108"/>
  <c r="O84" i="108"/>
  <c r="P76" i="108"/>
  <c r="O76" i="108"/>
  <c r="P68" i="108"/>
  <c r="O68" i="108"/>
  <c r="P60" i="108"/>
  <c r="O60" i="108"/>
  <c r="Y33" i="108"/>
  <c r="AC32" i="108"/>
  <c r="U32" i="108"/>
  <c r="Y31" i="108"/>
  <c r="AC30" i="108"/>
  <c r="U30" i="108"/>
  <c r="Y29" i="108"/>
  <c r="AC28" i="108"/>
  <c r="U28" i="108"/>
  <c r="Y27" i="108"/>
  <c r="AC26" i="108"/>
  <c r="U26" i="108"/>
  <c r="Y25" i="108"/>
  <c r="AC24" i="108"/>
  <c r="U24" i="108"/>
  <c r="Y23" i="108"/>
  <c r="AC22" i="108"/>
  <c r="U22" i="108"/>
  <c r="F77" i="111"/>
  <c r="I76" i="111"/>
  <c r="L75" i="111"/>
  <c r="D75" i="111"/>
  <c r="O75" i="111" s="1"/>
  <c r="W26" i="107"/>
  <c r="G74" i="111"/>
  <c r="W26" i="111" s="1"/>
  <c r="J73" i="111"/>
  <c r="M72" i="111"/>
  <c r="E72" i="111"/>
  <c r="H71" i="111"/>
  <c r="AA25" i="107"/>
  <c r="K70" i="111"/>
  <c r="AA25" i="111" s="1"/>
  <c r="N69" i="111"/>
  <c r="O69" i="111" s="1"/>
  <c r="F69" i="111"/>
  <c r="I68" i="111"/>
  <c r="L67" i="111"/>
  <c r="D67" i="111"/>
  <c r="W24" i="107"/>
  <c r="G66" i="111"/>
  <c r="W24" i="111" s="1"/>
  <c r="J65" i="111"/>
  <c r="P65" i="111" s="1"/>
  <c r="M64" i="111"/>
  <c r="E64" i="111"/>
  <c r="H63" i="111"/>
  <c r="AA23" i="107"/>
  <c r="K62" i="111"/>
  <c r="N61" i="111"/>
  <c r="F61" i="111"/>
  <c r="I60" i="111"/>
  <c r="P60" i="111" s="1"/>
  <c r="L59" i="111"/>
  <c r="O59" i="111" s="1"/>
  <c r="D59" i="111"/>
  <c r="W22" i="107"/>
  <c r="G58" i="111"/>
  <c r="P99" i="108"/>
  <c r="P91" i="108"/>
  <c r="P83" i="108"/>
  <c r="P75" i="108"/>
  <c r="AF26" i="108" s="1"/>
  <c r="P67" i="108"/>
  <c r="AF24" i="108" s="1"/>
  <c r="P59" i="108"/>
  <c r="X33" i="108"/>
  <c r="AB32" i="108"/>
  <c r="T32" i="108"/>
  <c r="X31" i="108"/>
  <c r="AB30" i="108"/>
  <c r="T30" i="108"/>
  <c r="X29" i="108"/>
  <c r="AB28" i="108"/>
  <c r="T28" i="108"/>
  <c r="X27" i="108"/>
  <c r="AB26" i="108"/>
  <c r="T26" i="108"/>
  <c r="X25" i="108"/>
  <c r="AB24" i="108"/>
  <c r="T24" i="108"/>
  <c r="X23" i="108"/>
  <c r="AB22" i="108"/>
  <c r="T22" i="108"/>
  <c r="O67" i="108"/>
  <c r="O99" i="108"/>
  <c r="K75" i="111"/>
  <c r="AD26" i="107"/>
  <c r="N74" i="111"/>
  <c r="AD26" i="111" s="1"/>
  <c r="V26" i="107"/>
  <c r="F74" i="111"/>
  <c r="V26" i="111" s="1"/>
  <c r="I73" i="111"/>
  <c r="L72" i="111"/>
  <c r="D72" i="111"/>
  <c r="G71" i="111"/>
  <c r="O71" i="111" s="1"/>
  <c r="Z25" i="107"/>
  <c r="J70" i="111"/>
  <c r="Z25" i="111" s="1"/>
  <c r="M69" i="111"/>
  <c r="E69" i="111"/>
  <c r="H68" i="111"/>
  <c r="K67" i="111"/>
  <c r="AD24" i="107"/>
  <c r="N66" i="111"/>
  <c r="V24" i="107"/>
  <c r="F66" i="111"/>
  <c r="V24" i="111" s="1"/>
  <c r="I65" i="111"/>
  <c r="L64" i="111"/>
  <c r="D64" i="111"/>
  <c r="G63" i="111"/>
  <c r="Z23" i="107"/>
  <c r="J62" i="111"/>
  <c r="M61" i="111"/>
  <c r="E61" i="111"/>
  <c r="O61" i="111" s="1"/>
  <c r="H60" i="111"/>
  <c r="K59" i="111"/>
  <c r="AD22" i="107"/>
  <c r="N58" i="111"/>
  <c r="AD22" i="111" s="1"/>
  <c r="V22" i="107"/>
  <c r="F58" i="111"/>
  <c r="V22" i="111" s="1"/>
  <c r="S32" i="108"/>
  <c r="S30" i="108"/>
  <c r="S28" i="108"/>
  <c r="S26" i="108"/>
  <c r="S24" i="108"/>
  <c r="W33" i="108"/>
  <c r="AA32" i="108"/>
  <c r="W31" i="108"/>
  <c r="AA30" i="108"/>
  <c r="W29" i="108"/>
  <c r="AA28" i="108"/>
  <c r="W27" i="108"/>
  <c r="AA26" i="108"/>
  <c r="W25" i="108"/>
  <c r="AA24" i="108"/>
  <c r="W23" i="108"/>
  <c r="AA22" i="108"/>
  <c r="P90" i="108"/>
  <c r="AF30" i="108" s="1"/>
  <c r="AC26" i="107"/>
  <c r="M74" i="111"/>
  <c r="AC26" i="111" s="1"/>
  <c r="U26" i="107"/>
  <c r="E74" i="111"/>
  <c r="Y25" i="107"/>
  <c r="I70" i="111"/>
  <c r="Y25" i="111" s="1"/>
  <c r="AC24" i="107"/>
  <c r="M66" i="111"/>
  <c r="AC24" i="111" s="1"/>
  <c r="U24" i="107"/>
  <c r="E66" i="111"/>
  <c r="U24" i="111" s="1"/>
  <c r="Y23" i="107"/>
  <c r="I62" i="111"/>
  <c r="Y23" i="111" s="1"/>
  <c r="AC22" i="107"/>
  <c r="M58" i="111"/>
  <c r="U22" i="107"/>
  <c r="E58" i="111"/>
  <c r="U22" i="111" s="1"/>
  <c r="P105" i="108"/>
  <c r="O105" i="108"/>
  <c r="P97" i="108"/>
  <c r="O97" i="108"/>
  <c r="P89" i="108"/>
  <c r="O89" i="108"/>
  <c r="P81" i="108"/>
  <c r="O81" i="108"/>
  <c r="P73" i="108"/>
  <c r="O73" i="108"/>
  <c r="P65" i="108"/>
  <c r="O65" i="108"/>
  <c r="AD33" i="108"/>
  <c r="V33" i="108"/>
  <c r="Z32" i="108"/>
  <c r="AD31" i="108"/>
  <c r="V31" i="108"/>
  <c r="Z30" i="108"/>
  <c r="AD29" i="108"/>
  <c r="V29" i="108"/>
  <c r="Z28" i="108"/>
  <c r="AD27" i="108"/>
  <c r="V27" i="108"/>
  <c r="Z26" i="108"/>
  <c r="AD25" i="108"/>
  <c r="V25" i="108"/>
  <c r="Z24" i="108"/>
  <c r="AD23" i="108"/>
  <c r="V23" i="108"/>
  <c r="Z22" i="108"/>
  <c r="O59" i="108"/>
  <c r="O82" i="108"/>
  <c r="AE28" i="108" s="1"/>
  <c r="O91" i="108"/>
  <c r="AE30" i="108" s="1"/>
  <c r="AB26" i="107"/>
  <c r="L74" i="111"/>
  <c r="T26" i="107"/>
  <c r="D74" i="111"/>
  <c r="X25" i="107"/>
  <c r="H70" i="111"/>
  <c r="X25" i="111" s="1"/>
  <c r="AB24" i="107"/>
  <c r="L66" i="111"/>
  <c r="AB24" i="111" s="1"/>
  <c r="T24" i="107"/>
  <c r="D66" i="111"/>
  <c r="T24" i="111" s="1"/>
  <c r="X23" i="107"/>
  <c r="H62" i="111"/>
  <c r="X23" i="111" s="1"/>
  <c r="AB22" i="107"/>
  <c r="L58" i="111"/>
  <c r="T22" i="107"/>
  <c r="D58" i="111"/>
  <c r="T22" i="111" s="1"/>
  <c r="P104" i="108"/>
  <c r="O104" i="108"/>
  <c r="P96" i="108"/>
  <c r="O96" i="108"/>
  <c r="P88" i="108"/>
  <c r="O88" i="108"/>
  <c r="P80" i="108"/>
  <c r="O80" i="108"/>
  <c r="P72" i="108"/>
  <c r="O72" i="108"/>
  <c r="P64" i="108"/>
  <c r="AF23" i="108" s="1"/>
  <c r="O64" i="108"/>
  <c r="AC33" i="108"/>
  <c r="U33" i="108"/>
  <c r="Y32" i="108"/>
  <c r="AC31" i="108"/>
  <c r="U31" i="108"/>
  <c r="Y30" i="108"/>
  <c r="AC29" i="108"/>
  <c r="U29" i="108"/>
  <c r="Y28" i="108"/>
  <c r="AC27" i="108"/>
  <c r="U27" i="108"/>
  <c r="Y26" i="108"/>
  <c r="AC25" i="108"/>
  <c r="U25" i="108"/>
  <c r="Y24" i="108"/>
  <c r="AC23" i="108"/>
  <c r="U23" i="108"/>
  <c r="Y22" i="108"/>
  <c r="P82" i="108"/>
  <c r="AF28" i="108" s="1"/>
  <c r="O73" i="111"/>
  <c r="O67" i="111"/>
  <c r="O63" i="111"/>
  <c r="P72" i="111"/>
  <c r="P68" i="111"/>
  <c r="P64" i="111"/>
  <c r="O105" i="111"/>
  <c r="P105" i="111"/>
  <c r="O101" i="111"/>
  <c r="P101" i="111"/>
  <c r="O99" i="111"/>
  <c r="P99" i="111"/>
  <c r="O97" i="111"/>
  <c r="P97" i="111"/>
  <c r="O95" i="111"/>
  <c r="P95" i="111"/>
  <c r="O93" i="111"/>
  <c r="P93" i="111"/>
  <c r="O91" i="111"/>
  <c r="P91" i="111"/>
  <c r="O89" i="111"/>
  <c r="P89" i="111"/>
  <c r="O85" i="111"/>
  <c r="P85" i="111"/>
  <c r="O81" i="111"/>
  <c r="P81" i="111"/>
  <c r="P79" i="111"/>
  <c r="P77" i="111"/>
  <c r="P100" i="111"/>
  <c r="P90" i="111"/>
  <c r="P80" i="111"/>
  <c r="P76" i="111"/>
  <c r="P58" i="111"/>
  <c r="O100" i="111"/>
  <c r="O90" i="111"/>
  <c r="O80" i="111"/>
  <c r="O76" i="111"/>
  <c r="O74" i="111"/>
  <c r="O72" i="111"/>
  <c r="O68" i="111"/>
  <c r="O60" i="111"/>
  <c r="P59" i="111"/>
  <c r="P67" i="111"/>
  <c r="P71" i="111"/>
  <c r="P73" i="111"/>
  <c r="P75" i="111"/>
  <c r="C3" i="94"/>
  <c r="AE30" i="111" l="1"/>
  <c r="P78" i="111"/>
  <c r="AF27" i="111" s="1"/>
  <c r="AD24" i="111"/>
  <c r="P69" i="111"/>
  <c r="O96" i="111"/>
  <c r="O87" i="111"/>
  <c r="O103" i="111"/>
  <c r="P70" i="111"/>
  <c r="AF25" i="111" s="1"/>
  <c r="T26" i="111"/>
  <c r="X22" i="111"/>
  <c r="AB23" i="111"/>
  <c r="U23" i="111"/>
  <c r="AC25" i="111"/>
  <c r="AF27" i="108"/>
  <c r="Z22" i="111"/>
  <c r="V25" i="111"/>
  <c r="S29" i="111"/>
  <c r="P92" i="111"/>
  <c r="AF30" i="111" s="1"/>
  <c r="S23" i="111"/>
  <c r="O78" i="111"/>
  <c r="AE27" i="111" s="1"/>
  <c r="AE27" i="108"/>
  <c r="O66" i="111"/>
  <c r="AE24" i="111" s="1"/>
  <c r="O82" i="111"/>
  <c r="AE28" i="111" s="1"/>
  <c r="O98" i="111"/>
  <c r="AE32" i="111" s="1"/>
  <c r="P82" i="111"/>
  <c r="P98" i="111"/>
  <c r="AF32" i="111" s="1"/>
  <c r="U26" i="111"/>
  <c r="AA23" i="111"/>
  <c r="Y26" i="111"/>
  <c r="W28" i="111"/>
  <c r="AE28" i="107"/>
  <c r="Z28" i="111"/>
  <c r="AA22" i="111"/>
  <c r="AA26" i="111"/>
  <c r="AE29" i="108"/>
  <c r="AC28" i="111"/>
  <c r="AE29" i="107"/>
  <c r="AF32" i="107"/>
  <c r="S30" i="111"/>
  <c r="S33" i="111"/>
  <c r="AF22" i="108"/>
  <c r="P84" i="111"/>
  <c r="P74" i="111"/>
  <c r="AF26" i="111" s="1"/>
  <c r="AB26" i="111"/>
  <c r="W22" i="111"/>
  <c r="AE24" i="108"/>
  <c r="S28" i="111"/>
  <c r="Y22" i="111"/>
  <c r="AE22" i="107"/>
  <c r="AE23" i="108"/>
  <c r="V23" i="111"/>
  <c r="AD25" i="111"/>
  <c r="AE24" i="107"/>
  <c r="AF29" i="107"/>
  <c r="AF22" i="111"/>
  <c r="P66" i="111"/>
  <c r="AF24" i="111" s="1"/>
  <c r="AB22" i="111"/>
  <c r="AE22" i="108"/>
  <c r="O62" i="111"/>
  <c r="AE23" i="111" s="1"/>
  <c r="P94" i="111"/>
  <c r="AF31" i="111" s="1"/>
  <c r="AC22" i="111"/>
  <c r="Z23" i="111"/>
  <c r="W25" i="111"/>
  <c r="U28" i="111"/>
  <c r="O70" i="111"/>
  <c r="AE25" i="111" s="1"/>
  <c r="O86" i="111"/>
  <c r="O102" i="111"/>
  <c r="P86" i="111"/>
  <c r="AF29" i="111" s="1"/>
  <c r="P102" i="111"/>
  <c r="AF33" i="111" s="1"/>
  <c r="P83" i="111"/>
  <c r="AE30" i="107"/>
  <c r="AE31" i="107"/>
  <c r="AE31" i="108"/>
  <c r="V29" i="111"/>
  <c r="W23" i="111"/>
  <c r="AF24" i="107"/>
  <c r="AE33" i="107"/>
  <c r="Y29" i="111"/>
  <c r="AE26" i="111"/>
  <c r="O94" i="111"/>
  <c r="AE31" i="111" s="1"/>
  <c r="P61" i="111"/>
  <c r="O88" i="111"/>
  <c r="O104" i="111"/>
  <c r="P62" i="111"/>
  <c r="AF23" i="111" s="1"/>
  <c r="O58" i="111"/>
  <c r="AE22" i="111" s="1"/>
  <c r="T25" i="111"/>
  <c r="AE32" i="108"/>
  <c r="AF22" i="107"/>
  <c r="AC23" i="111"/>
  <c r="AF31" i="107"/>
  <c r="AE25" i="108"/>
  <c r="AD23" i="111"/>
  <c r="Z26" i="111"/>
  <c r="AA29" i="111"/>
  <c r="AF25" i="107"/>
  <c r="AE23" i="107"/>
  <c r="K6" i="98"/>
  <c r="K6" i="99" s="1"/>
  <c r="K6" i="100" s="1"/>
  <c r="K6" i="101" s="1"/>
  <c r="K6" i="105" s="1"/>
  <c r="K6" i="110" s="1"/>
  <c r="K6" i="103" s="1"/>
  <c r="K5" i="98"/>
  <c r="K5" i="99" s="1"/>
  <c r="K5" i="100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09"/>
  <c r="D5" i="100"/>
  <c r="D5" i="98"/>
  <c r="D5" i="96"/>
  <c r="D5" i="94"/>
  <c r="AE33" i="111" l="1"/>
  <c r="AE29" i="111"/>
  <c r="AF28" i="111"/>
  <c r="K5" i="107"/>
  <c r="K5" i="104"/>
  <c r="K5" i="108" s="1"/>
  <c r="K5" i="111" s="1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AA39" i="105" s="1"/>
  <c r="Z19" i="105"/>
  <c r="Y19" i="105"/>
  <c r="X19" i="105"/>
  <c r="W19" i="105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A19" i="103"/>
  <c r="Z19" i="103"/>
  <c r="Z27" i="103" s="1"/>
  <c r="Y19" i="103"/>
  <c r="X19" i="103"/>
  <c r="X27" i="103" s="1"/>
  <c r="W19" i="103"/>
  <c r="W27" i="103" s="1"/>
  <c r="V19" i="103"/>
  <c r="V27" i="103" s="1"/>
  <c r="U19" i="103"/>
  <c r="U24" i="103" s="1"/>
  <c r="T19" i="103"/>
  <c r="S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A19" i="97"/>
  <c r="Z19" i="97"/>
  <c r="Y19" i="97"/>
  <c r="X19" i="97"/>
  <c r="X27" i="97" s="1"/>
  <c r="W19" i="97"/>
  <c r="V19" i="97"/>
  <c r="V27" i="97" s="1"/>
  <c r="U19" i="97"/>
  <c r="T19" i="97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Z39" i="105" l="1"/>
  <c r="X26" i="98"/>
  <c r="U39" i="109"/>
  <c r="Z27" i="97"/>
  <c r="AD38" i="101"/>
  <c r="Y27" i="103"/>
  <c r="Y39" i="109"/>
  <c r="T27" i="97"/>
  <c r="AB27" i="97"/>
  <c r="S27" i="103"/>
  <c r="AA27" i="103"/>
  <c r="W39" i="105"/>
  <c r="AC39" i="109"/>
  <c r="S27" i="99"/>
  <c r="AA27" i="99"/>
  <c r="S39" i="101"/>
  <c r="T27" i="103"/>
  <c r="AB27" i="103"/>
  <c r="X39" i="105"/>
  <c r="AA26" i="95"/>
  <c r="AA39" i="101"/>
  <c r="AD39" i="10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L106" i="108" s="1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X26" i="103" s="1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D106" i="107" s="1"/>
  <c r="E10" i="107"/>
  <c r="F10" i="107"/>
  <c r="F106" i="107" s="1"/>
  <c r="G10" i="107"/>
  <c r="H10" i="107"/>
  <c r="I10" i="107"/>
  <c r="J10" i="107"/>
  <c r="J106" i="107" s="1"/>
  <c r="K10" i="107"/>
  <c r="L10" i="107"/>
  <c r="L106" i="107" s="1"/>
  <c r="M10" i="107"/>
  <c r="N10" i="107"/>
  <c r="N106" i="107" s="1"/>
  <c r="C10" i="107"/>
  <c r="D106" i="108" l="1"/>
  <c r="V19" i="108"/>
  <c r="K106" i="108"/>
  <c r="G106" i="108"/>
  <c r="M106" i="107"/>
  <c r="E106" i="107"/>
  <c r="X23" i="103"/>
  <c r="AF33" i="101"/>
  <c r="H106" i="108"/>
  <c r="I106" i="108"/>
  <c r="K106" i="107"/>
  <c r="AF28" i="101"/>
  <c r="S38" i="105"/>
  <c r="C106" i="108"/>
  <c r="E106" i="108"/>
  <c r="U38" i="109"/>
  <c r="N106" i="108"/>
  <c r="J106" i="108"/>
  <c r="I106" i="107"/>
  <c r="H106" i="107"/>
  <c r="C106" i="107"/>
  <c r="G106" i="107"/>
  <c r="AF25" i="101"/>
  <c r="F106" i="108"/>
  <c r="M106" i="10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41" i="108" s="1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Y34" i="108" s="1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AD39" i="107" s="1"/>
  <c r="Z19" i="107"/>
  <c r="V19" i="107"/>
  <c r="V39" i="107" s="1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V41" i="107" s="1"/>
  <c r="AA10" i="107"/>
  <c r="AA41" i="107" s="1"/>
  <c r="P10" i="107"/>
  <c r="S10" i="107"/>
  <c r="O10" i="107"/>
  <c r="X35" i="105"/>
  <c r="U39" i="107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S41" i="107" l="1"/>
  <c r="AB41" i="107"/>
  <c r="AC41" i="107"/>
  <c r="Z41" i="108"/>
  <c r="AD12" i="111"/>
  <c r="P106" i="107"/>
  <c r="P106" i="108"/>
  <c r="O106" i="108"/>
  <c r="X41" i="108"/>
  <c r="H106" i="111"/>
  <c r="V36" i="108"/>
  <c r="S41" i="108"/>
  <c r="AA41" i="108"/>
  <c r="G106" i="111"/>
  <c r="AD41" i="107"/>
  <c r="W41" i="108"/>
  <c r="Y41" i="108"/>
  <c r="V41" i="108"/>
  <c r="T41" i="107"/>
  <c r="AB41" i="108"/>
  <c r="AC41" i="108"/>
  <c r="S36" i="107"/>
  <c r="X41" i="107"/>
  <c r="U41" i="107"/>
  <c r="U41" i="108"/>
  <c r="T41" i="108"/>
  <c r="O106" i="107"/>
  <c r="Y41" i="107"/>
  <c r="U36" i="107"/>
  <c r="Z41" i="107"/>
  <c r="W41" i="107"/>
  <c r="I106" i="111"/>
  <c r="C106" i="111"/>
  <c r="J106" i="111"/>
  <c r="K106" i="111"/>
  <c r="F106" i="111"/>
  <c r="N106" i="111"/>
  <c r="E106" i="111"/>
  <c r="M106" i="111"/>
  <c r="D106" i="111"/>
  <c r="L106" i="111"/>
  <c r="AF10" i="108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T41" i="111" s="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D42" i="108" s="1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V42" i="107" s="1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42" i="107" s="1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E41" i="108" l="1"/>
  <c r="AE42" i="108" s="1"/>
  <c r="S41" i="111"/>
  <c r="AC42" i="108"/>
  <c r="AD41" i="111"/>
  <c r="X41" i="111"/>
  <c r="Y42" i="107"/>
  <c r="AB42" i="108"/>
  <c r="AA42" i="108"/>
  <c r="T42" i="107"/>
  <c r="S42" i="108"/>
  <c r="AF41" i="107"/>
  <c r="Y41" i="111"/>
  <c r="W41" i="111"/>
  <c r="AF41" i="108"/>
  <c r="T42" i="108"/>
  <c r="V42" i="108"/>
  <c r="AE41" i="107"/>
  <c r="U42" i="108"/>
  <c r="Y42" i="108"/>
  <c r="Z42" i="108"/>
  <c r="AA41" i="111"/>
  <c r="AB41" i="111"/>
  <c r="Z41" i="111"/>
  <c r="U42" i="107"/>
  <c r="W42" i="108"/>
  <c r="AC42" i="107"/>
  <c r="AC41" i="111"/>
  <c r="W42" i="107"/>
  <c r="X42" i="107"/>
  <c r="AD42" i="107"/>
  <c r="X42" i="108"/>
  <c r="AB42" i="107"/>
  <c r="U41" i="111"/>
  <c r="V41" i="111"/>
  <c r="Z42" i="107"/>
  <c r="S42" i="107"/>
  <c r="O106" i="111"/>
  <c r="P106" i="111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T42" i="111" s="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Z42" i="111" l="1"/>
  <c r="AB42" i="111"/>
  <c r="AF42" i="108"/>
  <c r="AE41" i="111"/>
  <c r="AA42" i="111"/>
  <c r="W42" i="111"/>
  <c r="X42" i="111"/>
  <c r="AE42" i="107"/>
  <c r="Y42" i="111"/>
  <c r="AD42" i="111"/>
  <c r="V42" i="111"/>
  <c r="AC42" i="111"/>
  <c r="AF42" i="107"/>
  <c r="AF34" i="111"/>
  <c r="AF41" i="111"/>
  <c r="AF42" i="111" s="1"/>
  <c r="U42" i="111"/>
  <c r="S42" i="111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E42" i="111" l="1"/>
</calcChain>
</file>

<file path=xl/sharedStrings.xml><?xml version="1.0" encoding="utf-8"?>
<sst xmlns="http://schemas.openxmlformats.org/spreadsheetml/2006/main" count="2330" uniqueCount="180">
  <si>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</si>
  <si>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</si>
  <si>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</si>
  <si>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</si>
  <si>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</si>
  <si>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</si>
  <si>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</si>
  <si>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</si>
  <si>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</si>
  <si>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</si>
  <si>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</si>
  <si>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</si>
  <si>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</si>
  <si>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</si>
  <si>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</si>
  <si>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</si>
  <si>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</si>
  <si>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</si>
  <si>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</si>
  <si>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</si>
  <si>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</si>
  <si>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</si>
  <si>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</si>
  <si>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</si>
  <si>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</si>
  <si>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</si>
  <si>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</si>
  <si>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</si>
  <si>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</si>
  <si>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</si>
  <si>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</si>
  <si>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</si>
  <si>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</si>
  <si>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</si>
  <si>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</si>
  <si>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</si>
  <si>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</si>
  <si>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</si>
  <si>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</si>
  <si>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</si>
  <si>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</si>
  <si>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</si>
  <si>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</si>
  <si>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</si>
  <si>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</si>
  <si>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</si>
  <si>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</si>
  <si>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</si>
  <si>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</si>
  <si>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</si>
  <si>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</si>
  <si>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</si>
  <si>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</si>
  <si>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</si>
  <si>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</si>
  <si>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</si>
  <si>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</si>
  <si>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</si>
  <si>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</si>
  <si>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</si>
  <si>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</si>
  <si>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</si>
  <si>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</si>
  <si>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</si>
  <si>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</si>
  <si>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</si>
  <si>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</si>
  <si>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</si>
  <si>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</si>
  <si>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</si>
  <si>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</si>
  <si>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</si>
  <si>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</si>
  <si>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</si>
  <si>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</si>
  <si>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</si>
  <si>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</si>
  <si>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</si>
  <si>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</si>
  <si>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</si>
  <si>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</si>
  <si>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</si>
  <si>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</si>
  <si>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</si>
  <si>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</si>
  <si>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</si>
  <si>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</si>
  <si>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</si>
  <si>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</si>
  <si>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</si>
  <si>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</si>
  <si>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</si>
  <si>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</si>
  <si>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</si>
  <si>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</si>
  <si>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</si>
  <si>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</si>
  <si>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</si>
  <si>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</si>
  <si>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</si>
  <si>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</si>
  <si>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</si>
  <si>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</si>
  <si>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</si>
  <si>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</si>
  <si>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</si>
  <si>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</si>
  <si>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</si>
  <si>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</si>
  <si>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</si>
  <si>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</si>
  <si>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</si>
  <si>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</si>
  <si>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</si>
  <si>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</si>
  <si>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</si>
  <si>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</si>
  <si>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</si>
  <si>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</si>
  <si>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</si>
  <si>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</si>
  <si>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</si>
  <si>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</si>
  <si>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</si>
  <si>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</si>
  <si>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</si>
  <si>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</si>
  <si>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</si>
  <si>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</si>
  <si>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</si>
  <si>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</si>
  <si>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</si>
  <si>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</si>
  <si>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</si>
  <si>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</si>
  <si>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</si>
  <si>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</si>
  <si>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</si>
  <si>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</si>
  <si>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</si>
  <si>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</si>
  <si>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</si>
  <si>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</si>
  <si>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</si>
  <si>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</si>
  <si>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</si>
  <si>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</si>
  <si>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</si>
  <si>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</si>
  <si>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</si>
  <si>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</si>
  <si>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</si>
  <si>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</si>
  <si>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</si>
  <si>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</si>
  <si>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</si>
  <si>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</si>
  <si>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</si>
  <si>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</si>
  <si>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</si>
  <si>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</si>
  <si>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</si>
  <si>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26.07.19</t>
  </si>
  <si>
    <t>27.07.19</t>
  </si>
  <si>
    <t>AVERAGE WEEK</t>
  </si>
  <si>
    <t>25.10.19</t>
  </si>
  <si>
    <t>KYENJOJO</t>
  </si>
  <si>
    <t>HOIMA</t>
  </si>
  <si>
    <t>OLOYA FELIX</t>
  </si>
  <si>
    <t>BABIRYE PHIONA</t>
  </si>
  <si>
    <t>FELIX</t>
  </si>
  <si>
    <t>MOSES</t>
  </si>
  <si>
    <t>STEVEN</t>
  </si>
  <si>
    <t>27.10.19</t>
  </si>
  <si>
    <t>28.10.19</t>
  </si>
  <si>
    <t>29.10.19</t>
  </si>
  <si>
    <t>30.10.19</t>
  </si>
  <si>
    <t>31.10.19</t>
  </si>
  <si>
    <t>MCC - C4 - STN108 - HOIMA ROAD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</si>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</sst>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KYENJOJO-HOIMA'!$AE$9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KYENJOJO-HOIMA'!$AE$10:$AE$21</c:f>
              <c:numCache>
                <c:formatCode>0</c:formatCode>
                <c:ptCount val="12"/>
                <c:pt idx="0">
                  <c:v>23</c:v>
                </c:pt>
                <c:pt idx="1">
                  <c:v>41</c:v>
                </c:pt>
                <c:pt idx="2">
                  <c:v>38</c:v>
                </c:pt>
                <c:pt idx="3">
                  <c:v>86</c:v>
                </c:pt>
                <c:pt idx="4">
                  <c:v>27</c:v>
                </c:pt>
                <c:pt idx="5">
                  <c:v>42</c:v>
                </c:pt>
                <c:pt idx="6">
                  <c:v>45</c:v>
                </c:pt>
                <c:pt idx="7">
                  <c:v>27</c:v>
                </c:pt>
                <c:pt idx="8">
                  <c:v>33</c:v>
                </c:pt>
                <c:pt idx="9">
                  <c:v>52</c:v>
                </c:pt>
                <c:pt idx="10">
                  <c:v>56</c:v>
                </c:pt>
                <c:pt idx="11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'25.10 KYENJOJO-HOIMA'!$AF$9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KYENJOJO-HOIMA'!$AF$10:$AF$21</c:f>
              <c:numCache>
                <c:formatCode>0</c:formatCode>
                <c:ptCount val="12"/>
                <c:pt idx="0">
                  <c:v>103</c:v>
                </c:pt>
                <c:pt idx="1">
                  <c:v>143</c:v>
                </c:pt>
                <c:pt idx="2">
                  <c:v>150</c:v>
                </c:pt>
                <c:pt idx="3">
                  <c:v>247</c:v>
                </c:pt>
                <c:pt idx="4">
                  <c:v>160</c:v>
                </c:pt>
                <c:pt idx="5">
                  <c:v>203</c:v>
                </c:pt>
                <c:pt idx="6">
                  <c:v>223</c:v>
                </c:pt>
                <c:pt idx="7">
                  <c:v>156</c:v>
                </c:pt>
                <c:pt idx="8">
                  <c:v>207</c:v>
                </c:pt>
                <c:pt idx="9">
                  <c:v>208</c:v>
                </c:pt>
                <c:pt idx="10">
                  <c:v>189</c:v>
                </c:pt>
                <c:pt idx="11">
                  <c:v>186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888352"/>
        <c:axId val="435890704"/>
      </c:lineChart>
      <c:catAx>
        <c:axId val="4358883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5890704"/>
        <c:crosses val="autoZero"/>
        <c:auto val="1"/>
        <c:lblAlgn val="ctr"/>
        <c:lblOffset val="100"/>
        <c:noMultiLvlLbl val="0"/>
      </c:catAx>
      <c:valAx>
        <c:axId val="435890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588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KYENJOJO-HOIMA'!$C$9:$N$9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KYENJOJO-HOIMA'!$C$59:$N$59</c:f>
              <c:numCache>
                <c:formatCode>0.0%</c:formatCode>
                <c:ptCount val="12"/>
                <c:pt idx="0">
                  <c:v>0.14206896551724138</c:v>
                </c:pt>
                <c:pt idx="1">
                  <c:v>1.2413793103448275E-2</c:v>
                </c:pt>
                <c:pt idx="2">
                  <c:v>2.8045977011494253E-2</c:v>
                </c:pt>
                <c:pt idx="3">
                  <c:v>1.9310344827586208E-2</c:v>
                </c:pt>
                <c:pt idx="4">
                  <c:v>0</c:v>
                </c:pt>
                <c:pt idx="5">
                  <c:v>0</c:v>
                </c:pt>
                <c:pt idx="6">
                  <c:v>1.4712643678160919E-2</c:v>
                </c:pt>
                <c:pt idx="7">
                  <c:v>1.3793103448275862E-2</c:v>
                </c:pt>
                <c:pt idx="8">
                  <c:v>3.2183908045977012E-3</c:v>
                </c:pt>
                <c:pt idx="9">
                  <c:v>3.2183908045977012E-3</c:v>
                </c:pt>
                <c:pt idx="10">
                  <c:v>0.76275862068965516</c:v>
                </c:pt>
                <c:pt idx="11">
                  <c:v>4.5977011494252872E-4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KYENJOJO-HOIMA'!$C$9:$N$9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KYENJOJO-HOIMA'!$C$60:$N$60</c:f>
              <c:numCache>
                <c:formatCode>0.00%</c:formatCode>
                <c:ptCount val="12"/>
                <c:pt idx="0">
                  <c:v>0.59883720930232553</c:v>
                </c:pt>
                <c:pt idx="1">
                  <c:v>5.232558139534884E-2</c:v>
                </c:pt>
                <c:pt idx="2">
                  <c:v>0.11821705426356589</c:v>
                </c:pt>
                <c:pt idx="3">
                  <c:v>8.1395348837209308E-2</c:v>
                </c:pt>
                <c:pt idx="4">
                  <c:v>0</c:v>
                </c:pt>
                <c:pt idx="5">
                  <c:v>0</c:v>
                </c:pt>
                <c:pt idx="6">
                  <c:v>6.2015503875968991E-2</c:v>
                </c:pt>
                <c:pt idx="7">
                  <c:v>5.8139534883720929E-2</c:v>
                </c:pt>
                <c:pt idx="8">
                  <c:v>1.3565891472868217E-2</c:v>
                </c:pt>
                <c:pt idx="9">
                  <c:v>1.3565891472868217E-2</c:v>
                </c:pt>
                <c:pt idx="11">
                  <c:v>1.937984496124031E-3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HOIMA-KYENJOJO'!$AE$9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HOIMA-KYENJOJO'!$AE$10:$AE$21</c:f>
              <c:numCache>
                <c:formatCode>0</c:formatCode>
                <c:ptCount val="12"/>
                <c:pt idx="0">
                  <c:v>34</c:v>
                </c:pt>
                <c:pt idx="1">
                  <c:v>45</c:v>
                </c:pt>
                <c:pt idx="2">
                  <c:v>43</c:v>
                </c:pt>
                <c:pt idx="3">
                  <c:v>35</c:v>
                </c:pt>
                <c:pt idx="4">
                  <c:v>38</c:v>
                </c:pt>
                <c:pt idx="5">
                  <c:v>41</c:v>
                </c:pt>
                <c:pt idx="6">
                  <c:v>48</c:v>
                </c:pt>
                <c:pt idx="7">
                  <c:v>83</c:v>
                </c:pt>
                <c:pt idx="8">
                  <c:v>39</c:v>
                </c:pt>
                <c:pt idx="9">
                  <c:v>37</c:v>
                </c:pt>
                <c:pt idx="10">
                  <c:v>38</c:v>
                </c:pt>
                <c:pt idx="11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'25.10 HOIMA-KYENJOJO'!$AF$9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HOIMA-KYENJOJO'!$AF$10:$AF$21</c:f>
              <c:numCache>
                <c:formatCode>0</c:formatCode>
                <c:ptCount val="12"/>
                <c:pt idx="0">
                  <c:v>163</c:v>
                </c:pt>
                <c:pt idx="1">
                  <c:v>199</c:v>
                </c:pt>
                <c:pt idx="2">
                  <c:v>210</c:v>
                </c:pt>
                <c:pt idx="3">
                  <c:v>130</c:v>
                </c:pt>
                <c:pt idx="4">
                  <c:v>173</c:v>
                </c:pt>
                <c:pt idx="5">
                  <c:v>216</c:v>
                </c:pt>
                <c:pt idx="6">
                  <c:v>195</c:v>
                </c:pt>
                <c:pt idx="7">
                  <c:v>230</c:v>
                </c:pt>
                <c:pt idx="8">
                  <c:v>213</c:v>
                </c:pt>
                <c:pt idx="9">
                  <c:v>220</c:v>
                </c:pt>
                <c:pt idx="10">
                  <c:v>164</c:v>
                </c:pt>
                <c:pt idx="11">
                  <c:v>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767456"/>
        <c:axId val="205509920"/>
      </c:lineChart>
      <c:catAx>
        <c:axId val="219767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509920"/>
        <c:crosses val="autoZero"/>
        <c:auto val="1"/>
        <c:lblAlgn val="ctr"/>
        <c:lblOffset val="100"/>
        <c:noMultiLvlLbl val="0"/>
      </c:catAx>
      <c:valAx>
        <c:axId val="205509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76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HOIMA-KYENJOJO'!$C$9:$N$9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HOIMA-KYENJOJO'!$C$59:$N$59</c:f>
              <c:numCache>
                <c:formatCode>0.0%</c:formatCode>
                <c:ptCount val="12"/>
                <c:pt idx="0">
                  <c:v>0.11433597185576078</c:v>
                </c:pt>
                <c:pt idx="1">
                  <c:v>2.6824978012313105E-2</c:v>
                </c:pt>
                <c:pt idx="2">
                  <c:v>2.4186455584872472E-2</c:v>
                </c:pt>
                <c:pt idx="3">
                  <c:v>2.4626209322779244E-2</c:v>
                </c:pt>
                <c:pt idx="4">
                  <c:v>4.3975373790677223E-4</c:v>
                </c:pt>
                <c:pt idx="5">
                  <c:v>1.7590149516270889E-3</c:v>
                </c:pt>
                <c:pt idx="6">
                  <c:v>1.9349164467897976E-2</c:v>
                </c:pt>
                <c:pt idx="7">
                  <c:v>1.0554089709762533E-2</c:v>
                </c:pt>
                <c:pt idx="8">
                  <c:v>5.2770448548812663E-3</c:v>
                </c:pt>
                <c:pt idx="9">
                  <c:v>0</c:v>
                </c:pt>
                <c:pt idx="10">
                  <c:v>0.772207563764292</c:v>
                </c:pt>
                <c:pt idx="11">
                  <c:v>4.3975373790677223E-4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HOIMA-KYENJOJO'!$S$9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HOIMA-KYENJOJO'!$S$10:$S$21</c:f>
              <c:numCache>
                <c:formatCode>0</c:formatCode>
                <c:ptCount val="12"/>
                <c:pt idx="0">
                  <c:v>15</c:v>
                </c:pt>
                <c:pt idx="1">
                  <c:v>23</c:v>
                </c:pt>
                <c:pt idx="2">
                  <c:v>16</c:v>
                </c:pt>
                <c:pt idx="3">
                  <c:v>15</c:v>
                </c:pt>
                <c:pt idx="4">
                  <c:v>18</c:v>
                </c:pt>
                <c:pt idx="5">
                  <c:v>22</c:v>
                </c:pt>
                <c:pt idx="6">
                  <c:v>30</c:v>
                </c:pt>
                <c:pt idx="7">
                  <c:v>47</c:v>
                </c:pt>
                <c:pt idx="8">
                  <c:v>10</c:v>
                </c:pt>
                <c:pt idx="9">
                  <c:v>21</c:v>
                </c:pt>
                <c:pt idx="10">
                  <c:v>20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'25.10 HOIMA-KYENJOJO'!$T$9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HOIMA-KYENJOJO'!$T$10:$T$21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8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10</c:v>
                </c:pt>
                <c:pt idx="8">
                  <c:v>8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'25.10 HOIMA-KYENJOJO'!$U$9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'25.10 HOIMA-KYENJOJO'!$U$10:$U$21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7</c:v>
                </c:pt>
                <c:pt idx="6">
                  <c:v>5</c:v>
                </c:pt>
                <c:pt idx="7">
                  <c:v>6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'25.10 HOIMA-KYENJOJO'!$V$9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'25.10 HOIMA-KYENJOJO'!$V$10:$V$21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9</c:v>
                </c:pt>
                <c:pt idx="8">
                  <c:v>11</c:v>
                </c:pt>
                <c:pt idx="9">
                  <c:v>5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'25.10 HOIMA-KYENJOJO'!$W$9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'25.10 HOIMA-KYENJOJO'!$W$10:$W$21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'25.10 HOIMA-KYENJOJO'!$X$9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'25.10 HOIMA-KYENJOJO'!$X$10:$X$21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'25.10 HOIMA-KYENJOJO'!$Y$9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HOIMA-KYENJOJO'!$Y$10:$Y$21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9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'25.10 HOIMA-KYENJOJO'!$Z$9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HOIMA-KYENJOJO'!$Z$10:$Z$21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'25.10 HOIMA-KYENJOJO'!$AA$9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HOIMA-KYENJOJO'!$AA$10:$AA$21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'25.10 HOIMA-KYENJOJO'!$AB$9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HOIMA-KYENJOJO'!$AB$10:$AB$21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'25.10 HOIMA-KYENJOJO'!$AC$9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HOIMA-KYENJOJO'!$AC$10:$AC$21</c:f>
              <c:numCache>
                <c:formatCode>0</c:formatCode>
                <c:ptCount val="12"/>
                <c:pt idx="0">
                  <c:v>129</c:v>
                </c:pt>
                <c:pt idx="1">
                  <c:v>154</c:v>
                </c:pt>
                <c:pt idx="2">
                  <c:v>167</c:v>
                </c:pt>
                <c:pt idx="3">
                  <c:v>95</c:v>
                </c:pt>
                <c:pt idx="4">
                  <c:v>135</c:v>
                </c:pt>
                <c:pt idx="5">
                  <c:v>175</c:v>
                </c:pt>
                <c:pt idx="6">
                  <c:v>147</c:v>
                </c:pt>
                <c:pt idx="7">
                  <c:v>147</c:v>
                </c:pt>
                <c:pt idx="8">
                  <c:v>174</c:v>
                </c:pt>
                <c:pt idx="9">
                  <c:v>183</c:v>
                </c:pt>
                <c:pt idx="10">
                  <c:v>126</c:v>
                </c:pt>
                <c:pt idx="11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'25.10 HOIMA-KYENJOJO'!$AD$9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HOIMA-KYENJOJO'!$AD$10:$AD$21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09528"/>
        <c:axId val="205512272"/>
      </c:lineChart>
      <c:catAx>
        <c:axId val="205509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512272"/>
        <c:crosses val="autoZero"/>
        <c:auto val="1"/>
        <c:lblAlgn val="ctr"/>
        <c:lblOffset val="100"/>
        <c:noMultiLvlLbl val="0"/>
      </c:catAx>
      <c:valAx>
        <c:axId val="20551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50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HOIMA-KYENJOJO'!$C$9:$N$9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HOIMA-KYENJOJO'!$C$60:$N$60</c:f>
              <c:numCache>
                <c:formatCode>0.00%</c:formatCode>
                <c:ptCount val="12"/>
                <c:pt idx="0">
                  <c:v>0.50193050193050193</c:v>
                </c:pt>
                <c:pt idx="1">
                  <c:v>0.11776061776061776</c:v>
                </c:pt>
                <c:pt idx="2">
                  <c:v>0.10617760617760617</c:v>
                </c:pt>
                <c:pt idx="3">
                  <c:v>0.10810810810810811</c:v>
                </c:pt>
                <c:pt idx="4">
                  <c:v>1.9305019305019305E-3</c:v>
                </c:pt>
                <c:pt idx="5">
                  <c:v>7.7220077220077222E-3</c:v>
                </c:pt>
                <c:pt idx="6">
                  <c:v>8.4942084942084939E-2</c:v>
                </c:pt>
                <c:pt idx="7">
                  <c:v>4.633204633204633E-2</c:v>
                </c:pt>
                <c:pt idx="8">
                  <c:v>2.3166023166023165E-2</c:v>
                </c:pt>
                <c:pt idx="9">
                  <c:v>0</c:v>
                </c:pt>
                <c:pt idx="11">
                  <c:v>1.9305019305019305E-3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KYENJOJO-HOIMA-24h'!$AE$9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KYENJOJO-HOIMA-24h'!$R$10:$R$33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KYENJOJO-HOIMA-24h'!$AE$10:$AE$33</c:f>
              <c:numCache>
                <c:formatCode>0</c:formatCode>
                <c:ptCount val="24"/>
                <c:pt idx="0">
                  <c:v>11</c:v>
                </c:pt>
                <c:pt idx="1">
                  <c:v>8</c:v>
                </c:pt>
                <c:pt idx="2">
                  <c:v>21</c:v>
                </c:pt>
                <c:pt idx="3">
                  <c:v>50</c:v>
                </c:pt>
                <c:pt idx="4">
                  <c:v>34</c:v>
                </c:pt>
                <c:pt idx="5">
                  <c:v>33</c:v>
                </c:pt>
                <c:pt idx="6">
                  <c:v>41</c:v>
                </c:pt>
                <c:pt idx="7">
                  <c:v>34</c:v>
                </c:pt>
                <c:pt idx="8">
                  <c:v>36</c:v>
                </c:pt>
                <c:pt idx="9">
                  <c:v>57</c:v>
                </c:pt>
                <c:pt idx="10">
                  <c:v>36</c:v>
                </c:pt>
                <c:pt idx="11">
                  <c:v>32</c:v>
                </c:pt>
                <c:pt idx="12">
                  <c:v>52</c:v>
                </c:pt>
                <c:pt idx="13">
                  <c:v>27</c:v>
                </c:pt>
                <c:pt idx="14">
                  <c:v>24</c:v>
                </c:pt>
                <c:pt idx="15">
                  <c:v>17</c:v>
                </c:pt>
                <c:pt idx="16">
                  <c:v>11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'26.10 KYENJOJO-HOIMA-24h'!$AF$9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KYENJOJO-HOIMA-24h'!$R$10:$R$33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KYENJOJO-HOIMA-24h'!$AF$10:$AF$33</c:f>
              <c:numCache>
                <c:formatCode>0</c:formatCode>
                <c:ptCount val="24"/>
                <c:pt idx="0">
                  <c:v>12</c:v>
                </c:pt>
                <c:pt idx="1">
                  <c:v>16</c:v>
                </c:pt>
                <c:pt idx="2">
                  <c:v>66</c:v>
                </c:pt>
                <c:pt idx="3">
                  <c:v>126</c:v>
                </c:pt>
                <c:pt idx="4">
                  <c:v>162</c:v>
                </c:pt>
                <c:pt idx="5">
                  <c:v>163</c:v>
                </c:pt>
                <c:pt idx="6">
                  <c:v>228</c:v>
                </c:pt>
                <c:pt idx="7">
                  <c:v>224</c:v>
                </c:pt>
                <c:pt idx="8">
                  <c:v>114</c:v>
                </c:pt>
                <c:pt idx="9">
                  <c:v>141</c:v>
                </c:pt>
                <c:pt idx="10">
                  <c:v>171</c:v>
                </c:pt>
                <c:pt idx="11">
                  <c:v>165</c:v>
                </c:pt>
                <c:pt idx="12">
                  <c:v>144</c:v>
                </c:pt>
                <c:pt idx="13">
                  <c:v>82</c:v>
                </c:pt>
                <c:pt idx="14">
                  <c:v>97</c:v>
                </c:pt>
                <c:pt idx="15">
                  <c:v>53</c:v>
                </c:pt>
                <c:pt idx="16">
                  <c:v>29</c:v>
                </c:pt>
                <c:pt idx="17">
                  <c:v>16</c:v>
                </c:pt>
                <c:pt idx="18">
                  <c:v>7</c:v>
                </c:pt>
                <c:pt idx="19">
                  <c:v>5</c:v>
                </c:pt>
                <c:pt idx="20">
                  <c:v>5</c:v>
                </c:pt>
                <c:pt idx="21">
                  <c:v>14</c:v>
                </c:pt>
                <c:pt idx="22">
                  <c:v>6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503120"/>
        <c:axId val="209503512"/>
      </c:lineChart>
      <c:catAx>
        <c:axId val="2095031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9503512"/>
        <c:crosses val="autoZero"/>
        <c:auto val="1"/>
        <c:lblAlgn val="ctr"/>
        <c:lblOffset val="100"/>
        <c:noMultiLvlLbl val="0"/>
      </c:catAx>
      <c:valAx>
        <c:axId val="209503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950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KYENJOJO-HOIMA-24h'!$C$9:$N$9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KYENJOJO-HOIMA-24h'!$C$107:$N$107</c:f>
              <c:numCache>
                <c:formatCode>0.0%</c:formatCode>
                <c:ptCount val="12"/>
                <c:pt idx="0">
                  <c:v>0.16085271317829458</c:v>
                </c:pt>
                <c:pt idx="1">
                  <c:v>1.4534883720930232E-2</c:v>
                </c:pt>
                <c:pt idx="2">
                  <c:v>2.7616279069767442E-2</c:v>
                </c:pt>
                <c:pt idx="3">
                  <c:v>2.374031007751938E-2</c:v>
                </c:pt>
                <c:pt idx="4">
                  <c:v>1.4534883720930232E-3</c:v>
                </c:pt>
                <c:pt idx="5">
                  <c:v>0</c:v>
                </c:pt>
                <c:pt idx="6">
                  <c:v>2.2771317829457363E-2</c:v>
                </c:pt>
                <c:pt idx="7">
                  <c:v>1.065891472868217E-2</c:v>
                </c:pt>
                <c:pt idx="8">
                  <c:v>1.937984496124031E-3</c:v>
                </c:pt>
                <c:pt idx="9">
                  <c:v>2.9069767441860465E-3</c:v>
                </c:pt>
                <c:pt idx="10">
                  <c:v>0.73352713178294571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KYENJOJO-HOIMA-24h'!$C$9:$N$9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KYENJOJO-HOIMA-24h'!$C$108:$N$108</c:f>
              <c:numCache>
                <c:formatCode>0.00%</c:formatCode>
                <c:ptCount val="12"/>
                <c:pt idx="0">
                  <c:v>0.60363636363636364</c:v>
                </c:pt>
                <c:pt idx="1">
                  <c:v>5.4545454545454543E-2</c:v>
                </c:pt>
                <c:pt idx="2">
                  <c:v>0.10363636363636364</c:v>
                </c:pt>
                <c:pt idx="3">
                  <c:v>8.9090909090909096E-2</c:v>
                </c:pt>
                <c:pt idx="4">
                  <c:v>5.454545454545455E-3</c:v>
                </c:pt>
                <c:pt idx="5">
                  <c:v>0</c:v>
                </c:pt>
                <c:pt idx="6">
                  <c:v>8.545454545454545E-2</c:v>
                </c:pt>
                <c:pt idx="7">
                  <c:v>0.04</c:v>
                </c:pt>
                <c:pt idx="8">
                  <c:v>7.2727272727272727E-3</c:v>
                </c:pt>
                <c:pt idx="9">
                  <c:v>1.090909090909091E-2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HOIMA-KYENJOJO-24h'!$AE$9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HOIMA-KYENJOJO-24h'!$R$10:$R$33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HOIMA-KYENJOJO-24h'!$AE$10:$AE$33</c:f>
              <c:numCache>
                <c:formatCode>0</c:formatCode>
                <c:ptCount val="24"/>
                <c:pt idx="0">
                  <c:v>6</c:v>
                </c:pt>
                <c:pt idx="1">
                  <c:v>8</c:v>
                </c:pt>
                <c:pt idx="2">
                  <c:v>26</c:v>
                </c:pt>
                <c:pt idx="3">
                  <c:v>33</c:v>
                </c:pt>
                <c:pt idx="4">
                  <c:v>40</c:v>
                </c:pt>
                <c:pt idx="5">
                  <c:v>57</c:v>
                </c:pt>
                <c:pt idx="6">
                  <c:v>31</c:v>
                </c:pt>
                <c:pt idx="7">
                  <c:v>29</c:v>
                </c:pt>
                <c:pt idx="8">
                  <c:v>30</c:v>
                </c:pt>
                <c:pt idx="9">
                  <c:v>51</c:v>
                </c:pt>
                <c:pt idx="10">
                  <c:v>22</c:v>
                </c:pt>
                <c:pt idx="11">
                  <c:v>47</c:v>
                </c:pt>
                <c:pt idx="12">
                  <c:v>46</c:v>
                </c:pt>
                <c:pt idx="13">
                  <c:v>24</c:v>
                </c:pt>
                <c:pt idx="14">
                  <c:v>14</c:v>
                </c:pt>
                <c:pt idx="15">
                  <c:v>15</c:v>
                </c:pt>
                <c:pt idx="16">
                  <c:v>9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4</c:v>
                </c:pt>
                <c:pt idx="22">
                  <c:v>3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'26.10 HOIMA-KYENJOJO-24h'!$AF$9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HOIMA-KYENJOJO-24h'!$R$10:$R$33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HOIMA-KYENJOJO-24h'!$AF$10:$AF$33</c:f>
              <c:numCache>
                <c:formatCode>0</c:formatCode>
                <c:ptCount val="24"/>
                <c:pt idx="0">
                  <c:v>8</c:v>
                </c:pt>
                <c:pt idx="1">
                  <c:v>13</c:v>
                </c:pt>
                <c:pt idx="2">
                  <c:v>94</c:v>
                </c:pt>
                <c:pt idx="3">
                  <c:v>121</c:v>
                </c:pt>
                <c:pt idx="4">
                  <c:v>130</c:v>
                </c:pt>
                <c:pt idx="5">
                  <c:v>153</c:v>
                </c:pt>
                <c:pt idx="6">
                  <c:v>116</c:v>
                </c:pt>
                <c:pt idx="7">
                  <c:v>145</c:v>
                </c:pt>
                <c:pt idx="8">
                  <c:v>59</c:v>
                </c:pt>
                <c:pt idx="9">
                  <c:v>89</c:v>
                </c:pt>
                <c:pt idx="10">
                  <c:v>65</c:v>
                </c:pt>
                <c:pt idx="11">
                  <c:v>158</c:v>
                </c:pt>
                <c:pt idx="12">
                  <c:v>156</c:v>
                </c:pt>
                <c:pt idx="13">
                  <c:v>74</c:v>
                </c:pt>
                <c:pt idx="14">
                  <c:v>60</c:v>
                </c:pt>
                <c:pt idx="15">
                  <c:v>52</c:v>
                </c:pt>
                <c:pt idx="16">
                  <c:v>28</c:v>
                </c:pt>
                <c:pt idx="17">
                  <c:v>17</c:v>
                </c:pt>
                <c:pt idx="18">
                  <c:v>8</c:v>
                </c:pt>
                <c:pt idx="19">
                  <c:v>5</c:v>
                </c:pt>
                <c:pt idx="20">
                  <c:v>3</c:v>
                </c:pt>
                <c:pt idx="21">
                  <c:v>5</c:v>
                </c:pt>
                <c:pt idx="22">
                  <c:v>4</c:v>
                </c:pt>
                <c:pt idx="23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34104"/>
        <c:axId val="164638808"/>
      </c:lineChart>
      <c:catAx>
        <c:axId val="1646341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8808"/>
        <c:crosses val="autoZero"/>
        <c:auto val="1"/>
        <c:lblAlgn val="ctr"/>
        <c:lblOffset val="100"/>
        <c:noMultiLvlLbl val="0"/>
      </c:catAx>
      <c:valAx>
        <c:axId val="1646388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4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HOIMA-KYENJOJO-24h'!$C$9:$N$9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HOIMA-KYENJOJO-24h'!$C$107:$N$107</c:f>
              <c:numCache>
                <c:formatCode>0.0%</c:formatCode>
                <c:ptCount val="12"/>
                <c:pt idx="0">
                  <c:v>0.19874213836477989</c:v>
                </c:pt>
                <c:pt idx="1">
                  <c:v>2.0754716981132074E-2</c:v>
                </c:pt>
                <c:pt idx="2">
                  <c:v>2.6415094339622643E-2</c:v>
                </c:pt>
                <c:pt idx="3">
                  <c:v>2.7672955974842768E-2</c:v>
                </c:pt>
                <c:pt idx="4">
                  <c:v>1.2578616352201257E-3</c:v>
                </c:pt>
                <c:pt idx="5">
                  <c:v>6.2893081761006286E-4</c:v>
                </c:pt>
                <c:pt idx="6">
                  <c:v>2.8301886792452831E-2</c:v>
                </c:pt>
                <c:pt idx="7">
                  <c:v>1.1320754716981131E-2</c:v>
                </c:pt>
                <c:pt idx="8">
                  <c:v>5.0314465408805029E-3</c:v>
                </c:pt>
                <c:pt idx="9">
                  <c:v>0</c:v>
                </c:pt>
                <c:pt idx="10">
                  <c:v>0.67987421383647795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HOIMA-KYENJOJO-24h'!$C$9:$N$9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HOIMA-KYENJOJO-24h'!$C$108:$N$108</c:f>
              <c:numCache>
                <c:formatCode>0.00%</c:formatCode>
                <c:ptCount val="12"/>
                <c:pt idx="0">
                  <c:v>0.62082514734774064</c:v>
                </c:pt>
                <c:pt idx="1">
                  <c:v>6.4833005893909626E-2</c:v>
                </c:pt>
                <c:pt idx="2">
                  <c:v>8.2514734774066803E-2</c:v>
                </c:pt>
                <c:pt idx="3">
                  <c:v>8.6444007858546168E-2</c:v>
                </c:pt>
                <c:pt idx="4">
                  <c:v>3.929273084479371E-3</c:v>
                </c:pt>
                <c:pt idx="5">
                  <c:v>1.9646365422396855E-3</c:v>
                </c:pt>
                <c:pt idx="6">
                  <c:v>8.8408644400785857E-2</c:v>
                </c:pt>
                <c:pt idx="7">
                  <c:v>3.536345776031434E-2</c:v>
                </c:pt>
                <c:pt idx="8">
                  <c:v>1.5717092337917484E-2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KYENJOJO-HOIMA'!$AE$9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KYENJOJO-HOIMA'!$AE$10:$AE$21</c:f>
              <c:numCache>
                <c:formatCode>0</c:formatCode>
                <c:ptCount val="12"/>
                <c:pt idx="0">
                  <c:v>10</c:v>
                </c:pt>
                <c:pt idx="1">
                  <c:v>25</c:v>
                </c:pt>
                <c:pt idx="2">
                  <c:v>27</c:v>
                </c:pt>
                <c:pt idx="3">
                  <c:v>32</c:v>
                </c:pt>
                <c:pt idx="4">
                  <c:v>47</c:v>
                </c:pt>
                <c:pt idx="5">
                  <c:v>21</c:v>
                </c:pt>
                <c:pt idx="6">
                  <c:v>41</c:v>
                </c:pt>
                <c:pt idx="7">
                  <c:v>32</c:v>
                </c:pt>
                <c:pt idx="8">
                  <c:v>38</c:v>
                </c:pt>
                <c:pt idx="9">
                  <c:v>45</c:v>
                </c:pt>
                <c:pt idx="10">
                  <c:v>43</c:v>
                </c:pt>
                <c:pt idx="11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'27.10 KYENJOJO-HOIMA'!$AF$9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KYENJOJO-HOIMA'!$AF$10:$AF$21</c:f>
              <c:numCache>
                <c:formatCode>0</c:formatCode>
                <c:ptCount val="12"/>
                <c:pt idx="0">
                  <c:v>55</c:v>
                </c:pt>
                <c:pt idx="1">
                  <c:v>133</c:v>
                </c:pt>
                <c:pt idx="2">
                  <c:v>175</c:v>
                </c:pt>
                <c:pt idx="3">
                  <c:v>207</c:v>
                </c:pt>
                <c:pt idx="4">
                  <c:v>248</c:v>
                </c:pt>
                <c:pt idx="5">
                  <c:v>180</c:v>
                </c:pt>
                <c:pt idx="6">
                  <c:v>202</c:v>
                </c:pt>
                <c:pt idx="7">
                  <c:v>166</c:v>
                </c:pt>
                <c:pt idx="8">
                  <c:v>163</c:v>
                </c:pt>
                <c:pt idx="9">
                  <c:v>187</c:v>
                </c:pt>
                <c:pt idx="10">
                  <c:v>183</c:v>
                </c:pt>
                <c:pt idx="11">
                  <c:v>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09136"/>
        <c:axId val="435887960"/>
      </c:lineChart>
      <c:catAx>
        <c:axId val="2055091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5887960"/>
        <c:crosses val="autoZero"/>
        <c:auto val="1"/>
        <c:lblAlgn val="ctr"/>
        <c:lblOffset val="100"/>
        <c:noMultiLvlLbl val="0"/>
      </c:catAx>
      <c:valAx>
        <c:axId val="435887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50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KYENJOJO-HOIMA'!$C$9:$N$9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KYENJOJO-HOIMA'!$C$59:$N$59</c:f>
              <c:numCache>
                <c:formatCode>0.0%</c:formatCode>
                <c:ptCount val="12"/>
                <c:pt idx="0">
                  <c:v>0.12518195050946143</c:v>
                </c:pt>
                <c:pt idx="1">
                  <c:v>7.2780203784570596E-3</c:v>
                </c:pt>
                <c:pt idx="2">
                  <c:v>1.7467248908296942E-2</c:v>
                </c:pt>
                <c:pt idx="3">
                  <c:v>8.7336244541484712E-3</c:v>
                </c:pt>
                <c:pt idx="4">
                  <c:v>0</c:v>
                </c:pt>
                <c:pt idx="5">
                  <c:v>0</c:v>
                </c:pt>
                <c:pt idx="6">
                  <c:v>1.6496846191169336E-2</c:v>
                </c:pt>
                <c:pt idx="7">
                  <c:v>1.0674429888403688E-2</c:v>
                </c:pt>
                <c:pt idx="8">
                  <c:v>4.8520135856380397E-4</c:v>
                </c:pt>
                <c:pt idx="9">
                  <c:v>5.3372149442018442E-3</c:v>
                </c:pt>
                <c:pt idx="10">
                  <c:v>0.8083454633672974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KYENJOJO-HOIMA'!$S$9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KYENJOJO-HOIMA'!$S$10:$S$21</c:f>
              <c:numCache>
                <c:formatCode>0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18</c:v>
                </c:pt>
                <c:pt idx="3">
                  <c:v>17</c:v>
                </c:pt>
                <c:pt idx="4">
                  <c:v>36</c:v>
                </c:pt>
                <c:pt idx="5">
                  <c:v>9</c:v>
                </c:pt>
                <c:pt idx="6">
                  <c:v>25</c:v>
                </c:pt>
                <c:pt idx="7">
                  <c:v>24</c:v>
                </c:pt>
                <c:pt idx="8">
                  <c:v>29</c:v>
                </c:pt>
                <c:pt idx="9">
                  <c:v>33</c:v>
                </c:pt>
                <c:pt idx="10">
                  <c:v>26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'27.10 KYENJOJO-HOIMA'!$T$9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KYENJOJO-HOIMA'!$T$10:$T$21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'27.10 KYENJOJO-HOIMA'!$U$9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KYENJOJO-HOIMA'!$U$10:$U$21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'27.10 KYENJOJO-HOIMA'!$V$9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KYENJOJO-HOIMA'!$V$10:$V$21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'27.10 KYENJOJO-HOIMA'!$W$9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KYENJOJO-HOIMA'!$W$10:$W$21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'27.10 KYENJOJO-HOIMA'!$X$9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KYENJOJO-HOIMA'!$X$10:$X$21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'27.10 KYENJOJO-HOIMA'!$Y$9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KYENJOJO-HOIMA'!$Y$10:$Y$21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'27.10 KYENJOJO-HOIMA'!$Z$9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KYENJOJO-HOIMA'!$Z$10:$Z$21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'27.10 KYENJOJO-HOIMA'!$AA$9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KYENJOJO-HOIMA'!$AA$10:$AA$21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'27.10 KYENJOJO-HOIMA'!$AB$9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KYENJOJO-HOIMA'!$AB$10:$AB$21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'27.10 KYENJOJO-HOIMA'!$AC$9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KYENJOJO-HOIMA'!$AC$10:$AC$21</c:f>
              <c:numCache>
                <c:formatCode>0</c:formatCode>
                <c:ptCount val="12"/>
                <c:pt idx="0">
                  <c:v>45</c:v>
                </c:pt>
                <c:pt idx="1">
                  <c:v>108</c:v>
                </c:pt>
                <c:pt idx="2">
                  <c:v>148</c:v>
                </c:pt>
                <c:pt idx="3">
                  <c:v>175</c:v>
                </c:pt>
                <c:pt idx="4">
                  <c:v>201</c:v>
                </c:pt>
                <c:pt idx="5">
                  <c:v>159</c:v>
                </c:pt>
                <c:pt idx="6">
                  <c:v>161</c:v>
                </c:pt>
                <c:pt idx="7">
                  <c:v>134</c:v>
                </c:pt>
                <c:pt idx="8">
                  <c:v>125</c:v>
                </c:pt>
                <c:pt idx="9">
                  <c:v>142</c:v>
                </c:pt>
                <c:pt idx="10">
                  <c:v>140</c:v>
                </c:pt>
                <c:pt idx="11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'27.10 KYENJOJO-HOIMA'!$AD$9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KYENJOJO-HOIMA'!$AD$10:$AD$21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213984"/>
        <c:axId val="230215160"/>
      </c:lineChart>
      <c:catAx>
        <c:axId val="23021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30215160"/>
        <c:crosses val="autoZero"/>
        <c:auto val="1"/>
        <c:lblAlgn val="ctr"/>
        <c:lblOffset val="100"/>
        <c:noMultiLvlLbl val="0"/>
      </c:catAx>
      <c:valAx>
        <c:axId val="23021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3021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KYENJOJO-HOIMA'!$C$9:$N$9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KYENJOJO-HOIMA'!$C$60:$N$60</c:f>
              <c:numCache>
                <c:formatCode>0.00%</c:formatCode>
                <c:ptCount val="12"/>
                <c:pt idx="0">
                  <c:v>0.65316455696202536</c:v>
                </c:pt>
                <c:pt idx="1">
                  <c:v>3.7974683544303799E-2</c:v>
                </c:pt>
                <c:pt idx="2">
                  <c:v>9.1139240506329114E-2</c:v>
                </c:pt>
                <c:pt idx="3">
                  <c:v>4.5569620253164557E-2</c:v>
                </c:pt>
                <c:pt idx="4">
                  <c:v>0</c:v>
                </c:pt>
                <c:pt idx="5">
                  <c:v>0</c:v>
                </c:pt>
                <c:pt idx="6">
                  <c:v>8.6075949367088608E-2</c:v>
                </c:pt>
                <c:pt idx="7">
                  <c:v>5.5696202531645568E-2</c:v>
                </c:pt>
                <c:pt idx="8">
                  <c:v>2.5316455696202532E-3</c:v>
                </c:pt>
                <c:pt idx="9">
                  <c:v>2.7848101265822784E-2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HOIMA-KYENJOJO'!$AE$9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HOIMA-KYENJOJO'!$AE$10:$AE$21</c:f>
              <c:numCache>
                <c:formatCode>0</c:formatCode>
                <c:ptCount val="12"/>
                <c:pt idx="0">
                  <c:v>7</c:v>
                </c:pt>
                <c:pt idx="1">
                  <c:v>27</c:v>
                </c:pt>
                <c:pt idx="2">
                  <c:v>23</c:v>
                </c:pt>
                <c:pt idx="3">
                  <c:v>41</c:v>
                </c:pt>
                <c:pt idx="4">
                  <c:v>46</c:v>
                </c:pt>
                <c:pt idx="5">
                  <c:v>37</c:v>
                </c:pt>
                <c:pt idx="6">
                  <c:v>50</c:v>
                </c:pt>
                <c:pt idx="7">
                  <c:v>34</c:v>
                </c:pt>
                <c:pt idx="8">
                  <c:v>41</c:v>
                </c:pt>
                <c:pt idx="9">
                  <c:v>38</c:v>
                </c:pt>
                <c:pt idx="10">
                  <c:v>25</c:v>
                </c:pt>
                <c:pt idx="11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'27.10 HOIMA-KYENJOJO'!$AF$9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HOIMA-KYENJOJO'!$AF$10:$AF$21</c:f>
              <c:numCache>
                <c:formatCode>0</c:formatCode>
                <c:ptCount val="12"/>
                <c:pt idx="0">
                  <c:v>71</c:v>
                </c:pt>
                <c:pt idx="1">
                  <c:v>132</c:v>
                </c:pt>
                <c:pt idx="2">
                  <c:v>157</c:v>
                </c:pt>
                <c:pt idx="3">
                  <c:v>196</c:v>
                </c:pt>
                <c:pt idx="4">
                  <c:v>250</c:v>
                </c:pt>
                <c:pt idx="5">
                  <c:v>196</c:v>
                </c:pt>
                <c:pt idx="6">
                  <c:v>203</c:v>
                </c:pt>
                <c:pt idx="7">
                  <c:v>166</c:v>
                </c:pt>
                <c:pt idx="8">
                  <c:v>194</c:v>
                </c:pt>
                <c:pt idx="9">
                  <c:v>190</c:v>
                </c:pt>
                <c:pt idx="10">
                  <c:v>155</c:v>
                </c:pt>
                <c:pt idx="11">
                  <c:v>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36848"/>
        <c:axId val="164636456"/>
      </c:lineChart>
      <c:catAx>
        <c:axId val="164636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6456"/>
        <c:crosses val="autoZero"/>
        <c:auto val="1"/>
        <c:lblAlgn val="ctr"/>
        <c:lblOffset val="100"/>
        <c:noMultiLvlLbl val="0"/>
      </c:catAx>
      <c:valAx>
        <c:axId val="164636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HOIMA-KYENJOJO'!$C$9:$N$9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HOIMA-KYENJOJO'!$C$59:$N$59</c:f>
              <c:numCache>
                <c:formatCode>0.0%</c:formatCode>
                <c:ptCount val="12"/>
                <c:pt idx="0">
                  <c:v>0.11850412821758136</c:v>
                </c:pt>
                <c:pt idx="1">
                  <c:v>9.7134531325886349E-3</c:v>
                </c:pt>
                <c:pt idx="2">
                  <c:v>1.4570179698882952E-2</c:v>
                </c:pt>
                <c:pt idx="3">
                  <c:v>1.2627489072365225E-2</c:v>
                </c:pt>
                <c:pt idx="4">
                  <c:v>4.8567265662943174E-4</c:v>
                </c:pt>
                <c:pt idx="5">
                  <c:v>9.7134531325886349E-4</c:v>
                </c:pt>
                <c:pt idx="6">
                  <c:v>1.5541525012141816E-2</c:v>
                </c:pt>
                <c:pt idx="7">
                  <c:v>1.4570179698882952E-2</c:v>
                </c:pt>
                <c:pt idx="8">
                  <c:v>7.2850898494414762E-3</c:v>
                </c:pt>
                <c:pt idx="9">
                  <c:v>9.7134531325886349E-4</c:v>
                </c:pt>
                <c:pt idx="10">
                  <c:v>0.80378824672170957</c:v>
                </c:pt>
                <c:pt idx="11">
                  <c:v>9.7134531325886349E-4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HOIMA-KYENJOJO'!$S$9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HOIMA-KYENJOJO'!$S$10:$S$21</c:f>
              <c:numCache>
                <c:formatCode>0</c:formatCode>
                <c:ptCount val="12"/>
                <c:pt idx="0">
                  <c:v>5</c:v>
                </c:pt>
                <c:pt idx="1">
                  <c:v>17</c:v>
                </c:pt>
                <c:pt idx="2">
                  <c:v>19</c:v>
                </c:pt>
                <c:pt idx="3">
                  <c:v>26</c:v>
                </c:pt>
                <c:pt idx="4">
                  <c:v>28</c:v>
                </c:pt>
                <c:pt idx="5">
                  <c:v>19</c:v>
                </c:pt>
                <c:pt idx="6">
                  <c:v>25</c:v>
                </c:pt>
                <c:pt idx="7">
                  <c:v>21</c:v>
                </c:pt>
                <c:pt idx="8">
                  <c:v>27</c:v>
                </c:pt>
                <c:pt idx="9">
                  <c:v>29</c:v>
                </c:pt>
                <c:pt idx="10">
                  <c:v>14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'27.10 HOIMA-KYENJOJO'!$T$9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HOIMA-KYENJOJO'!$T$10:$T$21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6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'27.10 HOIMA-KYENJOJO'!$U$9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HOIMA-KYENJOJO'!$U$10:$U$21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6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'27.10 HOIMA-KYENJOJO'!$V$9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HOIMA-KYENJOJO'!$V$10:$V$21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'27.10 HOIMA-KYENJOJO'!$W$9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HOIMA-KYENJOJO'!$W$10:$W$21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'27.10 HOIMA-KYENJOJO'!$X$9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HOIMA-KYENJOJO'!$X$10:$X$21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'27.10 HOIMA-KYENJOJO'!$Y$9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HOIMA-KYENJOJO'!$Y$10:$Y$21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'27.10 HOIMA-KYENJOJO'!$Z$9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HOIMA-KYENJOJO'!$Z$10:$Z$21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6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'27.10 HOIMA-KYENJOJO'!$AA$9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HOIMA-KYENJOJO'!$AA$10:$AA$21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'27.10 HOIMA-KYENJOJO'!$AB$9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HOIMA-KYENJOJO'!$AB$10:$AB$21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'27.10 HOIMA-KYENJOJO'!$AC$9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HOIMA-KYENJOJO'!$AC$10:$AC$21</c:f>
              <c:numCache>
                <c:formatCode>0</c:formatCode>
                <c:ptCount val="12"/>
                <c:pt idx="0">
                  <c:v>64</c:v>
                </c:pt>
                <c:pt idx="1">
                  <c:v>105</c:v>
                </c:pt>
                <c:pt idx="2">
                  <c:v>134</c:v>
                </c:pt>
                <c:pt idx="3">
                  <c:v>155</c:v>
                </c:pt>
                <c:pt idx="4">
                  <c:v>204</c:v>
                </c:pt>
                <c:pt idx="5">
                  <c:v>159</c:v>
                </c:pt>
                <c:pt idx="6">
                  <c:v>153</c:v>
                </c:pt>
                <c:pt idx="7">
                  <c:v>132</c:v>
                </c:pt>
                <c:pt idx="8">
                  <c:v>153</c:v>
                </c:pt>
                <c:pt idx="9">
                  <c:v>152</c:v>
                </c:pt>
                <c:pt idx="10">
                  <c:v>130</c:v>
                </c:pt>
                <c:pt idx="11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'27.10 HOIMA-KYENJOJO'!$AD$9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HOIMA-KYENJOJO'!$AD$10:$AD$21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637240"/>
        <c:axId val="164638024"/>
      </c:lineChart>
      <c:catAx>
        <c:axId val="164637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8024"/>
        <c:crosses val="autoZero"/>
        <c:auto val="1"/>
        <c:lblAlgn val="ctr"/>
        <c:lblOffset val="100"/>
        <c:noMultiLvlLbl val="0"/>
      </c:catAx>
      <c:valAx>
        <c:axId val="16463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7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HOIMA-KYENJOJO'!$C$9:$N$9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HOIMA-KYENJOJO'!$C$60:$N$60</c:f>
              <c:numCache>
                <c:formatCode>0.00%</c:formatCode>
                <c:ptCount val="12"/>
                <c:pt idx="0">
                  <c:v>0.60396039603960394</c:v>
                </c:pt>
                <c:pt idx="1">
                  <c:v>4.9504950495049507E-2</c:v>
                </c:pt>
                <c:pt idx="2">
                  <c:v>7.4257425742574254E-2</c:v>
                </c:pt>
                <c:pt idx="3">
                  <c:v>6.4356435643564358E-2</c:v>
                </c:pt>
                <c:pt idx="4">
                  <c:v>2.4752475247524753E-3</c:v>
                </c:pt>
                <c:pt idx="5">
                  <c:v>4.9504950495049506E-3</c:v>
                </c:pt>
                <c:pt idx="6">
                  <c:v>7.9207920792079209E-2</c:v>
                </c:pt>
                <c:pt idx="7">
                  <c:v>7.4257425742574254E-2</c:v>
                </c:pt>
                <c:pt idx="8">
                  <c:v>3.7128712871287127E-2</c:v>
                </c:pt>
                <c:pt idx="9">
                  <c:v>4.9504950495049506E-3</c:v>
                </c:pt>
                <c:pt idx="11">
                  <c:v>4.9504950495049506E-3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'28.10 KYENJOJO-HOIMA-24h'!$AE$9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'28.10 KYENJOJO-HOIMA-24h'!$R$10:$R$33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KYENJOJO-HOIMA-24h'!$AE$10:$AE$33</c:f>
              <c:numCache>
                <c:formatCode>0</c:formatCode>
                <c:ptCount val="24"/>
                <c:pt idx="0">
                  <c:v>18</c:v>
                </c:pt>
                <c:pt idx="1">
                  <c:v>38</c:v>
                </c:pt>
                <c:pt idx="2">
                  <c:v>41</c:v>
                </c:pt>
                <c:pt idx="3">
                  <c:v>43</c:v>
                </c:pt>
                <c:pt idx="4">
                  <c:v>34</c:v>
                </c:pt>
                <c:pt idx="5">
                  <c:v>32</c:v>
                </c:pt>
                <c:pt idx="6">
                  <c:v>41</c:v>
                </c:pt>
                <c:pt idx="7">
                  <c:v>24</c:v>
                </c:pt>
                <c:pt idx="8">
                  <c:v>41</c:v>
                </c:pt>
                <c:pt idx="9">
                  <c:v>49</c:v>
                </c:pt>
                <c:pt idx="10">
                  <c:v>51</c:v>
                </c:pt>
                <c:pt idx="11">
                  <c:v>38</c:v>
                </c:pt>
                <c:pt idx="12">
                  <c:v>65</c:v>
                </c:pt>
                <c:pt idx="13">
                  <c:v>56</c:v>
                </c:pt>
                <c:pt idx="14">
                  <c:v>31</c:v>
                </c:pt>
                <c:pt idx="15">
                  <c:v>17</c:v>
                </c:pt>
                <c:pt idx="16">
                  <c:v>9</c:v>
                </c:pt>
                <c:pt idx="17">
                  <c:v>4</c:v>
                </c:pt>
                <c:pt idx="18">
                  <c:v>7</c:v>
                </c:pt>
                <c:pt idx="19">
                  <c:v>1</c:v>
                </c:pt>
                <c:pt idx="20">
                  <c:v>0</c:v>
                </c:pt>
                <c:pt idx="21">
                  <c:v>6</c:v>
                </c:pt>
                <c:pt idx="22">
                  <c:v>16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'28.10 KYENJOJO-HOIMA-24h'!$AF$9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'28.10 KYENJOJO-HOIMA-24h'!$R$10:$R$33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KYENJOJO-HOIMA-24h'!$AF$10:$AF$33</c:f>
              <c:numCache>
                <c:formatCode>0</c:formatCode>
                <c:ptCount val="24"/>
                <c:pt idx="0">
                  <c:v>95</c:v>
                </c:pt>
                <c:pt idx="1">
                  <c:v>156</c:v>
                </c:pt>
                <c:pt idx="2">
                  <c:v>135</c:v>
                </c:pt>
                <c:pt idx="3">
                  <c:v>175</c:v>
                </c:pt>
                <c:pt idx="4">
                  <c:v>132</c:v>
                </c:pt>
                <c:pt idx="5">
                  <c:v>151</c:v>
                </c:pt>
                <c:pt idx="6">
                  <c:v>152</c:v>
                </c:pt>
                <c:pt idx="7">
                  <c:v>139</c:v>
                </c:pt>
                <c:pt idx="8">
                  <c:v>192</c:v>
                </c:pt>
                <c:pt idx="9">
                  <c:v>194</c:v>
                </c:pt>
                <c:pt idx="10">
                  <c:v>175</c:v>
                </c:pt>
                <c:pt idx="11">
                  <c:v>183</c:v>
                </c:pt>
                <c:pt idx="12">
                  <c:v>237</c:v>
                </c:pt>
                <c:pt idx="13">
                  <c:v>142</c:v>
                </c:pt>
                <c:pt idx="14">
                  <c:v>95</c:v>
                </c:pt>
                <c:pt idx="15">
                  <c:v>40</c:v>
                </c:pt>
                <c:pt idx="16">
                  <c:v>23</c:v>
                </c:pt>
                <c:pt idx="17">
                  <c:v>15</c:v>
                </c:pt>
                <c:pt idx="18">
                  <c:v>16</c:v>
                </c:pt>
                <c:pt idx="19">
                  <c:v>4</c:v>
                </c:pt>
                <c:pt idx="20">
                  <c:v>0</c:v>
                </c:pt>
                <c:pt idx="21">
                  <c:v>11</c:v>
                </c:pt>
                <c:pt idx="22">
                  <c:v>26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15536"/>
        <c:axId val="206316712"/>
      </c:lineChart>
      <c:catAx>
        <c:axId val="2063155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6712"/>
        <c:crosses val="autoZero"/>
        <c:auto val="1"/>
        <c:lblAlgn val="ctr"/>
        <c:lblOffset val="100"/>
        <c:noMultiLvlLbl val="0"/>
      </c:catAx>
      <c:valAx>
        <c:axId val="206316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KYENJOJO-HOIMA-24h'!$C$9:$N$9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KYENJOJO-HOIMA-24h'!$C$107:$N$107</c:f>
              <c:numCache>
                <c:formatCode>0.0%</c:formatCode>
                <c:ptCount val="12"/>
                <c:pt idx="0">
                  <c:v>0.13097133757961785</c:v>
                </c:pt>
                <c:pt idx="1">
                  <c:v>2.0700636942675158E-2</c:v>
                </c:pt>
                <c:pt idx="2">
                  <c:v>3.4633757961783439E-2</c:v>
                </c:pt>
                <c:pt idx="3">
                  <c:v>2.5079617834394906E-2</c:v>
                </c:pt>
                <c:pt idx="4">
                  <c:v>5.5732484076433117E-3</c:v>
                </c:pt>
                <c:pt idx="5">
                  <c:v>1.1942675159235668E-3</c:v>
                </c:pt>
                <c:pt idx="6">
                  <c:v>2.3089171974522291E-2</c:v>
                </c:pt>
                <c:pt idx="7">
                  <c:v>1.5127388535031847E-2</c:v>
                </c:pt>
                <c:pt idx="8">
                  <c:v>8.359872611464968E-3</c:v>
                </c:pt>
                <c:pt idx="9">
                  <c:v>2.7866242038216559E-3</c:v>
                </c:pt>
                <c:pt idx="10">
                  <c:v>0.73248407643312097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KYENJOJO-HOIMA-24h'!$C$9:$N$9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KYENJOJO-HOIMA-24h'!$C$108:$N$108</c:f>
              <c:numCache>
                <c:formatCode>0.00%</c:formatCode>
                <c:ptCount val="12"/>
                <c:pt idx="0">
                  <c:v>0.48958333333333331</c:v>
                </c:pt>
                <c:pt idx="1">
                  <c:v>7.7380952380952384E-2</c:v>
                </c:pt>
                <c:pt idx="2">
                  <c:v>0.12946428571428573</c:v>
                </c:pt>
                <c:pt idx="3">
                  <c:v>9.375E-2</c:v>
                </c:pt>
                <c:pt idx="4">
                  <c:v>2.0833333333333332E-2</c:v>
                </c:pt>
                <c:pt idx="5">
                  <c:v>4.464285714285714E-3</c:v>
                </c:pt>
                <c:pt idx="6">
                  <c:v>8.6309523809523808E-2</c:v>
                </c:pt>
                <c:pt idx="7">
                  <c:v>5.6547619047619048E-2</c:v>
                </c:pt>
                <c:pt idx="8">
                  <c:v>3.125E-2</c:v>
                </c:pt>
                <c:pt idx="9">
                  <c:v>1.0416666666666666E-2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'28.10 HOIMA-KYENJOJO-24h'!$AE$9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'28.10 HOIMA-KYENJOJO-24h'!$R$10:$R$33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HOIMA-KYENJOJO-24h'!$AE$10:$AE$33</c:f>
              <c:numCache>
                <c:formatCode>0</c:formatCode>
                <c:ptCount val="24"/>
                <c:pt idx="0">
                  <c:v>20</c:v>
                </c:pt>
                <c:pt idx="1">
                  <c:v>50</c:v>
                </c:pt>
                <c:pt idx="2">
                  <c:v>40</c:v>
                </c:pt>
                <c:pt idx="3">
                  <c:v>56</c:v>
                </c:pt>
                <c:pt idx="4">
                  <c:v>29</c:v>
                </c:pt>
                <c:pt idx="5">
                  <c:v>20</c:v>
                </c:pt>
                <c:pt idx="6">
                  <c:v>29</c:v>
                </c:pt>
                <c:pt idx="7">
                  <c:v>30</c:v>
                </c:pt>
                <c:pt idx="8">
                  <c:v>45</c:v>
                </c:pt>
                <c:pt idx="9">
                  <c:v>48</c:v>
                </c:pt>
                <c:pt idx="10">
                  <c:v>52</c:v>
                </c:pt>
                <c:pt idx="11">
                  <c:v>39</c:v>
                </c:pt>
                <c:pt idx="12">
                  <c:v>39</c:v>
                </c:pt>
                <c:pt idx="13">
                  <c:v>23</c:v>
                </c:pt>
                <c:pt idx="14">
                  <c:v>17</c:v>
                </c:pt>
                <c:pt idx="15">
                  <c:v>8</c:v>
                </c:pt>
                <c:pt idx="16">
                  <c:v>3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'28.10 HOIMA-KYENJOJO-24h'!$AF$9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'28.10 HOIMA-KYENJOJO-24h'!$R$10:$R$33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HOIMA-KYENJOJO-24h'!$AF$10:$AF$33</c:f>
              <c:numCache>
                <c:formatCode>0</c:formatCode>
                <c:ptCount val="24"/>
                <c:pt idx="0">
                  <c:v>159</c:v>
                </c:pt>
                <c:pt idx="1">
                  <c:v>220</c:v>
                </c:pt>
                <c:pt idx="2">
                  <c:v>192</c:v>
                </c:pt>
                <c:pt idx="3">
                  <c:v>203</c:v>
                </c:pt>
                <c:pt idx="4">
                  <c:v>126</c:v>
                </c:pt>
                <c:pt idx="5">
                  <c:v>169</c:v>
                </c:pt>
                <c:pt idx="6">
                  <c:v>177</c:v>
                </c:pt>
                <c:pt idx="7">
                  <c:v>200</c:v>
                </c:pt>
                <c:pt idx="8">
                  <c:v>226</c:v>
                </c:pt>
                <c:pt idx="9">
                  <c:v>228</c:v>
                </c:pt>
                <c:pt idx="10">
                  <c:v>252</c:v>
                </c:pt>
                <c:pt idx="11">
                  <c:v>198</c:v>
                </c:pt>
                <c:pt idx="12">
                  <c:v>183</c:v>
                </c:pt>
                <c:pt idx="13">
                  <c:v>120</c:v>
                </c:pt>
                <c:pt idx="14">
                  <c:v>72</c:v>
                </c:pt>
                <c:pt idx="15">
                  <c:v>32</c:v>
                </c:pt>
                <c:pt idx="16">
                  <c:v>20</c:v>
                </c:pt>
                <c:pt idx="17">
                  <c:v>6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16</c:v>
                </c:pt>
                <c:pt idx="23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17496"/>
        <c:axId val="206315144"/>
      </c:lineChart>
      <c:catAx>
        <c:axId val="2063174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5144"/>
        <c:crosses val="autoZero"/>
        <c:auto val="1"/>
        <c:lblAlgn val="ctr"/>
        <c:lblOffset val="100"/>
        <c:noMultiLvlLbl val="0"/>
      </c:catAx>
      <c:valAx>
        <c:axId val="206315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HOIMA-KYENJOJO-24h'!$C$9:$N$9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HOIMA-KYENJOJO-24h'!$C$107:$N$107</c:f>
              <c:numCache>
                <c:formatCode>0.0%</c:formatCode>
                <c:ptCount val="12"/>
                <c:pt idx="0">
                  <c:v>0.11037140854940435</c:v>
                </c:pt>
                <c:pt idx="1">
                  <c:v>9.8107918710581641E-3</c:v>
                </c:pt>
                <c:pt idx="2">
                  <c:v>1.6818500350385426E-2</c:v>
                </c:pt>
                <c:pt idx="3">
                  <c:v>1.751927119831815E-2</c:v>
                </c:pt>
                <c:pt idx="4">
                  <c:v>7.0077084793272596E-4</c:v>
                </c:pt>
                <c:pt idx="5">
                  <c:v>1.0511562718990891E-3</c:v>
                </c:pt>
                <c:pt idx="6">
                  <c:v>1.8920812894183601E-2</c:v>
                </c:pt>
                <c:pt idx="7">
                  <c:v>1.401541695865452E-2</c:v>
                </c:pt>
                <c:pt idx="8">
                  <c:v>8.0588647512263491E-3</c:v>
                </c:pt>
                <c:pt idx="9">
                  <c:v>1.0511562718990891E-3</c:v>
                </c:pt>
                <c:pt idx="10">
                  <c:v>0.80168185003503856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HOIMA-KYENJOJO-24h'!$C$9:$N$9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HOIMA-KYENJOJO-24h'!$C$108:$N$108</c:f>
              <c:numCache>
                <c:formatCode>0.00%</c:formatCode>
                <c:ptCount val="12"/>
                <c:pt idx="0">
                  <c:v>0.55653710247349819</c:v>
                </c:pt>
                <c:pt idx="1">
                  <c:v>4.9469964664310952E-2</c:v>
                </c:pt>
                <c:pt idx="2">
                  <c:v>8.4805653710247356E-2</c:v>
                </c:pt>
                <c:pt idx="3">
                  <c:v>8.8339222614840993E-2</c:v>
                </c:pt>
                <c:pt idx="4">
                  <c:v>3.5335689045936395E-3</c:v>
                </c:pt>
                <c:pt idx="5">
                  <c:v>5.3003533568904597E-3</c:v>
                </c:pt>
                <c:pt idx="6">
                  <c:v>9.5406360424028266E-2</c:v>
                </c:pt>
                <c:pt idx="7">
                  <c:v>7.0671378091872794E-2</c:v>
                </c:pt>
                <c:pt idx="8">
                  <c:v>4.0636042402826852E-2</c:v>
                </c:pt>
                <c:pt idx="9">
                  <c:v>5.3003533568904597E-3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KYENJOJO-HOIMA'!$AE$9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KYENJOJO-HOIMA'!$AE$10:$AE$21</c:f>
              <c:numCache>
                <c:formatCode>0</c:formatCode>
                <c:ptCount val="12"/>
                <c:pt idx="0">
                  <c:v>19</c:v>
                </c:pt>
                <c:pt idx="1">
                  <c:v>44</c:v>
                </c:pt>
                <c:pt idx="2">
                  <c:v>34</c:v>
                </c:pt>
                <c:pt idx="3">
                  <c:v>42</c:v>
                </c:pt>
                <c:pt idx="4">
                  <c:v>48</c:v>
                </c:pt>
                <c:pt idx="5">
                  <c:v>54</c:v>
                </c:pt>
                <c:pt idx="6">
                  <c:v>44</c:v>
                </c:pt>
                <c:pt idx="7">
                  <c:v>31</c:v>
                </c:pt>
                <c:pt idx="8">
                  <c:v>29</c:v>
                </c:pt>
                <c:pt idx="9">
                  <c:v>38</c:v>
                </c:pt>
                <c:pt idx="10">
                  <c:v>64</c:v>
                </c:pt>
                <c:pt idx="11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'29.10 KYENJOJO-HOIMA'!$AF$9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KYENJOJO-HOIMA'!$AF$10:$AF$21</c:f>
              <c:numCache>
                <c:formatCode>0</c:formatCode>
                <c:ptCount val="12"/>
                <c:pt idx="0">
                  <c:v>82</c:v>
                </c:pt>
                <c:pt idx="1">
                  <c:v>180</c:v>
                </c:pt>
                <c:pt idx="2">
                  <c:v>113</c:v>
                </c:pt>
                <c:pt idx="3">
                  <c:v>223</c:v>
                </c:pt>
                <c:pt idx="4">
                  <c:v>228</c:v>
                </c:pt>
                <c:pt idx="5">
                  <c:v>206</c:v>
                </c:pt>
                <c:pt idx="6">
                  <c:v>167</c:v>
                </c:pt>
                <c:pt idx="7">
                  <c:v>203</c:v>
                </c:pt>
                <c:pt idx="8">
                  <c:v>155</c:v>
                </c:pt>
                <c:pt idx="9">
                  <c:v>202</c:v>
                </c:pt>
                <c:pt idx="10">
                  <c:v>267</c:v>
                </c:pt>
                <c:pt idx="11">
                  <c:v>224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213592"/>
        <c:axId val="230212024"/>
      </c:lineChart>
      <c:catAx>
        <c:axId val="2302135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30212024"/>
        <c:crosses val="autoZero"/>
        <c:auto val="1"/>
        <c:lblAlgn val="ctr"/>
        <c:lblOffset val="100"/>
        <c:noMultiLvlLbl val="0"/>
      </c:catAx>
      <c:valAx>
        <c:axId val="230212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30213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KYENJOJO-HOIMA'!$C$9:$N$9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KYENJOJO-HOIMA'!$C$59:$N$59</c:f>
              <c:numCache>
                <c:formatCode>0.0%</c:formatCode>
                <c:ptCount val="12"/>
                <c:pt idx="0">
                  <c:v>0.12622222222222224</c:v>
                </c:pt>
                <c:pt idx="1">
                  <c:v>1.2888888888888889E-2</c:v>
                </c:pt>
                <c:pt idx="2">
                  <c:v>2.311111111111111E-2</c:v>
                </c:pt>
                <c:pt idx="3">
                  <c:v>1.3333333333333334E-2</c:v>
                </c:pt>
                <c:pt idx="4">
                  <c:v>0</c:v>
                </c:pt>
                <c:pt idx="5">
                  <c:v>8.8888888888888893E-4</c:v>
                </c:pt>
                <c:pt idx="6">
                  <c:v>2.0888888888888887E-2</c:v>
                </c:pt>
                <c:pt idx="7">
                  <c:v>1.1111111111111112E-2</c:v>
                </c:pt>
                <c:pt idx="8">
                  <c:v>2.6666666666666666E-3</c:v>
                </c:pt>
                <c:pt idx="9">
                  <c:v>3.5555555555555557E-3</c:v>
                </c:pt>
                <c:pt idx="10">
                  <c:v>0.78488888888888886</c:v>
                </c:pt>
                <c:pt idx="11">
                  <c:v>4.4444444444444447E-4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KYENJOJO-HOIMA'!$S$9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KYENJOJO-HOIMA'!$S$10:$S$21</c:f>
              <c:numCache>
                <c:formatCode>0</c:formatCode>
                <c:ptCount val="12"/>
                <c:pt idx="0">
                  <c:v>10</c:v>
                </c:pt>
                <c:pt idx="1">
                  <c:v>22</c:v>
                </c:pt>
                <c:pt idx="2">
                  <c:v>17</c:v>
                </c:pt>
                <c:pt idx="3">
                  <c:v>28</c:v>
                </c:pt>
                <c:pt idx="4">
                  <c:v>28</c:v>
                </c:pt>
                <c:pt idx="5">
                  <c:v>29</c:v>
                </c:pt>
                <c:pt idx="6">
                  <c:v>28</c:v>
                </c:pt>
                <c:pt idx="7">
                  <c:v>18</c:v>
                </c:pt>
                <c:pt idx="8">
                  <c:v>16</c:v>
                </c:pt>
                <c:pt idx="9">
                  <c:v>22</c:v>
                </c:pt>
                <c:pt idx="10">
                  <c:v>40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'29.10 KYENJOJO-HOIMA'!$T$9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KYENJOJO-HOIMA'!$T$10:$T$21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'29.10 KYENJOJO-HOIMA'!$U$9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'29.10 KYENJOJO-HOIMA'!$U$10:$U$21</c:f>
              <c:numCache>
                <c:formatCode>0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'29.10 KYENJOJO-HOIMA'!$V$9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'29.10 KYENJOJO-HOIMA'!$V$10:$V$21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'29.10 KYENJOJO-HOIMA'!$W$9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'29.10 KYENJOJO-HOIMA'!$W$10:$W$21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'29.10 KYENJOJO-HOIMA'!$X$9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'29.10 KYENJOJO-HOIMA'!$X$10:$X$21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'29.10 KYENJOJO-HOIMA'!$Y$9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KYENJOJO-HOIMA'!$Y$10:$Y$21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7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'29.10 KYENJOJO-HOIMA'!$Z$9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KYENJOJO-HOIMA'!$Z$10:$Z$21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'29.10 KYENJOJO-HOIMA'!$AA$9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KYENJOJO-HOIMA'!$AA$10:$AA$21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'29.10 KYENJOJO-HOIMA'!$AB$9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KYENJOJO-HOIMA'!$AB$10:$AB$21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'29.10 KYENJOJO-HOIMA'!$AC$9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KYENJOJO-HOIMA'!$AC$10:$AC$21</c:f>
              <c:numCache>
                <c:formatCode>0</c:formatCode>
                <c:ptCount val="12"/>
                <c:pt idx="0">
                  <c:v>63</c:v>
                </c:pt>
                <c:pt idx="1">
                  <c:v>136</c:v>
                </c:pt>
                <c:pt idx="2">
                  <c:v>79</c:v>
                </c:pt>
                <c:pt idx="3">
                  <c:v>181</c:v>
                </c:pt>
                <c:pt idx="4">
                  <c:v>180</c:v>
                </c:pt>
                <c:pt idx="5">
                  <c:v>152</c:v>
                </c:pt>
                <c:pt idx="6">
                  <c:v>123</c:v>
                </c:pt>
                <c:pt idx="7">
                  <c:v>172</c:v>
                </c:pt>
                <c:pt idx="8">
                  <c:v>126</c:v>
                </c:pt>
                <c:pt idx="9">
                  <c:v>164</c:v>
                </c:pt>
                <c:pt idx="10">
                  <c:v>203</c:v>
                </c:pt>
                <c:pt idx="11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'29.10 KYENJOJO-HOIMA'!$AD$9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KYENJOJO-HOIMA'!$AD$10:$AD$21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154800"/>
        <c:axId val="149155584"/>
      </c:lineChart>
      <c:catAx>
        <c:axId val="14915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9155584"/>
        <c:crosses val="autoZero"/>
        <c:auto val="1"/>
        <c:lblAlgn val="ctr"/>
        <c:lblOffset val="100"/>
        <c:noMultiLvlLbl val="0"/>
      </c:catAx>
      <c:valAx>
        <c:axId val="1491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915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KYENJOJO-HOIMA'!$C$9:$N$9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KYENJOJO-HOIMA'!$C$60:$N$60</c:f>
              <c:numCache>
                <c:formatCode>0.00%</c:formatCode>
                <c:ptCount val="12"/>
                <c:pt idx="0">
                  <c:v>0.58677685950413228</c:v>
                </c:pt>
                <c:pt idx="1">
                  <c:v>5.9917355371900828E-2</c:v>
                </c:pt>
                <c:pt idx="2">
                  <c:v>0.10743801652892562</c:v>
                </c:pt>
                <c:pt idx="3">
                  <c:v>6.1983471074380167E-2</c:v>
                </c:pt>
                <c:pt idx="4">
                  <c:v>0</c:v>
                </c:pt>
                <c:pt idx="5">
                  <c:v>4.1322314049586778E-3</c:v>
                </c:pt>
                <c:pt idx="6">
                  <c:v>9.7107438016528921E-2</c:v>
                </c:pt>
                <c:pt idx="7">
                  <c:v>5.1652892561983473E-2</c:v>
                </c:pt>
                <c:pt idx="8">
                  <c:v>1.2396694214876033E-2</c:v>
                </c:pt>
                <c:pt idx="9">
                  <c:v>1.6528925619834711E-2</c:v>
                </c:pt>
                <c:pt idx="11">
                  <c:v>2.0661157024793389E-3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HOIMA-KYENJOJO'!$AE$9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HOIMA-KYENJOJO'!$AE$10:$AE$21</c:f>
              <c:numCache>
                <c:formatCode>0</c:formatCode>
                <c:ptCount val="12"/>
                <c:pt idx="0">
                  <c:v>29</c:v>
                </c:pt>
                <c:pt idx="1">
                  <c:v>50</c:v>
                </c:pt>
                <c:pt idx="2">
                  <c:v>39</c:v>
                </c:pt>
                <c:pt idx="3">
                  <c:v>54</c:v>
                </c:pt>
                <c:pt idx="4">
                  <c:v>38</c:v>
                </c:pt>
                <c:pt idx="5">
                  <c:v>29</c:v>
                </c:pt>
                <c:pt idx="6">
                  <c:v>35</c:v>
                </c:pt>
                <c:pt idx="7">
                  <c:v>42</c:v>
                </c:pt>
                <c:pt idx="8">
                  <c:v>32</c:v>
                </c:pt>
                <c:pt idx="9">
                  <c:v>44</c:v>
                </c:pt>
                <c:pt idx="10">
                  <c:v>40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'29.10 HOIMA-KYENJOJO'!$AF$9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HOIMA-KYENJOJO'!$AF$10:$AF$21</c:f>
              <c:numCache>
                <c:formatCode>0</c:formatCode>
                <c:ptCount val="12"/>
                <c:pt idx="0">
                  <c:v>149</c:v>
                </c:pt>
                <c:pt idx="1">
                  <c:v>181</c:v>
                </c:pt>
                <c:pt idx="2">
                  <c:v>147</c:v>
                </c:pt>
                <c:pt idx="3">
                  <c:v>229</c:v>
                </c:pt>
                <c:pt idx="4">
                  <c:v>192</c:v>
                </c:pt>
                <c:pt idx="5">
                  <c:v>166</c:v>
                </c:pt>
                <c:pt idx="6">
                  <c:v>169</c:v>
                </c:pt>
                <c:pt idx="7">
                  <c:v>145</c:v>
                </c:pt>
                <c:pt idx="8">
                  <c:v>164</c:v>
                </c:pt>
                <c:pt idx="9">
                  <c:v>157</c:v>
                </c:pt>
                <c:pt idx="10">
                  <c:v>210</c:v>
                </c:pt>
                <c:pt idx="11">
                  <c:v>223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16320"/>
        <c:axId val="206313576"/>
      </c:lineChart>
      <c:catAx>
        <c:axId val="206316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3576"/>
        <c:crosses val="autoZero"/>
        <c:auto val="1"/>
        <c:lblAlgn val="ctr"/>
        <c:lblOffset val="100"/>
        <c:noMultiLvlLbl val="0"/>
      </c:catAx>
      <c:valAx>
        <c:axId val="206313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HOIMA-KYENJOJO'!$C$9:$N$9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HOIMA-KYENJOJO'!$C$59:$N$59</c:f>
              <c:numCache>
                <c:formatCode>0.0%</c:formatCode>
                <c:ptCount val="12"/>
                <c:pt idx="0">
                  <c:v>0.124765478424015</c:v>
                </c:pt>
                <c:pt idx="1">
                  <c:v>1.0787992495309569E-2</c:v>
                </c:pt>
                <c:pt idx="2">
                  <c:v>2.0637898686679174E-2</c:v>
                </c:pt>
                <c:pt idx="3">
                  <c:v>2.2045028142589119E-2</c:v>
                </c:pt>
                <c:pt idx="4">
                  <c:v>4.6904315196998124E-4</c:v>
                </c:pt>
                <c:pt idx="5">
                  <c:v>4.6904315196998124E-4</c:v>
                </c:pt>
                <c:pt idx="6">
                  <c:v>1.6416510318949345E-2</c:v>
                </c:pt>
                <c:pt idx="7">
                  <c:v>1.7823639774859287E-2</c:v>
                </c:pt>
                <c:pt idx="8">
                  <c:v>7.9737335834896804E-3</c:v>
                </c:pt>
                <c:pt idx="9">
                  <c:v>1.4071294559099437E-3</c:v>
                </c:pt>
                <c:pt idx="10">
                  <c:v>0.77673545966228896</c:v>
                </c:pt>
                <c:pt idx="11">
                  <c:v>4.6904315196998124E-4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HOIMA-KYENJOJO'!$C$9:$N$9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HOIMA-KYENJOJO'!$C$60:$N$60</c:f>
              <c:numCache>
                <c:formatCode>0.00%</c:formatCode>
                <c:ptCount val="12"/>
                <c:pt idx="0">
                  <c:v>0.55882352941176472</c:v>
                </c:pt>
                <c:pt idx="1">
                  <c:v>4.8319327731092439E-2</c:v>
                </c:pt>
                <c:pt idx="2">
                  <c:v>9.2436974789915971E-2</c:v>
                </c:pt>
                <c:pt idx="3">
                  <c:v>9.8739495798319324E-2</c:v>
                </c:pt>
                <c:pt idx="4">
                  <c:v>2.1008403361344537E-3</c:v>
                </c:pt>
                <c:pt idx="5">
                  <c:v>2.1008403361344537E-3</c:v>
                </c:pt>
                <c:pt idx="6">
                  <c:v>7.3529411764705885E-2</c:v>
                </c:pt>
                <c:pt idx="7">
                  <c:v>7.9831932773109238E-2</c:v>
                </c:pt>
                <c:pt idx="8">
                  <c:v>3.5714285714285712E-2</c:v>
                </c:pt>
                <c:pt idx="9">
                  <c:v>6.3025210084033615E-3</c:v>
                </c:pt>
                <c:pt idx="11">
                  <c:v>2.1008403361344537E-3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KYENJOJO-HOIMA'!$AE$9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KYENJOJO-HOIMA'!$AE$10:$AE$21</c:f>
              <c:numCache>
                <c:formatCode>0</c:formatCode>
                <c:ptCount val="12"/>
                <c:pt idx="0">
                  <c:v>35</c:v>
                </c:pt>
                <c:pt idx="1">
                  <c:v>53</c:v>
                </c:pt>
                <c:pt idx="2">
                  <c:v>37</c:v>
                </c:pt>
                <c:pt idx="3">
                  <c:v>42</c:v>
                </c:pt>
                <c:pt idx="4">
                  <c:v>36</c:v>
                </c:pt>
                <c:pt idx="5">
                  <c:v>61</c:v>
                </c:pt>
                <c:pt idx="6">
                  <c:v>36</c:v>
                </c:pt>
                <c:pt idx="7">
                  <c:v>32</c:v>
                </c:pt>
                <c:pt idx="8">
                  <c:v>52</c:v>
                </c:pt>
                <c:pt idx="9">
                  <c:v>44</c:v>
                </c:pt>
                <c:pt idx="10">
                  <c:v>58</c:v>
                </c:pt>
                <c:pt idx="11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'30.10 KYENJOJO-HOIMA'!$AF$9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KYENJOJO-HOIMA'!$AF$10:$AF$21</c:f>
              <c:numCache>
                <c:formatCode>0</c:formatCode>
                <c:ptCount val="12"/>
                <c:pt idx="0">
                  <c:v>160</c:v>
                </c:pt>
                <c:pt idx="1">
                  <c:v>217</c:v>
                </c:pt>
                <c:pt idx="2">
                  <c:v>156</c:v>
                </c:pt>
                <c:pt idx="3">
                  <c:v>225</c:v>
                </c:pt>
                <c:pt idx="4">
                  <c:v>175</c:v>
                </c:pt>
                <c:pt idx="5">
                  <c:v>213</c:v>
                </c:pt>
                <c:pt idx="6">
                  <c:v>175</c:v>
                </c:pt>
                <c:pt idx="7">
                  <c:v>128</c:v>
                </c:pt>
                <c:pt idx="8">
                  <c:v>184</c:v>
                </c:pt>
                <c:pt idx="9">
                  <c:v>169</c:v>
                </c:pt>
                <c:pt idx="10">
                  <c:v>213</c:v>
                </c:pt>
                <c:pt idx="11">
                  <c:v>221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155976"/>
        <c:axId val="149156760"/>
      </c:lineChart>
      <c:catAx>
        <c:axId val="1491559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9156760"/>
        <c:crosses val="autoZero"/>
        <c:auto val="1"/>
        <c:lblAlgn val="ctr"/>
        <c:lblOffset val="100"/>
        <c:noMultiLvlLbl val="0"/>
      </c:catAx>
      <c:valAx>
        <c:axId val="1491567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9155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KYENJOJO-HOIMA'!$C$9:$N$9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KYENJOJO-HOIMA'!$C$59:$N$59</c:f>
              <c:numCache>
                <c:formatCode>0.0%</c:formatCode>
                <c:ptCount val="12"/>
                <c:pt idx="0">
                  <c:v>0.13461538461538461</c:v>
                </c:pt>
                <c:pt idx="1">
                  <c:v>1.3864042933810376E-2</c:v>
                </c:pt>
                <c:pt idx="2">
                  <c:v>2.5491949910554562E-2</c:v>
                </c:pt>
                <c:pt idx="3">
                  <c:v>1.5652951699463326E-2</c:v>
                </c:pt>
                <c:pt idx="4">
                  <c:v>0</c:v>
                </c:pt>
                <c:pt idx="5">
                  <c:v>4.4722719141323793E-4</c:v>
                </c:pt>
                <c:pt idx="6">
                  <c:v>2.9069767441860465E-2</c:v>
                </c:pt>
                <c:pt idx="7">
                  <c:v>1.2075134168157423E-2</c:v>
                </c:pt>
                <c:pt idx="8">
                  <c:v>1.7889087656529517E-3</c:v>
                </c:pt>
                <c:pt idx="9">
                  <c:v>4.4722719141323793E-4</c:v>
                </c:pt>
                <c:pt idx="10">
                  <c:v>0.76610017889087656</c:v>
                </c:pt>
                <c:pt idx="11">
                  <c:v>4.4722719141323793E-4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KYENJOJO-HOIMA'!$S$9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KYENJOJO-HOIMA'!$S$10:$S$21</c:f>
              <c:numCache>
                <c:formatCode>0</c:formatCode>
                <c:ptCount val="12"/>
                <c:pt idx="0">
                  <c:v>17</c:v>
                </c:pt>
                <c:pt idx="1">
                  <c:v>33</c:v>
                </c:pt>
                <c:pt idx="2">
                  <c:v>24</c:v>
                </c:pt>
                <c:pt idx="3">
                  <c:v>21</c:v>
                </c:pt>
                <c:pt idx="4">
                  <c:v>22</c:v>
                </c:pt>
                <c:pt idx="5">
                  <c:v>33</c:v>
                </c:pt>
                <c:pt idx="6">
                  <c:v>22</c:v>
                </c:pt>
                <c:pt idx="7">
                  <c:v>17</c:v>
                </c:pt>
                <c:pt idx="8">
                  <c:v>29</c:v>
                </c:pt>
                <c:pt idx="9">
                  <c:v>26</c:v>
                </c:pt>
                <c:pt idx="10">
                  <c:v>30</c:v>
                </c:pt>
                <c:pt idx="11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'30.10 KYENJOJO-HOIMA'!$T$9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KYENJOJO-HOIMA'!$T$10:$T$21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'30.10 KYENJOJO-HOIMA'!$U$9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KYENJOJO-HOIMA'!$U$10:$U$21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11</c:v>
                </c:pt>
                <c:pt idx="4">
                  <c:v>5</c:v>
                </c:pt>
                <c:pt idx="5">
                  <c:v>8</c:v>
                </c:pt>
                <c:pt idx="6">
                  <c:v>2</c:v>
                </c:pt>
                <c:pt idx="7">
                  <c:v>0</c:v>
                </c:pt>
                <c:pt idx="8">
                  <c:v>5</c:v>
                </c:pt>
                <c:pt idx="9">
                  <c:v>3</c:v>
                </c:pt>
                <c:pt idx="10">
                  <c:v>12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'30.10 KYENJOJO-HOIMA'!$V$9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KYENJOJO-HOIMA'!$V$10:$V$21</c:f>
              <c:numCache>
                <c:formatCode>0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'30.10 KYENJOJO-HOIMA'!$W$9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KYENJOJO-HOIMA'!$W$10:$W$21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'30.10 KYENJOJO-HOIMA'!$X$9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KYENJOJO-HOIMA'!$X$10:$X$21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'30.10 KYENJOJO-HOIMA'!$Y$9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KYENJOJO-HOIMA'!$Y$10:$Y$21</c:f>
              <c:numCache>
                <c:formatCode>0</c:formatCode>
                <c:ptCount val="12"/>
                <c:pt idx="0">
                  <c:v>4</c:v>
                </c:pt>
                <c:pt idx="1">
                  <c:v>10</c:v>
                </c:pt>
                <c:pt idx="2">
                  <c:v>3</c:v>
                </c:pt>
                <c:pt idx="3">
                  <c:v>8</c:v>
                </c:pt>
                <c:pt idx="4">
                  <c:v>3</c:v>
                </c:pt>
                <c:pt idx="5">
                  <c:v>10</c:v>
                </c:pt>
                <c:pt idx="6">
                  <c:v>5</c:v>
                </c:pt>
                <c:pt idx="7">
                  <c:v>7</c:v>
                </c:pt>
                <c:pt idx="8">
                  <c:v>9</c:v>
                </c:pt>
                <c:pt idx="9">
                  <c:v>0</c:v>
                </c:pt>
                <c:pt idx="10">
                  <c:v>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'30.10 KYENJOJO-HOIMA'!$Z$9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KYENJOJO-HOIMA'!$Z$10:$Z$21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'30.10 KYENJOJO-HOIMA'!$AA$9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KYENJOJO-HOIMA'!$AA$10:$AA$21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'30.10 KYENJOJO-HOIMA'!$AB$9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KYENJOJO-HOIMA'!$AB$10:$AB$21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'30.10 KYENJOJO-HOIMA'!$AC$9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KYENJOJO-HOIMA'!$AC$10:$AC$21</c:f>
              <c:numCache>
                <c:formatCode>0</c:formatCode>
                <c:ptCount val="12"/>
                <c:pt idx="0">
                  <c:v>125</c:v>
                </c:pt>
                <c:pt idx="1">
                  <c:v>164</c:v>
                </c:pt>
                <c:pt idx="2">
                  <c:v>119</c:v>
                </c:pt>
                <c:pt idx="3">
                  <c:v>183</c:v>
                </c:pt>
                <c:pt idx="4">
                  <c:v>139</c:v>
                </c:pt>
                <c:pt idx="5">
                  <c:v>152</c:v>
                </c:pt>
                <c:pt idx="6">
                  <c:v>139</c:v>
                </c:pt>
                <c:pt idx="7">
                  <c:v>96</c:v>
                </c:pt>
                <c:pt idx="8">
                  <c:v>132</c:v>
                </c:pt>
                <c:pt idx="9">
                  <c:v>125</c:v>
                </c:pt>
                <c:pt idx="10">
                  <c:v>155</c:v>
                </c:pt>
                <c:pt idx="11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'30.10 KYENJOJO-HOIMA'!$AD$9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KYENJOJO-HOIMA'!$AD$10:$AD$21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817832"/>
        <c:axId val="229815480"/>
      </c:lineChart>
      <c:catAx>
        <c:axId val="229817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9815480"/>
        <c:crosses val="autoZero"/>
        <c:auto val="1"/>
        <c:lblAlgn val="ctr"/>
        <c:lblOffset val="100"/>
        <c:noMultiLvlLbl val="0"/>
      </c:catAx>
      <c:valAx>
        <c:axId val="22981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9817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KYENJOJO-HOIMA'!$C$9:$N$9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KYENJOJO-HOIMA'!$C$60:$N$60</c:f>
              <c:numCache>
                <c:formatCode>0.00%</c:formatCode>
                <c:ptCount val="12"/>
                <c:pt idx="0">
                  <c:v>0.57552581261950286</c:v>
                </c:pt>
                <c:pt idx="1">
                  <c:v>5.9273422562141492E-2</c:v>
                </c:pt>
                <c:pt idx="2">
                  <c:v>0.10898661567877629</c:v>
                </c:pt>
                <c:pt idx="3">
                  <c:v>6.6921606118546847E-2</c:v>
                </c:pt>
                <c:pt idx="4">
                  <c:v>0</c:v>
                </c:pt>
                <c:pt idx="5">
                  <c:v>1.9120458891013384E-3</c:v>
                </c:pt>
                <c:pt idx="6">
                  <c:v>0.124282982791587</c:v>
                </c:pt>
                <c:pt idx="7">
                  <c:v>5.1625239005736137E-2</c:v>
                </c:pt>
                <c:pt idx="8">
                  <c:v>7.6481835564053535E-3</c:v>
                </c:pt>
                <c:pt idx="9">
                  <c:v>1.9120458891013384E-3</c:v>
                </c:pt>
                <c:pt idx="11">
                  <c:v>1.9120458891013384E-3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HOIMA-KYENJOJO'!$AE$9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HOIMA-KYENJOJO'!$AE$10:$AE$21</c:f>
              <c:numCache>
                <c:formatCode>0</c:formatCode>
                <c:ptCount val="12"/>
                <c:pt idx="0">
                  <c:v>53</c:v>
                </c:pt>
                <c:pt idx="1">
                  <c:v>44</c:v>
                </c:pt>
                <c:pt idx="2">
                  <c:v>48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43</c:v>
                </c:pt>
                <c:pt idx="7">
                  <c:v>42</c:v>
                </c:pt>
                <c:pt idx="8">
                  <c:v>44</c:v>
                </c:pt>
                <c:pt idx="9">
                  <c:v>41</c:v>
                </c:pt>
                <c:pt idx="10">
                  <c:v>60</c:v>
                </c:pt>
                <c:pt idx="11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'30.10 HOIMA-KYENJOJO'!$AF$9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HOIMA-KYENJOJO'!$AF$10:$AF$21</c:f>
              <c:numCache>
                <c:formatCode>0</c:formatCode>
                <c:ptCount val="12"/>
                <c:pt idx="0">
                  <c:v>195</c:v>
                </c:pt>
                <c:pt idx="1">
                  <c:v>207</c:v>
                </c:pt>
                <c:pt idx="2">
                  <c:v>196</c:v>
                </c:pt>
                <c:pt idx="3">
                  <c:v>190</c:v>
                </c:pt>
                <c:pt idx="4">
                  <c:v>159</c:v>
                </c:pt>
                <c:pt idx="5">
                  <c:v>190</c:v>
                </c:pt>
                <c:pt idx="6">
                  <c:v>173</c:v>
                </c:pt>
                <c:pt idx="7">
                  <c:v>134</c:v>
                </c:pt>
                <c:pt idx="8">
                  <c:v>152</c:v>
                </c:pt>
                <c:pt idx="9">
                  <c:v>188</c:v>
                </c:pt>
                <c:pt idx="10">
                  <c:v>210</c:v>
                </c:pt>
                <c:pt idx="11">
                  <c:v>220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819008"/>
        <c:axId val="229816264"/>
      </c:lineChart>
      <c:catAx>
        <c:axId val="229819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9816264"/>
        <c:crosses val="autoZero"/>
        <c:auto val="1"/>
        <c:lblAlgn val="ctr"/>
        <c:lblOffset val="100"/>
        <c:noMultiLvlLbl val="0"/>
      </c:catAx>
      <c:valAx>
        <c:axId val="229816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981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HOIMA-KYENJOJO'!$C$9:$N$9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HOIMA-KYENJOJO'!$C$59:$N$59</c:f>
              <c:numCache>
                <c:formatCode>0.0%</c:formatCode>
                <c:ptCount val="12"/>
                <c:pt idx="0">
                  <c:v>0.12737127371273713</c:v>
                </c:pt>
                <c:pt idx="1">
                  <c:v>1.7615176151761516E-2</c:v>
                </c:pt>
                <c:pt idx="2">
                  <c:v>2.9358626919602528E-2</c:v>
                </c:pt>
                <c:pt idx="3">
                  <c:v>1.7163504968383016E-2</c:v>
                </c:pt>
                <c:pt idx="4">
                  <c:v>9.0334236675700087E-4</c:v>
                </c:pt>
                <c:pt idx="5">
                  <c:v>9.0334236675700087E-4</c:v>
                </c:pt>
                <c:pt idx="6">
                  <c:v>1.8066847335140017E-2</c:v>
                </c:pt>
                <c:pt idx="7">
                  <c:v>2.7100271002710029E-2</c:v>
                </c:pt>
                <c:pt idx="8">
                  <c:v>7.2267389340560069E-3</c:v>
                </c:pt>
                <c:pt idx="9">
                  <c:v>9.0334236675700087E-4</c:v>
                </c:pt>
                <c:pt idx="10">
                  <c:v>0.75338753387533874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HOIMA-KYENJOJO'!$S$9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HOIMA-KYENJOJO'!$S$10:$S$21</c:f>
              <c:numCache>
                <c:formatCode>0</c:formatCode>
                <c:ptCount val="12"/>
                <c:pt idx="0">
                  <c:v>33</c:v>
                </c:pt>
                <c:pt idx="1">
                  <c:v>28</c:v>
                </c:pt>
                <c:pt idx="2">
                  <c:v>28</c:v>
                </c:pt>
                <c:pt idx="3">
                  <c:v>19</c:v>
                </c:pt>
                <c:pt idx="4">
                  <c:v>22</c:v>
                </c:pt>
                <c:pt idx="5">
                  <c:v>28</c:v>
                </c:pt>
                <c:pt idx="6">
                  <c:v>17</c:v>
                </c:pt>
                <c:pt idx="7">
                  <c:v>18</c:v>
                </c:pt>
                <c:pt idx="8">
                  <c:v>20</c:v>
                </c:pt>
                <c:pt idx="9">
                  <c:v>20</c:v>
                </c:pt>
                <c:pt idx="10">
                  <c:v>23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'30.10 HOIMA-KYENJOJO'!$T$9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HOIMA-KYENJOJO'!$T$10:$T$21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'30.10 HOIMA-KYENJOJO'!$U$9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HOIMA-KYENJOJO'!$U$10:$U$21</c:f>
              <c:numCache>
                <c:formatCode>0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11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7</c:v>
                </c:pt>
                <c:pt idx="9">
                  <c:v>5</c:v>
                </c:pt>
                <c:pt idx="10">
                  <c:v>8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'30.10 HOIMA-KYENJOJO'!$V$9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HOIMA-KYENJOJO'!$V$10:$V$21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9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'30.10 HOIMA-KYENJOJO'!$W$9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HOIMA-KYENJOJO'!$W$10:$W$21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'30.10 HOIMA-KYENJOJO'!$X$9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HOIMA-KYENJOJO'!$X$10:$X$21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'30.10 HOIMA-KYENJOJO'!$Y$9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HOIMA-KYENJOJO'!$Y$10:$Y$21</c:f>
              <c:numCache>
                <c:formatCode>0</c:formatCode>
                <c:ptCount val="12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7</c:v>
                </c:pt>
                <c:pt idx="9">
                  <c:v>2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'30.10 HOIMA-KYENJOJO'!$Z$9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HOIMA-KYENJOJO'!$Z$10:$Z$21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9</c:v>
                </c:pt>
                <c:pt idx="5">
                  <c:v>1</c:v>
                </c:pt>
                <c:pt idx="6">
                  <c:v>12</c:v>
                </c:pt>
                <c:pt idx="7">
                  <c:v>10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'30.10 HOIMA-KYENJOJO'!$AA$9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HOIMA-KYENJOJO'!$AA$10:$AA$21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'30.10 HOIMA-KYENJOJO'!$AB$9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HOIMA-KYENJOJO'!$AB$10:$AB$21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'30.10 HOIMA-KYENJOJO'!$AC$9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HOIMA-KYENJOJO'!$AC$10:$AC$21</c:f>
              <c:numCache>
                <c:formatCode>0</c:formatCode>
                <c:ptCount val="12"/>
                <c:pt idx="0">
                  <c:v>142</c:v>
                </c:pt>
                <c:pt idx="1">
                  <c:v>163</c:v>
                </c:pt>
                <c:pt idx="2">
                  <c:v>148</c:v>
                </c:pt>
                <c:pt idx="3">
                  <c:v>150</c:v>
                </c:pt>
                <c:pt idx="4">
                  <c:v>119</c:v>
                </c:pt>
                <c:pt idx="5">
                  <c:v>150</c:v>
                </c:pt>
                <c:pt idx="6">
                  <c:v>130</c:v>
                </c:pt>
                <c:pt idx="7">
                  <c:v>92</c:v>
                </c:pt>
                <c:pt idx="8">
                  <c:v>108</c:v>
                </c:pt>
                <c:pt idx="9">
                  <c:v>147</c:v>
                </c:pt>
                <c:pt idx="10">
                  <c:v>150</c:v>
                </c:pt>
                <c:pt idx="11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'30.10 HOIMA-KYENJOJO'!$AD$9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HOIMA-KYENJOJO'!$AD$10:$AD$21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818616"/>
        <c:axId val="166657816"/>
      </c:lineChart>
      <c:catAx>
        <c:axId val="229818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6657816"/>
        <c:crosses val="autoZero"/>
        <c:auto val="1"/>
        <c:lblAlgn val="ctr"/>
        <c:lblOffset val="100"/>
        <c:noMultiLvlLbl val="0"/>
      </c:catAx>
      <c:valAx>
        <c:axId val="16665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981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HOIMA-KYENJOJO'!$C$9:$N$9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HOIMA-KYENJOJO'!$C$60:$N$60</c:f>
              <c:numCache>
                <c:formatCode>0.00%</c:formatCode>
                <c:ptCount val="12"/>
                <c:pt idx="0">
                  <c:v>0.51648351648351654</c:v>
                </c:pt>
                <c:pt idx="1">
                  <c:v>7.1428571428571425E-2</c:v>
                </c:pt>
                <c:pt idx="2">
                  <c:v>0.11904761904761904</c:v>
                </c:pt>
                <c:pt idx="3">
                  <c:v>6.95970695970696E-2</c:v>
                </c:pt>
                <c:pt idx="4">
                  <c:v>3.663003663003663E-3</c:v>
                </c:pt>
                <c:pt idx="5">
                  <c:v>3.663003663003663E-3</c:v>
                </c:pt>
                <c:pt idx="6">
                  <c:v>7.3260073260073263E-2</c:v>
                </c:pt>
                <c:pt idx="7">
                  <c:v>0.10989010989010989</c:v>
                </c:pt>
                <c:pt idx="8">
                  <c:v>2.9304029304029304E-2</c:v>
                </c:pt>
                <c:pt idx="9">
                  <c:v>3.663003663003663E-3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KYENJOJO-HOIMA'!$AE$9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KYENJOJO-HOIMA'!$AE$10:$AE$21</c:f>
              <c:numCache>
                <c:formatCode>0</c:formatCode>
                <c:ptCount val="12"/>
                <c:pt idx="0">
                  <c:v>33</c:v>
                </c:pt>
                <c:pt idx="1">
                  <c:v>27</c:v>
                </c:pt>
                <c:pt idx="2">
                  <c:v>33</c:v>
                </c:pt>
                <c:pt idx="3">
                  <c:v>40</c:v>
                </c:pt>
                <c:pt idx="4">
                  <c:v>44</c:v>
                </c:pt>
                <c:pt idx="5">
                  <c:v>47</c:v>
                </c:pt>
                <c:pt idx="6">
                  <c:v>35</c:v>
                </c:pt>
                <c:pt idx="7">
                  <c:v>42</c:v>
                </c:pt>
                <c:pt idx="8">
                  <c:v>37</c:v>
                </c:pt>
                <c:pt idx="9">
                  <c:v>42</c:v>
                </c:pt>
                <c:pt idx="10">
                  <c:v>53</c:v>
                </c:pt>
                <c:pt idx="11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'31.10 KYENJOJO-HOIMA'!$AF$9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KYENJOJO-HOIMA'!$AF$10:$AF$21</c:f>
              <c:numCache>
                <c:formatCode>0</c:formatCode>
                <c:ptCount val="12"/>
                <c:pt idx="0">
                  <c:v>79</c:v>
                </c:pt>
                <c:pt idx="1">
                  <c:v>113</c:v>
                </c:pt>
                <c:pt idx="2">
                  <c:v>108</c:v>
                </c:pt>
                <c:pt idx="3">
                  <c:v>136</c:v>
                </c:pt>
                <c:pt idx="4">
                  <c:v>164</c:v>
                </c:pt>
                <c:pt idx="5">
                  <c:v>176</c:v>
                </c:pt>
                <c:pt idx="6">
                  <c:v>151</c:v>
                </c:pt>
                <c:pt idx="7">
                  <c:v>178</c:v>
                </c:pt>
                <c:pt idx="8">
                  <c:v>176</c:v>
                </c:pt>
                <c:pt idx="9">
                  <c:v>233</c:v>
                </c:pt>
                <c:pt idx="10">
                  <c:v>193</c:v>
                </c:pt>
                <c:pt idx="11">
                  <c:v>211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658208"/>
        <c:axId val="166658600"/>
      </c:lineChart>
      <c:catAx>
        <c:axId val="166658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6658600"/>
        <c:crosses val="autoZero"/>
        <c:auto val="1"/>
        <c:lblAlgn val="ctr"/>
        <c:lblOffset val="100"/>
        <c:noMultiLvlLbl val="0"/>
      </c:catAx>
      <c:valAx>
        <c:axId val="166658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665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KYENJOJO-HOIMA'!$C$9:$N$9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KYENJOJO-HOIMA'!$C$59:$N$59</c:f>
              <c:numCache>
                <c:formatCode>0.0%</c:formatCode>
                <c:ptCount val="12"/>
                <c:pt idx="0">
                  <c:v>0.14494264859228362</c:v>
                </c:pt>
                <c:pt idx="1">
                  <c:v>1.3555787278415016E-2</c:v>
                </c:pt>
                <c:pt idx="2">
                  <c:v>3.2846715328467155E-2</c:v>
                </c:pt>
                <c:pt idx="3">
                  <c:v>1.4077163712200209E-2</c:v>
                </c:pt>
                <c:pt idx="4">
                  <c:v>0</c:v>
                </c:pt>
                <c:pt idx="5">
                  <c:v>0</c:v>
                </c:pt>
                <c:pt idx="6">
                  <c:v>2.0333680917622523E-2</c:v>
                </c:pt>
                <c:pt idx="7">
                  <c:v>1.3555787278415016E-2</c:v>
                </c:pt>
                <c:pt idx="8">
                  <c:v>5.2137643378519292E-4</c:v>
                </c:pt>
                <c:pt idx="9">
                  <c:v>3.1282586027111575E-3</c:v>
                </c:pt>
                <c:pt idx="10">
                  <c:v>0.75703858185610007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KYENJOJO-HOIMA'!$S$9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KYENJOJO-HOIMA'!$S$10:$S$21</c:f>
              <c:numCache>
                <c:formatCode>0</c:formatCode>
                <c:ptCount val="12"/>
                <c:pt idx="0">
                  <c:v>16</c:v>
                </c:pt>
                <c:pt idx="1">
                  <c:v>19</c:v>
                </c:pt>
                <c:pt idx="2">
                  <c:v>15</c:v>
                </c:pt>
                <c:pt idx="3">
                  <c:v>24</c:v>
                </c:pt>
                <c:pt idx="4">
                  <c:v>24</c:v>
                </c:pt>
                <c:pt idx="5">
                  <c:v>32</c:v>
                </c:pt>
                <c:pt idx="6">
                  <c:v>23</c:v>
                </c:pt>
                <c:pt idx="7">
                  <c:v>26</c:v>
                </c:pt>
                <c:pt idx="8">
                  <c:v>21</c:v>
                </c:pt>
                <c:pt idx="9">
                  <c:v>25</c:v>
                </c:pt>
                <c:pt idx="10">
                  <c:v>28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'31.10 KYENJOJO-HOIMA'!$T$9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'31.10 KYENJOJO-HOIMA'!$R$10:$R$21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KYENJOJO-HOIMA'!$T$10:$T$21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'31.10 KYENJOJO-HOIMA'!$U$9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'31.10 KYENJOJO-HOIMA'!$U$10:$U$21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4</c:v>
                </c:pt>
                <c:pt idx="4">
                  <c:v>8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'31.10 KYENJOJO-HOIMA'!$V$9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'31.10 KYENJOJO-HOIMA'!$V$10:$V$21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'31.10 KYENJOJO-HOIMA'!$W$9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'31.10 KYENJOJO-HOIMA'!$W$10:$W$21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'31.10 KYENJOJO-HOIMA'!$X$9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'31.10 KYENJOJO-HOIMA'!$X$10:$X$21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'31.10 KYENJOJO-HOIMA'!$Y$9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KYENJOJO-HOIMA'!$Y$10:$Y$21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'31.10 KYENJOJO-HOIMA'!$Z$9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KYENJOJO-HOIMA'!$Z$10:$Z$21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'31.10 KYENJOJO-HOIMA'!$AA$9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KYENJOJO-HOIMA'!$AA$10:$AA$21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'31.10 KYENJOJO-HOIMA'!$AB$9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KYENJOJO-HOIMA'!$AB$10:$AB$21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'31.10 KYENJOJO-HOIMA'!$AC$9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KYENJOJO-HOIMA'!$AC$10:$AC$21</c:f>
              <c:numCache>
                <c:formatCode>0</c:formatCode>
                <c:ptCount val="12"/>
                <c:pt idx="0">
                  <c:v>46</c:v>
                </c:pt>
                <c:pt idx="1">
                  <c:v>86</c:v>
                </c:pt>
                <c:pt idx="2">
                  <c:v>75</c:v>
                </c:pt>
                <c:pt idx="3">
                  <c:v>96</c:v>
                </c:pt>
                <c:pt idx="4">
                  <c:v>120</c:v>
                </c:pt>
                <c:pt idx="5">
                  <c:v>129</c:v>
                </c:pt>
                <c:pt idx="6">
                  <c:v>116</c:v>
                </c:pt>
                <c:pt idx="7">
                  <c:v>136</c:v>
                </c:pt>
                <c:pt idx="8">
                  <c:v>139</c:v>
                </c:pt>
                <c:pt idx="9">
                  <c:v>191</c:v>
                </c:pt>
                <c:pt idx="10">
                  <c:v>140</c:v>
                </c:pt>
                <c:pt idx="11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'31.10 KYENJOJO-HOIMA'!$AD$9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KYENJOJO-HOIMA'!$AD$10:$AD$21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59384"/>
        <c:axId val="166660952"/>
      </c:lineChart>
      <c:catAx>
        <c:axId val="166659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6660952"/>
        <c:crosses val="autoZero"/>
        <c:auto val="1"/>
        <c:lblAlgn val="ctr"/>
        <c:lblOffset val="100"/>
        <c:noMultiLvlLbl val="0"/>
      </c:catAx>
      <c:valAx>
        <c:axId val="16666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665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KYENJOJO-HOIMA'!$C$9:$N$9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KYENJOJO-HOIMA'!$C$60:$N$60</c:f>
              <c:numCache>
                <c:formatCode>0.00%</c:formatCode>
                <c:ptCount val="12"/>
                <c:pt idx="0">
                  <c:v>0.59656652360515017</c:v>
                </c:pt>
                <c:pt idx="1">
                  <c:v>5.5793991416309016E-2</c:v>
                </c:pt>
                <c:pt idx="2">
                  <c:v>0.13519313304721031</c:v>
                </c:pt>
                <c:pt idx="3">
                  <c:v>5.7939914163090127E-2</c:v>
                </c:pt>
                <c:pt idx="4">
                  <c:v>0</c:v>
                </c:pt>
                <c:pt idx="5">
                  <c:v>0</c:v>
                </c:pt>
                <c:pt idx="6">
                  <c:v>8.3690987124463517E-2</c:v>
                </c:pt>
                <c:pt idx="7">
                  <c:v>5.5793991416309016E-2</c:v>
                </c:pt>
                <c:pt idx="8">
                  <c:v>2.1459227467811159E-3</c:v>
                </c:pt>
                <c:pt idx="9">
                  <c:v>1.2875536480686695E-2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HOIMA-KYENJOJO'!$AE$9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HOIMA-KYENJOJO'!$AE$10:$AE$21</c:f>
              <c:numCache>
                <c:formatCode>0</c:formatCode>
                <c:ptCount val="12"/>
                <c:pt idx="0">
                  <c:v>30</c:v>
                </c:pt>
                <c:pt idx="1">
                  <c:v>51</c:v>
                </c:pt>
                <c:pt idx="2">
                  <c:v>37</c:v>
                </c:pt>
                <c:pt idx="3">
                  <c:v>36</c:v>
                </c:pt>
                <c:pt idx="4">
                  <c:v>46</c:v>
                </c:pt>
                <c:pt idx="5">
                  <c:v>28</c:v>
                </c:pt>
                <c:pt idx="6">
                  <c:v>39</c:v>
                </c:pt>
                <c:pt idx="7">
                  <c:v>41</c:v>
                </c:pt>
                <c:pt idx="8">
                  <c:v>37</c:v>
                </c:pt>
                <c:pt idx="9">
                  <c:v>34</c:v>
                </c:pt>
                <c:pt idx="10">
                  <c:v>31</c:v>
                </c:pt>
                <c:pt idx="11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'31.10 HOIMA-KYENJOJO'!$AF$9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HOIMA-KYENJOJO'!$AF$10:$AF$21</c:f>
              <c:numCache>
                <c:formatCode>0</c:formatCode>
                <c:ptCount val="12"/>
                <c:pt idx="0">
                  <c:v>115</c:v>
                </c:pt>
                <c:pt idx="1">
                  <c:v>157</c:v>
                </c:pt>
                <c:pt idx="2">
                  <c:v>139</c:v>
                </c:pt>
                <c:pt idx="3">
                  <c:v>117</c:v>
                </c:pt>
                <c:pt idx="4">
                  <c:v>216</c:v>
                </c:pt>
                <c:pt idx="5">
                  <c:v>160</c:v>
                </c:pt>
                <c:pt idx="6">
                  <c:v>161</c:v>
                </c:pt>
                <c:pt idx="7">
                  <c:v>161</c:v>
                </c:pt>
                <c:pt idx="8">
                  <c:v>176</c:v>
                </c:pt>
                <c:pt idx="9">
                  <c:v>208</c:v>
                </c:pt>
                <c:pt idx="10">
                  <c:v>211</c:v>
                </c:pt>
                <c:pt idx="11">
                  <c:v>198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93632"/>
        <c:axId val="148995592"/>
      </c:lineChart>
      <c:catAx>
        <c:axId val="1489936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8995592"/>
        <c:crosses val="autoZero"/>
        <c:auto val="1"/>
        <c:lblAlgn val="ctr"/>
        <c:lblOffset val="100"/>
        <c:noMultiLvlLbl val="0"/>
      </c:catAx>
      <c:valAx>
        <c:axId val="148995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899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HOIMA-KYENJOJO'!$C$9:$N$9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HOIMA-KYENJOJO'!$C$59:$N$59</c:f>
              <c:numCache>
                <c:formatCode>0.0%</c:formatCode>
                <c:ptCount val="12"/>
                <c:pt idx="0">
                  <c:v>0.1263001485884101</c:v>
                </c:pt>
                <c:pt idx="1">
                  <c:v>2.0307082714214959E-2</c:v>
                </c:pt>
                <c:pt idx="2">
                  <c:v>2.6250619118375434E-2</c:v>
                </c:pt>
                <c:pt idx="3">
                  <c:v>1.2877662209014363E-2</c:v>
                </c:pt>
                <c:pt idx="4">
                  <c:v>9.9058940069341253E-4</c:v>
                </c:pt>
                <c:pt idx="5">
                  <c:v>9.9058940069341253E-4</c:v>
                </c:pt>
                <c:pt idx="6">
                  <c:v>1.3868251609707775E-2</c:v>
                </c:pt>
                <c:pt idx="7">
                  <c:v>1.8325903912828134E-2</c:v>
                </c:pt>
                <c:pt idx="8">
                  <c:v>9.9058940069341253E-3</c:v>
                </c:pt>
                <c:pt idx="9">
                  <c:v>4.9529470034670627E-4</c:v>
                </c:pt>
                <c:pt idx="10">
                  <c:v>0.76919266963843491</c:v>
                </c:pt>
                <c:pt idx="11">
                  <c:v>4.9529470034670627E-4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HOIMA-KYENJOJO'!$S$9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HOIMA-KYENJOJO'!$S$10:$S$21</c:f>
              <c:numCache>
                <c:formatCode>0</c:formatCode>
                <c:ptCount val="12"/>
                <c:pt idx="0">
                  <c:v>19</c:v>
                </c:pt>
                <c:pt idx="1">
                  <c:v>24</c:v>
                </c:pt>
                <c:pt idx="2">
                  <c:v>20</c:v>
                </c:pt>
                <c:pt idx="3">
                  <c:v>23</c:v>
                </c:pt>
                <c:pt idx="4">
                  <c:v>29</c:v>
                </c:pt>
                <c:pt idx="5">
                  <c:v>20</c:v>
                </c:pt>
                <c:pt idx="6">
                  <c:v>17</c:v>
                </c:pt>
                <c:pt idx="7">
                  <c:v>24</c:v>
                </c:pt>
                <c:pt idx="8">
                  <c:v>21</c:v>
                </c:pt>
                <c:pt idx="9">
                  <c:v>19</c:v>
                </c:pt>
                <c:pt idx="10">
                  <c:v>16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'31.10 HOIMA-KYENJOJO'!$T$9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'31.10 HOIMA-KYENJOJO'!$R$10:$R$21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HOIMA-KYENJOJO'!$T$10:$T$21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'31.10 HOIMA-KYENJOJO'!$U$9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'31.10 HOIMA-KYENJOJO'!$U$10:$U$21</c:f>
              <c:numCache>
                <c:formatCode>0</c:formatCode>
                <c:ptCount val="12"/>
                <c:pt idx="0">
                  <c:v>2</c:v>
                </c:pt>
                <c:pt idx="1">
                  <c:v>12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8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'31.10 HOIMA-KYENJOJO'!$V$9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'31.10 HOIMA-KYENJOJO'!$V$10:$V$21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'31.10 HOIMA-KYENJOJO'!$W$9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'31.10 HOIMA-KYENJOJO'!$W$10:$W$21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'31.10 HOIMA-KYENJOJO'!$X$9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'31.10 HOIMA-KYENJOJO'!$X$10:$X$21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'31.10 HOIMA-KYENJOJO'!$Y$9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HOIMA-KYENJOJO'!$Y$10:$Y$21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'31.10 HOIMA-KYENJOJO'!$Z$9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HOIMA-KYENJOJO'!$Z$10:$Z$21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9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'31.10 HOIMA-KYENJOJO'!$AA$9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HOIMA-KYENJOJO'!$AA$10:$AA$21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'31.10 HOIMA-KYENJOJO'!$AB$9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HOIMA-KYENJOJO'!$AB$10:$AB$21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'31.10 HOIMA-KYENJOJO'!$AC$9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HOIMA-KYENJOJO'!$AC$10:$AC$21</c:f>
              <c:numCache>
                <c:formatCode>0</c:formatCode>
                <c:ptCount val="12"/>
                <c:pt idx="0">
                  <c:v>85</c:v>
                </c:pt>
                <c:pt idx="1">
                  <c:v>106</c:v>
                </c:pt>
                <c:pt idx="2">
                  <c:v>102</c:v>
                </c:pt>
                <c:pt idx="3">
                  <c:v>81</c:v>
                </c:pt>
                <c:pt idx="4">
                  <c:v>170</c:v>
                </c:pt>
                <c:pt idx="5">
                  <c:v>132</c:v>
                </c:pt>
                <c:pt idx="6">
                  <c:v>122</c:v>
                </c:pt>
                <c:pt idx="7">
                  <c:v>120</c:v>
                </c:pt>
                <c:pt idx="8">
                  <c:v>139</c:v>
                </c:pt>
                <c:pt idx="9">
                  <c:v>174</c:v>
                </c:pt>
                <c:pt idx="10">
                  <c:v>180</c:v>
                </c:pt>
                <c:pt idx="11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'31.10 HOIMA-KYENJOJO'!$AD$9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HOIMA-KYENJOJO'!$AD$10:$AD$21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92456"/>
        <c:axId val="148995200"/>
      </c:lineChart>
      <c:catAx>
        <c:axId val="148992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8995200"/>
        <c:crosses val="autoZero"/>
        <c:auto val="1"/>
        <c:lblAlgn val="ctr"/>
        <c:lblOffset val="100"/>
        <c:noMultiLvlLbl val="0"/>
      </c:catAx>
      <c:valAx>
        <c:axId val="14899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8992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HOIMA-KYENJOJO'!$C$9:$N$9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HOIMA-KYENJOJO'!$C$60:$N$60</c:f>
              <c:numCache>
                <c:formatCode>0.00%</c:formatCode>
                <c:ptCount val="12"/>
                <c:pt idx="0">
                  <c:v>0.5472103004291845</c:v>
                </c:pt>
                <c:pt idx="1">
                  <c:v>8.7982832618025753E-2</c:v>
                </c:pt>
                <c:pt idx="2">
                  <c:v>0.11373390557939914</c:v>
                </c:pt>
                <c:pt idx="3">
                  <c:v>5.5793991416309016E-2</c:v>
                </c:pt>
                <c:pt idx="4">
                  <c:v>4.2918454935622317E-3</c:v>
                </c:pt>
                <c:pt idx="5">
                  <c:v>4.2918454935622317E-3</c:v>
                </c:pt>
                <c:pt idx="6">
                  <c:v>6.0085836909871244E-2</c:v>
                </c:pt>
                <c:pt idx="7">
                  <c:v>7.9399141630901282E-2</c:v>
                </c:pt>
                <c:pt idx="8">
                  <c:v>4.2918454935622317E-2</c:v>
                </c:pt>
                <c:pt idx="9">
                  <c:v>2.1459227467811159E-3</c:v>
                </c:pt>
                <c:pt idx="11">
                  <c:v>2.1459227467811159E-3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Kyenjojo-Hoima'!$AE$9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Kyenjojo-Hoima'!$R$10:$R$33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Kyenjojo-Hoima'!$AE$10:$AE$33</c:f>
              <c:numCache>
                <c:formatCode>0</c:formatCode>
                <c:ptCount val="24"/>
                <c:pt idx="0">
                  <c:v>21.285714285714285</c:v>
                </c:pt>
                <c:pt idx="1">
                  <c:v>33.714285714285715</c:v>
                </c:pt>
                <c:pt idx="2">
                  <c:v>33</c:v>
                </c:pt>
                <c:pt idx="3">
                  <c:v>47.857142857142854</c:v>
                </c:pt>
                <c:pt idx="4">
                  <c:v>38.571428571428569</c:v>
                </c:pt>
                <c:pt idx="5">
                  <c:v>41.428571428571431</c:v>
                </c:pt>
                <c:pt idx="6">
                  <c:v>40.428571428571431</c:v>
                </c:pt>
                <c:pt idx="7">
                  <c:v>31.714285714285712</c:v>
                </c:pt>
                <c:pt idx="8">
                  <c:v>38</c:v>
                </c:pt>
                <c:pt idx="9">
                  <c:v>46.714285714285715</c:v>
                </c:pt>
                <c:pt idx="10">
                  <c:v>51.571428571428569</c:v>
                </c:pt>
                <c:pt idx="11">
                  <c:v>36.714285714285715</c:v>
                </c:pt>
                <c:pt idx="12">
                  <c:v>58.5</c:v>
                </c:pt>
                <c:pt idx="13">
                  <c:v>41.5</c:v>
                </c:pt>
                <c:pt idx="14">
                  <c:v>27.5</c:v>
                </c:pt>
                <c:pt idx="15">
                  <c:v>17</c:v>
                </c:pt>
                <c:pt idx="16">
                  <c:v>10</c:v>
                </c:pt>
                <c:pt idx="17">
                  <c:v>3.5</c:v>
                </c:pt>
                <c:pt idx="18">
                  <c:v>5</c:v>
                </c:pt>
                <c:pt idx="19">
                  <c:v>2.5</c:v>
                </c:pt>
                <c:pt idx="20">
                  <c:v>1</c:v>
                </c:pt>
                <c:pt idx="21">
                  <c:v>5.5</c:v>
                </c:pt>
                <c:pt idx="22">
                  <c:v>9</c:v>
                </c:pt>
                <c:pt idx="23">
                  <c:v>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Kyenjojo-Hoima'!$AF$9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Kyenjojo-Hoima'!$R$10:$R$33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Kyenjojo-Hoima'!$AF$10:$AF$33</c:f>
              <c:numCache>
                <c:formatCode>0</c:formatCode>
                <c:ptCount val="24"/>
                <c:pt idx="0">
                  <c:v>83.714285714285708</c:v>
                </c:pt>
                <c:pt idx="1">
                  <c:v>136.85714285714286</c:v>
                </c:pt>
                <c:pt idx="2">
                  <c:v>129</c:v>
                </c:pt>
                <c:pt idx="3">
                  <c:v>191.28571428571431</c:v>
                </c:pt>
                <c:pt idx="4">
                  <c:v>181.28571428571428</c:v>
                </c:pt>
                <c:pt idx="5">
                  <c:v>184.57142857142858</c:v>
                </c:pt>
                <c:pt idx="6">
                  <c:v>185.42857142857144</c:v>
                </c:pt>
                <c:pt idx="7">
                  <c:v>170.57142857142856</c:v>
                </c:pt>
                <c:pt idx="8">
                  <c:v>170.14285714285714</c:v>
                </c:pt>
                <c:pt idx="9">
                  <c:v>190.57142857142858</c:v>
                </c:pt>
                <c:pt idx="10">
                  <c:v>198.71428571428572</c:v>
                </c:pt>
                <c:pt idx="11">
                  <c:v>193.14285714285717</c:v>
                </c:pt>
                <c:pt idx="12">
                  <c:v>190.5</c:v>
                </c:pt>
                <c:pt idx="13">
                  <c:v>112</c:v>
                </c:pt>
                <c:pt idx="14">
                  <c:v>96</c:v>
                </c:pt>
                <c:pt idx="15">
                  <c:v>46.5</c:v>
                </c:pt>
                <c:pt idx="16">
                  <c:v>26</c:v>
                </c:pt>
                <c:pt idx="17">
                  <c:v>15.5</c:v>
                </c:pt>
                <c:pt idx="18">
                  <c:v>11.5</c:v>
                </c:pt>
                <c:pt idx="19">
                  <c:v>4.5</c:v>
                </c:pt>
                <c:pt idx="20">
                  <c:v>2.5</c:v>
                </c:pt>
                <c:pt idx="21">
                  <c:v>12.5</c:v>
                </c:pt>
                <c:pt idx="22">
                  <c:v>16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897760"/>
        <c:axId val="434895016"/>
      </c:lineChart>
      <c:catAx>
        <c:axId val="4348977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4895016"/>
        <c:crosses val="autoZero"/>
        <c:auto val="1"/>
        <c:lblAlgn val="ctr"/>
        <c:lblOffset val="100"/>
        <c:noMultiLvlLbl val="0"/>
      </c:catAx>
      <c:valAx>
        <c:axId val="4348950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489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8428229804607767E-2"/>
          <c:y val="9.165207495916157E-2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Kyenjojo-Hoima'!$C$9:$N$9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Kyenjojo-Hoima'!$C$107:$N$107</c:f>
              <c:numCache>
                <c:formatCode>0.0%</c:formatCode>
                <c:ptCount val="12"/>
                <c:pt idx="0">
                  <c:v>0.13972815965755894</c:v>
                </c:pt>
                <c:pt idx="1">
                  <c:v>1.7233232342885728E-2</c:v>
                </c:pt>
                <c:pt idx="2">
                  <c:v>2.8518219973872182E-2</c:v>
                </c:pt>
                <c:pt idx="3">
                  <c:v>1.9957194874503158E-2</c:v>
                </c:pt>
                <c:pt idx="4">
                  <c:v>1.7789143063623978E-3</c:v>
                </c:pt>
                <c:pt idx="5">
                  <c:v>7.5047947299663662E-4</c:v>
                </c:pt>
                <c:pt idx="6">
                  <c:v>2.4015343135892368E-2</c:v>
                </c:pt>
                <c:pt idx="7">
                  <c:v>1.3341857297717984E-2</c:v>
                </c:pt>
                <c:pt idx="8">
                  <c:v>4.6696500542012945E-3</c:v>
                </c:pt>
                <c:pt idx="9">
                  <c:v>2.9741223559496344E-3</c:v>
                </c:pt>
                <c:pt idx="10">
                  <c:v>0.74686605331183775</c:v>
                </c:pt>
                <c:pt idx="11">
                  <c:v>1.667732162214748E-4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Kyenjojo-Hoima'!$C$9:$N$9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Kyenjojo-Hoima'!$C$108:$N$108</c:f>
              <c:numCache>
                <c:formatCode>0.00%</c:formatCode>
                <c:ptCount val="12"/>
                <c:pt idx="0">
                  <c:v>0.5519929724387832</c:v>
                </c:pt>
                <c:pt idx="1">
                  <c:v>6.8079499286263306E-2</c:v>
                </c:pt>
                <c:pt idx="2">
                  <c:v>0.11266059075436474</c:v>
                </c:pt>
                <c:pt idx="3">
                  <c:v>7.8840452399253344E-2</c:v>
                </c:pt>
                <c:pt idx="4">
                  <c:v>7.0275612166465357E-3</c:v>
                </c:pt>
                <c:pt idx="5">
                  <c:v>2.9647523882727574E-3</c:v>
                </c:pt>
                <c:pt idx="6">
                  <c:v>9.4872076424728224E-2</c:v>
                </c:pt>
                <c:pt idx="7">
                  <c:v>5.2706709124849017E-2</c:v>
                </c:pt>
                <c:pt idx="8">
                  <c:v>1.8447348193697154E-2</c:v>
                </c:pt>
                <c:pt idx="9">
                  <c:v>1.1749203909080927E-2</c:v>
                </c:pt>
                <c:pt idx="11">
                  <c:v>6.5883386406061272E-4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Hoima-Kyenjojo'!$AE$9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Hoima-Kyenjojo'!$R$10:$R$33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Hoima-Kyenjojo'!$AE$10:$AE$33</c:f>
              <c:numCache>
                <c:formatCode>0</c:formatCode>
                <c:ptCount val="24"/>
                <c:pt idx="0">
                  <c:v>25.571428571428573</c:v>
                </c:pt>
                <c:pt idx="1">
                  <c:v>39.285714285714285</c:v>
                </c:pt>
                <c:pt idx="2">
                  <c:v>36.571428571428569</c:v>
                </c:pt>
                <c:pt idx="3">
                  <c:v>42.142857142857146</c:v>
                </c:pt>
                <c:pt idx="4">
                  <c:v>39.571428571428569</c:v>
                </c:pt>
                <c:pt idx="5">
                  <c:v>36</c:v>
                </c:pt>
                <c:pt idx="6">
                  <c:v>39.285714285714285</c:v>
                </c:pt>
                <c:pt idx="7">
                  <c:v>43</c:v>
                </c:pt>
                <c:pt idx="8">
                  <c:v>38.285714285714285</c:v>
                </c:pt>
                <c:pt idx="9">
                  <c:v>41.857142857142854</c:v>
                </c:pt>
                <c:pt idx="10">
                  <c:v>38.285714285714278</c:v>
                </c:pt>
                <c:pt idx="11">
                  <c:v>44.142857142857139</c:v>
                </c:pt>
                <c:pt idx="12">
                  <c:v>42.5</c:v>
                </c:pt>
                <c:pt idx="13">
                  <c:v>23.5</c:v>
                </c:pt>
                <c:pt idx="14">
                  <c:v>15.5</c:v>
                </c:pt>
                <c:pt idx="15">
                  <c:v>11.5</c:v>
                </c:pt>
                <c:pt idx="16">
                  <c:v>6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0.5</c:v>
                </c:pt>
                <c:pt idx="21">
                  <c:v>2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Hoima-Kyenjojo'!$AF$9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Hoima-Kyenjojo'!$R$10:$R$33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Hoima-Kyenjojo'!$AF$10:$AF$33</c:f>
              <c:numCache>
                <c:formatCode>0</c:formatCode>
                <c:ptCount val="24"/>
                <c:pt idx="0">
                  <c:v>122.85714285714286</c:v>
                </c:pt>
                <c:pt idx="1">
                  <c:v>158.42857142857142</c:v>
                </c:pt>
                <c:pt idx="2">
                  <c:v>162.14285714285714</c:v>
                </c:pt>
                <c:pt idx="3">
                  <c:v>169.42857142857144</c:v>
                </c:pt>
                <c:pt idx="4">
                  <c:v>178</c:v>
                </c:pt>
                <c:pt idx="5">
                  <c:v>178.57142857142858</c:v>
                </c:pt>
                <c:pt idx="6">
                  <c:v>170.57142857142858</c:v>
                </c:pt>
                <c:pt idx="7">
                  <c:v>168.71428571428572</c:v>
                </c:pt>
                <c:pt idx="8">
                  <c:v>169.14285714285711</c:v>
                </c:pt>
                <c:pt idx="9">
                  <c:v>182.85714285714286</c:v>
                </c:pt>
                <c:pt idx="10">
                  <c:v>181</c:v>
                </c:pt>
                <c:pt idx="11">
                  <c:v>186.71428571428572</c:v>
                </c:pt>
                <c:pt idx="12">
                  <c:v>169.5</c:v>
                </c:pt>
                <c:pt idx="13">
                  <c:v>97</c:v>
                </c:pt>
                <c:pt idx="14">
                  <c:v>66</c:v>
                </c:pt>
                <c:pt idx="15">
                  <c:v>42</c:v>
                </c:pt>
                <c:pt idx="16">
                  <c:v>24</c:v>
                </c:pt>
                <c:pt idx="17">
                  <c:v>11.5</c:v>
                </c:pt>
                <c:pt idx="18">
                  <c:v>6.5</c:v>
                </c:pt>
                <c:pt idx="19">
                  <c:v>2.5</c:v>
                </c:pt>
                <c:pt idx="20">
                  <c:v>1.5</c:v>
                </c:pt>
                <c:pt idx="21">
                  <c:v>2.5</c:v>
                </c:pt>
                <c:pt idx="22">
                  <c:v>10</c:v>
                </c:pt>
                <c:pt idx="23">
                  <c:v>38.5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93144"/>
        <c:axId val="205196672"/>
      </c:lineChart>
      <c:catAx>
        <c:axId val="2051931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96672"/>
        <c:crosses val="autoZero"/>
        <c:auto val="1"/>
        <c:lblAlgn val="ctr"/>
        <c:lblOffset val="100"/>
        <c:noMultiLvlLbl val="0"/>
      </c:catAx>
      <c:valAx>
        <c:axId val="205196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9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Hoima-Kyenjojo'!$C$9:$N$9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Hoima-Kyenjojo'!$C$107:$N$107</c:f>
              <c:numCache>
                <c:formatCode>0.0%</c:formatCode>
                <c:ptCount val="12"/>
                <c:pt idx="0">
                  <c:v>0.13074659275979311</c:v>
                </c:pt>
                <c:pt idx="1">
                  <c:v>1.6286179605131582E-2</c:v>
                </c:pt>
                <c:pt idx="2">
                  <c:v>2.1972056344466983E-2</c:v>
                </c:pt>
                <c:pt idx="3">
                  <c:v>1.9114831852338636E-2</c:v>
                </c:pt>
                <c:pt idx="4">
                  <c:v>6.2858938826823607E-4</c:v>
                </c:pt>
                <c:pt idx="5">
                  <c:v>8.5716734763850385E-4</c:v>
                </c:pt>
                <c:pt idx="6">
                  <c:v>1.8029086545329868E-2</c:v>
                </c:pt>
                <c:pt idx="7">
                  <c:v>1.5829023686391042E-2</c:v>
                </c:pt>
                <c:pt idx="8">
                  <c:v>8.4859567416211892E-3</c:v>
                </c:pt>
                <c:pt idx="9">
                  <c:v>7.7145061287465339E-4</c:v>
                </c:pt>
                <c:pt idx="10">
                  <c:v>0.76699334266693331</c:v>
                </c:pt>
                <c:pt idx="11">
                  <c:v>2.857224492128346E-4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Hoima-Kyenjojo'!$C$9:$N$9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Hoima-Kyenjojo'!$C$108:$N$108</c:f>
              <c:numCache>
                <c:formatCode>0.00%</c:formatCode>
                <c:ptCount val="12"/>
                <c:pt idx="0">
                  <c:v>0.56112814224402208</c:v>
                </c:pt>
                <c:pt idx="1">
                  <c:v>6.9895769466584948E-2</c:v>
                </c:pt>
                <c:pt idx="2">
                  <c:v>9.4297976701410186E-2</c:v>
                </c:pt>
                <c:pt idx="3">
                  <c:v>8.2035561005518079E-2</c:v>
                </c:pt>
                <c:pt idx="4">
                  <c:v>2.6977314530962594E-3</c:v>
                </c:pt>
                <c:pt idx="5">
                  <c:v>3.678724708767627E-3</c:v>
                </c:pt>
                <c:pt idx="6">
                  <c:v>7.7375843041079098E-2</c:v>
                </c:pt>
                <c:pt idx="7">
                  <c:v>6.7933782955242189E-2</c:v>
                </c:pt>
                <c:pt idx="8">
                  <c:v>3.6419374616799512E-2</c:v>
                </c:pt>
                <c:pt idx="9">
                  <c:v>3.3108522378908637E-3</c:v>
                </c:pt>
                <c:pt idx="11">
                  <c:v>1.226241569589209E-3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Kyenjojo-Hoima-2Dir'!$C$9:$N$9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Kyenjojo-Hoima-2Dir'!$C$107:$N$107</c:f>
              <c:numCache>
                <c:formatCode>0.0%</c:formatCode>
                <c:ptCount val="12"/>
                <c:pt idx="0">
                  <c:v>0.13529925608656446</c:v>
                </c:pt>
                <c:pt idx="1">
                  <c:v>1.6766230838593327E-2</c:v>
                </c:pt>
                <c:pt idx="2">
                  <c:v>2.5290238954012619E-2</c:v>
                </c:pt>
                <c:pt idx="3">
                  <c:v>1.954181695220919E-2</c:v>
                </c:pt>
                <c:pt idx="4">
                  <c:v>1.2116771866546433E-3</c:v>
                </c:pt>
                <c:pt idx="5">
                  <c:v>8.0308836789900779E-4</c:v>
                </c:pt>
                <c:pt idx="6">
                  <c:v>2.1063458070333628E-2</c:v>
                </c:pt>
                <c:pt idx="7">
                  <c:v>1.4568304779080252E-2</c:v>
                </c:pt>
                <c:pt idx="8">
                  <c:v>6.5515103697024327E-3</c:v>
                </c:pt>
                <c:pt idx="9">
                  <c:v>1.8879621280432819E-3</c:v>
                </c:pt>
                <c:pt idx="10">
                  <c:v>0.75679102795311048</c:v>
                </c:pt>
                <c:pt idx="11">
                  <c:v>2.2542831379621268E-4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223917148720761E-2"/>
          <c:y val="0.15275696940778197"/>
          <c:w val="0.82101228366016787"/>
          <c:h val="0.758054101225470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Kyenjojo-Hoima-2Dir'!$C$9:$N$9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Kyenjojo-Hoima-2Dir'!$C$108:$N$108</c:f>
              <c:numCache>
                <c:formatCode>0.00%</c:formatCode>
                <c:ptCount val="12"/>
                <c:pt idx="0">
                  <c:v>0.55630865484880099</c:v>
                </c:pt>
                <c:pt idx="1">
                  <c:v>6.8937550689375515E-2</c:v>
                </c:pt>
                <c:pt idx="2">
                  <c:v>0.10398563318271348</c:v>
                </c:pt>
                <c:pt idx="3">
                  <c:v>8.0349901517784733E-2</c:v>
                </c:pt>
                <c:pt idx="4">
                  <c:v>4.9820414783918431E-3</c:v>
                </c:pt>
                <c:pt idx="5">
                  <c:v>3.3020507473062216E-3</c:v>
                </c:pt>
                <c:pt idx="6">
                  <c:v>8.6606418723207054E-2</c:v>
                </c:pt>
                <c:pt idx="7">
                  <c:v>5.9900359170432176E-2</c:v>
                </c:pt>
                <c:pt idx="8">
                  <c:v>2.6937782412234969E-2</c:v>
                </c:pt>
                <c:pt idx="9">
                  <c:v>7.7627157919128737E-3</c:v>
                </c:pt>
                <c:pt idx="11">
                  <c:v>9.2689143784034276E-4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Kyenjojo-Hoima-2Dir'!$AE$9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Kyenjojo-Hoima-2Dir'!$R$10:$R$33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Kyenjojo-Hoima-2Dir'!$AE$10:$AE$33</c:f>
              <c:numCache>
                <c:formatCode>0</c:formatCode>
                <c:ptCount val="24"/>
                <c:pt idx="0">
                  <c:v>46.857142857142861</c:v>
                </c:pt>
                <c:pt idx="1">
                  <c:v>73</c:v>
                </c:pt>
                <c:pt idx="2">
                  <c:v>69.571428571428569</c:v>
                </c:pt>
                <c:pt idx="3">
                  <c:v>90</c:v>
                </c:pt>
                <c:pt idx="4">
                  <c:v>78.142857142857139</c:v>
                </c:pt>
                <c:pt idx="5">
                  <c:v>77.428571428571431</c:v>
                </c:pt>
                <c:pt idx="6">
                  <c:v>79.714285714285708</c:v>
                </c:pt>
                <c:pt idx="7">
                  <c:v>74.714285714285694</c:v>
                </c:pt>
                <c:pt idx="8">
                  <c:v>76.285714285714278</c:v>
                </c:pt>
                <c:pt idx="9">
                  <c:v>88.571428571428569</c:v>
                </c:pt>
                <c:pt idx="10">
                  <c:v>89.857142857142861</c:v>
                </c:pt>
                <c:pt idx="11">
                  <c:v>80.857142857142847</c:v>
                </c:pt>
                <c:pt idx="12">
                  <c:v>101</c:v>
                </c:pt>
                <c:pt idx="13">
                  <c:v>65</c:v>
                </c:pt>
                <c:pt idx="14">
                  <c:v>43</c:v>
                </c:pt>
                <c:pt idx="15">
                  <c:v>28.5</c:v>
                </c:pt>
                <c:pt idx="16">
                  <c:v>16</c:v>
                </c:pt>
                <c:pt idx="17">
                  <c:v>5.5</c:v>
                </c:pt>
                <c:pt idx="18">
                  <c:v>6</c:v>
                </c:pt>
                <c:pt idx="19">
                  <c:v>2.5</c:v>
                </c:pt>
                <c:pt idx="20">
                  <c:v>1.5</c:v>
                </c:pt>
                <c:pt idx="21">
                  <c:v>7.5</c:v>
                </c:pt>
                <c:pt idx="22">
                  <c:v>14</c:v>
                </c:pt>
                <c:pt idx="23">
                  <c:v>17.5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D3-44D5-94D5-4D68FCDF8E6E}"/>
            </c:ext>
          </c:extLst>
        </c:ser>
        <c:ser>
          <c:idx val="1"/>
          <c:order val="1"/>
          <c:tx>
            <c:strRef>
              <c:f>'Avg Week Kyenjojo-Hoima-2Dir'!$AF$9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Kyenjojo-Hoima-2Dir'!$R$10:$R$33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Kyenjojo-Hoima-2Dir'!$AF$10:$AF$33</c:f>
              <c:numCache>
                <c:formatCode>0</c:formatCode>
                <c:ptCount val="24"/>
                <c:pt idx="0">
                  <c:v>206.57142857142856</c:v>
                </c:pt>
                <c:pt idx="1">
                  <c:v>295.28571428571428</c:v>
                </c:pt>
                <c:pt idx="2">
                  <c:v>291.14285714285711</c:v>
                </c:pt>
                <c:pt idx="3">
                  <c:v>360.71428571428567</c:v>
                </c:pt>
                <c:pt idx="4">
                  <c:v>359.28571428571428</c:v>
                </c:pt>
                <c:pt idx="5">
                  <c:v>363.14285714285711</c:v>
                </c:pt>
                <c:pt idx="6">
                  <c:v>356</c:v>
                </c:pt>
                <c:pt idx="7">
                  <c:v>339.28571428571422</c:v>
                </c:pt>
                <c:pt idx="8">
                  <c:v>339.28571428571428</c:v>
                </c:pt>
                <c:pt idx="9">
                  <c:v>373.42857142857144</c:v>
                </c:pt>
                <c:pt idx="10">
                  <c:v>379.71428571428567</c:v>
                </c:pt>
                <c:pt idx="11">
                  <c:v>379.85714285714289</c:v>
                </c:pt>
                <c:pt idx="12">
                  <c:v>360</c:v>
                </c:pt>
                <c:pt idx="13">
                  <c:v>209</c:v>
                </c:pt>
                <c:pt idx="14">
                  <c:v>162</c:v>
                </c:pt>
                <c:pt idx="15">
                  <c:v>88.5</c:v>
                </c:pt>
                <c:pt idx="16">
                  <c:v>50</c:v>
                </c:pt>
                <c:pt idx="17">
                  <c:v>27</c:v>
                </c:pt>
                <c:pt idx="18">
                  <c:v>18</c:v>
                </c:pt>
                <c:pt idx="19">
                  <c:v>7</c:v>
                </c:pt>
                <c:pt idx="20">
                  <c:v>4</c:v>
                </c:pt>
                <c:pt idx="21">
                  <c:v>15</c:v>
                </c:pt>
                <c:pt idx="22">
                  <c:v>26</c:v>
                </c:pt>
                <c:pt idx="23">
                  <c:v>59.5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D3-44D5-94D5-4D68FCDF8E6E}"/>
            </c:ext>
          </c:extLst>
        </c:ser>
        <c:ser>
          <c:idx val="5"/>
          <c:order val="2"/>
          <c:tx>
            <c:strRef>
              <c:f>'Avg Week Kyenjojo-Hoima-2Dir'!$AC$9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Kyenjojo-Hoima-2Dir'!$R$10:$R$33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Kyenjojo-Hoima-2Dir'!$AC$10:$AC$33</c:f>
              <c:numCache>
                <c:formatCode>0</c:formatCode>
                <c:ptCount val="24"/>
                <c:pt idx="0">
                  <c:v>159.71428571428569</c:v>
                </c:pt>
                <c:pt idx="1">
                  <c:v>222.28571428571428</c:v>
                </c:pt>
                <c:pt idx="2">
                  <c:v>221.57142857142856</c:v>
                </c:pt>
                <c:pt idx="3">
                  <c:v>270.71428571428572</c:v>
                </c:pt>
                <c:pt idx="4">
                  <c:v>281.14285714285711</c:v>
                </c:pt>
                <c:pt idx="5">
                  <c:v>285.71428571428572</c:v>
                </c:pt>
                <c:pt idx="6">
                  <c:v>276.28571428571428</c:v>
                </c:pt>
                <c:pt idx="7">
                  <c:v>264.57142857142856</c:v>
                </c:pt>
                <c:pt idx="8">
                  <c:v>263</c:v>
                </c:pt>
                <c:pt idx="9">
                  <c:v>284.85714285714283</c:v>
                </c:pt>
                <c:pt idx="10">
                  <c:v>289.85714285714289</c:v>
                </c:pt>
                <c:pt idx="11">
                  <c:v>299</c:v>
                </c:pt>
                <c:pt idx="12">
                  <c:v>259</c:v>
                </c:pt>
                <c:pt idx="13">
                  <c:v>144</c:v>
                </c:pt>
                <c:pt idx="14">
                  <c:v>119</c:v>
                </c:pt>
                <c:pt idx="15">
                  <c:v>60</c:v>
                </c:pt>
                <c:pt idx="16">
                  <c:v>34</c:v>
                </c:pt>
                <c:pt idx="17">
                  <c:v>21.5</c:v>
                </c:pt>
                <c:pt idx="18">
                  <c:v>12</c:v>
                </c:pt>
                <c:pt idx="19">
                  <c:v>4.5</c:v>
                </c:pt>
                <c:pt idx="20">
                  <c:v>2.5</c:v>
                </c:pt>
                <c:pt idx="21">
                  <c:v>7.5</c:v>
                </c:pt>
                <c:pt idx="22">
                  <c:v>12</c:v>
                </c:pt>
                <c:pt idx="23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D3-44D5-94D5-4D68FCDF8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Kyenjojo-Hoima-2Dir'!$S$9:$AF$9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Kyenjojo-Hoima-2Dir'!$S$41:$AF$41</c:f>
              <c:numCache>
                <c:formatCode>_(* #,##0_);_(* \(#,##0\);_(* "-"_);_(@_)</c:formatCode>
                <c:ptCount val="14"/>
                <c:pt idx="0">
                  <c:v>685.92857142857144</c:v>
                </c:pt>
                <c:pt idx="1">
                  <c:v>85</c:v>
                </c:pt>
                <c:pt idx="2">
                  <c:v>128.21428571428572</c:v>
                </c:pt>
                <c:pt idx="3">
                  <c:v>99.071428571428555</c:v>
                </c:pt>
                <c:pt idx="4">
                  <c:v>6.1428571428571423</c:v>
                </c:pt>
                <c:pt idx="5">
                  <c:v>4.0714285714285712</c:v>
                </c:pt>
                <c:pt idx="6">
                  <c:v>106.78571428571428</c:v>
                </c:pt>
                <c:pt idx="7">
                  <c:v>73.857142857142861</c:v>
                </c:pt>
                <c:pt idx="8">
                  <c:v>33.214285714285715</c:v>
                </c:pt>
                <c:pt idx="9">
                  <c:v>9.5714285714285712</c:v>
                </c:pt>
                <c:pt idx="10">
                  <c:v>3836.7142857142853</c:v>
                </c:pt>
                <c:pt idx="11">
                  <c:v>1.1428571428571428</c:v>
                </c:pt>
                <c:pt idx="12">
                  <c:v>1233</c:v>
                </c:pt>
                <c:pt idx="13">
                  <c:v>5069.7142857142853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3-4396-8128-83E94AD098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Kyenjojo-Hoima-2Dir'!$S$9:$AF$9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Kyenjojo-Hoima-2Dir'!$S$42:$AF$42</c:f>
              <c:numCache>
                <c:formatCode>0.000</c:formatCode>
                <c:ptCount val="14"/>
                <c:pt idx="0">
                  <c:v>1.2907258064516129</c:v>
                </c:pt>
                <c:pt idx="1">
                  <c:v>1.4912280701754388</c:v>
                </c:pt>
                <c:pt idx="2">
                  <c:v>1.2988422575976846</c:v>
                </c:pt>
                <c:pt idx="3">
                  <c:v>1.403846153846154</c:v>
                </c:pt>
                <c:pt idx="4">
                  <c:v>1.9545454545454548</c:v>
                </c:pt>
                <c:pt idx="5">
                  <c:v>1.5833333333333335</c:v>
                </c:pt>
                <c:pt idx="6">
                  <c:v>1.3817005545286507</c:v>
                </c:pt>
                <c:pt idx="7">
                  <c:v>1.2765432098765432</c:v>
                </c:pt>
                <c:pt idx="8">
                  <c:v>1.875</c:v>
                </c:pt>
                <c:pt idx="9">
                  <c:v>1.2641509433962264</c:v>
                </c:pt>
                <c:pt idx="10">
                  <c:v>1.2302230772754341</c:v>
                </c:pt>
                <c:pt idx="11">
                  <c:v>1</c:v>
                </c:pt>
                <c:pt idx="12">
                  <c:v>1.3329729729729731</c:v>
                </c:pt>
                <c:pt idx="13">
                  <c:v>1.2537271249911679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D-4881-B07C-AE8DB8927C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1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7.xml"/><Relationship Id="rId1" Type="http://schemas.openxmlformats.org/officeDocument/2006/relationships/chart" Target="../charts/chart1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1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21.xml"/><Relationship Id="rId1" Type="http://schemas.openxmlformats.org/officeDocument/2006/relationships/chart" Target="../charts/chart18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25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31.xml"/><Relationship Id="rId1" Type="http://schemas.openxmlformats.org/officeDocument/2006/relationships/chart" Target="../charts/chart2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5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9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42</xdr:row>
      <xdr:rowOff>276223</xdr:rowOff>
    </xdr:from>
    <xdr:to>
      <xdr:col>27</xdr:col>
      <xdr:colOff>682625</xdr:colOff>
      <xdr:row>57</xdr:row>
      <xdr:rowOff>269874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15876</xdr:colOff>
      <xdr:row>58</xdr:row>
      <xdr:rowOff>279400</xdr:rowOff>
    </xdr:from>
    <xdr:to>
      <xdr:col>31</xdr:col>
      <xdr:colOff>15876</xdr:colOff>
      <xdr:row>72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59</xdr:row>
      <xdr:rowOff>15876</xdr:rowOff>
    </xdr:from>
    <xdr:to>
      <xdr:col>24</xdr:col>
      <xdr:colOff>0</xdr:colOff>
      <xdr:row>73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6349</xdr:rowOff>
    </xdr:from>
    <xdr:to>
      <xdr:col>27</xdr:col>
      <xdr:colOff>666750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23</xdr:col>
      <xdr:colOff>698501</xdr:colOff>
      <xdr:row>58</xdr:row>
      <xdr:rowOff>279400</xdr:rowOff>
    </xdr:from>
    <xdr:to>
      <xdr:col>29</xdr:col>
      <xdr:colOff>698501</xdr:colOff>
      <xdr:row>72</xdr:row>
      <xdr:rowOff>285749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59</xdr:row>
      <xdr:rowOff>15875</xdr:rowOff>
    </xdr:from>
    <xdr:to>
      <xdr:col>23</xdr:col>
      <xdr:colOff>698500</xdr:colOff>
      <xdr:row>72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74</xdr:row>
      <xdr:rowOff>279400</xdr:rowOff>
    </xdr:from>
    <xdr:to>
      <xdr:col>23</xdr:col>
      <xdr:colOff>650874</xdr:colOff>
      <xdr:row>90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59</xdr:row>
      <xdr:rowOff>15874</xdr:rowOff>
    </xdr:from>
    <xdr:to>
      <xdr:col>23</xdr:col>
      <xdr:colOff>650874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22224</xdr:colOff>
      <xdr:row>43</xdr:row>
      <xdr:rowOff>0</xdr:rowOff>
    </xdr:from>
    <xdr:to>
      <xdr:col>31</xdr:col>
      <xdr:colOff>0</xdr:colOff>
      <xdr:row>57</xdr:row>
      <xdr:rowOff>285749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666750</xdr:colOff>
      <xdr:row>59</xdr:row>
      <xdr:rowOff>15875</xdr:rowOff>
    </xdr:from>
    <xdr:to>
      <xdr:col>30</xdr:col>
      <xdr:colOff>650875</xdr:colOff>
      <xdr:row>75</xdr:row>
      <xdr:rowOff>15875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650875</xdr:colOff>
      <xdr:row>75</xdr:row>
      <xdr:rowOff>31750</xdr:rowOff>
    </xdr:from>
    <xdr:to>
      <xdr:col>30</xdr:col>
      <xdr:colOff>635000</xdr:colOff>
      <xdr:row>91</xdr:row>
      <xdr:rowOff>15875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178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54" t="s">
        <v>166</v>
      </c>
      <c r="H5" s="55"/>
      <c r="I5" s="14"/>
      <c r="J5" s="2" t="s">
        <v>5</v>
      </c>
      <c r="K5" s="54" t="s">
        <v>168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166</v>
      </c>
      <c r="E6" s="55"/>
      <c r="F6" s="2" t="s">
        <v>2</v>
      </c>
      <c r="G6" s="54" t="s">
        <v>167</v>
      </c>
      <c r="H6" s="55"/>
      <c r="J6" s="2" t="s">
        <v>21</v>
      </c>
      <c r="K6" s="54" t="s">
        <v>170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1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2</v>
      </c>
      <c r="K10" s="50">
        <v>1</v>
      </c>
      <c r="L10" s="50">
        <v>0</v>
      </c>
      <c r="M10" s="50">
        <v>8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13</v>
      </c>
      <c r="R10" s="1" t="s">
        <v>6</v>
      </c>
      <c r="S10" s="17">
        <f t="shared" ref="S10:AF10" si="2">SUM(C10:C13)</f>
        <v>11</v>
      </c>
      <c r="T10" s="17">
        <f t="shared" si="2"/>
        <v>3</v>
      </c>
      <c r="U10" s="17">
        <f t="shared" si="2"/>
        <v>2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2</v>
      </c>
      <c r="AA10" s="17">
        <f t="shared" si="2"/>
        <v>1</v>
      </c>
      <c r="AB10" s="17">
        <f t="shared" si="2"/>
        <v>0</v>
      </c>
      <c r="AC10" s="17">
        <f t="shared" si="2"/>
        <v>80</v>
      </c>
      <c r="AD10" s="17">
        <f t="shared" si="2"/>
        <v>0</v>
      </c>
      <c r="AE10" s="31">
        <f t="shared" si="2"/>
        <v>23</v>
      </c>
      <c r="AF10" s="31">
        <f t="shared" si="2"/>
        <v>103</v>
      </c>
    </row>
    <row r="11" spans="2:32" s="6" customFormat="1" ht="23.1" customHeight="1" x14ac:dyDescent="0.25">
      <c r="B11" s="23" t="s">
        <v>38</v>
      </c>
      <c r="C11" s="50">
        <v>3</v>
      </c>
      <c r="D11" s="50">
        <v>1</v>
      </c>
      <c r="E11" s="50">
        <v>0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32</v>
      </c>
      <c r="N11" s="50">
        <v>0</v>
      </c>
      <c r="O11" s="15">
        <f t="shared" si="0"/>
        <v>6</v>
      </c>
      <c r="P11" s="15">
        <f t="shared" si="1"/>
        <v>38</v>
      </c>
      <c r="R11" s="1" t="s">
        <v>7</v>
      </c>
      <c r="S11" s="17">
        <f t="shared" ref="S11:AF11" si="3">SUM(C14:C17)</f>
        <v>28</v>
      </c>
      <c r="T11" s="17">
        <f t="shared" si="3"/>
        <v>0</v>
      </c>
      <c r="U11" s="17">
        <f t="shared" si="3"/>
        <v>4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102</v>
      </c>
      <c r="AD11" s="17">
        <f t="shared" si="3"/>
        <v>0</v>
      </c>
      <c r="AE11" s="31">
        <f t="shared" si="3"/>
        <v>41</v>
      </c>
      <c r="AF11" s="31">
        <f t="shared" si="3"/>
        <v>143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16</v>
      </c>
      <c r="N12" s="50">
        <v>0</v>
      </c>
      <c r="O12" s="15">
        <f t="shared" si="0"/>
        <v>1</v>
      </c>
      <c r="P12" s="15">
        <f t="shared" si="1"/>
        <v>17</v>
      </c>
      <c r="R12" s="1" t="s">
        <v>8</v>
      </c>
      <c r="S12" s="17">
        <f t="shared" ref="S12:AF12" si="4">SUM(C18:C21)</f>
        <v>16</v>
      </c>
      <c r="T12" s="17">
        <f t="shared" si="4"/>
        <v>2</v>
      </c>
      <c r="U12" s="17">
        <f t="shared" si="4"/>
        <v>9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112</v>
      </c>
      <c r="AD12" s="17">
        <f t="shared" si="4"/>
        <v>0</v>
      </c>
      <c r="AE12" s="31">
        <f t="shared" si="4"/>
        <v>38</v>
      </c>
      <c r="AF12" s="31">
        <f t="shared" si="4"/>
        <v>150</v>
      </c>
    </row>
    <row r="13" spans="2:32" ht="23.1" customHeight="1" x14ac:dyDescent="0.25">
      <c r="B13" s="23" t="s">
        <v>40</v>
      </c>
      <c r="C13" s="50">
        <v>7</v>
      </c>
      <c r="D13" s="50">
        <v>1</v>
      </c>
      <c r="E13" s="50">
        <v>1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24</v>
      </c>
      <c r="N13" s="50">
        <v>0</v>
      </c>
      <c r="O13" s="15">
        <f t="shared" si="0"/>
        <v>11</v>
      </c>
      <c r="P13" s="15">
        <f t="shared" si="1"/>
        <v>35</v>
      </c>
      <c r="R13" s="1" t="s">
        <v>9</v>
      </c>
      <c r="S13" s="17">
        <f t="shared" ref="S13:AF13" si="5">SUM(C22:C25)</f>
        <v>56</v>
      </c>
      <c r="T13" s="17">
        <f t="shared" si="5"/>
        <v>2</v>
      </c>
      <c r="U13" s="17">
        <f t="shared" si="5"/>
        <v>13</v>
      </c>
      <c r="V13" s="17">
        <f t="shared" si="5"/>
        <v>8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2</v>
      </c>
      <c r="AA13" s="17">
        <f t="shared" si="5"/>
        <v>1</v>
      </c>
      <c r="AB13" s="17">
        <f t="shared" si="5"/>
        <v>1</v>
      </c>
      <c r="AC13" s="17">
        <f t="shared" si="5"/>
        <v>161</v>
      </c>
      <c r="AD13" s="17">
        <f t="shared" si="5"/>
        <v>1</v>
      </c>
      <c r="AE13" s="31">
        <f t="shared" si="5"/>
        <v>86</v>
      </c>
      <c r="AF13" s="31">
        <f t="shared" si="5"/>
        <v>247</v>
      </c>
    </row>
    <row r="14" spans="2:32" ht="23.1" customHeight="1" x14ac:dyDescent="0.25">
      <c r="B14" s="23" t="s">
        <v>41</v>
      </c>
      <c r="C14" s="50">
        <v>5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2</v>
      </c>
      <c r="J14" s="50">
        <v>1</v>
      </c>
      <c r="K14" s="50">
        <v>0</v>
      </c>
      <c r="L14" s="50">
        <v>0</v>
      </c>
      <c r="M14" s="50">
        <v>25</v>
      </c>
      <c r="N14" s="50">
        <v>0</v>
      </c>
      <c r="O14" s="15">
        <f t="shared" si="0"/>
        <v>9</v>
      </c>
      <c r="P14" s="15">
        <f t="shared" si="1"/>
        <v>34</v>
      </c>
      <c r="R14" s="1" t="s">
        <v>10</v>
      </c>
      <c r="S14" s="17">
        <f t="shared" ref="S14:AF14" si="6">SUM(C26:C29)</f>
        <v>18</v>
      </c>
      <c r="T14" s="17">
        <f t="shared" si="6"/>
        <v>1</v>
      </c>
      <c r="U14" s="17">
        <f t="shared" si="6"/>
        <v>4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1</v>
      </c>
      <c r="AB14" s="17">
        <f t="shared" si="6"/>
        <v>1</v>
      </c>
      <c r="AC14" s="17">
        <f t="shared" si="6"/>
        <v>133</v>
      </c>
      <c r="AD14" s="17">
        <f t="shared" si="6"/>
        <v>0</v>
      </c>
      <c r="AE14" s="31">
        <f t="shared" si="6"/>
        <v>27</v>
      </c>
      <c r="AF14" s="31">
        <f t="shared" si="6"/>
        <v>160</v>
      </c>
    </row>
    <row r="15" spans="2:32" ht="23.1" customHeight="1" x14ac:dyDescent="0.25">
      <c r="B15" s="23" t="s">
        <v>42</v>
      </c>
      <c r="C15" s="50">
        <v>8</v>
      </c>
      <c r="D15" s="50">
        <v>0</v>
      </c>
      <c r="E15" s="50">
        <v>3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27</v>
      </c>
      <c r="N15" s="50">
        <v>0</v>
      </c>
      <c r="O15" s="15">
        <f t="shared" si="0"/>
        <v>11</v>
      </c>
      <c r="P15" s="15">
        <f t="shared" si="1"/>
        <v>38</v>
      </c>
      <c r="R15" s="1" t="s">
        <v>11</v>
      </c>
      <c r="S15" s="17">
        <f t="shared" ref="S15:AF15" si="7">SUM(C30:C33)</f>
        <v>24</v>
      </c>
      <c r="T15" s="17">
        <f t="shared" si="7"/>
        <v>4</v>
      </c>
      <c r="U15" s="17">
        <f t="shared" si="7"/>
        <v>4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161</v>
      </c>
      <c r="AD15" s="17">
        <f t="shared" si="7"/>
        <v>0</v>
      </c>
      <c r="AE15" s="31">
        <f t="shared" si="7"/>
        <v>42</v>
      </c>
      <c r="AF15" s="31">
        <f t="shared" si="7"/>
        <v>203</v>
      </c>
    </row>
    <row r="16" spans="2:32" ht="23.1" customHeight="1" x14ac:dyDescent="0.25">
      <c r="B16" s="23" t="s">
        <v>43</v>
      </c>
      <c r="C16" s="50">
        <v>9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33</v>
      </c>
      <c r="N16" s="50">
        <v>0</v>
      </c>
      <c r="O16" s="15">
        <f t="shared" si="0"/>
        <v>13</v>
      </c>
      <c r="P16" s="15">
        <f t="shared" si="1"/>
        <v>46</v>
      </c>
      <c r="R16" s="1" t="s">
        <v>12</v>
      </c>
      <c r="S16" s="17">
        <f t="shared" ref="S16:AF16" si="8">SUM(C34:C37)</f>
        <v>28</v>
      </c>
      <c r="T16" s="17">
        <f t="shared" si="8"/>
        <v>3</v>
      </c>
      <c r="U16" s="17">
        <f t="shared" si="8"/>
        <v>4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2</v>
      </c>
      <c r="AA16" s="17">
        <f t="shared" si="8"/>
        <v>0</v>
      </c>
      <c r="AB16" s="17">
        <f t="shared" si="8"/>
        <v>2</v>
      </c>
      <c r="AC16" s="17">
        <f t="shared" si="8"/>
        <v>178</v>
      </c>
      <c r="AD16" s="17">
        <f t="shared" si="8"/>
        <v>0</v>
      </c>
      <c r="AE16" s="31">
        <f t="shared" si="8"/>
        <v>45</v>
      </c>
      <c r="AF16" s="31">
        <f t="shared" si="8"/>
        <v>223</v>
      </c>
    </row>
    <row r="17" spans="2:32" ht="23.1" customHeight="1" x14ac:dyDescent="0.25">
      <c r="B17" s="23" t="s">
        <v>44</v>
      </c>
      <c r="C17" s="50">
        <v>6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2</v>
      </c>
      <c r="K17" s="50">
        <v>0</v>
      </c>
      <c r="L17" s="50">
        <v>0</v>
      </c>
      <c r="M17" s="50">
        <v>17</v>
      </c>
      <c r="N17" s="50">
        <v>0</v>
      </c>
      <c r="O17" s="15">
        <f t="shared" si="0"/>
        <v>8</v>
      </c>
      <c r="P17" s="15">
        <f t="shared" si="1"/>
        <v>25</v>
      </c>
      <c r="R17" s="1" t="s">
        <v>13</v>
      </c>
      <c r="S17" s="17">
        <f t="shared" ref="S17:AF17" si="9">SUM(C38:C41)</f>
        <v>18</v>
      </c>
      <c r="T17" s="17">
        <f t="shared" si="9"/>
        <v>2</v>
      </c>
      <c r="U17" s="17">
        <f t="shared" si="9"/>
        <v>5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1</v>
      </c>
      <c r="AC17" s="17">
        <f t="shared" si="9"/>
        <v>129</v>
      </c>
      <c r="AD17" s="17">
        <f t="shared" si="9"/>
        <v>0</v>
      </c>
      <c r="AE17" s="31">
        <f t="shared" si="9"/>
        <v>27</v>
      </c>
      <c r="AF17" s="31">
        <f t="shared" si="9"/>
        <v>156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3</v>
      </c>
      <c r="F18" s="50">
        <v>0</v>
      </c>
      <c r="G18" s="50">
        <v>0</v>
      </c>
      <c r="H18" s="50">
        <v>0</v>
      </c>
      <c r="I18" s="50">
        <v>1</v>
      </c>
      <c r="J18" s="50">
        <v>2</v>
      </c>
      <c r="K18" s="50">
        <v>0</v>
      </c>
      <c r="L18" s="50">
        <v>0</v>
      </c>
      <c r="M18" s="50">
        <v>17</v>
      </c>
      <c r="N18" s="50">
        <v>0</v>
      </c>
      <c r="O18" s="15">
        <f t="shared" si="0"/>
        <v>8</v>
      </c>
      <c r="P18" s="15">
        <f t="shared" si="1"/>
        <v>25</v>
      </c>
      <c r="R18" s="1" t="s">
        <v>14</v>
      </c>
      <c r="S18" s="17">
        <f t="shared" ref="S18:AF18" si="10">SUM(C42:C45)</f>
        <v>21</v>
      </c>
      <c r="T18" s="17">
        <f t="shared" si="10"/>
        <v>0</v>
      </c>
      <c r="U18" s="17">
        <f t="shared" si="10"/>
        <v>5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174</v>
      </c>
      <c r="AD18" s="17">
        <f t="shared" si="10"/>
        <v>0</v>
      </c>
      <c r="AE18" s="31">
        <f t="shared" si="10"/>
        <v>33</v>
      </c>
      <c r="AF18" s="31">
        <f t="shared" si="10"/>
        <v>207</v>
      </c>
    </row>
    <row r="19" spans="2:32" ht="23.1" customHeight="1" x14ac:dyDescent="0.25">
      <c r="B19" s="23" t="s">
        <v>46</v>
      </c>
      <c r="C19" s="50">
        <v>5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25</v>
      </c>
      <c r="N19" s="50">
        <v>0</v>
      </c>
      <c r="O19" s="15">
        <f t="shared" si="0"/>
        <v>7</v>
      </c>
      <c r="P19" s="15">
        <f t="shared" si="1"/>
        <v>32</v>
      </c>
      <c r="R19" s="1" t="s">
        <v>15</v>
      </c>
      <c r="S19" s="17">
        <f t="shared" ref="S19:AF19" si="11">SUM(C46:C49)</f>
        <v>26</v>
      </c>
      <c r="T19" s="17">
        <f t="shared" si="11"/>
        <v>3</v>
      </c>
      <c r="U19" s="17">
        <f t="shared" si="11"/>
        <v>2</v>
      </c>
      <c r="V19" s="17">
        <f t="shared" si="11"/>
        <v>10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3</v>
      </c>
      <c r="AA19" s="17">
        <f t="shared" si="11"/>
        <v>3</v>
      </c>
      <c r="AB19" s="17">
        <f t="shared" si="11"/>
        <v>0</v>
      </c>
      <c r="AC19" s="17">
        <f t="shared" si="11"/>
        <v>156</v>
      </c>
      <c r="AD19" s="17">
        <f t="shared" si="11"/>
        <v>0</v>
      </c>
      <c r="AE19" s="31">
        <f t="shared" si="11"/>
        <v>52</v>
      </c>
      <c r="AF19" s="31">
        <f t="shared" si="11"/>
        <v>208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4</v>
      </c>
      <c r="F20" s="50">
        <v>2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42</v>
      </c>
      <c r="N20" s="50">
        <v>0</v>
      </c>
      <c r="O20" s="15">
        <f t="shared" si="0"/>
        <v>12</v>
      </c>
      <c r="P20" s="15">
        <f t="shared" si="1"/>
        <v>54</v>
      </c>
      <c r="R20" s="1" t="s">
        <v>16</v>
      </c>
      <c r="S20" s="17">
        <f t="shared" ref="S20:AF20" si="12">SUM(C50:C53)</f>
        <v>27</v>
      </c>
      <c r="T20" s="17">
        <f t="shared" si="12"/>
        <v>6</v>
      </c>
      <c r="U20" s="17">
        <f t="shared" si="12"/>
        <v>7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7</v>
      </c>
      <c r="AA20" s="17">
        <f t="shared" si="12"/>
        <v>1</v>
      </c>
      <c r="AB20" s="17">
        <f t="shared" si="12"/>
        <v>2</v>
      </c>
      <c r="AC20" s="17">
        <f t="shared" si="12"/>
        <v>133</v>
      </c>
      <c r="AD20" s="17">
        <f t="shared" si="12"/>
        <v>0</v>
      </c>
      <c r="AE20" s="31">
        <f t="shared" si="12"/>
        <v>56</v>
      </c>
      <c r="AF20" s="31">
        <f t="shared" si="12"/>
        <v>189</v>
      </c>
    </row>
    <row r="21" spans="2:32" ht="23.1" customHeight="1" x14ac:dyDescent="0.25">
      <c r="B21" s="23" t="s">
        <v>48</v>
      </c>
      <c r="C21" s="50">
        <v>5</v>
      </c>
      <c r="D21" s="50">
        <v>2</v>
      </c>
      <c r="E21" s="50">
        <v>2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28</v>
      </c>
      <c r="N21" s="50">
        <v>0</v>
      </c>
      <c r="O21" s="15">
        <f t="shared" si="0"/>
        <v>11</v>
      </c>
      <c r="P21" s="15">
        <f t="shared" si="1"/>
        <v>39</v>
      </c>
      <c r="R21" s="36" t="s">
        <v>20</v>
      </c>
      <c r="S21" s="34">
        <f t="shared" ref="S21:AF21" si="13">SUM(C54:C57)</f>
        <v>36</v>
      </c>
      <c r="T21" s="17">
        <f t="shared" si="13"/>
        <v>1</v>
      </c>
      <c r="U21" s="17">
        <f t="shared" si="13"/>
        <v>2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140</v>
      </c>
      <c r="AD21" s="17">
        <f t="shared" si="13"/>
        <v>0</v>
      </c>
      <c r="AE21" s="31">
        <f t="shared" si="13"/>
        <v>46</v>
      </c>
      <c r="AF21" s="31">
        <f t="shared" si="13"/>
        <v>186</v>
      </c>
    </row>
    <row r="22" spans="2:32" ht="23.1" customHeight="1" x14ac:dyDescent="0.25">
      <c r="B22" s="23" t="s">
        <v>49</v>
      </c>
      <c r="C22" s="50">
        <v>11</v>
      </c>
      <c r="D22" s="50">
        <v>2</v>
      </c>
      <c r="E22" s="50">
        <v>1</v>
      </c>
      <c r="F22" s="50">
        <v>1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26</v>
      </c>
      <c r="N22" s="50">
        <v>0</v>
      </c>
      <c r="O22" s="15">
        <f t="shared" si="0"/>
        <v>17</v>
      </c>
      <c r="P22" s="15">
        <f t="shared" si="1"/>
        <v>43</v>
      </c>
      <c r="R22" s="38" t="s">
        <v>90</v>
      </c>
      <c r="S22" s="39">
        <f>MAX(S10:S12)</f>
        <v>28</v>
      </c>
      <c r="T22" s="39">
        <f t="shared" ref="T22:AF22" si="14">MAX(T10:T12)</f>
        <v>3</v>
      </c>
      <c r="U22" s="39">
        <f t="shared" si="14"/>
        <v>9</v>
      </c>
      <c r="V22" s="39">
        <f t="shared" si="14"/>
        <v>3</v>
      </c>
      <c r="W22" s="39">
        <f t="shared" si="14"/>
        <v>0</v>
      </c>
      <c r="X22" s="39">
        <f t="shared" si="14"/>
        <v>0</v>
      </c>
      <c r="Y22" s="39">
        <f t="shared" si="14"/>
        <v>5</v>
      </c>
      <c r="Z22" s="39">
        <f t="shared" si="14"/>
        <v>3</v>
      </c>
      <c r="AA22" s="39">
        <f t="shared" si="14"/>
        <v>1</v>
      </c>
      <c r="AB22" s="39">
        <f t="shared" si="14"/>
        <v>0</v>
      </c>
      <c r="AC22" s="39">
        <f t="shared" si="14"/>
        <v>112</v>
      </c>
      <c r="AD22" s="39">
        <f t="shared" si="14"/>
        <v>0</v>
      </c>
      <c r="AE22" s="40">
        <f t="shared" si="14"/>
        <v>41</v>
      </c>
      <c r="AF22" s="40">
        <f t="shared" si="14"/>
        <v>150</v>
      </c>
    </row>
    <row r="23" spans="2:32" ht="23.1" customHeight="1" x14ac:dyDescent="0.25">
      <c r="B23" s="23" t="s">
        <v>50</v>
      </c>
      <c r="C23" s="50">
        <v>18</v>
      </c>
      <c r="D23" s="50">
        <v>0</v>
      </c>
      <c r="E23" s="50">
        <v>7</v>
      </c>
      <c r="F23" s="50">
        <v>3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43</v>
      </c>
      <c r="N23" s="50">
        <v>0</v>
      </c>
      <c r="O23" s="15">
        <f t="shared" si="0"/>
        <v>28</v>
      </c>
      <c r="P23" s="15">
        <f t="shared" si="1"/>
        <v>71</v>
      </c>
      <c r="R23" s="38" t="s">
        <v>91</v>
      </c>
      <c r="S23" s="39">
        <f>MAX(S13:S18)</f>
        <v>56</v>
      </c>
      <c r="T23" s="39">
        <f t="shared" ref="T23:AF23" si="15">MAX(T13:T18)</f>
        <v>4</v>
      </c>
      <c r="U23" s="39">
        <f t="shared" si="15"/>
        <v>13</v>
      </c>
      <c r="V23" s="39">
        <f t="shared" si="15"/>
        <v>8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2</v>
      </c>
      <c r="AA23" s="39">
        <f t="shared" si="15"/>
        <v>1</v>
      </c>
      <c r="AB23" s="39">
        <f t="shared" si="15"/>
        <v>2</v>
      </c>
      <c r="AC23" s="39">
        <f t="shared" si="15"/>
        <v>178</v>
      </c>
      <c r="AD23" s="39">
        <f t="shared" si="15"/>
        <v>1</v>
      </c>
      <c r="AE23" s="40">
        <f t="shared" si="15"/>
        <v>86</v>
      </c>
      <c r="AF23" s="40">
        <f t="shared" si="15"/>
        <v>247</v>
      </c>
    </row>
    <row r="24" spans="2:32" ht="23.1" customHeight="1" x14ac:dyDescent="0.25">
      <c r="B24" s="23" t="s">
        <v>51</v>
      </c>
      <c r="C24" s="50">
        <v>15</v>
      </c>
      <c r="D24" s="50">
        <v>0</v>
      </c>
      <c r="E24" s="50">
        <v>3</v>
      </c>
      <c r="F24" s="50">
        <v>3</v>
      </c>
      <c r="G24" s="50">
        <v>0</v>
      </c>
      <c r="H24" s="50">
        <v>0</v>
      </c>
      <c r="I24" s="50">
        <v>0</v>
      </c>
      <c r="J24" s="50">
        <v>1</v>
      </c>
      <c r="K24" s="50">
        <v>1</v>
      </c>
      <c r="L24" s="50">
        <v>1</v>
      </c>
      <c r="M24" s="50">
        <v>47</v>
      </c>
      <c r="N24" s="50">
        <v>0</v>
      </c>
      <c r="O24" s="15">
        <f t="shared" si="0"/>
        <v>24</v>
      </c>
      <c r="P24" s="15">
        <f t="shared" si="1"/>
        <v>71</v>
      </c>
      <c r="R24" s="38" t="s">
        <v>92</v>
      </c>
      <c r="S24" s="39">
        <f>MAX(S19:S21)</f>
        <v>36</v>
      </c>
      <c r="T24" s="39">
        <f t="shared" ref="T24:AF24" si="16">MAX(T19:T21)</f>
        <v>6</v>
      </c>
      <c r="U24" s="39">
        <f t="shared" si="16"/>
        <v>7</v>
      </c>
      <c r="V24" s="39">
        <f t="shared" si="16"/>
        <v>10</v>
      </c>
      <c r="W24" s="39">
        <f t="shared" si="16"/>
        <v>0</v>
      </c>
      <c r="X24" s="39">
        <f t="shared" si="16"/>
        <v>0</v>
      </c>
      <c r="Y24" s="39">
        <f t="shared" si="16"/>
        <v>5</v>
      </c>
      <c r="Z24" s="39">
        <f t="shared" si="16"/>
        <v>7</v>
      </c>
      <c r="AA24" s="39">
        <f t="shared" si="16"/>
        <v>3</v>
      </c>
      <c r="AB24" s="39">
        <f t="shared" si="16"/>
        <v>2</v>
      </c>
      <c r="AC24" s="39">
        <f t="shared" si="16"/>
        <v>156</v>
      </c>
      <c r="AD24" s="39">
        <f t="shared" si="16"/>
        <v>0</v>
      </c>
      <c r="AE24" s="40">
        <f t="shared" si="16"/>
        <v>56</v>
      </c>
      <c r="AF24" s="40">
        <f t="shared" si="16"/>
        <v>208</v>
      </c>
    </row>
    <row r="25" spans="2:32" ht="23.1" customHeight="1" x14ac:dyDescent="0.25">
      <c r="B25" s="23" t="s">
        <v>52</v>
      </c>
      <c r="C25" s="50">
        <v>12</v>
      </c>
      <c r="D25" s="50">
        <v>0</v>
      </c>
      <c r="E25" s="50">
        <v>2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45</v>
      </c>
      <c r="N25" s="50">
        <v>1</v>
      </c>
      <c r="O25" s="15">
        <f t="shared" si="0"/>
        <v>17</v>
      </c>
      <c r="P25" s="15">
        <f t="shared" si="1"/>
        <v>62</v>
      </c>
      <c r="R25" s="37" t="s">
        <v>85</v>
      </c>
      <c r="S25" s="35">
        <f t="shared" ref="S25:AF25" si="17">SUM(S10:S12)</f>
        <v>55</v>
      </c>
      <c r="T25" s="16">
        <f t="shared" si="17"/>
        <v>5</v>
      </c>
      <c r="U25" s="16">
        <f t="shared" si="17"/>
        <v>15</v>
      </c>
      <c r="V25" s="16">
        <f t="shared" si="17"/>
        <v>8</v>
      </c>
      <c r="W25" s="16">
        <f t="shared" si="17"/>
        <v>0</v>
      </c>
      <c r="X25" s="16">
        <f t="shared" si="17"/>
        <v>0</v>
      </c>
      <c r="Y25" s="16">
        <f t="shared" si="17"/>
        <v>10</v>
      </c>
      <c r="Z25" s="16">
        <f t="shared" si="17"/>
        <v>8</v>
      </c>
      <c r="AA25" s="16">
        <f t="shared" si="17"/>
        <v>1</v>
      </c>
      <c r="AB25" s="16">
        <f t="shared" si="17"/>
        <v>0</v>
      </c>
      <c r="AC25" s="16">
        <f t="shared" si="17"/>
        <v>294</v>
      </c>
      <c r="AD25" s="16">
        <f t="shared" si="17"/>
        <v>0</v>
      </c>
      <c r="AE25" s="32">
        <f t="shared" si="17"/>
        <v>102</v>
      </c>
      <c r="AF25" s="32">
        <f t="shared" si="17"/>
        <v>396</v>
      </c>
    </row>
    <row r="26" spans="2:32" ht="23.1" customHeight="1" x14ac:dyDescent="0.25">
      <c r="B26" s="23" t="s">
        <v>53</v>
      </c>
      <c r="C26" s="50">
        <v>6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25</v>
      </c>
      <c r="N26" s="50">
        <v>0</v>
      </c>
      <c r="O26" s="15">
        <f t="shared" si="0"/>
        <v>8</v>
      </c>
      <c r="P26" s="15">
        <f t="shared" si="1"/>
        <v>33</v>
      </c>
      <c r="R26" s="28" t="s">
        <v>86</v>
      </c>
      <c r="S26" s="16">
        <f t="shared" ref="S26:AF26" si="18">SUM(S13:S18)</f>
        <v>165</v>
      </c>
      <c r="T26" s="16">
        <f t="shared" si="18"/>
        <v>12</v>
      </c>
      <c r="U26" s="16">
        <f t="shared" si="18"/>
        <v>35</v>
      </c>
      <c r="V26" s="16">
        <f t="shared" si="18"/>
        <v>20</v>
      </c>
      <c r="W26" s="16">
        <f t="shared" si="18"/>
        <v>0</v>
      </c>
      <c r="X26" s="16">
        <f t="shared" si="18"/>
        <v>0</v>
      </c>
      <c r="Y26" s="16">
        <f t="shared" si="18"/>
        <v>11</v>
      </c>
      <c r="Z26" s="16">
        <f t="shared" si="18"/>
        <v>9</v>
      </c>
      <c r="AA26" s="16">
        <f t="shared" si="18"/>
        <v>2</v>
      </c>
      <c r="AB26" s="16">
        <f t="shared" si="18"/>
        <v>5</v>
      </c>
      <c r="AC26" s="16">
        <f t="shared" si="18"/>
        <v>936</v>
      </c>
      <c r="AD26" s="16">
        <f t="shared" si="18"/>
        <v>1</v>
      </c>
      <c r="AE26" s="32">
        <f t="shared" si="18"/>
        <v>260</v>
      </c>
      <c r="AF26" s="32">
        <f t="shared" si="18"/>
        <v>1196</v>
      </c>
    </row>
    <row r="27" spans="2:32" ht="23.1" customHeight="1" x14ac:dyDescent="0.25">
      <c r="B27" s="23" t="s">
        <v>54</v>
      </c>
      <c r="C27" s="50">
        <v>7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42</v>
      </c>
      <c r="N27" s="50">
        <v>0</v>
      </c>
      <c r="O27" s="15">
        <f t="shared" si="0"/>
        <v>9</v>
      </c>
      <c r="P27" s="15">
        <f t="shared" si="1"/>
        <v>51</v>
      </c>
      <c r="R27" s="29" t="s">
        <v>87</v>
      </c>
      <c r="S27" s="16">
        <f t="shared" ref="S27:AF27" si="19">SUM(S19:S21)</f>
        <v>89</v>
      </c>
      <c r="T27" s="16">
        <f t="shared" si="19"/>
        <v>10</v>
      </c>
      <c r="U27" s="16">
        <f t="shared" si="19"/>
        <v>11</v>
      </c>
      <c r="V27" s="16">
        <f t="shared" si="19"/>
        <v>14</v>
      </c>
      <c r="W27" s="16">
        <f t="shared" si="19"/>
        <v>0</v>
      </c>
      <c r="X27" s="16">
        <f t="shared" si="19"/>
        <v>0</v>
      </c>
      <c r="Y27" s="16">
        <f t="shared" si="19"/>
        <v>11</v>
      </c>
      <c r="Z27" s="16">
        <f t="shared" si="19"/>
        <v>13</v>
      </c>
      <c r="AA27" s="16">
        <f t="shared" si="19"/>
        <v>4</v>
      </c>
      <c r="AB27" s="16">
        <f t="shared" si="19"/>
        <v>2</v>
      </c>
      <c r="AC27" s="16">
        <f t="shared" si="19"/>
        <v>429</v>
      </c>
      <c r="AD27" s="16">
        <f t="shared" si="19"/>
        <v>0</v>
      </c>
      <c r="AE27" s="32">
        <f t="shared" si="19"/>
        <v>154</v>
      </c>
      <c r="AF27" s="32">
        <f t="shared" si="19"/>
        <v>583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29</v>
      </c>
      <c r="N28" s="50">
        <v>0</v>
      </c>
      <c r="O28" s="15">
        <f t="shared" si="0"/>
        <v>3</v>
      </c>
      <c r="P28" s="15">
        <f t="shared" si="1"/>
        <v>32</v>
      </c>
      <c r="R28" s="5" t="s">
        <v>17</v>
      </c>
      <c r="S28" s="16">
        <f t="shared" ref="S28:AF28" si="20">SUM(S10:S21)</f>
        <v>309</v>
      </c>
      <c r="T28" s="16">
        <f t="shared" si="20"/>
        <v>27</v>
      </c>
      <c r="U28" s="16">
        <f t="shared" si="20"/>
        <v>61</v>
      </c>
      <c r="V28" s="16">
        <f t="shared" si="20"/>
        <v>42</v>
      </c>
      <c r="W28" s="16">
        <f t="shared" si="20"/>
        <v>0</v>
      </c>
      <c r="X28" s="16">
        <f t="shared" si="20"/>
        <v>0</v>
      </c>
      <c r="Y28" s="16">
        <f t="shared" si="20"/>
        <v>32</v>
      </c>
      <c r="Z28" s="16">
        <f t="shared" si="20"/>
        <v>30</v>
      </c>
      <c r="AA28" s="16">
        <f t="shared" si="20"/>
        <v>7</v>
      </c>
      <c r="AB28" s="16">
        <f t="shared" si="20"/>
        <v>7</v>
      </c>
      <c r="AC28" s="16">
        <f t="shared" si="20"/>
        <v>1659</v>
      </c>
      <c r="AD28" s="16">
        <f t="shared" si="20"/>
        <v>1</v>
      </c>
      <c r="AE28" s="32">
        <f t="shared" si="20"/>
        <v>516</v>
      </c>
      <c r="AF28" s="32">
        <f t="shared" si="20"/>
        <v>2175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3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1</v>
      </c>
      <c r="L29" s="50">
        <v>1</v>
      </c>
      <c r="M29" s="50">
        <v>37</v>
      </c>
      <c r="N29" s="50">
        <v>0</v>
      </c>
      <c r="O29" s="15">
        <f t="shared" si="0"/>
        <v>7</v>
      </c>
      <c r="P29" s="15">
        <f t="shared" si="1"/>
        <v>44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0</v>
      </c>
      <c r="E30" s="50">
        <v>1</v>
      </c>
      <c r="F30" s="50">
        <v>1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35</v>
      </c>
      <c r="N30" s="50">
        <v>0</v>
      </c>
      <c r="O30" s="15">
        <f t="shared" si="0"/>
        <v>8</v>
      </c>
      <c r="P30" s="15">
        <f t="shared" si="1"/>
        <v>43</v>
      </c>
    </row>
    <row r="31" spans="2:32" ht="23.1" customHeight="1" x14ac:dyDescent="0.25">
      <c r="B31" s="24" t="s">
        <v>58</v>
      </c>
      <c r="C31" s="50">
        <v>8</v>
      </c>
      <c r="D31" s="50">
        <v>1</v>
      </c>
      <c r="E31" s="50">
        <v>0</v>
      </c>
      <c r="F31" s="50">
        <v>3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41</v>
      </c>
      <c r="N31" s="50">
        <v>0</v>
      </c>
      <c r="O31" s="15">
        <f t="shared" si="0"/>
        <v>12</v>
      </c>
      <c r="P31" s="15">
        <f t="shared" si="1"/>
        <v>53</v>
      </c>
    </row>
    <row r="32" spans="2:32" ht="23.1" customHeight="1" x14ac:dyDescent="0.25">
      <c r="B32" s="24" t="s">
        <v>59</v>
      </c>
      <c r="C32" s="50">
        <v>4</v>
      </c>
      <c r="D32" s="50">
        <v>2</v>
      </c>
      <c r="E32" s="50">
        <v>1</v>
      </c>
      <c r="F32" s="50">
        <v>0</v>
      </c>
      <c r="G32" s="50">
        <v>0</v>
      </c>
      <c r="H32" s="50">
        <v>0</v>
      </c>
      <c r="I32" s="50">
        <v>2</v>
      </c>
      <c r="J32" s="50">
        <v>2</v>
      </c>
      <c r="K32" s="50">
        <v>0</v>
      </c>
      <c r="L32" s="50">
        <v>0</v>
      </c>
      <c r="M32" s="50">
        <v>44</v>
      </c>
      <c r="N32" s="50">
        <v>0</v>
      </c>
      <c r="O32" s="15">
        <f t="shared" si="0"/>
        <v>11</v>
      </c>
      <c r="P32" s="15">
        <f t="shared" si="1"/>
        <v>55</v>
      </c>
    </row>
    <row r="33" spans="2:20" ht="23.1" customHeight="1" x14ac:dyDescent="0.25">
      <c r="B33" s="23" t="s">
        <v>60</v>
      </c>
      <c r="C33" s="50">
        <v>7</v>
      </c>
      <c r="D33" s="50">
        <v>1</v>
      </c>
      <c r="E33" s="50">
        <v>2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41</v>
      </c>
      <c r="N33" s="50">
        <v>0</v>
      </c>
      <c r="O33" s="15">
        <f t="shared" si="0"/>
        <v>11</v>
      </c>
      <c r="P33" s="15">
        <f t="shared" si="1"/>
        <v>52</v>
      </c>
    </row>
    <row r="34" spans="2:20" ht="23.1" customHeight="1" x14ac:dyDescent="0.25">
      <c r="B34" s="24" t="s">
        <v>61</v>
      </c>
      <c r="C34" s="50">
        <v>6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35</v>
      </c>
      <c r="N34" s="50">
        <v>0</v>
      </c>
      <c r="O34" s="15">
        <f t="shared" si="0"/>
        <v>8</v>
      </c>
      <c r="P34" s="15">
        <f t="shared" si="1"/>
        <v>43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1</v>
      </c>
      <c r="F35" s="50">
        <v>2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45</v>
      </c>
      <c r="N35" s="50">
        <v>0</v>
      </c>
      <c r="O35" s="15">
        <f t="shared" si="0"/>
        <v>7</v>
      </c>
      <c r="P35" s="15">
        <f t="shared" si="1"/>
        <v>52</v>
      </c>
    </row>
    <row r="36" spans="2:20" ht="23.1" customHeight="1" x14ac:dyDescent="0.25">
      <c r="B36" s="24" t="s">
        <v>63</v>
      </c>
      <c r="C36" s="50">
        <v>7</v>
      </c>
      <c r="D36" s="50">
        <v>2</v>
      </c>
      <c r="E36" s="50">
        <v>1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1</v>
      </c>
      <c r="M36" s="50">
        <v>37</v>
      </c>
      <c r="N36" s="50">
        <v>0</v>
      </c>
      <c r="O36" s="15">
        <f t="shared" si="0"/>
        <v>12</v>
      </c>
      <c r="P36" s="15">
        <f t="shared" si="1"/>
        <v>49</v>
      </c>
    </row>
    <row r="37" spans="2:20" ht="23.1" customHeight="1" x14ac:dyDescent="0.25">
      <c r="B37" s="23" t="s">
        <v>64</v>
      </c>
      <c r="C37" s="50">
        <v>12</v>
      </c>
      <c r="D37" s="50">
        <v>1</v>
      </c>
      <c r="E37" s="50">
        <v>1</v>
      </c>
      <c r="F37" s="50">
        <v>1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1</v>
      </c>
      <c r="M37" s="50">
        <v>61</v>
      </c>
      <c r="N37" s="50">
        <v>0</v>
      </c>
      <c r="O37" s="15">
        <f t="shared" si="0"/>
        <v>18</v>
      </c>
      <c r="P37" s="15">
        <f t="shared" si="1"/>
        <v>79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32</v>
      </c>
      <c r="N38" s="50">
        <v>0</v>
      </c>
      <c r="O38" s="15">
        <f t="shared" si="0"/>
        <v>7</v>
      </c>
      <c r="P38" s="15">
        <f t="shared" si="1"/>
        <v>39</v>
      </c>
    </row>
    <row r="39" spans="2:20" ht="23.1" customHeight="1" x14ac:dyDescent="0.25">
      <c r="B39" s="24" t="s">
        <v>66</v>
      </c>
      <c r="C39" s="50">
        <v>8</v>
      </c>
      <c r="D39" s="50">
        <v>0</v>
      </c>
      <c r="E39" s="50">
        <v>3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1</v>
      </c>
      <c r="M39" s="50">
        <v>22</v>
      </c>
      <c r="N39" s="50">
        <v>0</v>
      </c>
      <c r="O39" s="15">
        <f t="shared" si="0"/>
        <v>12</v>
      </c>
      <c r="P39" s="15">
        <f t="shared" si="1"/>
        <v>34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44</v>
      </c>
      <c r="N40" s="50">
        <v>0</v>
      </c>
      <c r="O40" s="15">
        <f t="shared" si="0"/>
        <v>0</v>
      </c>
      <c r="P40" s="15">
        <f t="shared" si="1"/>
        <v>44</v>
      </c>
    </row>
    <row r="41" spans="2:20" ht="23.1" customHeight="1" x14ac:dyDescent="0.25">
      <c r="B41" s="23" t="s">
        <v>68</v>
      </c>
      <c r="C41" s="50">
        <v>5</v>
      </c>
      <c r="D41" s="50">
        <v>2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31</v>
      </c>
      <c r="N41" s="50">
        <v>0</v>
      </c>
      <c r="O41" s="15">
        <f t="shared" si="0"/>
        <v>8</v>
      </c>
      <c r="P41" s="15">
        <f t="shared" si="1"/>
        <v>39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2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30</v>
      </c>
      <c r="N42" s="50">
        <v>0</v>
      </c>
      <c r="O42" s="15">
        <f t="shared" si="0"/>
        <v>7</v>
      </c>
      <c r="P42" s="15">
        <f t="shared" si="1"/>
        <v>37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1</v>
      </c>
      <c r="F43" s="50">
        <v>2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55</v>
      </c>
      <c r="N43" s="50">
        <v>0</v>
      </c>
      <c r="O43" s="15">
        <f t="shared" si="0"/>
        <v>8</v>
      </c>
      <c r="P43" s="15">
        <f t="shared" si="1"/>
        <v>63</v>
      </c>
    </row>
    <row r="44" spans="2:20" ht="23.1" customHeight="1" x14ac:dyDescent="0.25">
      <c r="B44" s="25" t="s">
        <v>71</v>
      </c>
      <c r="C44" s="50">
        <v>10</v>
      </c>
      <c r="D44" s="50">
        <v>0</v>
      </c>
      <c r="E44" s="50">
        <v>1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44</v>
      </c>
      <c r="N44" s="50">
        <v>0</v>
      </c>
      <c r="O44" s="15">
        <f t="shared" si="0"/>
        <v>12</v>
      </c>
      <c r="P44" s="15">
        <f t="shared" si="1"/>
        <v>56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45</v>
      </c>
      <c r="N45" s="50">
        <v>0</v>
      </c>
      <c r="O45" s="15">
        <f t="shared" si="0"/>
        <v>6</v>
      </c>
      <c r="P45" s="15">
        <f t="shared" si="1"/>
        <v>51</v>
      </c>
    </row>
    <row r="46" spans="2:20" ht="23.1" customHeight="1" x14ac:dyDescent="0.25">
      <c r="B46" s="24" t="s">
        <v>73</v>
      </c>
      <c r="C46" s="50">
        <v>9</v>
      </c>
      <c r="D46" s="50">
        <v>0</v>
      </c>
      <c r="E46" s="50">
        <v>1</v>
      </c>
      <c r="F46" s="50">
        <v>5</v>
      </c>
      <c r="G46" s="50">
        <v>0</v>
      </c>
      <c r="H46" s="50">
        <v>0</v>
      </c>
      <c r="I46" s="50">
        <v>3</v>
      </c>
      <c r="J46" s="50">
        <v>1</v>
      </c>
      <c r="K46" s="50">
        <v>1</v>
      </c>
      <c r="L46" s="50">
        <v>0</v>
      </c>
      <c r="M46" s="50">
        <v>25</v>
      </c>
      <c r="N46" s="50">
        <v>0</v>
      </c>
      <c r="O46" s="15">
        <f t="shared" si="0"/>
        <v>20</v>
      </c>
      <c r="P46" s="15">
        <f t="shared" si="1"/>
        <v>45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3</v>
      </c>
      <c r="E47" s="50">
        <v>0</v>
      </c>
      <c r="F47" s="50">
        <v>2</v>
      </c>
      <c r="G47" s="50">
        <v>0</v>
      </c>
      <c r="H47" s="50">
        <v>0</v>
      </c>
      <c r="I47" s="50">
        <v>1</v>
      </c>
      <c r="J47" s="50">
        <v>0</v>
      </c>
      <c r="K47" s="50">
        <v>1</v>
      </c>
      <c r="L47" s="50">
        <v>0</v>
      </c>
      <c r="M47" s="50">
        <v>30</v>
      </c>
      <c r="N47" s="50">
        <v>0</v>
      </c>
      <c r="O47" s="15">
        <f t="shared" si="0"/>
        <v>11</v>
      </c>
      <c r="P47" s="15">
        <f t="shared" si="1"/>
        <v>41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0</v>
      </c>
      <c r="E48" s="50">
        <v>1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1</v>
      </c>
      <c r="L48" s="50">
        <v>0</v>
      </c>
      <c r="M48" s="50">
        <v>46</v>
      </c>
      <c r="N48" s="50">
        <v>0</v>
      </c>
      <c r="O48" s="15">
        <f t="shared" si="0"/>
        <v>8</v>
      </c>
      <c r="P48" s="15">
        <f t="shared" si="1"/>
        <v>54</v>
      </c>
      <c r="R48" s="8"/>
      <c r="T48"/>
    </row>
    <row r="49" spans="2:20" ht="23.1" customHeight="1" x14ac:dyDescent="0.25">
      <c r="B49" s="23" t="s">
        <v>76</v>
      </c>
      <c r="C49" s="50">
        <v>8</v>
      </c>
      <c r="D49" s="50">
        <v>0</v>
      </c>
      <c r="E49" s="50">
        <v>0</v>
      </c>
      <c r="F49" s="50">
        <v>2</v>
      </c>
      <c r="G49" s="50">
        <v>0</v>
      </c>
      <c r="H49" s="50">
        <v>0</v>
      </c>
      <c r="I49" s="50">
        <v>1</v>
      </c>
      <c r="J49" s="50">
        <v>2</v>
      </c>
      <c r="K49" s="50">
        <v>0</v>
      </c>
      <c r="L49" s="50">
        <v>0</v>
      </c>
      <c r="M49" s="50">
        <v>55</v>
      </c>
      <c r="N49" s="50">
        <v>0</v>
      </c>
      <c r="O49" s="15">
        <f t="shared" si="0"/>
        <v>13</v>
      </c>
      <c r="P49" s="15">
        <f t="shared" si="1"/>
        <v>68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2</v>
      </c>
      <c r="E50" s="50">
        <v>0</v>
      </c>
      <c r="F50" s="50">
        <v>1</v>
      </c>
      <c r="G50" s="50">
        <v>0</v>
      </c>
      <c r="H50" s="50">
        <v>0</v>
      </c>
      <c r="I50" s="50">
        <v>2</v>
      </c>
      <c r="J50" s="50">
        <v>2</v>
      </c>
      <c r="K50" s="50">
        <v>0</v>
      </c>
      <c r="L50" s="50">
        <v>0</v>
      </c>
      <c r="M50" s="50">
        <v>40</v>
      </c>
      <c r="N50" s="50">
        <v>0</v>
      </c>
      <c r="O50" s="15">
        <f t="shared" si="0"/>
        <v>13</v>
      </c>
      <c r="P50" s="15">
        <f t="shared" si="1"/>
        <v>53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3</v>
      </c>
      <c r="E51" s="50">
        <v>2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1</v>
      </c>
      <c r="L51" s="50">
        <v>0</v>
      </c>
      <c r="M51" s="50">
        <v>30</v>
      </c>
      <c r="N51" s="50">
        <v>0</v>
      </c>
      <c r="O51" s="15">
        <f t="shared" si="0"/>
        <v>14</v>
      </c>
      <c r="P51" s="15">
        <f t="shared" si="1"/>
        <v>44</v>
      </c>
      <c r="R51" s="8"/>
      <c r="T51"/>
    </row>
    <row r="52" spans="2:20" ht="23.1" customHeight="1" x14ac:dyDescent="0.25">
      <c r="B52" s="24" t="s">
        <v>79</v>
      </c>
      <c r="C52" s="50">
        <v>7</v>
      </c>
      <c r="D52" s="50">
        <v>0</v>
      </c>
      <c r="E52" s="50">
        <v>3</v>
      </c>
      <c r="F52" s="50">
        <v>0</v>
      </c>
      <c r="G52" s="50">
        <v>0</v>
      </c>
      <c r="H52" s="50">
        <v>0</v>
      </c>
      <c r="I52" s="50">
        <v>1</v>
      </c>
      <c r="J52" s="50">
        <v>3</v>
      </c>
      <c r="K52" s="50">
        <v>0</v>
      </c>
      <c r="L52" s="50">
        <v>1</v>
      </c>
      <c r="M52" s="50">
        <v>27</v>
      </c>
      <c r="N52" s="50">
        <v>0</v>
      </c>
      <c r="O52" s="15">
        <f t="shared" si="0"/>
        <v>15</v>
      </c>
      <c r="P52" s="15">
        <f t="shared" si="1"/>
        <v>42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1</v>
      </c>
      <c r="E53" s="50">
        <v>2</v>
      </c>
      <c r="F53" s="50">
        <v>1</v>
      </c>
      <c r="G53" s="50">
        <v>0</v>
      </c>
      <c r="H53" s="50">
        <v>0</v>
      </c>
      <c r="I53" s="50">
        <v>0</v>
      </c>
      <c r="J53" s="50">
        <v>2</v>
      </c>
      <c r="K53" s="50">
        <v>0</v>
      </c>
      <c r="L53" s="50">
        <v>1</v>
      </c>
      <c r="M53" s="50">
        <v>36</v>
      </c>
      <c r="N53" s="50">
        <v>0</v>
      </c>
      <c r="O53" s="15">
        <f t="shared" si="0"/>
        <v>14</v>
      </c>
      <c r="P53" s="15">
        <f t="shared" si="1"/>
        <v>50</v>
      </c>
      <c r="R53" s="8"/>
      <c r="T53"/>
    </row>
    <row r="54" spans="2:20" ht="23.1" customHeight="1" x14ac:dyDescent="0.25">
      <c r="B54" s="23" t="s">
        <v>81</v>
      </c>
      <c r="C54" s="50">
        <v>11</v>
      </c>
      <c r="D54" s="50">
        <v>1</v>
      </c>
      <c r="E54" s="50">
        <v>0</v>
      </c>
      <c r="F54" s="50">
        <v>2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40</v>
      </c>
      <c r="N54" s="50">
        <v>0</v>
      </c>
      <c r="O54" s="15">
        <f t="shared" si="0"/>
        <v>16</v>
      </c>
      <c r="P54" s="15">
        <f t="shared" si="1"/>
        <v>56</v>
      </c>
      <c r="R54" s="8"/>
      <c r="T54"/>
    </row>
    <row r="55" spans="2:20" ht="23.1" customHeight="1" x14ac:dyDescent="0.25">
      <c r="B55" s="23" t="s">
        <v>82</v>
      </c>
      <c r="C55" s="50">
        <v>10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47</v>
      </c>
      <c r="N55" s="50">
        <v>0</v>
      </c>
      <c r="O55" s="15">
        <f t="shared" si="0"/>
        <v>12</v>
      </c>
      <c r="P55" s="15">
        <f t="shared" si="1"/>
        <v>59</v>
      </c>
      <c r="R55" s="8"/>
      <c r="T55"/>
    </row>
    <row r="56" spans="2:20" ht="23.1" customHeight="1" x14ac:dyDescent="0.25">
      <c r="B56" s="23" t="s">
        <v>83</v>
      </c>
      <c r="C56" s="50">
        <v>10</v>
      </c>
      <c r="D56" s="50">
        <v>0</v>
      </c>
      <c r="E56" s="50">
        <v>2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32</v>
      </c>
      <c r="N56" s="50">
        <v>0</v>
      </c>
      <c r="O56" s="15">
        <f t="shared" si="0"/>
        <v>12</v>
      </c>
      <c r="P56" s="15">
        <f t="shared" si="1"/>
        <v>44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21</v>
      </c>
      <c r="N57" s="50">
        <v>0</v>
      </c>
      <c r="O57" s="15">
        <f t="shared" si="0"/>
        <v>6</v>
      </c>
      <c r="P57" s="15">
        <f t="shared" si="1"/>
        <v>27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309</v>
      </c>
      <c r="D58" s="16">
        <f t="shared" si="21"/>
        <v>27</v>
      </c>
      <c r="E58" s="16">
        <f t="shared" si="21"/>
        <v>61</v>
      </c>
      <c r="F58" s="16">
        <f t="shared" si="21"/>
        <v>42</v>
      </c>
      <c r="G58" s="16">
        <f t="shared" si="21"/>
        <v>0</v>
      </c>
      <c r="H58" s="16">
        <f t="shared" si="21"/>
        <v>0</v>
      </c>
      <c r="I58" s="16">
        <f t="shared" si="21"/>
        <v>32</v>
      </c>
      <c r="J58" s="16">
        <f t="shared" si="21"/>
        <v>30</v>
      </c>
      <c r="K58" s="16">
        <f t="shared" si="21"/>
        <v>7</v>
      </c>
      <c r="L58" s="16">
        <f t="shared" si="21"/>
        <v>7</v>
      </c>
      <c r="M58" s="16">
        <f t="shared" si="21"/>
        <v>1659</v>
      </c>
      <c r="N58" s="16">
        <f t="shared" si="21"/>
        <v>1</v>
      </c>
      <c r="O58" s="16">
        <f t="shared" si="21"/>
        <v>516</v>
      </c>
      <c r="P58" s="16">
        <f t="shared" si="21"/>
        <v>2175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0.14206896551724138</v>
      </c>
      <c r="D59" s="43">
        <f t="shared" si="22"/>
        <v>1.2413793103448275E-2</v>
      </c>
      <c r="E59" s="43">
        <f t="shared" si="22"/>
        <v>2.8045977011494253E-2</v>
      </c>
      <c r="F59" s="43">
        <f t="shared" si="22"/>
        <v>1.9310344827586208E-2</v>
      </c>
      <c r="G59" s="43">
        <f t="shared" si="22"/>
        <v>0</v>
      </c>
      <c r="H59" s="43">
        <f t="shared" si="22"/>
        <v>0</v>
      </c>
      <c r="I59" s="43">
        <f t="shared" si="22"/>
        <v>1.4712643678160919E-2</v>
      </c>
      <c r="J59" s="43">
        <f t="shared" si="22"/>
        <v>1.3793103448275862E-2</v>
      </c>
      <c r="K59" s="43">
        <f t="shared" si="22"/>
        <v>3.2183908045977012E-3</v>
      </c>
      <c r="L59" s="43">
        <f t="shared" si="22"/>
        <v>3.2183908045977012E-3</v>
      </c>
      <c r="M59" s="43">
        <f t="shared" si="22"/>
        <v>0.76275862068965516</v>
      </c>
      <c r="N59" s="43">
        <f t="shared" si="22"/>
        <v>4.5977011494252872E-4</v>
      </c>
      <c r="R59" s="8"/>
      <c r="T59"/>
    </row>
    <row r="60" spans="2:20" ht="23.1" customHeight="1" x14ac:dyDescent="0.25">
      <c r="B60" s="42" t="s">
        <v>94</v>
      </c>
      <c r="C60" s="44">
        <f>C58/$O$58</f>
        <v>0.59883720930232553</v>
      </c>
      <c r="D60" s="44">
        <f t="shared" ref="D60:N60" si="23">D58/$O$58</f>
        <v>5.232558139534884E-2</v>
      </c>
      <c r="E60" s="44">
        <f t="shared" si="23"/>
        <v>0.11821705426356589</v>
      </c>
      <c r="F60" s="44">
        <f t="shared" si="23"/>
        <v>8.1395348837209308E-2</v>
      </c>
      <c r="G60" s="44">
        <f t="shared" si="23"/>
        <v>0</v>
      </c>
      <c r="H60" s="44">
        <f t="shared" si="23"/>
        <v>0</v>
      </c>
      <c r="I60" s="44">
        <f t="shared" si="23"/>
        <v>6.2015503875968991E-2</v>
      </c>
      <c r="J60" s="44">
        <f t="shared" si="23"/>
        <v>5.8139534883720929E-2</v>
      </c>
      <c r="K60" s="44">
        <f t="shared" si="23"/>
        <v>1.3565891472868217E-2</v>
      </c>
      <c r="L60" s="44">
        <f t="shared" si="23"/>
        <v>1.3565891472868217E-2</v>
      </c>
      <c r="M60" s="44"/>
      <c r="N60" s="44">
        <f t="shared" si="23"/>
        <v>1.937984496124031E-3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G21" sqref="G2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KYENJOJO-HOIMA'!C3:G3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'25.10 KYENJOJO-HOIMA'!D5</f>
        <v>25.10.19</v>
      </c>
      <c r="E5" s="3"/>
      <c r="F5" s="41" t="s">
        <v>1</v>
      </c>
      <c r="G5" s="60" t="str">
        <f>'25.10 KYENJOJO-HOIMA'!G5:H5</f>
        <v>KYENJOJO</v>
      </c>
      <c r="H5" s="61"/>
      <c r="I5" s="14"/>
      <c r="J5" s="2" t="s">
        <v>5</v>
      </c>
      <c r="K5" s="60" t="s">
        <v>169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167</v>
      </c>
      <c r="E6" s="55"/>
      <c r="F6" s="2" t="s">
        <v>2</v>
      </c>
      <c r="G6" s="54" t="s">
        <v>166</v>
      </c>
      <c r="H6" s="55"/>
      <c r="J6" s="2" t="s">
        <v>21</v>
      </c>
      <c r="K6" s="60" t="s">
        <v>170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15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17</v>
      </c>
      <c r="R10" s="1" t="s">
        <v>6</v>
      </c>
      <c r="S10" s="17">
        <f t="shared" ref="S10:AF10" si="2">SUM(C10:C13)</f>
        <v>15</v>
      </c>
      <c r="T10" s="17">
        <f t="shared" si="2"/>
        <v>3</v>
      </c>
      <c r="U10" s="17">
        <f t="shared" si="2"/>
        <v>4</v>
      </c>
      <c r="V10" s="17">
        <f t="shared" si="2"/>
        <v>6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129</v>
      </c>
      <c r="AD10" s="17">
        <f t="shared" si="2"/>
        <v>0</v>
      </c>
      <c r="AE10" s="31">
        <f t="shared" si="2"/>
        <v>34</v>
      </c>
      <c r="AF10" s="31">
        <f t="shared" si="2"/>
        <v>163</v>
      </c>
    </row>
    <row r="11" spans="2:32" s="6" customFormat="1" ht="23.1" customHeight="1" x14ac:dyDescent="0.25">
      <c r="B11" s="23" t="s">
        <v>38</v>
      </c>
      <c r="C11" s="50">
        <v>6</v>
      </c>
      <c r="D11" s="50">
        <v>1</v>
      </c>
      <c r="E11" s="50">
        <v>2</v>
      </c>
      <c r="F11" s="50">
        <v>0</v>
      </c>
      <c r="G11" s="50">
        <v>0</v>
      </c>
      <c r="H11" s="50">
        <v>0</v>
      </c>
      <c r="I11" s="50">
        <v>1</v>
      </c>
      <c r="J11" s="50">
        <v>1</v>
      </c>
      <c r="K11" s="50">
        <v>1</v>
      </c>
      <c r="L11" s="50">
        <v>0</v>
      </c>
      <c r="M11" s="50">
        <v>40</v>
      </c>
      <c r="N11" s="50">
        <v>0</v>
      </c>
      <c r="O11" s="15">
        <f t="shared" si="0"/>
        <v>12</v>
      </c>
      <c r="P11" s="15">
        <f t="shared" si="1"/>
        <v>52</v>
      </c>
      <c r="R11" s="1" t="s">
        <v>7</v>
      </c>
      <c r="S11" s="17">
        <f t="shared" ref="S11:AF11" si="3">SUM(C14:C17)</f>
        <v>23</v>
      </c>
      <c r="T11" s="17">
        <f t="shared" si="3"/>
        <v>7</v>
      </c>
      <c r="U11" s="17">
        <f t="shared" si="3"/>
        <v>4</v>
      </c>
      <c r="V11" s="17">
        <f t="shared" si="3"/>
        <v>4</v>
      </c>
      <c r="W11" s="17">
        <f t="shared" si="3"/>
        <v>0</v>
      </c>
      <c r="X11" s="17">
        <f t="shared" si="3"/>
        <v>1</v>
      </c>
      <c r="Y11" s="17">
        <f t="shared" si="3"/>
        <v>5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154</v>
      </c>
      <c r="AD11" s="17">
        <f t="shared" si="3"/>
        <v>0</v>
      </c>
      <c r="AE11" s="31">
        <f t="shared" si="3"/>
        <v>45</v>
      </c>
      <c r="AF11" s="31">
        <f t="shared" si="3"/>
        <v>199</v>
      </c>
    </row>
    <row r="12" spans="2:32" ht="23.1" customHeight="1" x14ac:dyDescent="0.25">
      <c r="B12" s="23" t="s">
        <v>39</v>
      </c>
      <c r="C12" s="50">
        <v>4</v>
      </c>
      <c r="D12" s="50">
        <v>2</v>
      </c>
      <c r="E12" s="50">
        <v>1</v>
      </c>
      <c r="F12" s="50">
        <v>3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41</v>
      </c>
      <c r="N12" s="50">
        <v>0</v>
      </c>
      <c r="O12" s="15">
        <f t="shared" si="0"/>
        <v>12</v>
      </c>
      <c r="P12" s="15">
        <f t="shared" si="1"/>
        <v>53</v>
      </c>
      <c r="R12" s="1" t="s">
        <v>8</v>
      </c>
      <c r="S12" s="17">
        <f t="shared" ref="S12:AF12" si="4">SUM(C18:C21)</f>
        <v>16</v>
      </c>
      <c r="T12" s="17">
        <f t="shared" si="4"/>
        <v>8</v>
      </c>
      <c r="U12" s="17">
        <f t="shared" si="4"/>
        <v>5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4</v>
      </c>
      <c r="AA12" s="17">
        <f t="shared" si="4"/>
        <v>2</v>
      </c>
      <c r="AB12" s="17">
        <f t="shared" si="4"/>
        <v>0</v>
      </c>
      <c r="AC12" s="17">
        <f t="shared" si="4"/>
        <v>167</v>
      </c>
      <c r="AD12" s="17">
        <f t="shared" si="4"/>
        <v>0</v>
      </c>
      <c r="AE12" s="31">
        <f t="shared" si="4"/>
        <v>43</v>
      </c>
      <c r="AF12" s="31">
        <f t="shared" si="4"/>
        <v>210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1</v>
      </c>
      <c r="F13" s="50">
        <v>3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33</v>
      </c>
      <c r="N13" s="50">
        <v>0</v>
      </c>
      <c r="O13" s="15">
        <f t="shared" si="0"/>
        <v>8</v>
      </c>
      <c r="P13" s="15">
        <f t="shared" si="1"/>
        <v>41</v>
      </c>
      <c r="R13" s="1" t="s">
        <v>9</v>
      </c>
      <c r="S13" s="17">
        <f t="shared" ref="S13:AF13" si="5">SUM(C22:C25)</f>
        <v>15</v>
      </c>
      <c r="T13" s="17">
        <f t="shared" si="5"/>
        <v>5</v>
      </c>
      <c r="U13" s="17">
        <f t="shared" si="5"/>
        <v>6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95</v>
      </c>
      <c r="AD13" s="17">
        <f t="shared" si="5"/>
        <v>0</v>
      </c>
      <c r="AE13" s="31">
        <f t="shared" si="5"/>
        <v>35</v>
      </c>
      <c r="AF13" s="31">
        <f t="shared" si="5"/>
        <v>130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1</v>
      </c>
      <c r="F14" s="50">
        <v>0</v>
      </c>
      <c r="G14" s="50">
        <v>0</v>
      </c>
      <c r="H14" s="50">
        <v>1</v>
      </c>
      <c r="I14" s="50">
        <v>1</v>
      </c>
      <c r="J14" s="50">
        <v>1</v>
      </c>
      <c r="K14" s="50">
        <v>0</v>
      </c>
      <c r="L14" s="50">
        <v>0</v>
      </c>
      <c r="M14" s="50">
        <v>34</v>
      </c>
      <c r="N14" s="50">
        <v>0</v>
      </c>
      <c r="O14" s="15">
        <f t="shared" si="0"/>
        <v>6</v>
      </c>
      <c r="P14" s="15">
        <f t="shared" si="1"/>
        <v>40</v>
      </c>
      <c r="R14" s="1" t="s">
        <v>10</v>
      </c>
      <c r="S14" s="17">
        <f t="shared" ref="S14:AF14" si="6">SUM(C26:C29)</f>
        <v>18</v>
      </c>
      <c r="T14" s="17">
        <f t="shared" si="6"/>
        <v>6</v>
      </c>
      <c r="U14" s="17">
        <f t="shared" si="6"/>
        <v>8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135</v>
      </c>
      <c r="AD14" s="17">
        <f t="shared" si="6"/>
        <v>1</v>
      </c>
      <c r="AE14" s="31">
        <f t="shared" si="6"/>
        <v>38</v>
      </c>
      <c r="AF14" s="31">
        <f t="shared" si="6"/>
        <v>173</v>
      </c>
    </row>
    <row r="15" spans="2:32" ht="23.1" customHeight="1" x14ac:dyDescent="0.25">
      <c r="B15" s="23" t="s">
        <v>42</v>
      </c>
      <c r="C15" s="50">
        <v>3</v>
      </c>
      <c r="D15" s="50">
        <v>3</v>
      </c>
      <c r="E15" s="50">
        <v>1</v>
      </c>
      <c r="F15" s="50">
        <v>2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35</v>
      </c>
      <c r="N15" s="50">
        <v>0</v>
      </c>
      <c r="O15" s="15">
        <f t="shared" si="0"/>
        <v>11</v>
      </c>
      <c r="P15" s="15">
        <f t="shared" si="1"/>
        <v>46</v>
      </c>
      <c r="R15" s="1" t="s">
        <v>11</v>
      </c>
      <c r="S15" s="17">
        <f t="shared" ref="S15:AF15" si="7">SUM(C30:C33)</f>
        <v>22</v>
      </c>
      <c r="T15" s="17">
        <f t="shared" si="7"/>
        <v>6</v>
      </c>
      <c r="U15" s="17">
        <f t="shared" si="7"/>
        <v>7</v>
      </c>
      <c r="V15" s="17">
        <f t="shared" si="7"/>
        <v>2</v>
      </c>
      <c r="W15" s="17">
        <f t="shared" si="7"/>
        <v>0</v>
      </c>
      <c r="X15" s="17">
        <f t="shared" si="7"/>
        <v>1</v>
      </c>
      <c r="Y15" s="17">
        <f t="shared" si="7"/>
        <v>2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175</v>
      </c>
      <c r="AD15" s="17">
        <f t="shared" si="7"/>
        <v>0</v>
      </c>
      <c r="AE15" s="31">
        <f t="shared" si="7"/>
        <v>41</v>
      </c>
      <c r="AF15" s="31">
        <f t="shared" si="7"/>
        <v>216</v>
      </c>
    </row>
    <row r="16" spans="2:32" ht="23.1" customHeight="1" x14ac:dyDescent="0.25">
      <c r="B16" s="23" t="s">
        <v>43</v>
      </c>
      <c r="C16" s="50">
        <v>10</v>
      </c>
      <c r="D16" s="50">
        <v>1</v>
      </c>
      <c r="E16" s="50">
        <v>1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48</v>
      </c>
      <c r="N16" s="50">
        <v>0</v>
      </c>
      <c r="O16" s="15">
        <f t="shared" si="0"/>
        <v>15</v>
      </c>
      <c r="P16" s="15">
        <f t="shared" si="1"/>
        <v>63</v>
      </c>
      <c r="R16" s="1" t="s">
        <v>12</v>
      </c>
      <c r="S16" s="17">
        <f t="shared" ref="S16:AF16" si="8">SUM(C34:C37)</f>
        <v>30</v>
      </c>
      <c r="T16" s="17">
        <f t="shared" si="8"/>
        <v>4</v>
      </c>
      <c r="U16" s="17">
        <f t="shared" si="8"/>
        <v>5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2</v>
      </c>
      <c r="AA16" s="17">
        <f t="shared" si="8"/>
        <v>3</v>
      </c>
      <c r="AB16" s="17">
        <f t="shared" si="8"/>
        <v>0</v>
      </c>
      <c r="AC16" s="17">
        <f t="shared" si="8"/>
        <v>147</v>
      </c>
      <c r="AD16" s="17">
        <f t="shared" si="8"/>
        <v>0</v>
      </c>
      <c r="AE16" s="31">
        <f t="shared" si="8"/>
        <v>48</v>
      </c>
      <c r="AF16" s="31">
        <f t="shared" si="8"/>
        <v>195</v>
      </c>
    </row>
    <row r="17" spans="2:32" ht="23.1" customHeight="1" x14ac:dyDescent="0.25">
      <c r="B17" s="23" t="s">
        <v>44</v>
      </c>
      <c r="C17" s="50">
        <v>8</v>
      </c>
      <c r="D17" s="50">
        <v>3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37</v>
      </c>
      <c r="N17" s="50">
        <v>0</v>
      </c>
      <c r="O17" s="15">
        <f t="shared" si="0"/>
        <v>13</v>
      </c>
      <c r="P17" s="15">
        <f t="shared" si="1"/>
        <v>50</v>
      </c>
      <c r="R17" s="1" t="s">
        <v>13</v>
      </c>
      <c r="S17" s="17">
        <f t="shared" ref="S17:AF17" si="9">SUM(C38:C41)</f>
        <v>47</v>
      </c>
      <c r="T17" s="17">
        <f t="shared" si="9"/>
        <v>10</v>
      </c>
      <c r="U17" s="17">
        <f t="shared" si="9"/>
        <v>6</v>
      </c>
      <c r="V17" s="17">
        <f t="shared" si="9"/>
        <v>9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147</v>
      </c>
      <c r="AD17" s="17">
        <f t="shared" si="9"/>
        <v>0</v>
      </c>
      <c r="AE17" s="31">
        <f t="shared" si="9"/>
        <v>83</v>
      </c>
      <c r="AF17" s="31">
        <f t="shared" si="9"/>
        <v>230</v>
      </c>
    </row>
    <row r="18" spans="2:32" ht="23.1" customHeight="1" x14ac:dyDescent="0.25">
      <c r="B18" s="23" t="s">
        <v>45</v>
      </c>
      <c r="C18" s="50">
        <v>7</v>
      </c>
      <c r="D18" s="50">
        <v>2</v>
      </c>
      <c r="E18" s="50">
        <v>1</v>
      </c>
      <c r="F18" s="50">
        <v>1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31</v>
      </c>
      <c r="N18" s="50">
        <v>0</v>
      </c>
      <c r="O18" s="15">
        <f t="shared" si="0"/>
        <v>13</v>
      </c>
      <c r="P18" s="15">
        <f t="shared" si="1"/>
        <v>44</v>
      </c>
      <c r="R18" s="1" t="s">
        <v>14</v>
      </c>
      <c r="S18" s="17">
        <f t="shared" ref="S18:AF18" si="10">SUM(C42:C45)</f>
        <v>10</v>
      </c>
      <c r="T18" s="17">
        <f t="shared" si="10"/>
        <v>8</v>
      </c>
      <c r="U18" s="17">
        <f t="shared" si="10"/>
        <v>1</v>
      </c>
      <c r="V18" s="17">
        <f t="shared" si="10"/>
        <v>11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3</v>
      </c>
      <c r="AA18" s="17">
        <f t="shared" si="10"/>
        <v>2</v>
      </c>
      <c r="AB18" s="17">
        <f t="shared" si="10"/>
        <v>0</v>
      </c>
      <c r="AC18" s="17">
        <f t="shared" si="10"/>
        <v>174</v>
      </c>
      <c r="AD18" s="17">
        <f t="shared" si="10"/>
        <v>0</v>
      </c>
      <c r="AE18" s="31">
        <f t="shared" si="10"/>
        <v>39</v>
      </c>
      <c r="AF18" s="31">
        <f t="shared" si="10"/>
        <v>213</v>
      </c>
    </row>
    <row r="19" spans="2:32" ht="23.1" customHeight="1" x14ac:dyDescent="0.25">
      <c r="B19" s="23" t="s">
        <v>46</v>
      </c>
      <c r="C19" s="50">
        <v>5</v>
      </c>
      <c r="D19" s="50">
        <v>2</v>
      </c>
      <c r="E19" s="50">
        <v>2</v>
      </c>
      <c r="F19" s="50">
        <v>0</v>
      </c>
      <c r="G19" s="50">
        <v>0</v>
      </c>
      <c r="H19" s="50">
        <v>0</v>
      </c>
      <c r="I19" s="50">
        <v>2</v>
      </c>
      <c r="J19" s="50">
        <v>2</v>
      </c>
      <c r="K19" s="50">
        <v>0</v>
      </c>
      <c r="L19" s="50">
        <v>0</v>
      </c>
      <c r="M19" s="50">
        <v>35</v>
      </c>
      <c r="N19" s="50">
        <v>0</v>
      </c>
      <c r="O19" s="15">
        <f t="shared" si="0"/>
        <v>13</v>
      </c>
      <c r="P19" s="15">
        <f t="shared" si="1"/>
        <v>48</v>
      </c>
      <c r="R19" s="1" t="s">
        <v>15</v>
      </c>
      <c r="S19" s="17">
        <f t="shared" ref="S19:AF19" si="11">SUM(C46:C49)</f>
        <v>21</v>
      </c>
      <c r="T19" s="17">
        <f t="shared" si="11"/>
        <v>2</v>
      </c>
      <c r="U19" s="17">
        <f t="shared" si="11"/>
        <v>1</v>
      </c>
      <c r="V19" s="17">
        <f t="shared" si="11"/>
        <v>5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2</v>
      </c>
      <c r="AA19" s="17">
        <f t="shared" si="11"/>
        <v>2</v>
      </c>
      <c r="AB19" s="17">
        <f t="shared" si="11"/>
        <v>0</v>
      </c>
      <c r="AC19" s="17">
        <f t="shared" si="11"/>
        <v>183</v>
      </c>
      <c r="AD19" s="17">
        <f t="shared" si="11"/>
        <v>0</v>
      </c>
      <c r="AE19" s="31">
        <f t="shared" si="11"/>
        <v>37</v>
      </c>
      <c r="AF19" s="31">
        <f t="shared" si="11"/>
        <v>220</v>
      </c>
    </row>
    <row r="20" spans="2:32" ht="23.1" customHeight="1" x14ac:dyDescent="0.25">
      <c r="B20" s="23" t="s">
        <v>47</v>
      </c>
      <c r="C20" s="50">
        <v>2</v>
      </c>
      <c r="D20" s="50">
        <v>1</v>
      </c>
      <c r="E20" s="50">
        <v>2</v>
      </c>
      <c r="F20" s="50">
        <v>2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55</v>
      </c>
      <c r="N20" s="50">
        <v>0</v>
      </c>
      <c r="O20" s="15">
        <f t="shared" si="0"/>
        <v>8</v>
      </c>
      <c r="P20" s="15">
        <f t="shared" si="1"/>
        <v>63</v>
      </c>
      <c r="R20" s="1" t="s">
        <v>16</v>
      </c>
      <c r="S20" s="17">
        <f t="shared" ref="S20:AF20" si="12">SUM(C50:C53)</f>
        <v>20</v>
      </c>
      <c r="T20" s="17">
        <f t="shared" si="12"/>
        <v>1</v>
      </c>
      <c r="U20" s="17">
        <f t="shared" si="12"/>
        <v>3</v>
      </c>
      <c r="V20" s="17">
        <f t="shared" si="12"/>
        <v>2</v>
      </c>
      <c r="W20" s="17">
        <f t="shared" si="12"/>
        <v>1</v>
      </c>
      <c r="X20" s="17">
        <f t="shared" si="12"/>
        <v>2</v>
      </c>
      <c r="Y20" s="17">
        <f t="shared" si="12"/>
        <v>3</v>
      </c>
      <c r="Z20" s="17">
        <f t="shared" si="12"/>
        <v>5</v>
      </c>
      <c r="AA20" s="17">
        <f t="shared" si="12"/>
        <v>1</v>
      </c>
      <c r="AB20" s="17">
        <f t="shared" si="12"/>
        <v>0</v>
      </c>
      <c r="AC20" s="17">
        <f t="shared" si="12"/>
        <v>126</v>
      </c>
      <c r="AD20" s="17">
        <f t="shared" si="12"/>
        <v>0</v>
      </c>
      <c r="AE20" s="31">
        <f t="shared" si="12"/>
        <v>38</v>
      </c>
      <c r="AF20" s="31">
        <f t="shared" si="12"/>
        <v>164</v>
      </c>
    </row>
    <row r="21" spans="2:32" ht="23.1" customHeight="1" x14ac:dyDescent="0.25">
      <c r="B21" s="23" t="s">
        <v>48</v>
      </c>
      <c r="C21" s="50">
        <v>2</v>
      </c>
      <c r="D21" s="50">
        <v>3</v>
      </c>
      <c r="E21" s="50">
        <v>0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2</v>
      </c>
      <c r="L21" s="50">
        <v>0</v>
      </c>
      <c r="M21" s="50">
        <v>46</v>
      </c>
      <c r="N21" s="50">
        <v>0</v>
      </c>
      <c r="O21" s="15">
        <f t="shared" si="0"/>
        <v>9</v>
      </c>
      <c r="P21" s="15">
        <f t="shared" si="1"/>
        <v>55</v>
      </c>
      <c r="R21" s="36" t="s">
        <v>20</v>
      </c>
      <c r="S21" s="34">
        <f t="shared" ref="S21:AF21" si="13">SUM(C54:C57)</f>
        <v>23</v>
      </c>
      <c r="T21" s="17">
        <f t="shared" si="13"/>
        <v>1</v>
      </c>
      <c r="U21" s="17">
        <f t="shared" si="13"/>
        <v>5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124</v>
      </c>
      <c r="AD21" s="17">
        <f t="shared" si="13"/>
        <v>0</v>
      </c>
      <c r="AE21" s="31">
        <f t="shared" si="13"/>
        <v>37</v>
      </c>
      <c r="AF21" s="31">
        <f t="shared" si="13"/>
        <v>161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3</v>
      </c>
      <c r="F22" s="50">
        <v>2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26</v>
      </c>
      <c r="N22" s="50">
        <v>0</v>
      </c>
      <c r="O22" s="15">
        <f t="shared" si="0"/>
        <v>8</v>
      </c>
      <c r="P22" s="15">
        <f t="shared" si="1"/>
        <v>34</v>
      </c>
      <c r="R22" s="38" t="s">
        <v>90</v>
      </c>
      <c r="S22" s="39">
        <f>MAX(S10:S12)</f>
        <v>23</v>
      </c>
      <c r="T22" s="39">
        <f t="shared" ref="T22:AF22" si="14">MAX(T10:T12)</f>
        <v>8</v>
      </c>
      <c r="U22" s="39">
        <f t="shared" si="14"/>
        <v>5</v>
      </c>
      <c r="V22" s="39">
        <f t="shared" si="14"/>
        <v>6</v>
      </c>
      <c r="W22" s="39">
        <f t="shared" si="14"/>
        <v>0</v>
      </c>
      <c r="X22" s="39">
        <f t="shared" si="14"/>
        <v>1</v>
      </c>
      <c r="Y22" s="39">
        <f t="shared" si="14"/>
        <v>5</v>
      </c>
      <c r="Z22" s="39">
        <f t="shared" si="14"/>
        <v>4</v>
      </c>
      <c r="AA22" s="39">
        <f t="shared" si="14"/>
        <v>2</v>
      </c>
      <c r="AB22" s="39">
        <f t="shared" si="14"/>
        <v>0</v>
      </c>
      <c r="AC22" s="39">
        <f t="shared" si="14"/>
        <v>167</v>
      </c>
      <c r="AD22" s="39">
        <f t="shared" si="14"/>
        <v>0</v>
      </c>
      <c r="AE22" s="40">
        <f t="shared" si="14"/>
        <v>45</v>
      </c>
      <c r="AF22" s="40">
        <f t="shared" si="14"/>
        <v>210</v>
      </c>
    </row>
    <row r="23" spans="2:32" ht="23.1" customHeight="1" x14ac:dyDescent="0.25">
      <c r="B23" s="23" t="s">
        <v>50</v>
      </c>
      <c r="C23" s="50">
        <v>6</v>
      </c>
      <c r="D23" s="50">
        <v>2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20</v>
      </c>
      <c r="N23" s="50">
        <v>0</v>
      </c>
      <c r="O23" s="15">
        <f t="shared" si="0"/>
        <v>10</v>
      </c>
      <c r="P23" s="15">
        <f t="shared" si="1"/>
        <v>30</v>
      </c>
      <c r="R23" s="38" t="s">
        <v>91</v>
      </c>
      <c r="S23" s="39">
        <f>MAX(S13:S18)</f>
        <v>47</v>
      </c>
      <c r="T23" s="39">
        <f t="shared" ref="T23:AF23" si="15">MAX(T13:T18)</f>
        <v>10</v>
      </c>
      <c r="U23" s="39">
        <f t="shared" si="15"/>
        <v>8</v>
      </c>
      <c r="V23" s="39">
        <f t="shared" si="15"/>
        <v>11</v>
      </c>
      <c r="W23" s="39">
        <f t="shared" si="15"/>
        <v>0</v>
      </c>
      <c r="X23" s="39">
        <f t="shared" si="15"/>
        <v>1</v>
      </c>
      <c r="Y23" s="39">
        <f t="shared" si="15"/>
        <v>9</v>
      </c>
      <c r="Z23" s="39">
        <f t="shared" si="15"/>
        <v>3</v>
      </c>
      <c r="AA23" s="39">
        <f t="shared" si="15"/>
        <v>3</v>
      </c>
      <c r="AB23" s="39">
        <f t="shared" si="15"/>
        <v>0</v>
      </c>
      <c r="AC23" s="39">
        <f t="shared" si="15"/>
        <v>175</v>
      </c>
      <c r="AD23" s="39">
        <f t="shared" si="15"/>
        <v>1</v>
      </c>
      <c r="AE23" s="40">
        <f t="shared" si="15"/>
        <v>83</v>
      </c>
      <c r="AF23" s="40">
        <f t="shared" si="15"/>
        <v>230</v>
      </c>
    </row>
    <row r="24" spans="2:32" ht="23.1" customHeight="1" x14ac:dyDescent="0.25">
      <c r="B24" s="23" t="s">
        <v>51</v>
      </c>
      <c r="C24" s="50">
        <v>4</v>
      </c>
      <c r="D24" s="50">
        <v>2</v>
      </c>
      <c r="E24" s="50">
        <v>0</v>
      </c>
      <c r="F24" s="50">
        <v>0</v>
      </c>
      <c r="G24" s="50">
        <v>0</v>
      </c>
      <c r="H24" s="50">
        <v>0</v>
      </c>
      <c r="I24" s="50">
        <v>2</v>
      </c>
      <c r="J24" s="50">
        <v>1</v>
      </c>
      <c r="K24" s="50">
        <v>0</v>
      </c>
      <c r="L24" s="50">
        <v>0</v>
      </c>
      <c r="M24" s="50">
        <v>35</v>
      </c>
      <c r="N24" s="50">
        <v>0</v>
      </c>
      <c r="O24" s="15">
        <f t="shared" si="0"/>
        <v>9</v>
      </c>
      <c r="P24" s="15">
        <f t="shared" si="1"/>
        <v>44</v>
      </c>
      <c r="R24" s="38" t="s">
        <v>92</v>
      </c>
      <c r="S24" s="39">
        <f>MAX(S19:S21)</f>
        <v>23</v>
      </c>
      <c r="T24" s="39">
        <f t="shared" ref="T24:AF24" si="16">MAX(T19:T21)</f>
        <v>2</v>
      </c>
      <c r="U24" s="39">
        <f t="shared" si="16"/>
        <v>5</v>
      </c>
      <c r="V24" s="39">
        <f t="shared" si="16"/>
        <v>5</v>
      </c>
      <c r="W24" s="39">
        <f t="shared" si="16"/>
        <v>1</v>
      </c>
      <c r="X24" s="39">
        <f t="shared" si="16"/>
        <v>2</v>
      </c>
      <c r="Y24" s="39">
        <f t="shared" si="16"/>
        <v>4</v>
      </c>
      <c r="Z24" s="39">
        <f t="shared" si="16"/>
        <v>5</v>
      </c>
      <c r="AA24" s="39">
        <f t="shared" si="16"/>
        <v>2</v>
      </c>
      <c r="AB24" s="39">
        <f t="shared" si="16"/>
        <v>0</v>
      </c>
      <c r="AC24" s="39">
        <f t="shared" si="16"/>
        <v>183</v>
      </c>
      <c r="AD24" s="39">
        <f t="shared" si="16"/>
        <v>0</v>
      </c>
      <c r="AE24" s="40">
        <f t="shared" si="16"/>
        <v>38</v>
      </c>
      <c r="AF24" s="40">
        <f t="shared" si="16"/>
        <v>220</v>
      </c>
    </row>
    <row r="25" spans="2:32" ht="23.1" customHeight="1" x14ac:dyDescent="0.25">
      <c r="B25" s="23" t="s">
        <v>52</v>
      </c>
      <c r="C25" s="50">
        <v>2</v>
      </c>
      <c r="D25" s="50">
        <v>1</v>
      </c>
      <c r="E25" s="50">
        <v>3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14</v>
      </c>
      <c r="N25" s="50">
        <v>0</v>
      </c>
      <c r="O25" s="15">
        <f t="shared" si="0"/>
        <v>8</v>
      </c>
      <c r="P25" s="15">
        <f t="shared" si="1"/>
        <v>22</v>
      </c>
      <c r="R25" s="37" t="s">
        <v>85</v>
      </c>
      <c r="S25" s="35">
        <f t="shared" ref="S25:AF25" si="17">SUM(S10:S12)</f>
        <v>54</v>
      </c>
      <c r="T25" s="16">
        <f t="shared" si="17"/>
        <v>18</v>
      </c>
      <c r="U25" s="16">
        <f t="shared" si="17"/>
        <v>13</v>
      </c>
      <c r="V25" s="16">
        <f t="shared" si="17"/>
        <v>15</v>
      </c>
      <c r="W25" s="16">
        <f t="shared" si="17"/>
        <v>0</v>
      </c>
      <c r="X25" s="16">
        <f t="shared" si="17"/>
        <v>1</v>
      </c>
      <c r="Y25" s="16">
        <f t="shared" si="17"/>
        <v>12</v>
      </c>
      <c r="Z25" s="16">
        <f t="shared" si="17"/>
        <v>6</v>
      </c>
      <c r="AA25" s="16">
        <f t="shared" si="17"/>
        <v>3</v>
      </c>
      <c r="AB25" s="16">
        <f t="shared" si="17"/>
        <v>0</v>
      </c>
      <c r="AC25" s="16">
        <f t="shared" si="17"/>
        <v>450</v>
      </c>
      <c r="AD25" s="16">
        <f t="shared" si="17"/>
        <v>0</v>
      </c>
      <c r="AE25" s="32">
        <f t="shared" si="17"/>
        <v>122</v>
      </c>
      <c r="AF25" s="32">
        <f t="shared" si="17"/>
        <v>572</v>
      </c>
    </row>
    <row r="26" spans="2:32" ht="23.1" customHeight="1" x14ac:dyDescent="0.25">
      <c r="B26" s="23" t="s">
        <v>53</v>
      </c>
      <c r="C26" s="50">
        <v>8</v>
      </c>
      <c r="D26" s="50">
        <v>5</v>
      </c>
      <c r="E26" s="50">
        <v>3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44</v>
      </c>
      <c r="N26" s="50">
        <v>0</v>
      </c>
      <c r="O26" s="15">
        <f t="shared" si="0"/>
        <v>17</v>
      </c>
      <c r="P26" s="15">
        <f t="shared" si="1"/>
        <v>61</v>
      </c>
      <c r="R26" s="28" t="s">
        <v>86</v>
      </c>
      <c r="S26" s="16">
        <f t="shared" ref="S26:AF26" si="18">SUM(S13:S18)</f>
        <v>142</v>
      </c>
      <c r="T26" s="16">
        <f t="shared" si="18"/>
        <v>39</v>
      </c>
      <c r="U26" s="16">
        <f t="shared" si="18"/>
        <v>33</v>
      </c>
      <c r="V26" s="16">
        <f t="shared" si="18"/>
        <v>30</v>
      </c>
      <c r="W26" s="16">
        <f t="shared" si="18"/>
        <v>0</v>
      </c>
      <c r="X26" s="16">
        <f t="shared" si="18"/>
        <v>1</v>
      </c>
      <c r="Y26" s="16">
        <f t="shared" si="18"/>
        <v>23</v>
      </c>
      <c r="Z26" s="16">
        <f t="shared" si="18"/>
        <v>9</v>
      </c>
      <c r="AA26" s="16">
        <f t="shared" si="18"/>
        <v>6</v>
      </c>
      <c r="AB26" s="16">
        <f t="shared" si="18"/>
        <v>0</v>
      </c>
      <c r="AC26" s="16">
        <f t="shared" si="18"/>
        <v>873</v>
      </c>
      <c r="AD26" s="16">
        <f t="shared" si="18"/>
        <v>1</v>
      </c>
      <c r="AE26" s="32">
        <f t="shared" si="18"/>
        <v>284</v>
      </c>
      <c r="AF26" s="32">
        <f t="shared" si="18"/>
        <v>1157</v>
      </c>
    </row>
    <row r="27" spans="2:32" ht="23.1" customHeight="1" x14ac:dyDescent="0.25">
      <c r="B27" s="23" t="s">
        <v>54</v>
      </c>
      <c r="C27" s="50">
        <v>6</v>
      </c>
      <c r="D27" s="50">
        <v>1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30</v>
      </c>
      <c r="N27" s="50">
        <v>0</v>
      </c>
      <c r="O27" s="15">
        <f t="shared" si="0"/>
        <v>9</v>
      </c>
      <c r="P27" s="15">
        <f t="shared" si="1"/>
        <v>39</v>
      </c>
      <c r="R27" s="29" t="s">
        <v>87</v>
      </c>
      <c r="S27" s="16">
        <f t="shared" ref="S27:AF27" si="19">SUM(S19:S21)</f>
        <v>64</v>
      </c>
      <c r="T27" s="16">
        <f t="shared" si="19"/>
        <v>4</v>
      </c>
      <c r="U27" s="16">
        <f t="shared" si="19"/>
        <v>9</v>
      </c>
      <c r="V27" s="16">
        <f t="shared" si="19"/>
        <v>11</v>
      </c>
      <c r="W27" s="16">
        <f t="shared" si="19"/>
        <v>1</v>
      </c>
      <c r="X27" s="16">
        <f t="shared" si="19"/>
        <v>2</v>
      </c>
      <c r="Y27" s="16">
        <f t="shared" si="19"/>
        <v>9</v>
      </c>
      <c r="Z27" s="16">
        <f t="shared" si="19"/>
        <v>9</v>
      </c>
      <c r="AA27" s="16">
        <f t="shared" si="19"/>
        <v>3</v>
      </c>
      <c r="AB27" s="16">
        <f t="shared" si="19"/>
        <v>0</v>
      </c>
      <c r="AC27" s="16">
        <f t="shared" si="19"/>
        <v>433</v>
      </c>
      <c r="AD27" s="16">
        <f t="shared" si="19"/>
        <v>0</v>
      </c>
      <c r="AE27" s="32">
        <f t="shared" si="19"/>
        <v>112</v>
      </c>
      <c r="AF27" s="32">
        <f t="shared" si="19"/>
        <v>545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3</v>
      </c>
      <c r="F28" s="50">
        <v>1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31</v>
      </c>
      <c r="N28" s="50">
        <v>1</v>
      </c>
      <c r="O28" s="15">
        <f t="shared" si="0"/>
        <v>9</v>
      </c>
      <c r="P28" s="15">
        <f t="shared" si="1"/>
        <v>40</v>
      </c>
      <c r="R28" s="5" t="s">
        <v>17</v>
      </c>
      <c r="S28" s="16">
        <f t="shared" ref="S28:AF28" si="20">SUM(S10:S21)</f>
        <v>260</v>
      </c>
      <c r="T28" s="16">
        <f t="shared" si="20"/>
        <v>61</v>
      </c>
      <c r="U28" s="16">
        <f t="shared" si="20"/>
        <v>55</v>
      </c>
      <c r="V28" s="16">
        <f t="shared" si="20"/>
        <v>56</v>
      </c>
      <c r="W28" s="16">
        <f t="shared" si="20"/>
        <v>1</v>
      </c>
      <c r="X28" s="16">
        <f t="shared" si="20"/>
        <v>4</v>
      </c>
      <c r="Y28" s="16">
        <f t="shared" si="20"/>
        <v>44</v>
      </c>
      <c r="Z28" s="16">
        <f t="shared" si="20"/>
        <v>24</v>
      </c>
      <c r="AA28" s="16">
        <f t="shared" si="20"/>
        <v>12</v>
      </c>
      <c r="AB28" s="16">
        <f t="shared" si="20"/>
        <v>0</v>
      </c>
      <c r="AC28" s="16">
        <f t="shared" si="20"/>
        <v>1756</v>
      </c>
      <c r="AD28" s="16">
        <f t="shared" si="20"/>
        <v>1</v>
      </c>
      <c r="AE28" s="32">
        <f t="shared" si="20"/>
        <v>518</v>
      </c>
      <c r="AF28" s="32">
        <f t="shared" si="20"/>
        <v>2274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30</v>
      </c>
      <c r="N29" s="50">
        <v>0</v>
      </c>
      <c r="O29" s="15">
        <f t="shared" si="0"/>
        <v>3</v>
      </c>
      <c r="P29" s="15">
        <f t="shared" si="1"/>
        <v>33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2</v>
      </c>
      <c r="E30" s="50">
        <v>3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34</v>
      </c>
      <c r="N30" s="50">
        <v>0</v>
      </c>
      <c r="O30" s="15">
        <f t="shared" si="0"/>
        <v>9</v>
      </c>
      <c r="P30" s="15">
        <f t="shared" si="1"/>
        <v>43</v>
      </c>
    </row>
    <row r="31" spans="2:32" ht="23.1" customHeight="1" x14ac:dyDescent="0.25">
      <c r="B31" s="24" t="s">
        <v>58</v>
      </c>
      <c r="C31" s="50">
        <v>7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53</v>
      </c>
      <c r="N31" s="50">
        <v>0</v>
      </c>
      <c r="O31" s="15">
        <f t="shared" si="0"/>
        <v>7</v>
      </c>
      <c r="P31" s="15">
        <f t="shared" si="1"/>
        <v>60</v>
      </c>
    </row>
    <row r="32" spans="2:32" ht="23.1" customHeight="1" x14ac:dyDescent="0.25">
      <c r="B32" s="24" t="s">
        <v>59</v>
      </c>
      <c r="C32" s="50">
        <v>6</v>
      </c>
      <c r="D32" s="50">
        <v>1</v>
      </c>
      <c r="E32" s="50">
        <v>2</v>
      </c>
      <c r="F32" s="50">
        <v>1</v>
      </c>
      <c r="G32" s="50">
        <v>0</v>
      </c>
      <c r="H32" s="50">
        <v>1</v>
      </c>
      <c r="I32" s="50">
        <v>0</v>
      </c>
      <c r="J32" s="50">
        <v>1</v>
      </c>
      <c r="K32" s="50">
        <v>0</v>
      </c>
      <c r="L32" s="50">
        <v>0</v>
      </c>
      <c r="M32" s="50">
        <v>43</v>
      </c>
      <c r="N32" s="50">
        <v>0</v>
      </c>
      <c r="O32" s="15">
        <f t="shared" si="0"/>
        <v>12</v>
      </c>
      <c r="P32" s="15">
        <f t="shared" si="1"/>
        <v>55</v>
      </c>
    </row>
    <row r="33" spans="2:20" ht="23.1" customHeight="1" x14ac:dyDescent="0.25">
      <c r="B33" s="23" t="s">
        <v>60</v>
      </c>
      <c r="C33" s="50">
        <v>5</v>
      </c>
      <c r="D33" s="50">
        <v>3</v>
      </c>
      <c r="E33" s="50">
        <v>2</v>
      </c>
      <c r="F33" s="50">
        <v>1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45</v>
      </c>
      <c r="N33" s="50">
        <v>0</v>
      </c>
      <c r="O33" s="15">
        <f t="shared" si="0"/>
        <v>13</v>
      </c>
      <c r="P33" s="15">
        <f t="shared" si="1"/>
        <v>58</v>
      </c>
    </row>
    <row r="34" spans="2:20" ht="23.1" customHeight="1" x14ac:dyDescent="0.25">
      <c r="B34" s="24" t="s">
        <v>61</v>
      </c>
      <c r="C34" s="50">
        <v>6</v>
      </c>
      <c r="D34" s="50">
        <v>1</v>
      </c>
      <c r="E34" s="50">
        <v>2</v>
      </c>
      <c r="F34" s="50">
        <v>3</v>
      </c>
      <c r="G34" s="50">
        <v>0</v>
      </c>
      <c r="H34" s="50">
        <v>0</v>
      </c>
      <c r="I34" s="50">
        <v>1</v>
      </c>
      <c r="J34" s="50">
        <v>0</v>
      </c>
      <c r="K34" s="50">
        <v>1</v>
      </c>
      <c r="L34" s="50">
        <v>0</v>
      </c>
      <c r="M34" s="50">
        <v>27</v>
      </c>
      <c r="N34" s="50">
        <v>0</v>
      </c>
      <c r="O34" s="15">
        <f t="shared" si="0"/>
        <v>14</v>
      </c>
      <c r="P34" s="15">
        <f t="shared" si="1"/>
        <v>41</v>
      </c>
    </row>
    <row r="35" spans="2:20" ht="23.1" customHeight="1" x14ac:dyDescent="0.25">
      <c r="B35" s="24" t="s">
        <v>62</v>
      </c>
      <c r="C35" s="50">
        <v>4</v>
      </c>
      <c r="D35" s="50">
        <v>2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50</v>
      </c>
      <c r="N35" s="50">
        <v>0</v>
      </c>
      <c r="O35" s="15">
        <f t="shared" si="0"/>
        <v>7</v>
      </c>
      <c r="P35" s="15">
        <f t="shared" si="1"/>
        <v>57</v>
      </c>
    </row>
    <row r="36" spans="2:20" ht="23.1" customHeight="1" x14ac:dyDescent="0.25">
      <c r="B36" s="24" t="s">
        <v>63</v>
      </c>
      <c r="C36" s="50">
        <v>7</v>
      </c>
      <c r="D36" s="50">
        <v>0</v>
      </c>
      <c r="E36" s="50">
        <v>2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1</v>
      </c>
      <c r="L36" s="50">
        <v>0</v>
      </c>
      <c r="M36" s="50">
        <v>31</v>
      </c>
      <c r="N36" s="50">
        <v>0</v>
      </c>
      <c r="O36" s="15">
        <f t="shared" si="0"/>
        <v>11</v>
      </c>
      <c r="P36" s="15">
        <f t="shared" si="1"/>
        <v>42</v>
      </c>
    </row>
    <row r="37" spans="2:20" ht="23.1" customHeight="1" x14ac:dyDescent="0.25">
      <c r="B37" s="23" t="s">
        <v>64</v>
      </c>
      <c r="C37" s="50">
        <v>13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1</v>
      </c>
      <c r="K37" s="50">
        <v>1</v>
      </c>
      <c r="L37" s="50">
        <v>0</v>
      </c>
      <c r="M37" s="50">
        <v>39</v>
      </c>
      <c r="N37" s="50">
        <v>0</v>
      </c>
      <c r="O37" s="15">
        <f t="shared" si="0"/>
        <v>16</v>
      </c>
      <c r="P37" s="15">
        <f t="shared" si="1"/>
        <v>55</v>
      </c>
    </row>
    <row r="38" spans="2:20" ht="23.1" customHeight="1" x14ac:dyDescent="0.25">
      <c r="B38" s="24" t="s">
        <v>65</v>
      </c>
      <c r="C38" s="50">
        <v>31</v>
      </c>
      <c r="D38" s="50">
        <v>2</v>
      </c>
      <c r="E38" s="50">
        <v>3</v>
      </c>
      <c r="F38" s="50">
        <v>3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50</v>
      </c>
      <c r="N38" s="50">
        <v>0</v>
      </c>
      <c r="O38" s="15">
        <f t="shared" si="0"/>
        <v>41</v>
      </c>
      <c r="P38" s="15">
        <f t="shared" si="1"/>
        <v>91</v>
      </c>
    </row>
    <row r="39" spans="2:20" ht="23.1" customHeight="1" x14ac:dyDescent="0.25">
      <c r="B39" s="24" t="s">
        <v>66</v>
      </c>
      <c r="C39" s="50">
        <v>8</v>
      </c>
      <c r="D39" s="50">
        <v>4</v>
      </c>
      <c r="E39" s="50">
        <v>0</v>
      </c>
      <c r="F39" s="50">
        <v>1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29</v>
      </c>
      <c r="N39" s="50">
        <v>0</v>
      </c>
      <c r="O39" s="15">
        <f t="shared" si="0"/>
        <v>16</v>
      </c>
      <c r="P39" s="15">
        <f t="shared" si="1"/>
        <v>45</v>
      </c>
    </row>
    <row r="40" spans="2:20" ht="23.1" customHeight="1" x14ac:dyDescent="0.25">
      <c r="B40" s="24" t="s">
        <v>67</v>
      </c>
      <c r="C40" s="50">
        <v>6</v>
      </c>
      <c r="D40" s="50">
        <v>2</v>
      </c>
      <c r="E40" s="50">
        <v>1</v>
      </c>
      <c r="F40" s="50">
        <v>2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38</v>
      </c>
      <c r="N40" s="50">
        <v>0</v>
      </c>
      <c r="O40" s="15">
        <f t="shared" si="0"/>
        <v>13</v>
      </c>
      <c r="P40" s="15">
        <f t="shared" si="1"/>
        <v>51</v>
      </c>
    </row>
    <row r="41" spans="2:20" ht="23.1" customHeight="1" x14ac:dyDescent="0.25">
      <c r="B41" s="23" t="s">
        <v>68</v>
      </c>
      <c r="C41" s="50">
        <v>2</v>
      </c>
      <c r="D41" s="50">
        <v>2</v>
      </c>
      <c r="E41" s="50">
        <v>2</v>
      </c>
      <c r="F41" s="50">
        <v>3</v>
      </c>
      <c r="G41" s="50">
        <v>0</v>
      </c>
      <c r="H41" s="50">
        <v>0</v>
      </c>
      <c r="I41" s="50">
        <v>2</v>
      </c>
      <c r="J41" s="50">
        <v>1</v>
      </c>
      <c r="K41" s="50">
        <v>1</v>
      </c>
      <c r="L41" s="50">
        <v>0</v>
      </c>
      <c r="M41" s="50">
        <v>30</v>
      </c>
      <c r="N41" s="50">
        <v>0</v>
      </c>
      <c r="O41" s="15">
        <f t="shared" si="0"/>
        <v>13</v>
      </c>
      <c r="P41" s="15">
        <f t="shared" si="1"/>
        <v>43</v>
      </c>
    </row>
    <row r="42" spans="2:20" ht="23.1" customHeight="1" x14ac:dyDescent="0.25">
      <c r="B42" s="24" t="s">
        <v>69</v>
      </c>
      <c r="C42" s="50">
        <v>3</v>
      </c>
      <c r="D42" s="50">
        <v>2</v>
      </c>
      <c r="E42" s="50">
        <v>0</v>
      </c>
      <c r="F42" s="50">
        <v>2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44</v>
      </c>
      <c r="N42" s="50">
        <v>0</v>
      </c>
      <c r="O42" s="15">
        <f t="shared" si="0"/>
        <v>8</v>
      </c>
      <c r="P42" s="15">
        <f t="shared" si="1"/>
        <v>52</v>
      </c>
    </row>
    <row r="43" spans="2:20" ht="23.1" customHeight="1" x14ac:dyDescent="0.25">
      <c r="B43" s="23" t="s">
        <v>70</v>
      </c>
      <c r="C43" s="50">
        <v>1</v>
      </c>
      <c r="D43" s="50">
        <v>2</v>
      </c>
      <c r="E43" s="50">
        <v>0</v>
      </c>
      <c r="F43" s="50">
        <v>3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20</v>
      </c>
      <c r="N43" s="50">
        <v>0</v>
      </c>
      <c r="O43" s="15">
        <f t="shared" si="0"/>
        <v>6</v>
      </c>
      <c r="P43" s="15">
        <f t="shared" si="1"/>
        <v>26</v>
      </c>
    </row>
    <row r="44" spans="2:20" ht="23.1" customHeight="1" x14ac:dyDescent="0.25">
      <c r="B44" s="25" t="s">
        <v>71</v>
      </c>
      <c r="C44" s="50">
        <v>2</v>
      </c>
      <c r="D44" s="50">
        <v>3</v>
      </c>
      <c r="E44" s="50">
        <v>0</v>
      </c>
      <c r="F44" s="50">
        <v>3</v>
      </c>
      <c r="G44" s="50">
        <v>0</v>
      </c>
      <c r="H44" s="50">
        <v>0</v>
      </c>
      <c r="I44" s="50">
        <v>2</v>
      </c>
      <c r="J44" s="50">
        <v>2</v>
      </c>
      <c r="K44" s="50">
        <v>1</v>
      </c>
      <c r="L44" s="50">
        <v>0</v>
      </c>
      <c r="M44" s="50">
        <v>60</v>
      </c>
      <c r="N44" s="50">
        <v>0</v>
      </c>
      <c r="O44" s="15">
        <f t="shared" si="0"/>
        <v>13</v>
      </c>
      <c r="P44" s="15">
        <f t="shared" si="1"/>
        <v>73</v>
      </c>
    </row>
    <row r="45" spans="2:20" ht="23.1" customHeight="1" x14ac:dyDescent="0.25">
      <c r="B45" s="23" t="s">
        <v>72</v>
      </c>
      <c r="C45" s="50">
        <v>4</v>
      </c>
      <c r="D45" s="50">
        <v>1</v>
      </c>
      <c r="E45" s="50">
        <v>1</v>
      </c>
      <c r="F45" s="50">
        <v>3</v>
      </c>
      <c r="G45" s="50">
        <v>0</v>
      </c>
      <c r="H45" s="50">
        <v>0</v>
      </c>
      <c r="I45" s="50">
        <v>1</v>
      </c>
      <c r="J45" s="50">
        <v>1</v>
      </c>
      <c r="K45" s="50">
        <v>1</v>
      </c>
      <c r="L45" s="50">
        <v>0</v>
      </c>
      <c r="M45" s="50">
        <v>50</v>
      </c>
      <c r="N45" s="50">
        <v>0</v>
      </c>
      <c r="O45" s="15">
        <f t="shared" si="0"/>
        <v>12</v>
      </c>
      <c r="P45" s="15">
        <f t="shared" si="1"/>
        <v>62</v>
      </c>
    </row>
    <row r="46" spans="2:20" ht="23.1" customHeight="1" x14ac:dyDescent="0.25">
      <c r="B46" s="24" t="s">
        <v>73</v>
      </c>
      <c r="C46" s="50">
        <v>5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1</v>
      </c>
      <c r="L46" s="50">
        <v>0</v>
      </c>
      <c r="M46" s="50">
        <v>23</v>
      </c>
      <c r="N46" s="50">
        <v>0</v>
      </c>
      <c r="O46" s="15">
        <f t="shared" si="0"/>
        <v>9</v>
      </c>
      <c r="P46" s="15">
        <f t="shared" si="1"/>
        <v>32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1</v>
      </c>
      <c r="E47" s="50">
        <v>0</v>
      </c>
      <c r="F47" s="50">
        <v>2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45</v>
      </c>
      <c r="N47" s="50">
        <v>0</v>
      </c>
      <c r="O47" s="15">
        <f t="shared" si="0"/>
        <v>10</v>
      </c>
      <c r="P47" s="15">
        <f t="shared" si="1"/>
        <v>55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2</v>
      </c>
      <c r="J48" s="50">
        <v>2</v>
      </c>
      <c r="K48" s="50">
        <v>1</v>
      </c>
      <c r="L48" s="50">
        <v>0</v>
      </c>
      <c r="M48" s="50">
        <v>50</v>
      </c>
      <c r="N48" s="50">
        <v>0</v>
      </c>
      <c r="O48" s="15">
        <f t="shared" si="0"/>
        <v>10</v>
      </c>
      <c r="P48" s="15">
        <f t="shared" si="1"/>
        <v>60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1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65</v>
      </c>
      <c r="N49" s="50">
        <v>0</v>
      </c>
      <c r="O49" s="15">
        <f t="shared" si="0"/>
        <v>8</v>
      </c>
      <c r="P49" s="15">
        <f t="shared" si="1"/>
        <v>73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1</v>
      </c>
      <c r="J50" s="50">
        <v>2</v>
      </c>
      <c r="K50" s="50">
        <v>1</v>
      </c>
      <c r="L50" s="50">
        <v>0</v>
      </c>
      <c r="M50" s="50">
        <v>38</v>
      </c>
      <c r="N50" s="50">
        <v>0</v>
      </c>
      <c r="O50" s="15">
        <f t="shared" si="0"/>
        <v>11</v>
      </c>
      <c r="P50" s="15">
        <f t="shared" si="1"/>
        <v>49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0</v>
      </c>
      <c r="E51" s="50">
        <v>2</v>
      </c>
      <c r="F51" s="50">
        <v>0</v>
      </c>
      <c r="G51" s="50">
        <v>0</v>
      </c>
      <c r="H51" s="50">
        <v>1</v>
      </c>
      <c r="I51" s="50">
        <v>0</v>
      </c>
      <c r="J51" s="50">
        <v>2</v>
      </c>
      <c r="K51" s="50">
        <v>0</v>
      </c>
      <c r="L51" s="50">
        <v>0</v>
      </c>
      <c r="M51" s="50">
        <v>30</v>
      </c>
      <c r="N51" s="50">
        <v>0</v>
      </c>
      <c r="O51" s="15">
        <f t="shared" si="0"/>
        <v>12</v>
      </c>
      <c r="P51" s="15">
        <f t="shared" si="1"/>
        <v>42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0</v>
      </c>
      <c r="F52" s="50">
        <v>0</v>
      </c>
      <c r="G52" s="50">
        <v>0</v>
      </c>
      <c r="H52" s="50">
        <v>1</v>
      </c>
      <c r="I52" s="50">
        <v>0</v>
      </c>
      <c r="J52" s="50">
        <v>1</v>
      </c>
      <c r="K52" s="50">
        <v>0</v>
      </c>
      <c r="L52" s="50">
        <v>0</v>
      </c>
      <c r="M52" s="50">
        <v>27</v>
      </c>
      <c r="N52" s="50">
        <v>0</v>
      </c>
      <c r="O52" s="15">
        <f t="shared" si="0"/>
        <v>5</v>
      </c>
      <c r="P52" s="15">
        <f t="shared" si="1"/>
        <v>32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1</v>
      </c>
      <c r="E53" s="50">
        <v>1</v>
      </c>
      <c r="F53" s="50">
        <v>1</v>
      </c>
      <c r="G53" s="50">
        <v>1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31</v>
      </c>
      <c r="N53" s="50">
        <v>0</v>
      </c>
      <c r="O53" s="15">
        <f t="shared" si="0"/>
        <v>10</v>
      </c>
      <c r="P53" s="15">
        <f t="shared" si="1"/>
        <v>41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0</v>
      </c>
      <c r="E54" s="50">
        <v>2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39</v>
      </c>
      <c r="N54" s="50">
        <v>0</v>
      </c>
      <c r="O54" s="15">
        <f t="shared" si="0"/>
        <v>9</v>
      </c>
      <c r="P54" s="15">
        <f t="shared" si="1"/>
        <v>48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0</v>
      </c>
      <c r="E55" s="50">
        <v>1</v>
      </c>
      <c r="F55" s="50">
        <v>1</v>
      </c>
      <c r="G55" s="50">
        <v>0</v>
      </c>
      <c r="H55" s="50">
        <v>0</v>
      </c>
      <c r="I55" s="50">
        <v>2</v>
      </c>
      <c r="J55" s="50">
        <v>1</v>
      </c>
      <c r="K55" s="50">
        <v>0</v>
      </c>
      <c r="L55" s="50">
        <v>0</v>
      </c>
      <c r="M55" s="50">
        <v>39</v>
      </c>
      <c r="N55" s="50">
        <v>0</v>
      </c>
      <c r="O55" s="15">
        <f t="shared" si="0"/>
        <v>12</v>
      </c>
      <c r="P55" s="15">
        <f t="shared" si="1"/>
        <v>51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23</v>
      </c>
      <c r="N56" s="50">
        <v>0</v>
      </c>
      <c r="O56" s="15">
        <f t="shared" si="0"/>
        <v>7</v>
      </c>
      <c r="P56" s="15">
        <f t="shared" si="1"/>
        <v>30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1</v>
      </c>
      <c r="E57" s="50">
        <v>1</v>
      </c>
      <c r="F57" s="50">
        <v>3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23</v>
      </c>
      <c r="N57" s="50">
        <v>0</v>
      </c>
      <c r="O57" s="15">
        <f t="shared" si="0"/>
        <v>9</v>
      </c>
      <c r="P57" s="15">
        <f t="shared" si="1"/>
        <v>32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260</v>
      </c>
      <c r="D58" s="16">
        <f t="shared" si="21"/>
        <v>61</v>
      </c>
      <c r="E58" s="16">
        <f t="shared" si="21"/>
        <v>55</v>
      </c>
      <c r="F58" s="16">
        <f t="shared" si="21"/>
        <v>56</v>
      </c>
      <c r="G58" s="16">
        <f t="shared" si="21"/>
        <v>1</v>
      </c>
      <c r="H58" s="16">
        <f t="shared" si="21"/>
        <v>4</v>
      </c>
      <c r="I58" s="16">
        <f t="shared" si="21"/>
        <v>44</v>
      </c>
      <c r="J58" s="16">
        <f t="shared" si="21"/>
        <v>24</v>
      </c>
      <c r="K58" s="16">
        <f t="shared" si="21"/>
        <v>12</v>
      </c>
      <c r="L58" s="16">
        <f t="shared" si="21"/>
        <v>0</v>
      </c>
      <c r="M58" s="16">
        <f t="shared" si="21"/>
        <v>1756</v>
      </c>
      <c r="N58" s="16">
        <f t="shared" si="21"/>
        <v>1</v>
      </c>
      <c r="O58" s="16">
        <f t="shared" si="21"/>
        <v>518</v>
      </c>
      <c r="P58" s="16">
        <f t="shared" si="21"/>
        <v>2274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0.11433597185576078</v>
      </c>
      <c r="D59" s="43">
        <f t="shared" si="22"/>
        <v>2.6824978012313105E-2</v>
      </c>
      <c r="E59" s="43">
        <f t="shared" si="22"/>
        <v>2.4186455584872472E-2</v>
      </c>
      <c r="F59" s="43">
        <f t="shared" si="22"/>
        <v>2.4626209322779244E-2</v>
      </c>
      <c r="G59" s="43">
        <f t="shared" si="22"/>
        <v>4.3975373790677223E-4</v>
      </c>
      <c r="H59" s="43">
        <f t="shared" si="22"/>
        <v>1.7590149516270889E-3</v>
      </c>
      <c r="I59" s="43">
        <f t="shared" si="22"/>
        <v>1.9349164467897976E-2</v>
      </c>
      <c r="J59" s="43">
        <f t="shared" si="22"/>
        <v>1.0554089709762533E-2</v>
      </c>
      <c r="K59" s="43">
        <f t="shared" si="22"/>
        <v>5.2770448548812663E-3</v>
      </c>
      <c r="L59" s="43">
        <f t="shared" si="22"/>
        <v>0</v>
      </c>
      <c r="M59" s="43">
        <f t="shared" si="22"/>
        <v>0.772207563764292</v>
      </c>
      <c r="N59" s="43">
        <f t="shared" si="22"/>
        <v>4.3975373790677223E-4</v>
      </c>
      <c r="R59" s="8"/>
      <c r="T59"/>
    </row>
    <row r="60" spans="2:20" ht="23.1" customHeight="1" x14ac:dyDescent="0.25">
      <c r="B60" s="42" t="s">
        <v>94</v>
      </c>
      <c r="C60" s="44">
        <f>C58/$O$58</f>
        <v>0.50193050193050193</v>
      </c>
      <c r="D60" s="44">
        <f t="shared" ref="D60:N60" si="23">D58/$O$58</f>
        <v>0.11776061776061776</v>
      </c>
      <c r="E60" s="44">
        <f t="shared" si="23"/>
        <v>0.10617760617760617</v>
      </c>
      <c r="F60" s="44">
        <f t="shared" si="23"/>
        <v>0.10810810810810811</v>
      </c>
      <c r="G60" s="44">
        <f t="shared" si="23"/>
        <v>1.9305019305019305E-3</v>
      </c>
      <c r="H60" s="44">
        <f t="shared" si="23"/>
        <v>7.7220077220077222E-3</v>
      </c>
      <c r="I60" s="44">
        <f t="shared" si="23"/>
        <v>8.4942084942084939E-2</v>
      </c>
      <c r="J60" s="44">
        <f t="shared" si="23"/>
        <v>4.633204633204633E-2</v>
      </c>
      <c r="K60" s="44">
        <f t="shared" si="23"/>
        <v>2.3166023166023165E-2</v>
      </c>
      <c r="L60" s="44">
        <f t="shared" si="23"/>
        <v>0</v>
      </c>
      <c r="M60" s="44"/>
      <c r="N60" s="44">
        <f t="shared" si="23"/>
        <v>1.9305019305019305E-3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B1:AF174"/>
  <sheetViews>
    <sheetView view="pageBreakPreview" topLeftCell="A37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KYENJOJO-HOIMA'!C3:G3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63" t="str">
        <f>'30.10 HOIMA-KYENJOJO'!G5:H5</f>
        <v>KYENJOJO</v>
      </c>
      <c r="H5" s="64"/>
      <c r="I5" s="14"/>
      <c r="J5" s="2" t="s">
        <v>5</v>
      </c>
      <c r="K5" s="63" t="s">
        <v>171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KYENJOJO-HOIMA'!D6:E6</f>
        <v>KYENJOJO</v>
      </c>
      <c r="E6" s="64"/>
      <c r="F6" s="2" t="s">
        <v>2</v>
      </c>
      <c r="G6" s="63" t="str">
        <f>'25.10 KYENJOJO-HOIMA'!G6:H6</f>
        <v>HOIMA</v>
      </c>
      <c r="H6" s="64"/>
      <c r="J6" s="2" t="s">
        <v>21</v>
      </c>
      <c r="K6" s="63" t="str">
        <f>'30.10 HOIMA-KYENJOJO'!K6:L6</f>
        <v>FELIX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2</v>
      </c>
      <c r="T10" s="17">
        <f t="shared" si="2"/>
        <v>2</v>
      </c>
      <c r="U10" s="17">
        <f t="shared" si="2"/>
        <v>1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2</v>
      </c>
      <c r="AC10" s="17">
        <f t="shared" si="2"/>
        <v>1</v>
      </c>
      <c r="AD10" s="17">
        <f t="shared" si="2"/>
        <v>0</v>
      </c>
      <c r="AE10" s="31">
        <f t="shared" si="2"/>
        <v>11</v>
      </c>
      <c r="AF10" s="31">
        <f t="shared" si="2"/>
        <v>12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1</v>
      </c>
      <c r="F11" s="50">
        <v>3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2</v>
      </c>
      <c r="M11" s="50">
        <v>0</v>
      </c>
      <c r="N11" s="50">
        <v>0</v>
      </c>
      <c r="O11" s="15">
        <f t="shared" si="0"/>
        <v>8</v>
      </c>
      <c r="P11" s="15">
        <f t="shared" si="1"/>
        <v>8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1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1</v>
      </c>
      <c r="AC11" s="17">
        <f t="shared" si="3"/>
        <v>8</v>
      </c>
      <c r="AD11" s="17">
        <f t="shared" si="3"/>
        <v>0</v>
      </c>
      <c r="AE11" s="31">
        <f t="shared" si="3"/>
        <v>8</v>
      </c>
      <c r="AF11" s="31">
        <f t="shared" si="3"/>
        <v>16</v>
      </c>
    </row>
    <row r="12" spans="2:32" ht="23.1" customHeight="1" x14ac:dyDescent="0.25">
      <c r="B12" s="45" t="s">
        <v>39</v>
      </c>
      <c r="C12" s="50">
        <v>0</v>
      </c>
      <c r="D12" s="50">
        <v>2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3</v>
      </c>
      <c r="P12" s="15">
        <f t="shared" si="1"/>
        <v>3</v>
      </c>
      <c r="R12" s="1" t="s">
        <v>8</v>
      </c>
      <c r="S12" s="17">
        <f t="shared" ref="S12:AF12" si="4">SUM(C18:C21)</f>
        <v>15</v>
      </c>
      <c r="T12" s="17">
        <f t="shared" si="4"/>
        <v>1</v>
      </c>
      <c r="U12" s="17">
        <f t="shared" si="4"/>
        <v>1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45</v>
      </c>
      <c r="AD12" s="17">
        <f t="shared" si="4"/>
        <v>0</v>
      </c>
      <c r="AE12" s="31">
        <f t="shared" si="4"/>
        <v>21</v>
      </c>
      <c r="AF12" s="31">
        <f t="shared" si="4"/>
        <v>66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</v>
      </c>
      <c r="N13" s="50">
        <v>0</v>
      </c>
      <c r="O13" s="15">
        <f t="shared" si="0"/>
        <v>0</v>
      </c>
      <c r="P13" s="15">
        <f t="shared" si="1"/>
        <v>1</v>
      </c>
      <c r="R13" s="1" t="s">
        <v>9</v>
      </c>
      <c r="S13" s="17">
        <f t="shared" ref="S13:AF13" si="5">SUM(C22:C25)</f>
        <v>24</v>
      </c>
      <c r="T13" s="17">
        <f t="shared" si="5"/>
        <v>4</v>
      </c>
      <c r="U13" s="17">
        <f t="shared" si="5"/>
        <v>7</v>
      </c>
      <c r="V13" s="17">
        <f t="shared" si="5"/>
        <v>8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3</v>
      </c>
      <c r="AA13" s="17">
        <f t="shared" si="5"/>
        <v>1</v>
      </c>
      <c r="AB13" s="17">
        <f t="shared" si="5"/>
        <v>0</v>
      </c>
      <c r="AC13" s="17">
        <f t="shared" si="5"/>
        <v>76</v>
      </c>
      <c r="AD13" s="17">
        <f t="shared" si="5"/>
        <v>0</v>
      </c>
      <c r="AE13" s="31">
        <f t="shared" si="5"/>
        <v>50</v>
      </c>
      <c r="AF13" s="31">
        <f t="shared" si="5"/>
        <v>126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1</v>
      </c>
      <c r="P14" s="15">
        <f t="shared" si="1"/>
        <v>3</v>
      </c>
      <c r="R14" s="1" t="s">
        <v>10</v>
      </c>
      <c r="S14" s="17">
        <f t="shared" ref="S14:AF14" si="6">SUM(C26:C29)</f>
        <v>17</v>
      </c>
      <c r="T14" s="17">
        <f t="shared" si="6"/>
        <v>4</v>
      </c>
      <c r="U14" s="17">
        <f t="shared" si="6"/>
        <v>5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128</v>
      </c>
      <c r="AD14" s="17">
        <f t="shared" si="6"/>
        <v>0</v>
      </c>
      <c r="AE14" s="31">
        <f t="shared" si="6"/>
        <v>34</v>
      </c>
      <c r="AF14" s="31">
        <f t="shared" si="6"/>
        <v>162</v>
      </c>
    </row>
    <row r="15" spans="2:32" ht="23.1" customHeight="1" x14ac:dyDescent="0.25">
      <c r="B15" s="45" t="s">
        <v>42</v>
      </c>
      <c r="C15" s="50">
        <v>1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2</v>
      </c>
      <c r="P15" s="15">
        <f t="shared" si="1"/>
        <v>4</v>
      </c>
      <c r="R15" s="1" t="s">
        <v>11</v>
      </c>
      <c r="S15" s="17">
        <f t="shared" ref="S15:AF15" si="7">SUM(C30:C33)</f>
        <v>20</v>
      </c>
      <c r="T15" s="17">
        <f t="shared" si="7"/>
        <v>5</v>
      </c>
      <c r="U15" s="17">
        <f t="shared" si="7"/>
        <v>5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130</v>
      </c>
      <c r="AD15" s="17">
        <f t="shared" si="7"/>
        <v>0</v>
      </c>
      <c r="AE15" s="31">
        <f t="shared" si="7"/>
        <v>33</v>
      </c>
      <c r="AF15" s="31">
        <f t="shared" si="7"/>
        <v>163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3</v>
      </c>
      <c r="P16" s="15">
        <f t="shared" si="1"/>
        <v>6</v>
      </c>
      <c r="R16" s="1" t="s">
        <v>12</v>
      </c>
      <c r="S16" s="17">
        <f t="shared" ref="S16:AF16" si="8">SUM(C34:C37)</f>
        <v>21</v>
      </c>
      <c r="T16" s="17">
        <f t="shared" si="8"/>
        <v>1</v>
      </c>
      <c r="U16" s="17">
        <f t="shared" si="8"/>
        <v>5</v>
      </c>
      <c r="V16" s="17">
        <f t="shared" si="8"/>
        <v>3</v>
      </c>
      <c r="W16" s="17">
        <f t="shared" si="8"/>
        <v>1</v>
      </c>
      <c r="X16" s="17">
        <f t="shared" si="8"/>
        <v>0</v>
      </c>
      <c r="Y16" s="17">
        <f t="shared" si="8"/>
        <v>6</v>
      </c>
      <c r="Z16" s="17">
        <f t="shared" si="8"/>
        <v>1</v>
      </c>
      <c r="AA16" s="17">
        <f t="shared" si="8"/>
        <v>3</v>
      </c>
      <c r="AB16" s="17">
        <f t="shared" si="8"/>
        <v>0</v>
      </c>
      <c r="AC16" s="17">
        <f t="shared" si="8"/>
        <v>187</v>
      </c>
      <c r="AD16" s="17">
        <f t="shared" si="8"/>
        <v>0</v>
      </c>
      <c r="AE16" s="31">
        <f t="shared" si="8"/>
        <v>41</v>
      </c>
      <c r="AF16" s="31">
        <f t="shared" si="8"/>
        <v>228</v>
      </c>
    </row>
    <row r="17" spans="2:32" ht="23.1" customHeight="1" x14ac:dyDescent="0.25">
      <c r="B17" s="45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1</v>
      </c>
      <c r="M17" s="50">
        <v>1</v>
      </c>
      <c r="N17" s="50">
        <v>0</v>
      </c>
      <c r="O17" s="15">
        <f t="shared" si="0"/>
        <v>2</v>
      </c>
      <c r="P17" s="15">
        <f t="shared" si="1"/>
        <v>3</v>
      </c>
      <c r="R17" s="1" t="s">
        <v>13</v>
      </c>
      <c r="S17" s="17">
        <f t="shared" ref="S17:AF17" si="9">SUM(C38:C41)</f>
        <v>17</v>
      </c>
      <c r="T17" s="17">
        <f t="shared" si="9"/>
        <v>1</v>
      </c>
      <c r="U17" s="17">
        <f t="shared" si="9"/>
        <v>1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190</v>
      </c>
      <c r="AD17" s="17">
        <f t="shared" si="9"/>
        <v>0</v>
      </c>
      <c r="AE17" s="31">
        <f t="shared" si="9"/>
        <v>34</v>
      </c>
      <c r="AF17" s="31">
        <f t="shared" si="9"/>
        <v>224</v>
      </c>
    </row>
    <row r="18" spans="2:32" ht="23.1" customHeight="1" x14ac:dyDescent="0.25">
      <c r="B18" s="45" t="s">
        <v>45</v>
      </c>
      <c r="C18" s="50">
        <v>5</v>
      </c>
      <c r="D18" s="50">
        <v>1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7</v>
      </c>
      <c r="P18" s="15">
        <f t="shared" si="1"/>
        <v>13</v>
      </c>
      <c r="R18" s="1" t="s">
        <v>14</v>
      </c>
      <c r="S18" s="17">
        <f t="shared" ref="S18:AF18" si="10">SUM(C42:C45)</f>
        <v>22</v>
      </c>
      <c r="T18" s="17">
        <f t="shared" si="10"/>
        <v>2</v>
      </c>
      <c r="U18" s="17">
        <f t="shared" si="10"/>
        <v>3</v>
      </c>
      <c r="V18" s="17">
        <f t="shared" si="10"/>
        <v>2</v>
      </c>
      <c r="W18" s="17">
        <f t="shared" si="10"/>
        <v>1</v>
      </c>
      <c r="X18" s="17">
        <f t="shared" si="10"/>
        <v>0</v>
      </c>
      <c r="Y18" s="17">
        <f t="shared" si="10"/>
        <v>4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78</v>
      </c>
      <c r="AD18" s="17">
        <f t="shared" si="10"/>
        <v>0</v>
      </c>
      <c r="AE18" s="31">
        <f t="shared" si="10"/>
        <v>36</v>
      </c>
      <c r="AF18" s="31">
        <f t="shared" si="10"/>
        <v>114</v>
      </c>
    </row>
    <row r="19" spans="2:32" ht="23.1" customHeight="1" x14ac:dyDescent="0.25">
      <c r="B19" s="45" t="s">
        <v>46</v>
      </c>
      <c r="C19" s="50">
        <v>4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8</v>
      </c>
      <c r="N19" s="50">
        <v>0</v>
      </c>
      <c r="O19" s="15">
        <f t="shared" si="0"/>
        <v>5</v>
      </c>
      <c r="P19" s="15">
        <f t="shared" si="1"/>
        <v>13</v>
      </c>
      <c r="R19" s="1" t="s">
        <v>15</v>
      </c>
      <c r="S19" s="17">
        <f t="shared" ref="S19:AF19" si="11">SUM(C46:C49)</f>
        <v>38</v>
      </c>
      <c r="T19" s="17">
        <f t="shared" si="11"/>
        <v>0</v>
      </c>
      <c r="U19" s="17">
        <f t="shared" si="11"/>
        <v>9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84</v>
      </c>
      <c r="AD19" s="17">
        <f t="shared" si="11"/>
        <v>0</v>
      </c>
      <c r="AE19" s="31">
        <f t="shared" si="11"/>
        <v>57</v>
      </c>
      <c r="AF19" s="31">
        <f t="shared" si="11"/>
        <v>141</v>
      </c>
    </row>
    <row r="20" spans="2:32" ht="23.1" customHeight="1" x14ac:dyDescent="0.25">
      <c r="B20" s="45" t="s">
        <v>47</v>
      </c>
      <c r="C20" s="50">
        <v>4</v>
      </c>
      <c r="D20" s="50">
        <v>0</v>
      </c>
      <c r="E20" s="50">
        <v>0</v>
      </c>
      <c r="F20" s="50">
        <v>2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16</v>
      </c>
      <c r="N20" s="50">
        <v>0</v>
      </c>
      <c r="O20" s="15">
        <f t="shared" si="0"/>
        <v>6</v>
      </c>
      <c r="P20" s="15">
        <f t="shared" si="1"/>
        <v>22</v>
      </c>
      <c r="R20" s="1" t="s">
        <v>16</v>
      </c>
      <c r="S20" s="17">
        <f t="shared" ref="S20:AF20" si="12">SUM(C50:C53)</f>
        <v>28</v>
      </c>
      <c r="T20" s="17">
        <f t="shared" si="12"/>
        <v>2</v>
      </c>
      <c r="U20" s="17">
        <f t="shared" si="12"/>
        <v>3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1</v>
      </c>
      <c r="AC20" s="17">
        <f t="shared" si="12"/>
        <v>135</v>
      </c>
      <c r="AD20" s="17">
        <f t="shared" si="12"/>
        <v>0</v>
      </c>
      <c r="AE20" s="31">
        <f t="shared" si="12"/>
        <v>36</v>
      </c>
      <c r="AF20" s="31">
        <f t="shared" si="12"/>
        <v>171</v>
      </c>
    </row>
    <row r="21" spans="2:32" ht="23.1" customHeight="1" x14ac:dyDescent="0.25">
      <c r="B21" s="45" t="s">
        <v>48</v>
      </c>
      <c r="C21" s="50">
        <v>2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15</v>
      </c>
      <c r="N21" s="50">
        <v>0</v>
      </c>
      <c r="O21" s="15">
        <f t="shared" si="0"/>
        <v>3</v>
      </c>
      <c r="P21" s="15">
        <f t="shared" si="1"/>
        <v>18</v>
      </c>
      <c r="R21" s="36" t="s">
        <v>20</v>
      </c>
      <c r="S21" s="34">
        <f t="shared" ref="S21:AF21" si="13">SUM(C54:C57)</f>
        <v>22</v>
      </c>
      <c r="T21" s="17">
        <f t="shared" si="13"/>
        <v>2</v>
      </c>
      <c r="U21" s="17">
        <f t="shared" si="13"/>
        <v>2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1</v>
      </c>
      <c r="AC21" s="17">
        <f t="shared" si="13"/>
        <v>133</v>
      </c>
      <c r="AD21" s="17">
        <f t="shared" si="13"/>
        <v>0</v>
      </c>
      <c r="AE21" s="31">
        <f t="shared" si="13"/>
        <v>32</v>
      </c>
      <c r="AF21" s="31">
        <f t="shared" si="13"/>
        <v>165</v>
      </c>
    </row>
    <row r="22" spans="2:32" ht="23.1" customHeight="1" x14ac:dyDescent="0.25">
      <c r="B22" s="45" t="s">
        <v>49</v>
      </c>
      <c r="C22" s="50">
        <v>7</v>
      </c>
      <c r="D22" s="50">
        <v>1</v>
      </c>
      <c r="E22" s="50">
        <v>3</v>
      </c>
      <c r="F22" s="50">
        <v>2</v>
      </c>
      <c r="G22" s="50">
        <v>0</v>
      </c>
      <c r="H22" s="50">
        <v>0</v>
      </c>
      <c r="I22" s="50">
        <v>0</v>
      </c>
      <c r="J22" s="50">
        <v>1</v>
      </c>
      <c r="K22" s="50">
        <v>1</v>
      </c>
      <c r="L22" s="50">
        <v>0</v>
      </c>
      <c r="M22" s="50">
        <v>21</v>
      </c>
      <c r="N22" s="50">
        <v>0</v>
      </c>
      <c r="O22" s="15">
        <f t="shared" si="0"/>
        <v>15</v>
      </c>
      <c r="P22" s="15">
        <f t="shared" si="1"/>
        <v>36</v>
      </c>
      <c r="R22" s="36" t="s">
        <v>146</v>
      </c>
      <c r="S22" s="34">
        <f>SUM(C58:C61)</f>
        <v>37</v>
      </c>
      <c r="T22" s="34">
        <f t="shared" ref="T22:AF22" si="14">SUM(D58:D61)</f>
        <v>1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10</v>
      </c>
      <c r="Z22" s="34">
        <f t="shared" si="14"/>
        <v>1</v>
      </c>
      <c r="AA22" s="34">
        <f t="shared" si="14"/>
        <v>0</v>
      </c>
      <c r="AB22" s="34">
        <f t="shared" si="14"/>
        <v>1</v>
      </c>
      <c r="AC22" s="34">
        <f t="shared" si="14"/>
        <v>92</v>
      </c>
      <c r="AD22" s="34">
        <f t="shared" si="14"/>
        <v>0</v>
      </c>
      <c r="AE22" s="31">
        <f t="shared" si="14"/>
        <v>52</v>
      </c>
      <c r="AF22" s="31">
        <f t="shared" si="14"/>
        <v>144</v>
      </c>
    </row>
    <row r="23" spans="2:32" ht="23.1" customHeight="1" x14ac:dyDescent="0.25">
      <c r="B23" s="45" t="s">
        <v>50</v>
      </c>
      <c r="C23" s="50">
        <v>8</v>
      </c>
      <c r="D23" s="50">
        <v>0</v>
      </c>
      <c r="E23" s="50">
        <v>0</v>
      </c>
      <c r="F23" s="50">
        <v>2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20</v>
      </c>
      <c r="N23" s="50">
        <v>0</v>
      </c>
      <c r="O23" s="15">
        <f t="shared" si="0"/>
        <v>10</v>
      </c>
      <c r="P23" s="15">
        <f t="shared" si="1"/>
        <v>30</v>
      </c>
      <c r="R23" s="36" t="s">
        <v>147</v>
      </c>
      <c r="S23" s="34">
        <f>SUM(C62:C65)</f>
        <v>20</v>
      </c>
      <c r="T23" s="34">
        <f t="shared" ref="T23:AF23" si="15">SUM(D62:D65)</f>
        <v>0</v>
      </c>
      <c r="U23" s="34">
        <f t="shared" si="15"/>
        <v>4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55</v>
      </c>
      <c r="AD23" s="34">
        <f t="shared" si="15"/>
        <v>0</v>
      </c>
      <c r="AE23" s="31">
        <f t="shared" si="15"/>
        <v>27</v>
      </c>
      <c r="AF23" s="31">
        <f t="shared" si="15"/>
        <v>82</v>
      </c>
    </row>
    <row r="24" spans="2:32" ht="23.1" customHeight="1" x14ac:dyDescent="0.25">
      <c r="B24" s="45" t="s">
        <v>51</v>
      </c>
      <c r="C24" s="50">
        <v>5</v>
      </c>
      <c r="D24" s="50">
        <v>2</v>
      </c>
      <c r="E24" s="50">
        <v>1</v>
      </c>
      <c r="F24" s="50">
        <v>0</v>
      </c>
      <c r="G24" s="50">
        <v>0</v>
      </c>
      <c r="H24" s="50">
        <v>0</v>
      </c>
      <c r="I24" s="50">
        <v>2</v>
      </c>
      <c r="J24" s="50">
        <v>1</v>
      </c>
      <c r="K24" s="50">
        <v>0</v>
      </c>
      <c r="L24" s="50">
        <v>0</v>
      </c>
      <c r="M24" s="50">
        <v>16</v>
      </c>
      <c r="N24" s="50">
        <v>0</v>
      </c>
      <c r="O24" s="15">
        <f t="shared" si="0"/>
        <v>11</v>
      </c>
      <c r="P24" s="15">
        <f t="shared" si="1"/>
        <v>27</v>
      </c>
      <c r="R24" s="36" t="s">
        <v>148</v>
      </c>
      <c r="S24" s="34">
        <f>SUM(C66:C69)</f>
        <v>13</v>
      </c>
      <c r="T24" s="34">
        <f t="shared" ref="T24:AF24" si="16">SUM(D66:D69)</f>
        <v>5</v>
      </c>
      <c r="U24" s="34">
        <f t="shared" si="16"/>
        <v>3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73</v>
      </c>
      <c r="AD24" s="34">
        <f t="shared" si="16"/>
        <v>0</v>
      </c>
      <c r="AE24" s="31">
        <f t="shared" si="16"/>
        <v>24</v>
      </c>
      <c r="AF24" s="31">
        <f t="shared" si="16"/>
        <v>97</v>
      </c>
    </row>
    <row r="25" spans="2:32" ht="23.1" customHeight="1" x14ac:dyDescent="0.25">
      <c r="B25" s="45" t="s">
        <v>52</v>
      </c>
      <c r="C25" s="50">
        <v>4</v>
      </c>
      <c r="D25" s="50">
        <v>1</v>
      </c>
      <c r="E25" s="50">
        <v>3</v>
      </c>
      <c r="F25" s="50">
        <v>4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19</v>
      </c>
      <c r="N25" s="50">
        <v>0</v>
      </c>
      <c r="O25" s="15">
        <f t="shared" si="0"/>
        <v>14</v>
      </c>
      <c r="P25" s="15">
        <f t="shared" si="1"/>
        <v>33</v>
      </c>
      <c r="R25" s="36" t="s">
        <v>149</v>
      </c>
      <c r="S25" s="34">
        <f>SUM(C70:C73)</f>
        <v>10</v>
      </c>
      <c r="T25" s="34">
        <f t="shared" ref="T25:AF25" si="17">SUM(D70:D73)</f>
        <v>0</v>
      </c>
      <c r="U25" s="34">
        <f t="shared" si="17"/>
        <v>3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36</v>
      </c>
      <c r="AD25" s="34">
        <f t="shared" si="17"/>
        <v>0</v>
      </c>
      <c r="AE25" s="31">
        <f t="shared" si="17"/>
        <v>17</v>
      </c>
      <c r="AF25" s="31">
        <f t="shared" si="17"/>
        <v>53</v>
      </c>
    </row>
    <row r="26" spans="2:32" ht="23.1" customHeight="1" x14ac:dyDescent="0.25">
      <c r="B26" s="45" t="s">
        <v>53</v>
      </c>
      <c r="C26" s="50">
        <v>6</v>
      </c>
      <c r="D26" s="50">
        <v>0</v>
      </c>
      <c r="E26" s="50">
        <v>1</v>
      </c>
      <c r="F26" s="50">
        <v>2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21</v>
      </c>
      <c r="N26" s="50">
        <v>0</v>
      </c>
      <c r="O26" s="15">
        <f t="shared" si="0"/>
        <v>12</v>
      </c>
      <c r="P26" s="15">
        <f t="shared" si="1"/>
        <v>33</v>
      </c>
      <c r="R26" s="36" t="s">
        <v>150</v>
      </c>
      <c r="S26" s="34">
        <f>SUM(C74:C77)</f>
        <v>9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18</v>
      </c>
      <c r="AD26" s="34">
        <f t="shared" si="18"/>
        <v>0</v>
      </c>
      <c r="AE26" s="31">
        <f t="shared" si="18"/>
        <v>11</v>
      </c>
      <c r="AF26" s="31">
        <f t="shared" si="18"/>
        <v>29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31</v>
      </c>
      <c r="N27" s="50">
        <v>0</v>
      </c>
      <c r="O27" s="15">
        <f t="shared" si="0"/>
        <v>3</v>
      </c>
      <c r="P27" s="15">
        <f t="shared" si="1"/>
        <v>34</v>
      </c>
      <c r="R27" s="36" t="s">
        <v>151</v>
      </c>
      <c r="S27" s="34">
        <f>SUM(C78:C81)</f>
        <v>2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13</v>
      </c>
      <c r="AD27" s="34">
        <f t="shared" si="19"/>
        <v>0</v>
      </c>
      <c r="AE27" s="31">
        <f t="shared" si="19"/>
        <v>3</v>
      </c>
      <c r="AF27" s="31">
        <f t="shared" si="19"/>
        <v>16</v>
      </c>
    </row>
    <row r="28" spans="2:32" ht="23.1" customHeight="1" x14ac:dyDescent="0.25">
      <c r="B28" s="45" t="s">
        <v>55</v>
      </c>
      <c r="C28" s="50">
        <v>7</v>
      </c>
      <c r="D28" s="50">
        <v>3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39</v>
      </c>
      <c r="N28" s="50">
        <v>0</v>
      </c>
      <c r="O28" s="15">
        <f t="shared" si="0"/>
        <v>12</v>
      </c>
      <c r="P28" s="15">
        <f t="shared" si="1"/>
        <v>51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4</v>
      </c>
      <c r="AD28" s="34">
        <f t="shared" si="20"/>
        <v>0</v>
      </c>
      <c r="AE28" s="31">
        <f t="shared" si="20"/>
        <v>3</v>
      </c>
      <c r="AF28" s="31">
        <f t="shared" si="20"/>
        <v>7</v>
      </c>
    </row>
    <row r="29" spans="2:32" ht="23.1" customHeight="1" x14ac:dyDescent="0.25">
      <c r="B29" s="45" t="s">
        <v>56</v>
      </c>
      <c r="C29" s="50">
        <v>2</v>
      </c>
      <c r="D29" s="50">
        <v>1</v>
      </c>
      <c r="E29" s="50">
        <v>3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37</v>
      </c>
      <c r="N29" s="50">
        <v>0</v>
      </c>
      <c r="O29" s="15">
        <f t="shared" si="0"/>
        <v>7</v>
      </c>
      <c r="P29" s="15">
        <f t="shared" si="1"/>
        <v>44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2</v>
      </c>
      <c r="AA29" s="34">
        <f t="shared" si="21"/>
        <v>0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4</v>
      </c>
      <c r="AF29" s="31">
        <f t="shared" si="21"/>
        <v>5</v>
      </c>
    </row>
    <row r="30" spans="2:32" ht="23.1" customHeight="1" x14ac:dyDescent="0.25">
      <c r="B30" s="45" t="s">
        <v>57</v>
      </c>
      <c r="C30" s="50">
        <v>4</v>
      </c>
      <c r="D30" s="50">
        <v>2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44</v>
      </c>
      <c r="N30" s="50">
        <v>0</v>
      </c>
      <c r="O30" s="15">
        <f t="shared" si="0"/>
        <v>7</v>
      </c>
      <c r="P30" s="15">
        <f t="shared" si="1"/>
        <v>51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1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</v>
      </c>
      <c r="AD30" s="34">
        <f t="shared" si="22"/>
        <v>0</v>
      </c>
      <c r="AE30" s="31">
        <f t="shared" si="22"/>
        <v>2</v>
      </c>
      <c r="AF30" s="31">
        <f t="shared" si="22"/>
        <v>5</v>
      </c>
    </row>
    <row r="31" spans="2:32" ht="23.1" customHeight="1" x14ac:dyDescent="0.25">
      <c r="B31" s="46" t="s">
        <v>58</v>
      </c>
      <c r="C31" s="50">
        <v>4</v>
      </c>
      <c r="D31" s="50">
        <v>3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23</v>
      </c>
      <c r="N31" s="50">
        <v>0</v>
      </c>
      <c r="O31" s="15">
        <f t="shared" si="0"/>
        <v>8</v>
      </c>
      <c r="P31" s="15">
        <f t="shared" si="1"/>
        <v>31</v>
      </c>
      <c r="R31" s="36" t="s">
        <v>155</v>
      </c>
      <c r="S31" s="34">
        <f>SUM(C94:C97)</f>
        <v>4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9</v>
      </c>
      <c r="AD31" s="34">
        <f t="shared" si="23"/>
        <v>0</v>
      </c>
      <c r="AE31" s="31">
        <f t="shared" si="23"/>
        <v>5</v>
      </c>
      <c r="AF31" s="31">
        <f t="shared" si="23"/>
        <v>14</v>
      </c>
    </row>
    <row r="32" spans="2:32" ht="23.1" customHeight="1" x14ac:dyDescent="0.25">
      <c r="B32" s="46" t="s">
        <v>59</v>
      </c>
      <c r="C32" s="50">
        <v>8</v>
      </c>
      <c r="D32" s="50">
        <v>0</v>
      </c>
      <c r="E32" s="50">
        <v>3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52</v>
      </c>
      <c r="N32" s="50">
        <v>0</v>
      </c>
      <c r="O32" s="15">
        <f t="shared" si="0"/>
        <v>13</v>
      </c>
      <c r="P32" s="15">
        <f t="shared" si="1"/>
        <v>65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4</v>
      </c>
      <c r="AD32" s="34">
        <f t="shared" si="24"/>
        <v>0</v>
      </c>
      <c r="AE32" s="31">
        <f t="shared" si="24"/>
        <v>2</v>
      </c>
      <c r="AF32" s="31">
        <f t="shared" si="24"/>
        <v>6</v>
      </c>
    </row>
    <row r="33" spans="2:32" ht="23.1" customHeight="1" x14ac:dyDescent="0.25">
      <c r="B33" s="45" t="s">
        <v>60</v>
      </c>
      <c r="C33" s="50">
        <v>4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11</v>
      </c>
      <c r="N33" s="50">
        <v>0</v>
      </c>
      <c r="O33" s="15">
        <f t="shared" si="0"/>
        <v>5</v>
      </c>
      <c r="P33" s="15">
        <f t="shared" si="1"/>
        <v>16</v>
      </c>
      <c r="R33" s="33" t="s">
        <v>157</v>
      </c>
      <c r="S33" s="34">
        <f>SUM(C102:C105)</f>
        <v>4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2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11</v>
      </c>
      <c r="AD33" s="34">
        <f t="shared" si="25"/>
        <v>0</v>
      </c>
      <c r="AE33" s="31">
        <f t="shared" si="25"/>
        <v>7</v>
      </c>
      <c r="AF33" s="31">
        <f t="shared" si="25"/>
        <v>18</v>
      </c>
    </row>
    <row r="34" spans="2:32" ht="23.1" customHeight="1" x14ac:dyDescent="0.25">
      <c r="B34" s="46" t="s">
        <v>61</v>
      </c>
      <c r="C34" s="50">
        <v>3</v>
      </c>
      <c r="D34" s="50">
        <v>0</v>
      </c>
      <c r="E34" s="50">
        <v>2</v>
      </c>
      <c r="F34" s="50">
        <v>0</v>
      </c>
      <c r="G34" s="50">
        <v>1</v>
      </c>
      <c r="H34" s="50">
        <v>0</v>
      </c>
      <c r="I34" s="50">
        <v>0</v>
      </c>
      <c r="J34" s="50">
        <v>0</v>
      </c>
      <c r="K34" s="50">
        <v>1</v>
      </c>
      <c r="L34" s="50">
        <v>0</v>
      </c>
      <c r="M34" s="50">
        <v>26</v>
      </c>
      <c r="N34" s="50">
        <v>0</v>
      </c>
      <c r="O34" s="15">
        <f t="shared" si="0"/>
        <v>7</v>
      </c>
      <c r="P34" s="15">
        <f t="shared" si="1"/>
        <v>33</v>
      </c>
      <c r="R34" s="38" t="s">
        <v>90</v>
      </c>
      <c r="S34" s="39">
        <f t="shared" ref="S34:AF34" si="26">MAX(S10:S12)</f>
        <v>15</v>
      </c>
      <c r="T34" s="39">
        <f t="shared" si="26"/>
        <v>2</v>
      </c>
      <c r="U34" s="39">
        <f t="shared" si="26"/>
        <v>1</v>
      </c>
      <c r="V34" s="39">
        <f t="shared" si="26"/>
        <v>4</v>
      </c>
      <c r="W34" s="39">
        <f t="shared" si="26"/>
        <v>0</v>
      </c>
      <c r="X34" s="39">
        <f t="shared" si="26"/>
        <v>0</v>
      </c>
      <c r="Y34" s="39">
        <f t="shared" si="26"/>
        <v>0</v>
      </c>
      <c r="Z34" s="39">
        <f t="shared" si="26"/>
        <v>1</v>
      </c>
      <c r="AA34" s="39">
        <f t="shared" si="26"/>
        <v>0</v>
      </c>
      <c r="AB34" s="39">
        <f t="shared" si="26"/>
        <v>2</v>
      </c>
      <c r="AC34" s="39">
        <f t="shared" si="26"/>
        <v>45</v>
      </c>
      <c r="AD34" s="39">
        <f t="shared" si="26"/>
        <v>0</v>
      </c>
      <c r="AE34" s="40">
        <f t="shared" si="26"/>
        <v>21</v>
      </c>
      <c r="AF34" s="40">
        <f t="shared" si="26"/>
        <v>66</v>
      </c>
    </row>
    <row r="35" spans="2:32" ht="23.1" customHeight="1" x14ac:dyDescent="0.25">
      <c r="B35" s="46" t="s">
        <v>62</v>
      </c>
      <c r="C35" s="50">
        <v>4</v>
      </c>
      <c r="D35" s="50">
        <v>1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1</v>
      </c>
      <c r="K35" s="50">
        <v>2</v>
      </c>
      <c r="L35" s="50">
        <v>0</v>
      </c>
      <c r="M35" s="50">
        <v>58</v>
      </c>
      <c r="N35" s="50">
        <v>0</v>
      </c>
      <c r="O35" s="15">
        <f t="shared" si="0"/>
        <v>10</v>
      </c>
      <c r="P35" s="15">
        <f t="shared" si="1"/>
        <v>68</v>
      </c>
      <c r="R35" s="38" t="s">
        <v>91</v>
      </c>
      <c r="S35" s="39">
        <f t="shared" ref="S35:AF35" si="27">MAX(S13:S18)</f>
        <v>24</v>
      </c>
      <c r="T35" s="39">
        <f t="shared" si="27"/>
        <v>5</v>
      </c>
      <c r="U35" s="39">
        <f t="shared" si="27"/>
        <v>7</v>
      </c>
      <c r="V35" s="39">
        <f t="shared" si="27"/>
        <v>8</v>
      </c>
      <c r="W35" s="39">
        <f t="shared" si="27"/>
        <v>1</v>
      </c>
      <c r="X35" s="39">
        <f t="shared" si="27"/>
        <v>0</v>
      </c>
      <c r="Y35" s="39">
        <f t="shared" si="27"/>
        <v>7</v>
      </c>
      <c r="Z35" s="39">
        <f t="shared" si="27"/>
        <v>4</v>
      </c>
      <c r="AA35" s="39">
        <f t="shared" si="27"/>
        <v>3</v>
      </c>
      <c r="AB35" s="39">
        <f t="shared" si="27"/>
        <v>0</v>
      </c>
      <c r="AC35" s="39">
        <f t="shared" si="27"/>
        <v>190</v>
      </c>
      <c r="AD35" s="39">
        <f t="shared" si="27"/>
        <v>0</v>
      </c>
      <c r="AE35" s="40">
        <f t="shared" si="27"/>
        <v>50</v>
      </c>
      <c r="AF35" s="40">
        <f t="shared" si="27"/>
        <v>228</v>
      </c>
    </row>
    <row r="36" spans="2:32" ht="23.1" customHeight="1" x14ac:dyDescent="0.25">
      <c r="B36" s="46" t="s">
        <v>63</v>
      </c>
      <c r="C36" s="50">
        <v>9</v>
      </c>
      <c r="D36" s="50">
        <v>0</v>
      </c>
      <c r="E36" s="50">
        <v>2</v>
      </c>
      <c r="F36" s="50">
        <v>1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52</v>
      </c>
      <c r="N36" s="50">
        <v>0</v>
      </c>
      <c r="O36" s="15">
        <f t="shared" si="0"/>
        <v>15</v>
      </c>
      <c r="P36" s="15">
        <f t="shared" si="1"/>
        <v>67</v>
      </c>
      <c r="R36" s="38" t="s">
        <v>92</v>
      </c>
      <c r="S36" s="39">
        <f t="shared" ref="S36:AF36" si="28">MAX(S19:S21)</f>
        <v>38</v>
      </c>
      <c r="T36" s="39">
        <f t="shared" si="28"/>
        <v>2</v>
      </c>
      <c r="U36" s="39">
        <f t="shared" si="28"/>
        <v>9</v>
      </c>
      <c r="V36" s="39">
        <f t="shared" si="28"/>
        <v>7</v>
      </c>
      <c r="W36" s="39">
        <f t="shared" si="28"/>
        <v>0</v>
      </c>
      <c r="X36" s="39">
        <f t="shared" si="28"/>
        <v>0</v>
      </c>
      <c r="Y36" s="39">
        <f t="shared" si="28"/>
        <v>2</v>
      </c>
      <c r="Z36" s="39">
        <f t="shared" si="28"/>
        <v>2</v>
      </c>
      <c r="AA36" s="39">
        <f t="shared" si="28"/>
        <v>0</v>
      </c>
      <c r="AB36" s="39">
        <f t="shared" si="28"/>
        <v>1</v>
      </c>
      <c r="AC36" s="39">
        <f t="shared" si="28"/>
        <v>135</v>
      </c>
      <c r="AD36" s="39">
        <f t="shared" si="28"/>
        <v>0</v>
      </c>
      <c r="AE36" s="40">
        <f t="shared" si="28"/>
        <v>57</v>
      </c>
      <c r="AF36" s="40">
        <f t="shared" si="28"/>
        <v>171</v>
      </c>
    </row>
    <row r="37" spans="2:32" ht="23.1" customHeight="1" x14ac:dyDescent="0.25">
      <c r="B37" s="45" t="s">
        <v>64</v>
      </c>
      <c r="C37" s="50">
        <v>5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51</v>
      </c>
      <c r="N37" s="50">
        <v>0</v>
      </c>
      <c r="O37" s="15">
        <f t="shared" si="0"/>
        <v>9</v>
      </c>
      <c r="P37" s="15">
        <f t="shared" si="1"/>
        <v>60</v>
      </c>
      <c r="R37" s="37" t="s">
        <v>85</v>
      </c>
      <c r="S37" s="35">
        <f t="shared" ref="S37:AF37" si="29">SUM(S10:S12)</f>
        <v>20</v>
      </c>
      <c r="T37" s="16">
        <f t="shared" si="29"/>
        <v>3</v>
      </c>
      <c r="U37" s="16">
        <f t="shared" si="29"/>
        <v>3</v>
      </c>
      <c r="V37" s="16">
        <f t="shared" si="29"/>
        <v>10</v>
      </c>
      <c r="W37" s="16">
        <f t="shared" si="29"/>
        <v>0</v>
      </c>
      <c r="X37" s="16">
        <f t="shared" si="29"/>
        <v>0</v>
      </c>
      <c r="Y37" s="16">
        <f t="shared" si="29"/>
        <v>0</v>
      </c>
      <c r="Z37" s="16">
        <f t="shared" si="29"/>
        <v>1</v>
      </c>
      <c r="AA37" s="16">
        <f t="shared" si="29"/>
        <v>0</v>
      </c>
      <c r="AB37" s="16">
        <f t="shared" si="29"/>
        <v>3</v>
      </c>
      <c r="AC37" s="16">
        <f t="shared" si="29"/>
        <v>54</v>
      </c>
      <c r="AD37" s="16">
        <f t="shared" si="29"/>
        <v>0</v>
      </c>
      <c r="AE37" s="32">
        <f t="shared" si="29"/>
        <v>40</v>
      </c>
      <c r="AF37" s="32">
        <f t="shared" si="29"/>
        <v>94</v>
      </c>
    </row>
    <row r="38" spans="2:32" ht="23.1" customHeight="1" x14ac:dyDescent="0.25">
      <c r="B38" s="46" t="s">
        <v>65</v>
      </c>
      <c r="C38" s="50">
        <v>7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46</v>
      </c>
      <c r="N38" s="50">
        <v>0</v>
      </c>
      <c r="O38" s="15">
        <f t="shared" si="0"/>
        <v>9</v>
      </c>
      <c r="P38" s="15">
        <f t="shared" si="1"/>
        <v>55</v>
      </c>
      <c r="R38" s="28" t="s">
        <v>86</v>
      </c>
      <c r="S38" s="16">
        <f t="shared" ref="S38:AF38" si="30">SUM(S13:S18)</f>
        <v>121</v>
      </c>
      <c r="T38" s="16">
        <f t="shared" si="30"/>
        <v>17</v>
      </c>
      <c r="U38" s="16">
        <f t="shared" si="30"/>
        <v>26</v>
      </c>
      <c r="V38" s="16">
        <f t="shared" si="30"/>
        <v>22</v>
      </c>
      <c r="W38" s="16">
        <f t="shared" si="30"/>
        <v>2</v>
      </c>
      <c r="X38" s="16">
        <f t="shared" si="30"/>
        <v>0</v>
      </c>
      <c r="Y38" s="16">
        <f t="shared" si="30"/>
        <v>25</v>
      </c>
      <c r="Z38" s="16">
        <f t="shared" si="30"/>
        <v>11</v>
      </c>
      <c r="AA38" s="16">
        <f t="shared" si="30"/>
        <v>4</v>
      </c>
      <c r="AB38" s="16">
        <f t="shared" si="30"/>
        <v>0</v>
      </c>
      <c r="AC38" s="16">
        <f t="shared" si="30"/>
        <v>789</v>
      </c>
      <c r="AD38" s="16">
        <f t="shared" si="30"/>
        <v>0</v>
      </c>
      <c r="AE38" s="32">
        <f t="shared" si="30"/>
        <v>228</v>
      </c>
      <c r="AF38" s="32">
        <f t="shared" si="30"/>
        <v>1017</v>
      </c>
    </row>
    <row r="39" spans="2:32" ht="23.1" customHeight="1" x14ac:dyDescent="0.25">
      <c r="B39" s="46" t="s">
        <v>66</v>
      </c>
      <c r="C39" s="50">
        <v>5</v>
      </c>
      <c r="D39" s="50">
        <v>1</v>
      </c>
      <c r="E39" s="50">
        <v>0</v>
      </c>
      <c r="F39" s="50">
        <v>1</v>
      </c>
      <c r="G39" s="50">
        <v>0</v>
      </c>
      <c r="H39" s="50">
        <v>0</v>
      </c>
      <c r="I39" s="50">
        <v>3</v>
      </c>
      <c r="J39" s="50">
        <v>1</v>
      </c>
      <c r="K39" s="50">
        <v>0</v>
      </c>
      <c r="L39" s="50">
        <v>0</v>
      </c>
      <c r="M39" s="50">
        <v>60</v>
      </c>
      <c r="N39" s="50">
        <v>0</v>
      </c>
      <c r="O39" s="15">
        <f t="shared" si="0"/>
        <v>11</v>
      </c>
      <c r="P39" s="15">
        <f t="shared" si="1"/>
        <v>71</v>
      </c>
      <c r="R39" s="29" t="s">
        <v>87</v>
      </c>
      <c r="S39" s="16">
        <f t="shared" ref="S39:AF39" si="31">SUM(S19:S21)</f>
        <v>88</v>
      </c>
      <c r="T39" s="16">
        <f t="shared" si="31"/>
        <v>4</v>
      </c>
      <c r="U39" s="16">
        <f t="shared" si="31"/>
        <v>14</v>
      </c>
      <c r="V39" s="16">
        <f t="shared" si="31"/>
        <v>11</v>
      </c>
      <c r="W39" s="16">
        <f t="shared" si="31"/>
        <v>0</v>
      </c>
      <c r="X39" s="16">
        <f t="shared" si="31"/>
        <v>0</v>
      </c>
      <c r="Y39" s="16">
        <f t="shared" si="31"/>
        <v>4</v>
      </c>
      <c r="Z39" s="16">
        <f t="shared" si="31"/>
        <v>2</v>
      </c>
      <c r="AA39" s="16">
        <f t="shared" si="31"/>
        <v>0</v>
      </c>
      <c r="AB39" s="16">
        <f t="shared" si="31"/>
        <v>2</v>
      </c>
      <c r="AC39" s="16">
        <f t="shared" si="31"/>
        <v>352</v>
      </c>
      <c r="AD39" s="16">
        <f t="shared" si="31"/>
        <v>0</v>
      </c>
      <c r="AE39" s="32">
        <f t="shared" si="31"/>
        <v>125</v>
      </c>
      <c r="AF39" s="32">
        <f t="shared" si="31"/>
        <v>477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47</v>
      </c>
      <c r="N40" s="50">
        <v>0</v>
      </c>
      <c r="O40" s="15">
        <f t="shared" si="0"/>
        <v>3</v>
      </c>
      <c r="P40" s="15">
        <f t="shared" si="1"/>
        <v>50</v>
      </c>
      <c r="R40" s="5" t="s">
        <v>17</v>
      </c>
      <c r="S40" s="16">
        <f t="shared" ref="S40:AF40" si="32">SUM(S10:S21)</f>
        <v>229</v>
      </c>
      <c r="T40" s="16">
        <f t="shared" si="32"/>
        <v>24</v>
      </c>
      <c r="U40" s="16">
        <f t="shared" si="32"/>
        <v>43</v>
      </c>
      <c r="V40" s="16">
        <f t="shared" si="32"/>
        <v>43</v>
      </c>
      <c r="W40" s="16">
        <f t="shared" si="32"/>
        <v>2</v>
      </c>
      <c r="X40" s="16">
        <f t="shared" si="32"/>
        <v>0</v>
      </c>
      <c r="Y40" s="16">
        <f t="shared" si="32"/>
        <v>29</v>
      </c>
      <c r="Z40" s="16">
        <f t="shared" si="32"/>
        <v>14</v>
      </c>
      <c r="AA40" s="16">
        <f t="shared" si="32"/>
        <v>4</v>
      </c>
      <c r="AB40" s="16">
        <f t="shared" si="32"/>
        <v>5</v>
      </c>
      <c r="AC40" s="16">
        <f t="shared" si="32"/>
        <v>1195</v>
      </c>
      <c r="AD40" s="16">
        <f t="shared" si="32"/>
        <v>0</v>
      </c>
      <c r="AE40" s="32">
        <f t="shared" si="32"/>
        <v>393</v>
      </c>
      <c r="AF40" s="32">
        <f t="shared" si="32"/>
        <v>1588</v>
      </c>
    </row>
    <row r="41" spans="2:32" ht="23.1" customHeight="1" x14ac:dyDescent="0.25">
      <c r="B41" s="45" t="s">
        <v>68</v>
      </c>
      <c r="C41" s="50">
        <v>4</v>
      </c>
      <c r="D41" s="50">
        <v>0</v>
      </c>
      <c r="E41" s="50">
        <v>1</v>
      </c>
      <c r="F41" s="50">
        <v>2</v>
      </c>
      <c r="G41" s="50">
        <v>0</v>
      </c>
      <c r="H41" s="50">
        <v>0</v>
      </c>
      <c r="I41" s="50">
        <v>2</v>
      </c>
      <c r="J41" s="50">
        <v>2</v>
      </c>
      <c r="K41" s="50">
        <v>0</v>
      </c>
      <c r="L41" s="50">
        <v>0</v>
      </c>
      <c r="M41" s="50">
        <v>37</v>
      </c>
      <c r="N41" s="50">
        <v>0</v>
      </c>
      <c r="O41" s="15">
        <f t="shared" si="0"/>
        <v>11</v>
      </c>
      <c r="P41" s="15">
        <f t="shared" si="1"/>
        <v>48</v>
      </c>
      <c r="R41" s="5" t="s">
        <v>159</v>
      </c>
      <c r="S41" s="16">
        <f>SUM(S10:S33)</f>
        <v>332</v>
      </c>
      <c r="T41" s="16">
        <f t="shared" ref="T41:AF41" si="33">SUM(T10:T33)</f>
        <v>30</v>
      </c>
      <c r="U41" s="16">
        <f t="shared" si="33"/>
        <v>57</v>
      </c>
      <c r="V41" s="16">
        <f t="shared" si="33"/>
        <v>49</v>
      </c>
      <c r="W41" s="16">
        <f t="shared" si="33"/>
        <v>3</v>
      </c>
      <c r="X41" s="16">
        <f t="shared" si="33"/>
        <v>0</v>
      </c>
      <c r="Y41" s="16">
        <f t="shared" si="33"/>
        <v>47</v>
      </c>
      <c r="Z41" s="16">
        <f t="shared" si="33"/>
        <v>22</v>
      </c>
      <c r="AA41" s="16">
        <f t="shared" si="33"/>
        <v>4</v>
      </c>
      <c r="AB41" s="16">
        <f t="shared" si="33"/>
        <v>6</v>
      </c>
      <c r="AC41" s="16">
        <f t="shared" si="33"/>
        <v>1514</v>
      </c>
      <c r="AD41" s="16">
        <f t="shared" si="33"/>
        <v>0</v>
      </c>
      <c r="AE41" s="32">
        <f t="shared" si="33"/>
        <v>550</v>
      </c>
      <c r="AF41" s="32">
        <f t="shared" si="33"/>
        <v>2064</v>
      </c>
    </row>
    <row r="42" spans="2:32" ht="23.1" customHeight="1" x14ac:dyDescent="0.25">
      <c r="B42" s="46" t="s">
        <v>69</v>
      </c>
      <c r="C42" s="50">
        <v>6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34</v>
      </c>
      <c r="N42" s="50">
        <v>0</v>
      </c>
      <c r="O42" s="15">
        <f t="shared" si="0"/>
        <v>8</v>
      </c>
      <c r="P42" s="15">
        <f t="shared" si="1"/>
        <v>42</v>
      </c>
      <c r="R42" s="5" t="s">
        <v>160</v>
      </c>
      <c r="S42" s="48">
        <f>S41/S40</f>
        <v>1.4497816593886463</v>
      </c>
      <c r="T42" s="48">
        <f t="shared" ref="T42:AF42" si="34">T41/T40</f>
        <v>1.25</v>
      </c>
      <c r="U42" s="48">
        <f t="shared" si="34"/>
        <v>1.3255813953488371</v>
      </c>
      <c r="V42" s="48">
        <f t="shared" si="34"/>
        <v>1.1395348837209303</v>
      </c>
      <c r="W42" s="48">
        <f t="shared" si="34"/>
        <v>1.5</v>
      </c>
      <c r="X42" s="48" t="e">
        <f t="shared" si="34"/>
        <v>#DIV/0!</v>
      </c>
      <c r="Y42" s="48">
        <f t="shared" si="34"/>
        <v>1.6206896551724137</v>
      </c>
      <c r="Z42" s="48">
        <f t="shared" si="34"/>
        <v>1.5714285714285714</v>
      </c>
      <c r="AA42" s="48">
        <f t="shared" si="34"/>
        <v>1</v>
      </c>
      <c r="AB42" s="48">
        <f t="shared" si="34"/>
        <v>1.2</v>
      </c>
      <c r="AC42" s="48">
        <f t="shared" si="34"/>
        <v>1.2669456066945606</v>
      </c>
      <c r="AD42" s="48" t="e">
        <f t="shared" si="34"/>
        <v>#DIV/0!</v>
      </c>
      <c r="AE42" s="48">
        <f t="shared" si="34"/>
        <v>1.3994910941475827</v>
      </c>
      <c r="AF42" s="48">
        <f t="shared" si="34"/>
        <v>1.2997481108312343</v>
      </c>
    </row>
    <row r="43" spans="2:32" ht="23.1" customHeight="1" x14ac:dyDescent="0.25">
      <c r="B43" s="45" t="s">
        <v>70</v>
      </c>
      <c r="C43" s="50">
        <v>3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3</v>
      </c>
      <c r="N43" s="50">
        <v>0</v>
      </c>
      <c r="O43" s="15">
        <f t="shared" si="0"/>
        <v>4</v>
      </c>
      <c r="P43" s="15">
        <f t="shared" si="1"/>
        <v>7</v>
      </c>
    </row>
    <row r="44" spans="2:32" ht="23.1" customHeight="1" x14ac:dyDescent="0.25">
      <c r="B44" s="47" t="s">
        <v>71</v>
      </c>
      <c r="C44" s="50">
        <v>0</v>
      </c>
      <c r="D44" s="50">
        <v>1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2</v>
      </c>
      <c r="P44" s="15">
        <f t="shared" si="1"/>
        <v>2</v>
      </c>
    </row>
    <row r="45" spans="2:32" ht="23.1" customHeight="1" x14ac:dyDescent="0.25">
      <c r="B45" s="45" t="s">
        <v>72</v>
      </c>
      <c r="C45" s="50">
        <v>13</v>
      </c>
      <c r="D45" s="50">
        <v>1</v>
      </c>
      <c r="E45" s="50">
        <v>3</v>
      </c>
      <c r="F45" s="50">
        <v>1</v>
      </c>
      <c r="G45" s="50">
        <v>1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41</v>
      </c>
      <c r="N45" s="50">
        <v>0</v>
      </c>
      <c r="O45" s="15">
        <f t="shared" si="0"/>
        <v>22</v>
      </c>
      <c r="P45" s="15">
        <f t="shared" si="1"/>
        <v>63</v>
      </c>
    </row>
    <row r="46" spans="2:32" ht="23.1" customHeight="1" x14ac:dyDescent="0.25">
      <c r="B46" s="46" t="s">
        <v>73</v>
      </c>
      <c r="C46" s="50">
        <v>14</v>
      </c>
      <c r="D46" s="50">
        <v>0</v>
      </c>
      <c r="E46" s="50">
        <v>1</v>
      </c>
      <c r="F46" s="50">
        <v>3</v>
      </c>
      <c r="G46" s="50">
        <v>0</v>
      </c>
      <c r="H46" s="50">
        <v>0</v>
      </c>
      <c r="I46" s="50">
        <v>0</v>
      </c>
      <c r="J46" s="50">
        <v>2</v>
      </c>
      <c r="K46" s="50">
        <v>0</v>
      </c>
      <c r="L46" s="50">
        <v>0</v>
      </c>
      <c r="M46" s="50">
        <v>25</v>
      </c>
      <c r="N46" s="50">
        <v>0</v>
      </c>
      <c r="O46" s="15">
        <f t="shared" si="0"/>
        <v>20</v>
      </c>
      <c r="P46" s="15">
        <f t="shared" si="1"/>
        <v>45</v>
      </c>
      <c r="R46" s="8"/>
      <c r="T46"/>
    </row>
    <row r="47" spans="2:32" ht="23.1" customHeight="1" x14ac:dyDescent="0.25">
      <c r="B47" s="46" t="s">
        <v>74</v>
      </c>
      <c r="C47" s="50">
        <v>9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23</v>
      </c>
      <c r="N47" s="50">
        <v>0</v>
      </c>
      <c r="O47" s="15">
        <f t="shared" si="0"/>
        <v>11</v>
      </c>
      <c r="P47" s="15">
        <f t="shared" si="1"/>
        <v>34</v>
      </c>
      <c r="R47" s="8"/>
      <c r="T47"/>
    </row>
    <row r="48" spans="2:32" ht="23.1" customHeight="1" x14ac:dyDescent="0.25">
      <c r="B48" s="46" t="s">
        <v>75</v>
      </c>
      <c r="C48" s="50">
        <v>8</v>
      </c>
      <c r="D48" s="50">
        <v>0</v>
      </c>
      <c r="E48" s="50">
        <v>3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20</v>
      </c>
      <c r="N48" s="50">
        <v>0</v>
      </c>
      <c r="O48" s="15">
        <f t="shared" si="0"/>
        <v>11</v>
      </c>
      <c r="P48" s="15">
        <f t="shared" si="1"/>
        <v>31</v>
      </c>
      <c r="R48" s="8"/>
      <c r="T48"/>
    </row>
    <row r="49" spans="2:20" ht="23.1" customHeight="1" x14ac:dyDescent="0.25">
      <c r="B49" s="45" t="s">
        <v>76</v>
      </c>
      <c r="C49" s="50">
        <v>7</v>
      </c>
      <c r="D49" s="50">
        <v>0</v>
      </c>
      <c r="E49" s="50">
        <v>4</v>
      </c>
      <c r="F49" s="50">
        <v>4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16</v>
      </c>
      <c r="N49" s="50">
        <v>0</v>
      </c>
      <c r="O49" s="15">
        <f t="shared" si="0"/>
        <v>15</v>
      </c>
      <c r="P49" s="15">
        <f t="shared" si="1"/>
        <v>31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v>2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23</v>
      </c>
      <c r="N50" s="50">
        <v>0</v>
      </c>
      <c r="O50" s="15">
        <f t="shared" si="0"/>
        <v>7</v>
      </c>
      <c r="P50" s="15">
        <f t="shared" si="1"/>
        <v>30</v>
      </c>
      <c r="R50" s="8"/>
      <c r="T50"/>
    </row>
    <row r="51" spans="2:20" ht="23.1" customHeight="1" x14ac:dyDescent="0.25">
      <c r="B51" s="46" t="s">
        <v>78</v>
      </c>
      <c r="C51" s="50">
        <v>10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1</v>
      </c>
      <c r="M51" s="50">
        <v>28</v>
      </c>
      <c r="N51" s="50">
        <v>0</v>
      </c>
      <c r="O51" s="15">
        <f t="shared" si="0"/>
        <v>12</v>
      </c>
      <c r="P51" s="15">
        <f t="shared" si="1"/>
        <v>40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44</v>
      </c>
      <c r="N52" s="50">
        <v>0</v>
      </c>
      <c r="O52" s="15">
        <f t="shared" si="0"/>
        <v>2</v>
      </c>
      <c r="P52" s="15">
        <f t="shared" si="1"/>
        <v>46</v>
      </c>
      <c r="R52" s="8"/>
      <c r="T52"/>
    </row>
    <row r="53" spans="2:20" ht="23.1" customHeight="1" x14ac:dyDescent="0.25">
      <c r="B53" s="45" t="s">
        <v>80</v>
      </c>
      <c r="C53" s="50">
        <v>12</v>
      </c>
      <c r="D53" s="50">
        <v>0</v>
      </c>
      <c r="E53" s="50">
        <v>2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40</v>
      </c>
      <c r="N53" s="50">
        <v>0</v>
      </c>
      <c r="O53" s="15">
        <f t="shared" si="0"/>
        <v>15</v>
      </c>
      <c r="P53" s="15">
        <f t="shared" si="1"/>
        <v>55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0</v>
      </c>
      <c r="E54" s="50">
        <v>0</v>
      </c>
      <c r="F54" s="50">
        <v>3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22</v>
      </c>
      <c r="N54" s="50">
        <v>0</v>
      </c>
      <c r="O54" s="15">
        <f t="shared" si="0"/>
        <v>6</v>
      </c>
      <c r="P54" s="15">
        <f t="shared" si="1"/>
        <v>28</v>
      </c>
      <c r="R54" s="8"/>
      <c r="T54"/>
    </row>
    <row r="55" spans="2:20" ht="23.1" customHeight="1" x14ac:dyDescent="0.25">
      <c r="B55" s="45" t="s">
        <v>82</v>
      </c>
      <c r="C55" s="50">
        <v>4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27</v>
      </c>
      <c r="N55" s="50">
        <v>0</v>
      </c>
      <c r="O55" s="15">
        <f t="shared" si="0"/>
        <v>6</v>
      </c>
      <c r="P55" s="15">
        <f t="shared" si="1"/>
        <v>33</v>
      </c>
      <c r="R55" s="8"/>
      <c r="T55"/>
    </row>
    <row r="56" spans="2:20" ht="23.1" customHeight="1" x14ac:dyDescent="0.25">
      <c r="B56" s="45" t="s">
        <v>83</v>
      </c>
      <c r="C56" s="50">
        <v>8</v>
      </c>
      <c r="D56" s="50">
        <v>2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1</v>
      </c>
      <c r="M56" s="50">
        <v>30</v>
      </c>
      <c r="N56" s="50">
        <v>0</v>
      </c>
      <c r="O56" s="15">
        <f t="shared" si="0"/>
        <v>11</v>
      </c>
      <c r="P56" s="15">
        <f t="shared" si="1"/>
        <v>41</v>
      </c>
      <c r="R56" s="8"/>
      <c r="T56"/>
    </row>
    <row r="57" spans="2:20" ht="23.1" customHeight="1" x14ac:dyDescent="0.25">
      <c r="B57" s="45" t="s">
        <v>84</v>
      </c>
      <c r="C57" s="50">
        <v>7</v>
      </c>
      <c r="D57" s="50">
        <v>0</v>
      </c>
      <c r="E57" s="50">
        <v>1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54</v>
      </c>
      <c r="N57" s="50">
        <v>0</v>
      </c>
      <c r="O57" s="15">
        <f t="shared" si="0"/>
        <v>9</v>
      </c>
      <c r="P57" s="15">
        <f t="shared" si="1"/>
        <v>63</v>
      </c>
      <c r="R57" s="8"/>
      <c r="T57"/>
    </row>
    <row r="58" spans="2:20" ht="23.1" customHeight="1" x14ac:dyDescent="0.25">
      <c r="B58" s="45" t="s">
        <v>99</v>
      </c>
      <c r="C58" s="50">
        <v>7</v>
      </c>
      <c r="D58" s="50">
        <v>0</v>
      </c>
      <c r="E58" s="50">
        <v>1</v>
      </c>
      <c r="F58" s="50">
        <v>0</v>
      </c>
      <c r="G58" s="50">
        <v>0</v>
      </c>
      <c r="H58" s="50">
        <v>0</v>
      </c>
      <c r="I58" s="50">
        <v>5</v>
      </c>
      <c r="J58" s="50">
        <v>0</v>
      </c>
      <c r="K58" s="50">
        <v>0</v>
      </c>
      <c r="L58" s="50">
        <v>1</v>
      </c>
      <c r="M58" s="50">
        <v>20</v>
      </c>
      <c r="N58" s="50">
        <v>0</v>
      </c>
      <c r="O58" s="15">
        <f t="shared" ref="O58:O105" si="35">SUM(C58:L58,N58)</f>
        <v>14</v>
      </c>
      <c r="P58" s="15">
        <f t="shared" ref="P58:P105" si="36">SUM(C58:N58)</f>
        <v>34</v>
      </c>
      <c r="R58" s="8"/>
      <c r="T58"/>
    </row>
    <row r="59" spans="2:20" ht="23.1" customHeight="1" x14ac:dyDescent="0.25">
      <c r="B59" s="45" t="s">
        <v>100</v>
      </c>
      <c r="C59" s="50">
        <v>10</v>
      </c>
      <c r="D59" s="50">
        <v>0</v>
      </c>
      <c r="E59" s="50">
        <v>1</v>
      </c>
      <c r="F59" s="50">
        <v>0</v>
      </c>
      <c r="G59" s="50">
        <v>0</v>
      </c>
      <c r="H59" s="50">
        <v>0</v>
      </c>
      <c r="I59" s="50">
        <v>2</v>
      </c>
      <c r="J59" s="50">
        <v>0</v>
      </c>
      <c r="K59" s="50">
        <v>0</v>
      </c>
      <c r="L59" s="50">
        <v>0</v>
      </c>
      <c r="M59" s="50">
        <v>33</v>
      </c>
      <c r="N59" s="50">
        <v>0</v>
      </c>
      <c r="O59" s="15">
        <f t="shared" si="35"/>
        <v>13</v>
      </c>
      <c r="P59" s="15">
        <f t="shared" si="36"/>
        <v>46</v>
      </c>
      <c r="R59" s="8"/>
      <c r="T59"/>
    </row>
    <row r="60" spans="2:20" ht="23.1" customHeight="1" x14ac:dyDescent="0.25">
      <c r="B60" s="45" t="s">
        <v>101</v>
      </c>
      <c r="C60" s="50">
        <v>9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3</v>
      </c>
      <c r="J60" s="50">
        <v>0</v>
      </c>
      <c r="K60" s="50">
        <v>0</v>
      </c>
      <c r="L60" s="50">
        <v>0</v>
      </c>
      <c r="M60" s="50">
        <v>21</v>
      </c>
      <c r="N60" s="50">
        <v>0</v>
      </c>
      <c r="O60" s="15">
        <f t="shared" si="35"/>
        <v>12</v>
      </c>
      <c r="P60" s="15">
        <f t="shared" si="36"/>
        <v>33</v>
      </c>
      <c r="R60" s="8"/>
      <c r="T60"/>
    </row>
    <row r="61" spans="2:20" ht="23.1" customHeight="1" x14ac:dyDescent="0.25">
      <c r="B61" s="45" t="s">
        <v>102</v>
      </c>
      <c r="C61" s="50">
        <v>11</v>
      </c>
      <c r="D61" s="50">
        <v>1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1</v>
      </c>
      <c r="K61" s="50">
        <v>0</v>
      </c>
      <c r="L61" s="50">
        <v>0</v>
      </c>
      <c r="M61" s="50">
        <v>18</v>
      </c>
      <c r="N61" s="50">
        <v>0</v>
      </c>
      <c r="O61" s="15">
        <f t="shared" si="35"/>
        <v>13</v>
      </c>
      <c r="P61" s="15">
        <f t="shared" si="36"/>
        <v>31</v>
      </c>
      <c r="R61" s="8"/>
      <c r="T61"/>
    </row>
    <row r="62" spans="2:20" ht="23.1" customHeight="1" x14ac:dyDescent="0.25">
      <c r="B62" s="45" t="s">
        <v>107</v>
      </c>
      <c r="C62" s="50">
        <v>6</v>
      </c>
      <c r="D62" s="50">
        <v>0</v>
      </c>
      <c r="E62" s="50">
        <v>1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7</v>
      </c>
      <c r="N62" s="50">
        <v>0</v>
      </c>
      <c r="O62" s="15">
        <f t="shared" si="35"/>
        <v>7</v>
      </c>
      <c r="P62" s="15">
        <f t="shared" si="36"/>
        <v>14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0</v>
      </c>
      <c r="E63" s="50">
        <v>2</v>
      </c>
      <c r="F63" s="50">
        <v>0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12</v>
      </c>
      <c r="N63" s="50">
        <v>0</v>
      </c>
      <c r="O63" s="15">
        <f t="shared" si="35"/>
        <v>6</v>
      </c>
      <c r="P63" s="15">
        <f t="shared" si="36"/>
        <v>18</v>
      </c>
      <c r="R63" s="8"/>
      <c r="T63"/>
    </row>
    <row r="64" spans="2:20" ht="23.1" customHeight="1" x14ac:dyDescent="0.25">
      <c r="B64" s="45" t="s">
        <v>109</v>
      </c>
      <c r="C64" s="50">
        <v>7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1</v>
      </c>
      <c r="K64" s="50">
        <v>0</v>
      </c>
      <c r="L64" s="50">
        <v>0</v>
      </c>
      <c r="M64" s="50">
        <v>24</v>
      </c>
      <c r="N64" s="50">
        <v>0</v>
      </c>
      <c r="O64" s="15">
        <f t="shared" si="35"/>
        <v>9</v>
      </c>
      <c r="P64" s="15">
        <f t="shared" si="36"/>
        <v>33</v>
      </c>
      <c r="R64" s="8"/>
      <c r="T64"/>
    </row>
    <row r="65" spans="2:20" ht="23.1" customHeight="1" x14ac:dyDescent="0.25">
      <c r="B65" s="45" t="s">
        <v>158</v>
      </c>
      <c r="C65" s="50">
        <v>5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12</v>
      </c>
      <c r="N65" s="50">
        <v>0</v>
      </c>
      <c r="O65" s="15">
        <f t="shared" si="35"/>
        <v>5</v>
      </c>
      <c r="P65" s="15">
        <f t="shared" si="36"/>
        <v>17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3</v>
      </c>
      <c r="E66" s="50">
        <v>2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22</v>
      </c>
      <c r="N66" s="50">
        <v>0</v>
      </c>
      <c r="O66" s="15">
        <f t="shared" si="35"/>
        <v>8</v>
      </c>
      <c r="P66" s="15">
        <f t="shared" si="36"/>
        <v>30</v>
      </c>
      <c r="R66" s="8"/>
      <c r="T66"/>
    </row>
    <row r="67" spans="2:20" ht="23.1" customHeight="1" x14ac:dyDescent="0.25">
      <c r="B67" s="45" t="s">
        <v>104</v>
      </c>
      <c r="C67" s="50">
        <v>3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16</v>
      </c>
      <c r="N67" s="50">
        <v>0</v>
      </c>
      <c r="O67" s="15">
        <f t="shared" si="35"/>
        <v>3</v>
      </c>
      <c r="P67" s="15">
        <f t="shared" si="36"/>
        <v>19</v>
      </c>
      <c r="R67" s="8"/>
      <c r="T67"/>
    </row>
    <row r="68" spans="2:20" ht="23.1" customHeight="1" x14ac:dyDescent="0.25">
      <c r="B68" s="45" t="s">
        <v>105</v>
      </c>
      <c r="C68" s="50">
        <v>4</v>
      </c>
      <c r="D68" s="50">
        <v>1</v>
      </c>
      <c r="E68" s="50">
        <v>0</v>
      </c>
      <c r="F68" s="50">
        <v>0</v>
      </c>
      <c r="G68" s="50">
        <v>0</v>
      </c>
      <c r="H68" s="50">
        <v>0</v>
      </c>
      <c r="I68" s="50">
        <v>2</v>
      </c>
      <c r="J68" s="50">
        <v>0</v>
      </c>
      <c r="K68" s="50">
        <v>0</v>
      </c>
      <c r="L68" s="50">
        <v>0</v>
      </c>
      <c r="M68" s="50">
        <v>20</v>
      </c>
      <c r="N68" s="50">
        <v>0</v>
      </c>
      <c r="O68" s="15">
        <f t="shared" si="35"/>
        <v>7</v>
      </c>
      <c r="P68" s="15">
        <f t="shared" si="36"/>
        <v>27</v>
      </c>
      <c r="R68" s="8"/>
      <c r="T68"/>
    </row>
    <row r="69" spans="2:20" ht="23.1" customHeight="1" x14ac:dyDescent="0.25">
      <c r="B69" s="45" t="s">
        <v>106</v>
      </c>
      <c r="C69" s="50">
        <v>3</v>
      </c>
      <c r="D69" s="50">
        <v>1</v>
      </c>
      <c r="E69" s="50">
        <v>1</v>
      </c>
      <c r="F69" s="50">
        <v>0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15</v>
      </c>
      <c r="N69" s="50">
        <v>0</v>
      </c>
      <c r="O69" s="15">
        <f t="shared" si="35"/>
        <v>6</v>
      </c>
      <c r="P69" s="15">
        <f t="shared" si="36"/>
        <v>21</v>
      </c>
      <c r="R69" s="8"/>
      <c r="T69"/>
    </row>
    <row r="70" spans="2:20" ht="23.1" customHeight="1" x14ac:dyDescent="0.25">
      <c r="B70" s="45" t="s">
        <v>110</v>
      </c>
      <c r="C70" s="50">
        <v>3</v>
      </c>
      <c r="D70" s="50">
        <v>0</v>
      </c>
      <c r="E70" s="50">
        <v>1</v>
      </c>
      <c r="F70" s="50">
        <v>0</v>
      </c>
      <c r="G70" s="50">
        <v>0</v>
      </c>
      <c r="H70" s="50">
        <v>0</v>
      </c>
      <c r="I70" s="50">
        <v>1</v>
      </c>
      <c r="J70" s="50">
        <v>1</v>
      </c>
      <c r="K70" s="50">
        <v>0</v>
      </c>
      <c r="L70" s="50">
        <v>0</v>
      </c>
      <c r="M70" s="50">
        <v>5</v>
      </c>
      <c r="N70" s="50">
        <v>0</v>
      </c>
      <c r="O70" s="15">
        <f t="shared" si="35"/>
        <v>6</v>
      </c>
      <c r="P70" s="15">
        <f t="shared" si="36"/>
        <v>11</v>
      </c>
      <c r="R70" s="8"/>
      <c r="T70"/>
    </row>
    <row r="71" spans="2:20" ht="23.1" customHeight="1" x14ac:dyDescent="0.25">
      <c r="B71" s="45" t="s">
        <v>111</v>
      </c>
      <c r="C71" s="50">
        <v>4</v>
      </c>
      <c r="D71" s="50">
        <v>0</v>
      </c>
      <c r="E71" s="50">
        <v>1</v>
      </c>
      <c r="F71" s="50">
        <v>1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13</v>
      </c>
      <c r="N71" s="50">
        <v>0</v>
      </c>
      <c r="O71" s="15">
        <f t="shared" si="35"/>
        <v>7</v>
      </c>
      <c r="P71" s="15">
        <f t="shared" si="36"/>
        <v>20</v>
      </c>
      <c r="R71" s="8"/>
      <c r="T71"/>
    </row>
    <row r="72" spans="2:20" ht="23.1" customHeight="1" x14ac:dyDescent="0.25">
      <c r="B72" s="45" t="s">
        <v>112</v>
      </c>
      <c r="C72" s="50">
        <v>2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10</v>
      </c>
      <c r="N72" s="50">
        <v>0</v>
      </c>
      <c r="O72" s="15">
        <f t="shared" si="35"/>
        <v>2</v>
      </c>
      <c r="P72" s="15">
        <f t="shared" si="36"/>
        <v>12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1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8</v>
      </c>
      <c r="N73" s="50">
        <v>0</v>
      </c>
      <c r="O73" s="15">
        <f t="shared" si="35"/>
        <v>2</v>
      </c>
      <c r="P73" s="15">
        <f t="shared" si="36"/>
        <v>10</v>
      </c>
      <c r="R73" s="8"/>
      <c r="T73"/>
    </row>
    <row r="74" spans="2:20" ht="23.1" customHeight="1" x14ac:dyDescent="0.25">
      <c r="B74" s="45" t="s">
        <v>114</v>
      </c>
      <c r="C74" s="50">
        <v>6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3</v>
      </c>
      <c r="N74" s="50">
        <v>0</v>
      </c>
      <c r="O74" s="15">
        <f t="shared" si="35"/>
        <v>6</v>
      </c>
      <c r="P74" s="15">
        <f t="shared" si="36"/>
        <v>9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4</v>
      </c>
      <c r="N75" s="50">
        <v>0</v>
      </c>
      <c r="O75" s="15">
        <f t="shared" si="35"/>
        <v>1</v>
      </c>
      <c r="P75" s="15">
        <f t="shared" si="36"/>
        <v>5</v>
      </c>
      <c r="R75" s="8"/>
      <c r="T75"/>
    </row>
    <row r="76" spans="2:20" ht="23.1" customHeight="1" x14ac:dyDescent="0.25">
      <c r="B76" s="45" t="s">
        <v>116</v>
      </c>
      <c r="C76" s="50">
        <v>2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4</v>
      </c>
      <c r="N76" s="50">
        <v>0</v>
      </c>
      <c r="O76" s="15">
        <f t="shared" si="35"/>
        <v>2</v>
      </c>
      <c r="P76" s="15">
        <f t="shared" si="36"/>
        <v>6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1</v>
      </c>
      <c r="F77" s="50">
        <v>1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7</v>
      </c>
      <c r="N77" s="50">
        <v>0</v>
      </c>
      <c r="O77" s="15">
        <f t="shared" si="35"/>
        <v>2</v>
      </c>
      <c r="P77" s="15">
        <f t="shared" si="36"/>
        <v>9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4</v>
      </c>
      <c r="N78" s="50">
        <v>0</v>
      </c>
      <c r="O78" s="15">
        <f t="shared" si="35"/>
        <v>1</v>
      </c>
      <c r="P78" s="15">
        <f t="shared" si="36"/>
        <v>5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1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1</v>
      </c>
      <c r="P79" s="15">
        <f t="shared" si="36"/>
        <v>3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4</v>
      </c>
      <c r="N80" s="50">
        <v>0</v>
      </c>
      <c r="O80" s="15">
        <f t="shared" si="35"/>
        <v>1</v>
      </c>
      <c r="P80" s="15">
        <f t="shared" si="36"/>
        <v>5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</v>
      </c>
      <c r="N81" s="50">
        <v>0</v>
      </c>
      <c r="O81" s="15">
        <f t="shared" si="35"/>
        <v>0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3</v>
      </c>
      <c r="N83" s="50">
        <v>0</v>
      </c>
      <c r="O83" s="15">
        <f t="shared" si="35"/>
        <v>0</v>
      </c>
      <c r="P83" s="15">
        <f t="shared" si="36"/>
        <v>3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1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2</v>
      </c>
      <c r="P84" s="15">
        <f t="shared" si="36"/>
        <v>2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1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2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2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</v>
      </c>
      <c r="N87" s="50">
        <v>0</v>
      </c>
      <c r="O87" s="15">
        <f t="shared" si="35"/>
        <v>0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2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2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0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2</v>
      </c>
      <c r="N91" s="50">
        <v>0</v>
      </c>
      <c r="O91" s="15">
        <f t="shared" si="35"/>
        <v>0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1</v>
      </c>
      <c r="F92" s="50">
        <v>0</v>
      </c>
      <c r="G92" s="50">
        <v>1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4</v>
      </c>
      <c r="N94" s="50">
        <v>0</v>
      </c>
      <c r="O94" s="15">
        <f t="shared" si="35"/>
        <v>2</v>
      </c>
      <c r="P94" s="15">
        <f t="shared" si="36"/>
        <v>6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5"/>
        <v>1</v>
      </c>
      <c r="P95" s="15">
        <f t="shared" si="36"/>
        <v>3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3</v>
      </c>
      <c r="N96" s="50">
        <v>0</v>
      </c>
      <c r="O96" s="15">
        <f t="shared" si="35"/>
        <v>1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1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2</v>
      </c>
      <c r="N100" s="50">
        <v>0</v>
      </c>
      <c r="O100" s="15">
        <f t="shared" si="35"/>
        <v>1</v>
      </c>
      <c r="P100" s="15">
        <f t="shared" si="36"/>
        <v>3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0</v>
      </c>
      <c r="P101" s="15">
        <f t="shared" si="36"/>
        <v>1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</v>
      </c>
      <c r="N102" s="50">
        <v>0</v>
      </c>
      <c r="O102" s="15">
        <f t="shared" si="35"/>
        <v>1</v>
      </c>
      <c r="P102" s="15">
        <f t="shared" si="36"/>
        <v>3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1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0</v>
      </c>
      <c r="F104" s="50">
        <v>1</v>
      </c>
      <c r="G104" s="50">
        <v>0</v>
      </c>
      <c r="H104" s="50">
        <v>0</v>
      </c>
      <c r="I104" s="50">
        <v>0</v>
      </c>
      <c r="J104" s="50">
        <v>1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3</v>
      </c>
      <c r="P104" s="15">
        <f t="shared" si="36"/>
        <v>6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5</v>
      </c>
      <c r="N105" s="50">
        <v>0</v>
      </c>
      <c r="O105" s="15">
        <f t="shared" si="35"/>
        <v>2</v>
      </c>
      <c r="P105" s="15">
        <f t="shared" si="36"/>
        <v>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332</v>
      </c>
      <c r="D106" s="16">
        <f t="shared" ref="D106:P106" si="37">SUM(D10:D105)</f>
        <v>30</v>
      </c>
      <c r="E106" s="16">
        <f t="shared" si="37"/>
        <v>57</v>
      </c>
      <c r="F106" s="16">
        <f t="shared" si="37"/>
        <v>49</v>
      </c>
      <c r="G106" s="16">
        <f t="shared" si="37"/>
        <v>3</v>
      </c>
      <c r="H106" s="16">
        <f t="shared" si="37"/>
        <v>0</v>
      </c>
      <c r="I106" s="16">
        <f t="shared" si="37"/>
        <v>47</v>
      </c>
      <c r="J106" s="16">
        <f t="shared" si="37"/>
        <v>22</v>
      </c>
      <c r="K106" s="16">
        <f t="shared" si="37"/>
        <v>4</v>
      </c>
      <c r="L106" s="16">
        <f t="shared" si="37"/>
        <v>6</v>
      </c>
      <c r="M106" s="16">
        <f t="shared" si="37"/>
        <v>1514</v>
      </c>
      <c r="N106" s="16">
        <f t="shared" si="37"/>
        <v>0</v>
      </c>
      <c r="O106" s="16">
        <f t="shared" si="37"/>
        <v>550</v>
      </c>
      <c r="P106" s="16">
        <f t="shared" si="37"/>
        <v>2064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0.16085271317829458</v>
      </c>
      <c r="D107" s="43">
        <f t="shared" si="38"/>
        <v>1.4534883720930232E-2</v>
      </c>
      <c r="E107" s="43">
        <f t="shared" si="38"/>
        <v>2.7616279069767442E-2</v>
      </c>
      <c r="F107" s="43">
        <f t="shared" si="38"/>
        <v>2.374031007751938E-2</v>
      </c>
      <c r="G107" s="43">
        <f t="shared" si="38"/>
        <v>1.4534883720930232E-3</v>
      </c>
      <c r="H107" s="43">
        <f t="shared" si="38"/>
        <v>0</v>
      </c>
      <c r="I107" s="43">
        <f t="shared" si="38"/>
        <v>2.2771317829457363E-2</v>
      </c>
      <c r="J107" s="43">
        <f t="shared" si="38"/>
        <v>1.065891472868217E-2</v>
      </c>
      <c r="K107" s="43">
        <f t="shared" si="38"/>
        <v>1.937984496124031E-3</v>
      </c>
      <c r="L107" s="43">
        <f t="shared" si="38"/>
        <v>2.9069767441860465E-3</v>
      </c>
      <c r="M107" s="43">
        <f t="shared" si="38"/>
        <v>0.73352713178294571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0.60363636363636364</v>
      </c>
      <c r="D108" s="44">
        <f t="shared" ref="D108:N108" si="39">D106/$O$106</f>
        <v>5.4545454545454543E-2</v>
      </c>
      <c r="E108" s="44">
        <f t="shared" si="39"/>
        <v>0.10363636363636364</v>
      </c>
      <c r="F108" s="44">
        <f t="shared" si="39"/>
        <v>8.9090909090909096E-2</v>
      </c>
      <c r="G108" s="44">
        <f t="shared" si="39"/>
        <v>5.454545454545455E-3</v>
      </c>
      <c r="H108" s="44">
        <f t="shared" si="39"/>
        <v>0</v>
      </c>
      <c r="I108" s="44">
        <f t="shared" si="39"/>
        <v>8.545454545454545E-2</v>
      </c>
      <c r="J108" s="44">
        <f t="shared" si="39"/>
        <v>0.04</v>
      </c>
      <c r="K108" s="44">
        <f t="shared" si="39"/>
        <v>7.2727272727272727E-3</v>
      </c>
      <c r="L108" s="44">
        <f t="shared" si="39"/>
        <v>1.090909090909091E-2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249977111117893"/>
  </sheetPr>
  <dimension ref="B1:AF174"/>
  <sheetViews>
    <sheetView view="pageBreakPreview" topLeftCell="A40" zoomScale="60" workbookViewId="0">
      <selection activeCell="D6" sqref="D6:E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KYENJOJO-HOIMA'!C3:G3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'26.10 KYENJOJO-HOIMA-24h'!D5</f>
        <v>26.07.19</v>
      </c>
      <c r="E5" s="3"/>
      <c r="F5" s="41" t="s">
        <v>1</v>
      </c>
      <c r="G5" s="63" t="str">
        <f>'26.10 KYENJOJO-HOIMA-24h'!G5:H5</f>
        <v>KYENJOJO</v>
      </c>
      <c r="H5" s="64"/>
      <c r="I5" s="14"/>
      <c r="J5" s="2" t="s">
        <v>5</v>
      </c>
      <c r="K5" s="63" t="s">
        <v>172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HOIMA-KYENJOJO'!D6:E6</f>
        <v>HOIMA</v>
      </c>
      <c r="E6" s="64"/>
      <c r="F6" s="2" t="s">
        <v>2</v>
      </c>
      <c r="G6" s="63" t="str">
        <f>'27.10 HOIMA-KYENJOJO'!G6:H6</f>
        <v>KYENJOJO</v>
      </c>
      <c r="H6" s="64"/>
      <c r="J6" s="2" t="s">
        <v>21</v>
      </c>
      <c r="K6" s="63" t="s">
        <v>170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0</v>
      </c>
      <c r="R10" s="1" t="s">
        <v>6</v>
      </c>
      <c r="S10" s="17">
        <f t="shared" ref="S10:AF10" si="2">SUM(C10:C13)</f>
        <v>3</v>
      </c>
      <c r="T10" s="17">
        <f t="shared" si="2"/>
        <v>1</v>
      </c>
      <c r="U10" s="17">
        <f t="shared" si="2"/>
        <v>0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</v>
      </c>
      <c r="AD10" s="17">
        <f t="shared" si="2"/>
        <v>0</v>
      </c>
      <c r="AE10" s="31">
        <f t="shared" si="2"/>
        <v>6</v>
      </c>
      <c r="AF10" s="31">
        <f t="shared" si="2"/>
        <v>8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0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3</v>
      </c>
      <c r="P11" s="15">
        <f t="shared" si="1"/>
        <v>3</v>
      </c>
      <c r="R11" s="1" t="s">
        <v>7</v>
      </c>
      <c r="S11" s="17">
        <f t="shared" ref="S11:AF11" si="3">SUM(C14:C17)</f>
        <v>4</v>
      </c>
      <c r="T11" s="17">
        <f t="shared" si="3"/>
        <v>0</v>
      </c>
      <c r="U11" s="17">
        <f t="shared" si="3"/>
        <v>1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5</v>
      </c>
      <c r="AD11" s="17">
        <f t="shared" si="3"/>
        <v>0</v>
      </c>
      <c r="AE11" s="31">
        <f t="shared" si="3"/>
        <v>8</v>
      </c>
      <c r="AF11" s="31">
        <f t="shared" si="3"/>
        <v>13</v>
      </c>
    </row>
    <row r="12" spans="2:32" ht="23.1" customHeight="1" x14ac:dyDescent="0.25">
      <c r="B12" s="45" t="s">
        <v>39</v>
      </c>
      <c r="C12" s="50">
        <v>2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3</v>
      </c>
      <c r="P12" s="15">
        <f t="shared" si="1"/>
        <v>3</v>
      </c>
      <c r="R12" s="1" t="s">
        <v>8</v>
      </c>
      <c r="S12" s="17">
        <f t="shared" ref="S12:AF12" si="4">SUM(C18:C21)</f>
        <v>17</v>
      </c>
      <c r="T12" s="17">
        <f t="shared" si="4"/>
        <v>2</v>
      </c>
      <c r="U12" s="17">
        <f t="shared" si="4"/>
        <v>1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68</v>
      </c>
      <c r="AD12" s="17">
        <f t="shared" si="4"/>
        <v>0</v>
      </c>
      <c r="AE12" s="31">
        <f t="shared" si="4"/>
        <v>26</v>
      </c>
      <c r="AF12" s="31">
        <f t="shared" si="4"/>
        <v>94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0</v>
      </c>
      <c r="P13" s="15">
        <f t="shared" si="1"/>
        <v>2</v>
      </c>
      <c r="R13" s="1" t="s">
        <v>9</v>
      </c>
      <c r="S13" s="17">
        <f t="shared" ref="S13:AF13" si="5">SUM(C22:C25)</f>
        <v>22</v>
      </c>
      <c r="T13" s="17">
        <f t="shared" si="5"/>
        <v>1</v>
      </c>
      <c r="U13" s="17">
        <f t="shared" si="5"/>
        <v>1</v>
      </c>
      <c r="V13" s="17">
        <f t="shared" si="5"/>
        <v>3</v>
      </c>
      <c r="W13" s="17">
        <f t="shared" si="5"/>
        <v>0</v>
      </c>
      <c r="X13" s="17">
        <f t="shared" si="5"/>
        <v>1</v>
      </c>
      <c r="Y13" s="17">
        <f t="shared" si="5"/>
        <v>2</v>
      </c>
      <c r="Z13" s="17">
        <f t="shared" si="5"/>
        <v>2</v>
      </c>
      <c r="AA13" s="17">
        <f t="shared" si="5"/>
        <v>1</v>
      </c>
      <c r="AB13" s="17">
        <f t="shared" si="5"/>
        <v>0</v>
      </c>
      <c r="AC13" s="17">
        <f t="shared" si="5"/>
        <v>88</v>
      </c>
      <c r="AD13" s="17">
        <f t="shared" si="5"/>
        <v>0</v>
      </c>
      <c r="AE13" s="31">
        <f t="shared" si="5"/>
        <v>33</v>
      </c>
      <c r="AF13" s="31">
        <f t="shared" si="5"/>
        <v>121</v>
      </c>
    </row>
    <row r="14" spans="2:32" ht="23.1" customHeight="1" x14ac:dyDescent="0.25">
      <c r="B14" s="45" t="s">
        <v>41</v>
      </c>
      <c r="C14" s="50">
        <v>2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2</v>
      </c>
      <c r="P14" s="15">
        <f t="shared" si="1"/>
        <v>3</v>
      </c>
      <c r="R14" s="1" t="s">
        <v>10</v>
      </c>
      <c r="S14" s="17">
        <f t="shared" ref="S14:AF14" si="6">SUM(C26:C29)</f>
        <v>15</v>
      </c>
      <c r="T14" s="17">
        <f t="shared" si="6"/>
        <v>5</v>
      </c>
      <c r="U14" s="17">
        <f t="shared" si="6"/>
        <v>3</v>
      </c>
      <c r="V14" s="17">
        <f t="shared" si="6"/>
        <v>7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3</v>
      </c>
      <c r="AA14" s="17">
        <f t="shared" si="6"/>
        <v>1</v>
      </c>
      <c r="AB14" s="17">
        <f t="shared" si="6"/>
        <v>0</v>
      </c>
      <c r="AC14" s="17">
        <f t="shared" si="6"/>
        <v>90</v>
      </c>
      <c r="AD14" s="17">
        <f t="shared" si="6"/>
        <v>0</v>
      </c>
      <c r="AE14" s="31">
        <f t="shared" si="6"/>
        <v>40</v>
      </c>
      <c r="AF14" s="31">
        <f t="shared" si="6"/>
        <v>130</v>
      </c>
    </row>
    <row r="15" spans="2:32" ht="23.1" customHeight="1" x14ac:dyDescent="0.25">
      <c r="B15" s="45" t="s">
        <v>42</v>
      </c>
      <c r="C15" s="50">
        <v>1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</v>
      </c>
      <c r="N15" s="50">
        <v>0</v>
      </c>
      <c r="O15" s="15">
        <f t="shared" si="0"/>
        <v>3</v>
      </c>
      <c r="P15" s="15">
        <f t="shared" si="1"/>
        <v>4</v>
      </c>
      <c r="R15" s="1" t="s">
        <v>11</v>
      </c>
      <c r="S15" s="17">
        <f t="shared" ref="S15:AF15" si="7">SUM(C30:C33)</f>
        <v>39</v>
      </c>
      <c r="T15" s="17">
        <f t="shared" si="7"/>
        <v>4</v>
      </c>
      <c r="U15" s="17">
        <f t="shared" si="7"/>
        <v>5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96</v>
      </c>
      <c r="AD15" s="17">
        <f t="shared" si="7"/>
        <v>0</v>
      </c>
      <c r="AE15" s="31">
        <f t="shared" si="7"/>
        <v>57</v>
      </c>
      <c r="AF15" s="31">
        <f t="shared" si="7"/>
        <v>153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3</v>
      </c>
      <c r="P16" s="15">
        <f t="shared" si="1"/>
        <v>6</v>
      </c>
      <c r="R16" s="1" t="s">
        <v>12</v>
      </c>
      <c r="S16" s="17">
        <f t="shared" ref="S16:AF16" si="8">SUM(C34:C37)</f>
        <v>16</v>
      </c>
      <c r="T16" s="17">
        <f t="shared" si="8"/>
        <v>0</v>
      </c>
      <c r="U16" s="17">
        <f t="shared" si="8"/>
        <v>3</v>
      </c>
      <c r="V16" s="17">
        <f t="shared" si="8"/>
        <v>7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2</v>
      </c>
      <c r="AA16" s="17">
        <f t="shared" si="8"/>
        <v>2</v>
      </c>
      <c r="AB16" s="17">
        <f t="shared" si="8"/>
        <v>0</v>
      </c>
      <c r="AC16" s="17">
        <f t="shared" si="8"/>
        <v>85</v>
      </c>
      <c r="AD16" s="17">
        <f t="shared" si="8"/>
        <v>0</v>
      </c>
      <c r="AE16" s="31">
        <f t="shared" si="8"/>
        <v>31</v>
      </c>
      <c r="AF16" s="31">
        <f t="shared" si="8"/>
        <v>116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0</v>
      </c>
      <c r="P17" s="15">
        <f t="shared" si="1"/>
        <v>0</v>
      </c>
      <c r="R17" s="1" t="s">
        <v>13</v>
      </c>
      <c r="S17" s="17">
        <f t="shared" ref="S17:AF17" si="9">SUM(C38:C41)</f>
        <v>17</v>
      </c>
      <c r="T17" s="17">
        <f t="shared" si="9"/>
        <v>2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116</v>
      </c>
      <c r="AD17" s="17">
        <f t="shared" si="9"/>
        <v>0</v>
      </c>
      <c r="AE17" s="31">
        <f t="shared" si="9"/>
        <v>29</v>
      </c>
      <c r="AF17" s="31">
        <f t="shared" si="9"/>
        <v>145</v>
      </c>
    </row>
    <row r="18" spans="2:32" ht="23.1" customHeight="1" x14ac:dyDescent="0.25">
      <c r="B18" s="45" t="s">
        <v>45</v>
      </c>
      <c r="C18" s="50">
        <v>1</v>
      </c>
      <c r="D18" s="50">
        <v>2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4</v>
      </c>
      <c r="P18" s="15">
        <f t="shared" si="1"/>
        <v>8</v>
      </c>
      <c r="R18" s="1" t="s">
        <v>14</v>
      </c>
      <c r="S18" s="17">
        <f t="shared" ref="S18:AF18" si="10">SUM(C42:C45)</f>
        <v>18</v>
      </c>
      <c r="T18" s="17">
        <f t="shared" si="10"/>
        <v>0</v>
      </c>
      <c r="U18" s="17">
        <f t="shared" si="10"/>
        <v>3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2</v>
      </c>
      <c r="AA18" s="17">
        <f t="shared" si="10"/>
        <v>3</v>
      </c>
      <c r="AB18" s="17">
        <f t="shared" si="10"/>
        <v>0</v>
      </c>
      <c r="AC18" s="17">
        <f t="shared" si="10"/>
        <v>29</v>
      </c>
      <c r="AD18" s="17">
        <f t="shared" si="10"/>
        <v>0</v>
      </c>
      <c r="AE18" s="31">
        <f t="shared" si="10"/>
        <v>30</v>
      </c>
      <c r="AF18" s="31">
        <f t="shared" si="10"/>
        <v>59</v>
      </c>
    </row>
    <row r="19" spans="2:32" ht="23.1" customHeight="1" x14ac:dyDescent="0.25">
      <c r="B19" s="45" t="s">
        <v>46</v>
      </c>
      <c r="C19" s="50">
        <v>5</v>
      </c>
      <c r="D19" s="50">
        <v>0</v>
      </c>
      <c r="E19" s="50">
        <v>1</v>
      </c>
      <c r="F19" s="50">
        <v>2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16</v>
      </c>
      <c r="N19" s="50">
        <v>0</v>
      </c>
      <c r="O19" s="15">
        <f t="shared" si="0"/>
        <v>9</v>
      </c>
      <c r="P19" s="15">
        <f t="shared" si="1"/>
        <v>25</v>
      </c>
      <c r="R19" s="1" t="s">
        <v>15</v>
      </c>
      <c r="S19" s="17">
        <f t="shared" ref="S19:AF19" si="11">SUM(C46:C49)</f>
        <v>30</v>
      </c>
      <c r="T19" s="17">
        <f t="shared" si="11"/>
        <v>4</v>
      </c>
      <c r="U19" s="17">
        <f t="shared" si="11"/>
        <v>5</v>
      </c>
      <c r="V19" s="17">
        <f t="shared" si="11"/>
        <v>4</v>
      </c>
      <c r="W19" s="17">
        <f t="shared" si="11"/>
        <v>2</v>
      </c>
      <c r="X19" s="17">
        <f t="shared" si="11"/>
        <v>0</v>
      </c>
      <c r="Y19" s="17">
        <f t="shared" si="11"/>
        <v>3</v>
      </c>
      <c r="Z19" s="17">
        <f t="shared" si="11"/>
        <v>2</v>
      </c>
      <c r="AA19" s="17">
        <f t="shared" si="11"/>
        <v>1</v>
      </c>
      <c r="AB19" s="17">
        <f t="shared" si="11"/>
        <v>0</v>
      </c>
      <c r="AC19" s="17">
        <f t="shared" si="11"/>
        <v>38</v>
      </c>
      <c r="AD19" s="17">
        <f t="shared" si="11"/>
        <v>0</v>
      </c>
      <c r="AE19" s="31">
        <f t="shared" si="11"/>
        <v>51</v>
      </c>
      <c r="AF19" s="31">
        <f t="shared" si="11"/>
        <v>89</v>
      </c>
    </row>
    <row r="20" spans="2:32" ht="23.1" customHeight="1" x14ac:dyDescent="0.25">
      <c r="B20" s="45" t="s">
        <v>47</v>
      </c>
      <c r="C20" s="50">
        <v>6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26</v>
      </c>
      <c r="N20" s="50">
        <v>0</v>
      </c>
      <c r="O20" s="15">
        <f t="shared" si="0"/>
        <v>7</v>
      </c>
      <c r="P20" s="15">
        <f t="shared" si="1"/>
        <v>33</v>
      </c>
      <c r="R20" s="1" t="s">
        <v>16</v>
      </c>
      <c r="S20" s="17">
        <f t="shared" ref="S20:AF20" si="12">SUM(C50:C53)</f>
        <v>16</v>
      </c>
      <c r="T20" s="17">
        <f t="shared" si="12"/>
        <v>1</v>
      </c>
      <c r="U20" s="17">
        <f t="shared" si="12"/>
        <v>1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43</v>
      </c>
      <c r="AD20" s="17">
        <f t="shared" si="12"/>
        <v>0</v>
      </c>
      <c r="AE20" s="31">
        <f t="shared" si="12"/>
        <v>22</v>
      </c>
      <c r="AF20" s="31">
        <f t="shared" si="12"/>
        <v>65</v>
      </c>
    </row>
    <row r="21" spans="2:32" ht="23.1" customHeight="1" x14ac:dyDescent="0.25">
      <c r="B21" s="45" t="s">
        <v>48</v>
      </c>
      <c r="C21" s="50">
        <v>5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22</v>
      </c>
      <c r="N21" s="50">
        <v>0</v>
      </c>
      <c r="O21" s="15">
        <f t="shared" si="0"/>
        <v>6</v>
      </c>
      <c r="P21" s="15">
        <f t="shared" si="1"/>
        <v>28</v>
      </c>
      <c r="R21" s="36" t="s">
        <v>20</v>
      </c>
      <c r="S21" s="34">
        <f t="shared" ref="S21:AF21" si="13">SUM(C54:C57)</f>
        <v>33</v>
      </c>
      <c r="T21" s="17">
        <f t="shared" si="13"/>
        <v>2</v>
      </c>
      <c r="U21" s="17">
        <f t="shared" si="13"/>
        <v>4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111</v>
      </c>
      <c r="AD21" s="17">
        <f t="shared" si="13"/>
        <v>0</v>
      </c>
      <c r="AE21" s="31">
        <f t="shared" si="13"/>
        <v>47</v>
      </c>
      <c r="AF21" s="31">
        <f t="shared" si="13"/>
        <v>158</v>
      </c>
    </row>
    <row r="22" spans="2:32" ht="23.1" customHeight="1" x14ac:dyDescent="0.25">
      <c r="B22" s="45" t="s">
        <v>49</v>
      </c>
      <c r="C22" s="50">
        <v>10</v>
      </c>
      <c r="D22" s="50">
        <v>0</v>
      </c>
      <c r="E22" s="50">
        <v>1</v>
      </c>
      <c r="F22" s="50">
        <v>0</v>
      </c>
      <c r="G22" s="50">
        <v>0</v>
      </c>
      <c r="H22" s="50">
        <v>1</v>
      </c>
      <c r="I22" s="50">
        <v>0</v>
      </c>
      <c r="J22" s="50">
        <v>0</v>
      </c>
      <c r="K22" s="50">
        <v>0</v>
      </c>
      <c r="L22" s="50">
        <v>0</v>
      </c>
      <c r="M22" s="50">
        <v>21</v>
      </c>
      <c r="N22" s="50">
        <v>0</v>
      </c>
      <c r="O22" s="15">
        <f t="shared" si="0"/>
        <v>12</v>
      </c>
      <c r="P22" s="15">
        <f t="shared" si="1"/>
        <v>33</v>
      </c>
      <c r="R22" s="36" t="s">
        <v>146</v>
      </c>
      <c r="S22" s="34">
        <f>SUM(C58:C61)</f>
        <v>34</v>
      </c>
      <c r="T22" s="34">
        <f t="shared" ref="T22:AF22" si="14">SUM(D58:D61)</f>
        <v>3</v>
      </c>
      <c r="U22" s="34">
        <f t="shared" si="14"/>
        <v>4</v>
      </c>
      <c r="V22" s="34">
        <f t="shared" si="14"/>
        <v>3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110</v>
      </c>
      <c r="AD22" s="34">
        <f t="shared" si="14"/>
        <v>0</v>
      </c>
      <c r="AE22" s="31">
        <f t="shared" si="14"/>
        <v>46</v>
      </c>
      <c r="AF22" s="31">
        <f t="shared" si="14"/>
        <v>156</v>
      </c>
    </row>
    <row r="23" spans="2:32" ht="23.1" customHeight="1" x14ac:dyDescent="0.25">
      <c r="B23" s="45" t="s">
        <v>50</v>
      </c>
      <c r="C23" s="50">
        <v>4</v>
      </c>
      <c r="D23" s="50">
        <v>1</v>
      </c>
      <c r="E23" s="50">
        <v>0</v>
      </c>
      <c r="F23" s="50">
        <v>2</v>
      </c>
      <c r="G23" s="50">
        <v>0</v>
      </c>
      <c r="H23" s="50">
        <v>0</v>
      </c>
      <c r="I23" s="50">
        <v>1</v>
      </c>
      <c r="J23" s="50">
        <v>0</v>
      </c>
      <c r="K23" s="50">
        <v>1</v>
      </c>
      <c r="L23" s="50">
        <v>0</v>
      </c>
      <c r="M23" s="50">
        <v>20</v>
      </c>
      <c r="N23" s="50">
        <v>0</v>
      </c>
      <c r="O23" s="15">
        <f t="shared" si="0"/>
        <v>9</v>
      </c>
      <c r="P23" s="15">
        <f t="shared" si="1"/>
        <v>29</v>
      </c>
      <c r="R23" s="36" t="s">
        <v>147</v>
      </c>
      <c r="S23" s="34">
        <f>SUM(C62:C65)</f>
        <v>15</v>
      </c>
      <c r="T23" s="34">
        <f t="shared" ref="T23:AF23" si="15">SUM(D62:D65)</f>
        <v>2</v>
      </c>
      <c r="U23" s="34">
        <f t="shared" si="15"/>
        <v>4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50</v>
      </c>
      <c r="AD23" s="34">
        <f t="shared" si="15"/>
        <v>0</v>
      </c>
      <c r="AE23" s="31">
        <f t="shared" si="15"/>
        <v>24</v>
      </c>
      <c r="AF23" s="31">
        <f t="shared" si="15"/>
        <v>74</v>
      </c>
    </row>
    <row r="24" spans="2:32" ht="23.1" customHeight="1" x14ac:dyDescent="0.25">
      <c r="B24" s="45" t="s">
        <v>51</v>
      </c>
      <c r="C24" s="50">
        <v>4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2</v>
      </c>
      <c r="K24" s="50">
        <v>0</v>
      </c>
      <c r="L24" s="50">
        <v>0</v>
      </c>
      <c r="M24" s="50">
        <v>21</v>
      </c>
      <c r="N24" s="50">
        <v>0</v>
      </c>
      <c r="O24" s="15">
        <f t="shared" si="0"/>
        <v>6</v>
      </c>
      <c r="P24" s="15">
        <f t="shared" si="1"/>
        <v>27</v>
      </c>
      <c r="R24" s="36" t="s">
        <v>148</v>
      </c>
      <c r="S24" s="34">
        <f>SUM(C66:C69)</f>
        <v>10</v>
      </c>
      <c r="T24" s="34">
        <f t="shared" ref="T24:AF24" si="16">SUM(D66:D69)</f>
        <v>1</v>
      </c>
      <c r="U24" s="34">
        <f t="shared" si="16"/>
        <v>2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46</v>
      </c>
      <c r="AD24" s="34">
        <f t="shared" si="16"/>
        <v>0</v>
      </c>
      <c r="AE24" s="31">
        <f t="shared" si="16"/>
        <v>14</v>
      </c>
      <c r="AF24" s="31">
        <f t="shared" si="16"/>
        <v>60</v>
      </c>
    </row>
    <row r="25" spans="2:32" ht="23.1" customHeight="1" x14ac:dyDescent="0.25">
      <c r="B25" s="45" t="s">
        <v>52</v>
      </c>
      <c r="C25" s="50">
        <v>4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26</v>
      </c>
      <c r="N25" s="50">
        <v>0</v>
      </c>
      <c r="O25" s="15">
        <f t="shared" si="0"/>
        <v>6</v>
      </c>
      <c r="P25" s="15">
        <f t="shared" si="1"/>
        <v>32</v>
      </c>
      <c r="R25" s="36" t="s">
        <v>149</v>
      </c>
      <c r="S25" s="34">
        <f>SUM(C70:C73)</f>
        <v>6</v>
      </c>
      <c r="T25" s="34">
        <f t="shared" ref="T25:AF25" si="17">SUM(D70:D73)</f>
        <v>1</v>
      </c>
      <c r="U25" s="34">
        <f t="shared" si="17"/>
        <v>2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37</v>
      </c>
      <c r="AD25" s="34">
        <f t="shared" si="17"/>
        <v>0</v>
      </c>
      <c r="AE25" s="31">
        <f t="shared" si="17"/>
        <v>15</v>
      </c>
      <c r="AF25" s="31">
        <f t="shared" si="17"/>
        <v>52</v>
      </c>
    </row>
    <row r="26" spans="2:32" ht="23.1" customHeight="1" x14ac:dyDescent="0.25">
      <c r="B26" s="45" t="s">
        <v>53</v>
      </c>
      <c r="C26" s="50">
        <v>5</v>
      </c>
      <c r="D26" s="50">
        <v>3</v>
      </c>
      <c r="E26" s="50">
        <v>1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1</v>
      </c>
      <c r="L26" s="50">
        <v>0</v>
      </c>
      <c r="M26" s="50">
        <v>14</v>
      </c>
      <c r="N26" s="50">
        <v>0</v>
      </c>
      <c r="O26" s="15">
        <f t="shared" si="0"/>
        <v>12</v>
      </c>
      <c r="P26" s="15">
        <f t="shared" si="1"/>
        <v>26</v>
      </c>
      <c r="R26" s="36" t="s">
        <v>150</v>
      </c>
      <c r="S26" s="34">
        <f>SUM(C74:C77)</f>
        <v>7</v>
      </c>
      <c r="T26" s="34">
        <f t="shared" ref="T26:AF26" si="18">SUM(D74:D77)</f>
        <v>1</v>
      </c>
      <c r="U26" s="34">
        <f t="shared" si="18"/>
        <v>1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19</v>
      </c>
      <c r="AD26" s="34">
        <f t="shared" si="18"/>
        <v>0</v>
      </c>
      <c r="AE26" s="31">
        <f t="shared" si="18"/>
        <v>9</v>
      </c>
      <c r="AF26" s="31">
        <f t="shared" si="18"/>
        <v>28</v>
      </c>
    </row>
    <row r="27" spans="2:32" ht="23.1" customHeight="1" x14ac:dyDescent="0.25">
      <c r="B27" s="45" t="s">
        <v>54</v>
      </c>
      <c r="C27" s="50">
        <v>4</v>
      </c>
      <c r="D27" s="50">
        <v>0</v>
      </c>
      <c r="E27" s="50">
        <v>0</v>
      </c>
      <c r="F27" s="50">
        <v>2</v>
      </c>
      <c r="G27" s="50">
        <v>0</v>
      </c>
      <c r="H27" s="50">
        <v>0</v>
      </c>
      <c r="I27" s="50">
        <v>1</v>
      </c>
      <c r="J27" s="50">
        <v>2</v>
      </c>
      <c r="K27" s="50">
        <v>0</v>
      </c>
      <c r="L27" s="50">
        <v>0</v>
      </c>
      <c r="M27" s="50">
        <v>23</v>
      </c>
      <c r="N27" s="50">
        <v>0</v>
      </c>
      <c r="O27" s="15">
        <f t="shared" si="0"/>
        <v>9</v>
      </c>
      <c r="P27" s="15">
        <f t="shared" si="1"/>
        <v>32</v>
      </c>
      <c r="R27" s="36" t="s">
        <v>151</v>
      </c>
      <c r="S27" s="34">
        <f>SUM(C78:C81)</f>
        <v>3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13</v>
      </c>
      <c r="AD27" s="34">
        <f t="shared" si="19"/>
        <v>0</v>
      </c>
      <c r="AE27" s="31">
        <f t="shared" si="19"/>
        <v>4</v>
      </c>
      <c r="AF27" s="31">
        <f t="shared" si="19"/>
        <v>17</v>
      </c>
    </row>
    <row r="28" spans="2:32" ht="23.1" customHeight="1" x14ac:dyDescent="0.25">
      <c r="B28" s="45" t="s">
        <v>55</v>
      </c>
      <c r="C28" s="50">
        <v>5</v>
      </c>
      <c r="D28" s="50">
        <v>1</v>
      </c>
      <c r="E28" s="50">
        <v>0</v>
      </c>
      <c r="F28" s="50">
        <v>2</v>
      </c>
      <c r="G28" s="50">
        <v>0</v>
      </c>
      <c r="H28" s="50">
        <v>0</v>
      </c>
      <c r="I28" s="50">
        <v>2</v>
      </c>
      <c r="J28" s="50">
        <v>1</v>
      </c>
      <c r="K28" s="50">
        <v>0</v>
      </c>
      <c r="L28" s="50">
        <v>0</v>
      </c>
      <c r="M28" s="50">
        <v>28</v>
      </c>
      <c r="N28" s="50">
        <v>0</v>
      </c>
      <c r="O28" s="15">
        <f t="shared" si="0"/>
        <v>11</v>
      </c>
      <c r="P28" s="15">
        <f t="shared" si="1"/>
        <v>39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8</v>
      </c>
      <c r="AD28" s="34">
        <f t="shared" si="20"/>
        <v>0</v>
      </c>
      <c r="AE28" s="31">
        <f t="shared" si="20"/>
        <v>0</v>
      </c>
      <c r="AF28" s="31">
        <f t="shared" si="20"/>
        <v>8</v>
      </c>
    </row>
    <row r="29" spans="2:32" ht="23.1" customHeight="1" x14ac:dyDescent="0.25">
      <c r="B29" s="45" t="s">
        <v>56</v>
      </c>
      <c r="C29" s="50">
        <v>1</v>
      </c>
      <c r="D29" s="50">
        <v>1</v>
      </c>
      <c r="E29" s="50">
        <v>2</v>
      </c>
      <c r="F29" s="50">
        <v>3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25</v>
      </c>
      <c r="N29" s="50">
        <v>0</v>
      </c>
      <c r="O29" s="15">
        <f t="shared" si="0"/>
        <v>8</v>
      </c>
      <c r="P29" s="15">
        <f t="shared" si="1"/>
        <v>33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5</v>
      </c>
      <c r="AD29" s="34">
        <f t="shared" si="21"/>
        <v>0</v>
      </c>
      <c r="AE29" s="31">
        <f t="shared" si="21"/>
        <v>0</v>
      </c>
      <c r="AF29" s="31">
        <f t="shared" si="21"/>
        <v>5</v>
      </c>
    </row>
    <row r="30" spans="2:32" ht="23.1" customHeight="1" x14ac:dyDescent="0.25">
      <c r="B30" s="45" t="s">
        <v>57</v>
      </c>
      <c r="C30" s="50">
        <v>11</v>
      </c>
      <c r="D30" s="50">
        <v>2</v>
      </c>
      <c r="E30" s="50">
        <v>2</v>
      </c>
      <c r="F30" s="50">
        <v>2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38</v>
      </c>
      <c r="N30" s="50">
        <v>0</v>
      </c>
      <c r="O30" s="15">
        <f t="shared" si="0"/>
        <v>19</v>
      </c>
      <c r="P30" s="15">
        <f t="shared" si="1"/>
        <v>57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</v>
      </c>
      <c r="AD30" s="34">
        <f t="shared" si="22"/>
        <v>0</v>
      </c>
      <c r="AE30" s="31">
        <f t="shared" si="22"/>
        <v>1</v>
      </c>
      <c r="AF30" s="31">
        <f t="shared" si="22"/>
        <v>3</v>
      </c>
    </row>
    <row r="31" spans="2:32" ht="23.1" customHeight="1" x14ac:dyDescent="0.25">
      <c r="B31" s="46" t="s">
        <v>58</v>
      </c>
      <c r="C31" s="50">
        <v>10</v>
      </c>
      <c r="D31" s="50">
        <v>1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7</v>
      </c>
      <c r="N31" s="50">
        <v>0</v>
      </c>
      <c r="O31" s="15">
        <f t="shared" si="0"/>
        <v>12</v>
      </c>
      <c r="P31" s="15">
        <f t="shared" si="1"/>
        <v>19</v>
      </c>
      <c r="R31" s="36" t="s">
        <v>155</v>
      </c>
      <c r="S31" s="34">
        <f>SUM(C94:C97)</f>
        <v>2</v>
      </c>
      <c r="T31" s="34">
        <f t="shared" ref="T31:AF31" si="23">SUM(D94:D97)</f>
        <v>1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4</v>
      </c>
      <c r="AF31" s="31">
        <f t="shared" si="23"/>
        <v>5</v>
      </c>
    </row>
    <row r="32" spans="2:32" ht="23.1" customHeight="1" x14ac:dyDescent="0.25">
      <c r="B32" s="46" t="s">
        <v>59</v>
      </c>
      <c r="C32" s="50">
        <v>12</v>
      </c>
      <c r="D32" s="50">
        <v>0</v>
      </c>
      <c r="E32" s="50">
        <v>2</v>
      </c>
      <c r="F32" s="50">
        <v>1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28</v>
      </c>
      <c r="N32" s="50">
        <v>0</v>
      </c>
      <c r="O32" s="15">
        <f t="shared" si="0"/>
        <v>17</v>
      </c>
      <c r="P32" s="15">
        <f t="shared" si="1"/>
        <v>45</v>
      </c>
      <c r="R32" s="33" t="s">
        <v>156</v>
      </c>
      <c r="S32" s="34">
        <f>SUM(C98:C101)</f>
        <v>1</v>
      </c>
      <c r="T32" s="34">
        <f t="shared" ref="T32:AF32" si="24">SUM(D98:D101)</f>
        <v>1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3</v>
      </c>
      <c r="AF32" s="31">
        <f t="shared" si="24"/>
        <v>4</v>
      </c>
    </row>
    <row r="33" spans="2:32" ht="23.1" customHeight="1" x14ac:dyDescent="0.25">
      <c r="B33" s="45" t="s">
        <v>60</v>
      </c>
      <c r="C33" s="50">
        <v>6</v>
      </c>
      <c r="D33" s="50">
        <v>1</v>
      </c>
      <c r="E33" s="50">
        <v>0</v>
      </c>
      <c r="F33" s="50">
        <v>2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23</v>
      </c>
      <c r="N33" s="50">
        <v>0</v>
      </c>
      <c r="O33" s="15">
        <f t="shared" si="0"/>
        <v>9</v>
      </c>
      <c r="P33" s="15">
        <f t="shared" si="1"/>
        <v>32</v>
      </c>
      <c r="R33" s="33" t="s">
        <v>157</v>
      </c>
      <c r="S33" s="34">
        <f>SUM(C102:C105)</f>
        <v>8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18</v>
      </c>
      <c r="AD33" s="34">
        <f t="shared" si="25"/>
        <v>0</v>
      </c>
      <c r="AE33" s="31">
        <f t="shared" si="25"/>
        <v>9</v>
      </c>
      <c r="AF33" s="31">
        <f t="shared" si="25"/>
        <v>27</v>
      </c>
    </row>
    <row r="34" spans="2:32" ht="23.1" customHeight="1" x14ac:dyDescent="0.25">
      <c r="B34" s="46" t="s">
        <v>61</v>
      </c>
      <c r="C34" s="50">
        <v>4</v>
      </c>
      <c r="D34" s="50">
        <v>0</v>
      </c>
      <c r="E34" s="50">
        <v>0</v>
      </c>
      <c r="F34" s="50">
        <v>3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22</v>
      </c>
      <c r="N34" s="50">
        <v>0</v>
      </c>
      <c r="O34" s="15">
        <f t="shared" si="0"/>
        <v>7</v>
      </c>
      <c r="P34" s="15">
        <f t="shared" si="1"/>
        <v>29</v>
      </c>
      <c r="R34" s="38" t="s">
        <v>90</v>
      </c>
      <c r="S34" s="39">
        <f t="shared" ref="S34:AF34" si="26">MAX(S10:S12)</f>
        <v>17</v>
      </c>
      <c r="T34" s="39">
        <f t="shared" si="26"/>
        <v>2</v>
      </c>
      <c r="U34" s="39">
        <f t="shared" si="26"/>
        <v>1</v>
      </c>
      <c r="V34" s="39">
        <f t="shared" si="26"/>
        <v>2</v>
      </c>
      <c r="W34" s="39">
        <f t="shared" si="26"/>
        <v>0</v>
      </c>
      <c r="X34" s="39">
        <f t="shared" si="26"/>
        <v>0</v>
      </c>
      <c r="Y34" s="39">
        <f t="shared" si="26"/>
        <v>4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68</v>
      </c>
      <c r="AD34" s="39">
        <f t="shared" si="26"/>
        <v>0</v>
      </c>
      <c r="AE34" s="40">
        <f t="shared" si="26"/>
        <v>26</v>
      </c>
      <c r="AF34" s="40">
        <f t="shared" si="26"/>
        <v>94</v>
      </c>
    </row>
    <row r="35" spans="2:32" ht="23.1" customHeight="1" x14ac:dyDescent="0.25">
      <c r="B35" s="46" t="s">
        <v>62</v>
      </c>
      <c r="C35" s="50">
        <v>2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18</v>
      </c>
      <c r="N35" s="50">
        <v>0</v>
      </c>
      <c r="O35" s="15">
        <f t="shared" si="0"/>
        <v>4</v>
      </c>
      <c r="P35" s="15">
        <f t="shared" si="1"/>
        <v>22</v>
      </c>
      <c r="R35" s="38" t="s">
        <v>91</v>
      </c>
      <c r="S35" s="39">
        <f t="shared" ref="S35:AF35" si="27">MAX(S13:S18)</f>
        <v>39</v>
      </c>
      <c r="T35" s="39">
        <f t="shared" si="27"/>
        <v>5</v>
      </c>
      <c r="U35" s="39">
        <f t="shared" si="27"/>
        <v>5</v>
      </c>
      <c r="V35" s="39">
        <f t="shared" si="27"/>
        <v>7</v>
      </c>
      <c r="W35" s="39">
        <f t="shared" si="27"/>
        <v>0</v>
      </c>
      <c r="X35" s="39">
        <f t="shared" si="27"/>
        <v>1</v>
      </c>
      <c r="Y35" s="39">
        <f t="shared" si="27"/>
        <v>7</v>
      </c>
      <c r="Z35" s="39">
        <f t="shared" si="27"/>
        <v>3</v>
      </c>
      <c r="AA35" s="39">
        <f t="shared" si="27"/>
        <v>3</v>
      </c>
      <c r="AB35" s="39">
        <f t="shared" si="27"/>
        <v>0</v>
      </c>
      <c r="AC35" s="39">
        <f t="shared" si="27"/>
        <v>116</v>
      </c>
      <c r="AD35" s="39">
        <f t="shared" si="27"/>
        <v>0</v>
      </c>
      <c r="AE35" s="40">
        <f t="shared" si="27"/>
        <v>57</v>
      </c>
      <c r="AF35" s="40">
        <f t="shared" si="27"/>
        <v>153</v>
      </c>
    </row>
    <row r="36" spans="2:32" ht="23.1" customHeight="1" x14ac:dyDescent="0.25">
      <c r="B36" s="46" t="s">
        <v>63</v>
      </c>
      <c r="C36" s="50">
        <v>7</v>
      </c>
      <c r="D36" s="50">
        <v>0</v>
      </c>
      <c r="E36" s="50">
        <v>1</v>
      </c>
      <c r="F36" s="50">
        <v>2</v>
      </c>
      <c r="G36" s="50">
        <v>0</v>
      </c>
      <c r="H36" s="50">
        <v>0</v>
      </c>
      <c r="I36" s="50">
        <v>0</v>
      </c>
      <c r="J36" s="50">
        <v>1</v>
      </c>
      <c r="K36" s="50">
        <v>1</v>
      </c>
      <c r="L36" s="50">
        <v>0</v>
      </c>
      <c r="M36" s="50">
        <v>32</v>
      </c>
      <c r="N36" s="50">
        <v>0</v>
      </c>
      <c r="O36" s="15">
        <f t="shared" si="0"/>
        <v>12</v>
      </c>
      <c r="P36" s="15">
        <f t="shared" si="1"/>
        <v>44</v>
      </c>
      <c r="R36" s="38" t="s">
        <v>92</v>
      </c>
      <c r="S36" s="39">
        <f t="shared" ref="S36:AF36" si="28">MAX(S19:S21)</f>
        <v>33</v>
      </c>
      <c r="T36" s="39">
        <f t="shared" si="28"/>
        <v>4</v>
      </c>
      <c r="U36" s="39">
        <f t="shared" si="28"/>
        <v>5</v>
      </c>
      <c r="V36" s="39">
        <f t="shared" si="28"/>
        <v>4</v>
      </c>
      <c r="W36" s="39">
        <f t="shared" si="28"/>
        <v>2</v>
      </c>
      <c r="X36" s="39">
        <f t="shared" si="28"/>
        <v>0</v>
      </c>
      <c r="Y36" s="39">
        <f t="shared" si="28"/>
        <v>7</v>
      </c>
      <c r="Z36" s="39">
        <f t="shared" si="28"/>
        <v>2</v>
      </c>
      <c r="AA36" s="39">
        <f t="shared" si="28"/>
        <v>1</v>
      </c>
      <c r="AB36" s="39">
        <f t="shared" si="28"/>
        <v>0</v>
      </c>
      <c r="AC36" s="39">
        <f t="shared" si="28"/>
        <v>111</v>
      </c>
      <c r="AD36" s="39">
        <f t="shared" si="28"/>
        <v>0</v>
      </c>
      <c r="AE36" s="40">
        <f t="shared" si="28"/>
        <v>51</v>
      </c>
      <c r="AF36" s="40">
        <f t="shared" si="28"/>
        <v>158</v>
      </c>
    </row>
    <row r="37" spans="2:32" ht="23.1" customHeight="1" x14ac:dyDescent="0.25">
      <c r="B37" s="45" t="s">
        <v>64</v>
      </c>
      <c r="C37" s="50">
        <v>3</v>
      </c>
      <c r="D37" s="50">
        <v>0</v>
      </c>
      <c r="E37" s="50">
        <v>1</v>
      </c>
      <c r="F37" s="50">
        <v>2</v>
      </c>
      <c r="G37" s="50">
        <v>0</v>
      </c>
      <c r="H37" s="50">
        <v>0</v>
      </c>
      <c r="I37" s="50">
        <v>0</v>
      </c>
      <c r="J37" s="50">
        <v>1</v>
      </c>
      <c r="K37" s="50">
        <v>1</v>
      </c>
      <c r="L37" s="50">
        <v>0</v>
      </c>
      <c r="M37" s="50">
        <v>13</v>
      </c>
      <c r="N37" s="50">
        <v>0</v>
      </c>
      <c r="O37" s="15">
        <f t="shared" si="0"/>
        <v>8</v>
      </c>
      <c r="P37" s="15">
        <f t="shared" si="1"/>
        <v>21</v>
      </c>
      <c r="R37" s="37" t="s">
        <v>85</v>
      </c>
      <c r="S37" s="35">
        <f t="shared" ref="S37:AF37" si="29">SUM(S10:S12)</f>
        <v>24</v>
      </c>
      <c r="T37" s="16">
        <f t="shared" si="29"/>
        <v>3</v>
      </c>
      <c r="U37" s="16">
        <f t="shared" si="29"/>
        <v>2</v>
      </c>
      <c r="V37" s="16">
        <f t="shared" si="29"/>
        <v>6</v>
      </c>
      <c r="W37" s="16">
        <f t="shared" si="29"/>
        <v>0</v>
      </c>
      <c r="X37" s="16">
        <f t="shared" si="29"/>
        <v>0</v>
      </c>
      <c r="Y37" s="16">
        <f t="shared" si="29"/>
        <v>4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75</v>
      </c>
      <c r="AD37" s="16">
        <f t="shared" si="29"/>
        <v>0</v>
      </c>
      <c r="AE37" s="32">
        <f t="shared" si="29"/>
        <v>40</v>
      </c>
      <c r="AF37" s="32">
        <f t="shared" si="29"/>
        <v>115</v>
      </c>
    </row>
    <row r="38" spans="2:32" ht="23.1" customHeight="1" x14ac:dyDescent="0.25">
      <c r="B38" s="46" t="s">
        <v>65</v>
      </c>
      <c r="C38" s="50">
        <v>8</v>
      </c>
      <c r="D38" s="50">
        <v>2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45</v>
      </c>
      <c r="N38" s="50">
        <v>0</v>
      </c>
      <c r="O38" s="15">
        <f t="shared" si="0"/>
        <v>11</v>
      </c>
      <c r="P38" s="15">
        <f t="shared" si="1"/>
        <v>56</v>
      </c>
      <c r="R38" s="28" t="s">
        <v>86</v>
      </c>
      <c r="S38" s="16">
        <f t="shared" ref="S38:AF38" si="30">SUM(S13:S18)</f>
        <v>127</v>
      </c>
      <c r="T38" s="16">
        <f t="shared" si="30"/>
        <v>12</v>
      </c>
      <c r="U38" s="16">
        <f t="shared" si="30"/>
        <v>17</v>
      </c>
      <c r="V38" s="16">
        <f t="shared" si="30"/>
        <v>22</v>
      </c>
      <c r="W38" s="16">
        <f t="shared" si="30"/>
        <v>0</v>
      </c>
      <c r="X38" s="16">
        <f t="shared" si="30"/>
        <v>1</v>
      </c>
      <c r="Y38" s="16">
        <f t="shared" si="30"/>
        <v>23</v>
      </c>
      <c r="Z38" s="16">
        <f t="shared" si="30"/>
        <v>11</v>
      </c>
      <c r="AA38" s="16">
        <f t="shared" si="30"/>
        <v>7</v>
      </c>
      <c r="AB38" s="16">
        <f t="shared" si="30"/>
        <v>0</v>
      </c>
      <c r="AC38" s="16">
        <f t="shared" si="30"/>
        <v>504</v>
      </c>
      <c r="AD38" s="16">
        <f t="shared" si="30"/>
        <v>0</v>
      </c>
      <c r="AE38" s="32">
        <f t="shared" si="30"/>
        <v>220</v>
      </c>
      <c r="AF38" s="32">
        <f t="shared" si="30"/>
        <v>724</v>
      </c>
    </row>
    <row r="39" spans="2:32" ht="23.1" customHeight="1" x14ac:dyDescent="0.25">
      <c r="B39" s="46" t="s">
        <v>66</v>
      </c>
      <c r="C39" s="50">
        <v>1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33</v>
      </c>
      <c r="N39" s="50">
        <v>0</v>
      </c>
      <c r="O39" s="15">
        <f t="shared" si="0"/>
        <v>3</v>
      </c>
      <c r="P39" s="15">
        <f t="shared" si="1"/>
        <v>36</v>
      </c>
      <c r="R39" s="29" t="s">
        <v>87</v>
      </c>
      <c r="S39" s="16">
        <f t="shared" ref="S39:AF39" si="31">SUM(S19:S21)</f>
        <v>79</v>
      </c>
      <c r="T39" s="16">
        <f t="shared" si="31"/>
        <v>7</v>
      </c>
      <c r="U39" s="16">
        <f t="shared" si="31"/>
        <v>10</v>
      </c>
      <c r="V39" s="16">
        <f t="shared" si="31"/>
        <v>8</v>
      </c>
      <c r="W39" s="16">
        <f t="shared" si="31"/>
        <v>2</v>
      </c>
      <c r="X39" s="16">
        <f t="shared" si="31"/>
        <v>0</v>
      </c>
      <c r="Y39" s="16">
        <f t="shared" si="31"/>
        <v>10</v>
      </c>
      <c r="Z39" s="16">
        <f t="shared" si="31"/>
        <v>3</v>
      </c>
      <c r="AA39" s="16">
        <f t="shared" si="31"/>
        <v>1</v>
      </c>
      <c r="AB39" s="16">
        <f t="shared" si="31"/>
        <v>0</v>
      </c>
      <c r="AC39" s="16">
        <f t="shared" si="31"/>
        <v>192</v>
      </c>
      <c r="AD39" s="16">
        <f t="shared" si="31"/>
        <v>0</v>
      </c>
      <c r="AE39" s="32">
        <f t="shared" si="31"/>
        <v>120</v>
      </c>
      <c r="AF39" s="32">
        <f t="shared" si="31"/>
        <v>312</v>
      </c>
    </row>
    <row r="40" spans="2:32" ht="23.1" customHeight="1" x14ac:dyDescent="0.25">
      <c r="B40" s="46" t="s">
        <v>67</v>
      </c>
      <c r="C40" s="50">
        <v>4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18</v>
      </c>
      <c r="N40" s="50">
        <v>0</v>
      </c>
      <c r="O40" s="15">
        <f t="shared" si="0"/>
        <v>9</v>
      </c>
      <c r="P40" s="15">
        <f t="shared" si="1"/>
        <v>27</v>
      </c>
      <c r="R40" s="5" t="s">
        <v>17</v>
      </c>
      <c r="S40" s="16">
        <f t="shared" ref="S40:AF40" si="32">SUM(S10:S21)</f>
        <v>230</v>
      </c>
      <c r="T40" s="16">
        <f t="shared" si="32"/>
        <v>22</v>
      </c>
      <c r="U40" s="16">
        <f t="shared" si="32"/>
        <v>29</v>
      </c>
      <c r="V40" s="16">
        <f t="shared" si="32"/>
        <v>36</v>
      </c>
      <c r="W40" s="16">
        <f t="shared" si="32"/>
        <v>2</v>
      </c>
      <c r="X40" s="16">
        <f t="shared" si="32"/>
        <v>1</v>
      </c>
      <c r="Y40" s="16">
        <f t="shared" si="32"/>
        <v>37</v>
      </c>
      <c r="Z40" s="16">
        <f t="shared" si="32"/>
        <v>15</v>
      </c>
      <c r="AA40" s="16">
        <f t="shared" si="32"/>
        <v>8</v>
      </c>
      <c r="AB40" s="16">
        <f t="shared" si="32"/>
        <v>0</v>
      </c>
      <c r="AC40" s="16">
        <f t="shared" si="32"/>
        <v>771</v>
      </c>
      <c r="AD40" s="16">
        <f t="shared" si="32"/>
        <v>0</v>
      </c>
      <c r="AE40" s="32">
        <f t="shared" si="32"/>
        <v>380</v>
      </c>
      <c r="AF40" s="32">
        <f t="shared" si="32"/>
        <v>1151</v>
      </c>
    </row>
    <row r="41" spans="2:32" ht="23.1" customHeight="1" x14ac:dyDescent="0.25">
      <c r="B41" s="45" t="s">
        <v>68</v>
      </c>
      <c r="C41" s="50">
        <v>4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20</v>
      </c>
      <c r="N41" s="50">
        <v>0</v>
      </c>
      <c r="O41" s="15">
        <f t="shared" si="0"/>
        <v>6</v>
      </c>
      <c r="P41" s="15">
        <f t="shared" si="1"/>
        <v>26</v>
      </c>
      <c r="R41" s="5" t="s">
        <v>159</v>
      </c>
      <c r="S41" s="16">
        <f>SUM(S10:S33)</f>
        <v>316</v>
      </c>
      <c r="T41" s="16">
        <f t="shared" ref="T41:AF41" si="33">SUM(T10:T33)</f>
        <v>33</v>
      </c>
      <c r="U41" s="16">
        <f t="shared" si="33"/>
        <v>42</v>
      </c>
      <c r="V41" s="16">
        <f t="shared" si="33"/>
        <v>44</v>
      </c>
      <c r="W41" s="16">
        <f t="shared" si="33"/>
        <v>2</v>
      </c>
      <c r="X41" s="16">
        <f t="shared" si="33"/>
        <v>1</v>
      </c>
      <c r="Y41" s="16">
        <f t="shared" si="33"/>
        <v>45</v>
      </c>
      <c r="Z41" s="16">
        <f t="shared" si="33"/>
        <v>18</v>
      </c>
      <c r="AA41" s="16">
        <f t="shared" si="33"/>
        <v>8</v>
      </c>
      <c r="AB41" s="16">
        <f t="shared" si="33"/>
        <v>0</v>
      </c>
      <c r="AC41" s="16">
        <f t="shared" si="33"/>
        <v>1081</v>
      </c>
      <c r="AD41" s="16">
        <f t="shared" si="33"/>
        <v>0</v>
      </c>
      <c r="AE41" s="32">
        <f t="shared" si="33"/>
        <v>509</v>
      </c>
      <c r="AF41" s="32">
        <f t="shared" si="33"/>
        <v>1590</v>
      </c>
    </row>
    <row r="42" spans="2:32" ht="23.1" customHeight="1" x14ac:dyDescent="0.25">
      <c r="B42" s="46" t="s">
        <v>69</v>
      </c>
      <c r="C42" s="50">
        <v>2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3</v>
      </c>
      <c r="P42" s="15">
        <f t="shared" si="1"/>
        <v>18</v>
      </c>
      <c r="R42" s="5" t="s">
        <v>160</v>
      </c>
      <c r="S42" s="48">
        <f>S41/S40</f>
        <v>1.3739130434782609</v>
      </c>
      <c r="T42" s="48">
        <f t="shared" ref="T42:AF42" si="34">T41/T40</f>
        <v>1.5</v>
      </c>
      <c r="U42" s="48">
        <f t="shared" si="34"/>
        <v>1.4482758620689655</v>
      </c>
      <c r="V42" s="48">
        <f t="shared" si="34"/>
        <v>1.2222222222222223</v>
      </c>
      <c r="W42" s="48">
        <f t="shared" si="34"/>
        <v>1</v>
      </c>
      <c r="X42" s="48">
        <f t="shared" si="34"/>
        <v>1</v>
      </c>
      <c r="Y42" s="48">
        <f t="shared" si="34"/>
        <v>1.2162162162162162</v>
      </c>
      <c r="Z42" s="48">
        <f t="shared" si="34"/>
        <v>1.2</v>
      </c>
      <c r="AA42" s="48">
        <f t="shared" si="34"/>
        <v>1</v>
      </c>
      <c r="AB42" s="48" t="e">
        <f t="shared" si="34"/>
        <v>#DIV/0!</v>
      </c>
      <c r="AC42" s="48">
        <f t="shared" si="34"/>
        <v>1.4020752269779506</v>
      </c>
      <c r="AD42" s="48" t="e">
        <f t="shared" si="34"/>
        <v>#DIV/0!</v>
      </c>
      <c r="AE42" s="48">
        <f t="shared" si="34"/>
        <v>1.3394736842105264</v>
      </c>
      <c r="AF42" s="48">
        <f t="shared" si="34"/>
        <v>1.3814074717636837</v>
      </c>
    </row>
    <row r="43" spans="2:32" ht="23.1" customHeight="1" x14ac:dyDescent="0.25">
      <c r="B43" s="45" t="s">
        <v>70</v>
      </c>
      <c r="C43" s="50">
        <v>7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1</v>
      </c>
      <c r="K43" s="50">
        <v>1</v>
      </c>
      <c r="L43" s="50">
        <v>0</v>
      </c>
      <c r="M43" s="50">
        <v>5</v>
      </c>
      <c r="N43" s="50">
        <v>0</v>
      </c>
      <c r="O43" s="15">
        <f t="shared" si="0"/>
        <v>10</v>
      </c>
      <c r="P43" s="15">
        <f t="shared" si="1"/>
        <v>15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1</v>
      </c>
      <c r="J44" s="50">
        <v>1</v>
      </c>
      <c r="K44" s="50">
        <v>1</v>
      </c>
      <c r="L44" s="50">
        <v>0</v>
      </c>
      <c r="M44" s="50">
        <v>1</v>
      </c>
      <c r="N44" s="50">
        <v>0</v>
      </c>
      <c r="O44" s="15">
        <f t="shared" si="0"/>
        <v>5</v>
      </c>
      <c r="P44" s="15">
        <f t="shared" si="1"/>
        <v>6</v>
      </c>
    </row>
    <row r="45" spans="2:32" ht="23.1" customHeight="1" x14ac:dyDescent="0.25">
      <c r="B45" s="45" t="s">
        <v>72</v>
      </c>
      <c r="C45" s="50">
        <v>8</v>
      </c>
      <c r="D45" s="50">
        <v>0</v>
      </c>
      <c r="E45" s="50">
        <v>2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1</v>
      </c>
      <c r="L45" s="50">
        <v>0</v>
      </c>
      <c r="M45" s="50">
        <v>8</v>
      </c>
      <c r="N45" s="50">
        <v>0</v>
      </c>
      <c r="O45" s="15">
        <f t="shared" si="0"/>
        <v>12</v>
      </c>
      <c r="P45" s="15">
        <f t="shared" si="1"/>
        <v>20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5</v>
      </c>
      <c r="P46" s="15">
        <f t="shared" si="1"/>
        <v>5</v>
      </c>
      <c r="R46" s="8"/>
      <c r="T46"/>
    </row>
    <row r="47" spans="2:32" ht="23.1" customHeight="1" x14ac:dyDescent="0.25">
      <c r="B47" s="46" t="s">
        <v>74</v>
      </c>
      <c r="C47" s="50">
        <v>13</v>
      </c>
      <c r="D47" s="50">
        <v>1</v>
      </c>
      <c r="E47" s="50">
        <v>3</v>
      </c>
      <c r="F47" s="50">
        <v>2</v>
      </c>
      <c r="G47" s="50">
        <v>2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7</v>
      </c>
      <c r="N47" s="50">
        <v>0</v>
      </c>
      <c r="O47" s="15">
        <f t="shared" si="0"/>
        <v>22</v>
      </c>
      <c r="P47" s="15">
        <f t="shared" si="1"/>
        <v>29</v>
      </c>
      <c r="R47" s="8"/>
      <c r="T47"/>
    </row>
    <row r="48" spans="2:32" ht="23.1" customHeight="1" x14ac:dyDescent="0.25">
      <c r="B48" s="46" t="s">
        <v>75</v>
      </c>
      <c r="C48" s="50">
        <v>10</v>
      </c>
      <c r="D48" s="50">
        <v>1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2</v>
      </c>
      <c r="K48" s="50">
        <v>0</v>
      </c>
      <c r="L48" s="50">
        <v>0</v>
      </c>
      <c r="M48" s="50">
        <v>25</v>
      </c>
      <c r="N48" s="50">
        <v>0</v>
      </c>
      <c r="O48" s="15">
        <f t="shared" si="0"/>
        <v>14</v>
      </c>
      <c r="P48" s="15">
        <f t="shared" si="1"/>
        <v>39</v>
      </c>
      <c r="R48" s="8"/>
      <c r="T48"/>
    </row>
    <row r="49" spans="2:20" ht="23.1" customHeight="1" x14ac:dyDescent="0.25">
      <c r="B49" s="45" t="s">
        <v>76</v>
      </c>
      <c r="C49" s="50">
        <v>5</v>
      </c>
      <c r="D49" s="50">
        <v>2</v>
      </c>
      <c r="E49" s="50">
        <v>0</v>
      </c>
      <c r="F49" s="50">
        <v>1</v>
      </c>
      <c r="G49" s="50">
        <v>0</v>
      </c>
      <c r="H49" s="50">
        <v>0</v>
      </c>
      <c r="I49" s="50">
        <v>1</v>
      </c>
      <c r="J49" s="50">
        <v>0</v>
      </c>
      <c r="K49" s="50">
        <v>1</v>
      </c>
      <c r="L49" s="50">
        <v>0</v>
      </c>
      <c r="M49" s="50">
        <v>6</v>
      </c>
      <c r="N49" s="50">
        <v>0</v>
      </c>
      <c r="O49" s="15">
        <f t="shared" si="0"/>
        <v>10</v>
      </c>
      <c r="P49" s="15">
        <f t="shared" si="1"/>
        <v>16</v>
      </c>
      <c r="R49" s="8"/>
      <c r="T49"/>
    </row>
    <row r="50" spans="2:20" ht="23.1" customHeight="1" x14ac:dyDescent="0.25">
      <c r="B50" s="46" t="s">
        <v>77</v>
      </c>
      <c r="C50" s="50">
        <v>5</v>
      </c>
      <c r="D50" s="50">
        <v>0</v>
      </c>
      <c r="E50" s="50">
        <v>0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13</v>
      </c>
      <c r="N50" s="50">
        <v>0</v>
      </c>
      <c r="O50" s="15">
        <f t="shared" si="0"/>
        <v>7</v>
      </c>
      <c r="P50" s="15">
        <f t="shared" si="1"/>
        <v>20</v>
      </c>
      <c r="R50" s="8"/>
      <c r="T50"/>
    </row>
    <row r="51" spans="2:20" ht="23.1" customHeight="1" x14ac:dyDescent="0.25">
      <c r="B51" s="46" t="s">
        <v>78</v>
      </c>
      <c r="C51" s="50">
        <v>4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16</v>
      </c>
      <c r="N51" s="50">
        <v>0</v>
      </c>
      <c r="O51" s="15">
        <f t="shared" si="0"/>
        <v>6</v>
      </c>
      <c r="P51" s="15">
        <f t="shared" si="1"/>
        <v>22</v>
      </c>
      <c r="R51" s="8"/>
      <c r="T51"/>
    </row>
    <row r="52" spans="2:20" ht="23.1" customHeight="1" x14ac:dyDescent="0.25">
      <c r="B52" s="46" t="s">
        <v>79</v>
      </c>
      <c r="C52" s="50">
        <v>4</v>
      </c>
      <c r="D52" s="50">
        <v>1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11</v>
      </c>
      <c r="N52" s="50">
        <v>0</v>
      </c>
      <c r="O52" s="15">
        <f t="shared" si="0"/>
        <v>6</v>
      </c>
      <c r="P52" s="15">
        <f t="shared" si="1"/>
        <v>17</v>
      </c>
      <c r="R52" s="8"/>
      <c r="T52"/>
    </row>
    <row r="53" spans="2:20" ht="23.1" customHeight="1" x14ac:dyDescent="0.25">
      <c r="B53" s="45" t="s">
        <v>80</v>
      </c>
      <c r="C53" s="50">
        <v>3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3</v>
      </c>
      <c r="N53" s="50">
        <v>0</v>
      </c>
      <c r="O53" s="15">
        <f t="shared" si="0"/>
        <v>3</v>
      </c>
      <c r="P53" s="15">
        <f t="shared" si="1"/>
        <v>6</v>
      </c>
      <c r="R53" s="8"/>
      <c r="T53"/>
    </row>
    <row r="54" spans="2:20" ht="23.1" customHeight="1" x14ac:dyDescent="0.25">
      <c r="B54" s="45" t="s">
        <v>81</v>
      </c>
      <c r="C54" s="50">
        <v>7</v>
      </c>
      <c r="D54" s="50">
        <v>1</v>
      </c>
      <c r="E54" s="50">
        <v>1</v>
      </c>
      <c r="F54" s="50">
        <v>0</v>
      </c>
      <c r="G54" s="50">
        <v>0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23</v>
      </c>
      <c r="N54" s="50">
        <v>0</v>
      </c>
      <c r="O54" s="15">
        <f t="shared" si="0"/>
        <v>14</v>
      </c>
      <c r="P54" s="15">
        <f t="shared" si="1"/>
        <v>37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21</v>
      </c>
      <c r="N55" s="50">
        <v>0</v>
      </c>
      <c r="O55" s="15">
        <f t="shared" si="0"/>
        <v>4</v>
      </c>
      <c r="P55" s="15">
        <f t="shared" si="1"/>
        <v>25</v>
      </c>
      <c r="R55" s="8"/>
      <c r="T55"/>
    </row>
    <row r="56" spans="2:20" ht="23.1" customHeight="1" x14ac:dyDescent="0.25">
      <c r="B56" s="45" t="s">
        <v>83</v>
      </c>
      <c r="C56" s="50">
        <v>15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27</v>
      </c>
      <c r="N56" s="50">
        <v>0</v>
      </c>
      <c r="O56" s="15">
        <f t="shared" si="0"/>
        <v>17</v>
      </c>
      <c r="P56" s="15">
        <f t="shared" si="1"/>
        <v>44</v>
      </c>
      <c r="R56" s="8"/>
      <c r="T56"/>
    </row>
    <row r="57" spans="2:20" ht="23.1" customHeight="1" x14ac:dyDescent="0.25">
      <c r="B57" s="45" t="s">
        <v>84</v>
      </c>
      <c r="C57" s="50">
        <v>9</v>
      </c>
      <c r="D57" s="50">
        <v>1</v>
      </c>
      <c r="E57" s="50">
        <v>1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40</v>
      </c>
      <c r="N57" s="50">
        <v>0</v>
      </c>
      <c r="O57" s="15">
        <f t="shared" si="0"/>
        <v>12</v>
      </c>
      <c r="P57" s="15">
        <f t="shared" si="1"/>
        <v>52</v>
      </c>
      <c r="R57" s="8"/>
      <c r="T57"/>
    </row>
    <row r="58" spans="2:20" ht="23.1" customHeight="1" x14ac:dyDescent="0.25">
      <c r="B58" s="45" t="s">
        <v>99</v>
      </c>
      <c r="C58" s="50">
        <v>6</v>
      </c>
      <c r="D58" s="50">
        <v>0</v>
      </c>
      <c r="E58" s="50">
        <v>1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23</v>
      </c>
      <c r="N58" s="50">
        <v>0</v>
      </c>
      <c r="O58" s="15">
        <f t="shared" si="0"/>
        <v>7</v>
      </c>
      <c r="P58" s="15">
        <f t="shared" si="1"/>
        <v>30</v>
      </c>
      <c r="R58" s="8"/>
      <c r="T58"/>
    </row>
    <row r="59" spans="2:20" ht="23.1" customHeight="1" x14ac:dyDescent="0.25">
      <c r="B59" s="45" t="s">
        <v>100</v>
      </c>
      <c r="C59" s="50">
        <v>13</v>
      </c>
      <c r="D59" s="50">
        <v>1</v>
      </c>
      <c r="E59" s="50">
        <v>2</v>
      </c>
      <c r="F59" s="50">
        <v>3</v>
      </c>
      <c r="G59" s="50">
        <v>0</v>
      </c>
      <c r="H59" s="50">
        <v>0</v>
      </c>
      <c r="I59" s="50">
        <v>1</v>
      </c>
      <c r="J59" s="50">
        <v>1</v>
      </c>
      <c r="K59" s="50">
        <v>0</v>
      </c>
      <c r="L59" s="50">
        <v>0</v>
      </c>
      <c r="M59" s="50">
        <v>35</v>
      </c>
      <c r="N59" s="50">
        <v>0</v>
      </c>
      <c r="O59" s="15">
        <f t="shared" si="0"/>
        <v>21</v>
      </c>
      <c r="P59" s="15">
        <f t="shared" si="1"/>
        <v>56</v>
      </c>
      <c r="R59" s="8"/>
      <c r="T59"/>
    </row>
    <row r="60" spans="2:20" ht="23.1" customHeight="1" x14ac:dyDescent="0.25">
      <c r="B60" s="45" t="s">
        <v>101</v>
      </c>
      <c r="C60" s="50">
        <v>10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35</v>
      </c>
      <c r="N60" s="50">
        <v>0</v>
      </c>
      <c r="O60" s="15">
        <f t="shared" si="0"/>
        <v>10</v>
      </c>
      <c r="P60" s="15">
        <f t="shared" si="1"/>
        <v>45</v>
      </c>
      <c r="R60" s="8"/>
      <c r="T60"/>
    </row>
    <row r="61" spans="2:20" ht="23.1" customHeight="1" x14ac:dyDescent="0.25">
      <c r="B61" s="45" t="s">
        <v>102</v>
      </c>
      <c r="C61" s="50">
        <v>5</v>
      </c>
      <c r="D61" s="50">
        <v>2</v>
      </c>
      <c r="E61" s="50">
        <v>1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17</v>
      </c>
      <c r="N61" s="50">
        <v>0</v>
      </c>
      <c r="O61" s="15">
        <f t="shared" si="0"/>
        <v>8</v>
      </c>
      <c r="P61" s="15">
        <f t="shared" si="1"/>
        <v>25</v>
      </c>
      <c r="R61" s="8"/>
      <c r="T61"/>
    </row>
    <row r="62" spans="2:20" ht="23.1" customHeight="1" x14ac:dyDescent="0.25">
      <c r="B62" s="45" t="s">
        <v>107</v>
      </c>
      <c r="C62" s="50">
        <v>6</v>
      </c>
      <c r="D62" s="50">
        <v>1</v>
      </c>
      <c r="E62" s="50">
        <v>1</v>
      </c>
      <c r="F62" s="50">
        <v>1</v>
      </c>
      <c r="G62" s="50">
        <v>0</v>
      </c>
      <c r="H62" s="50">
        <v>0</v>
      </c>
      <c r="I62" s="50">
        <v>1</v>
      </c>
      <c r="J62" s="50">
        <v>1</v>
      </c>
      <c r="K62" s="50">
        <v>0</v>
      </c>
      <c r="L62" s="50">
        <v>0</v>
      </c>
      <c r="M62" s="50">
        <v>15</v>
      </c>
      <c r="N62" s="50">
        <v>0</v>
      </c>
      <c r="O62" s="15">
        <f t="shared" si="0"/>
        <v>11</v>
      </c>
      <c r="P62" s="15">
        <f t="shared" si="1"/>
        <v>26</v>
      </c>
      <c r="R62" s="8"/>
      <c r="T62"/>
    </row>
    <row r="63" spans="2:20" ht="23.1" customHeight="1" x14ac:dyDescent="0.25">
      <c r="B63" s="45" t="s">
        <v>108</v>
      </c>
      <c r="C63" s="50">
        <v>3</v>
      </c>
      <c r="D63" s="50">
        <v>0</v>
      </c>
      <c r="E63" s="50">
        <v>1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7</v>
      </c>
      <c r="N63" s="50">
        <v>0</v>
      </c>
      <c r="O63" s="15">
        <f t="shared" si="0"/>
        <v>4</v>
      </c>
      <c r="P63" s="15">
        <f t="shared" si="1"/>
        <v>11</v>
      </c>
      <c r="R63" s="8"/>
      <c r="T63"/>
    </row>
    <row r="64" spans="2:20" ht="23.1" customHeight="1" x14ac:dyDescent="0.25">
      <c r="B64" s="45" t="s">
        <v>109</v>
      </c>
      <c r="C64" s="50">
        <v>4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15</v>
      </c>
      <c r="N64" s="50">
        <v>0</v>
      </c>
      <c r="O64" s="15">
        <f t="shared" si="0"/>
        <v>4</v>
      </c>
      <c r="P64" s="15">
        <f t="shared" si="1"/>
        <v>19</v>
      </c>
      <c r="R64" s="8"/>
      <c r="T64"/>
    </row>
    <row r="65" spans="2:20" ht="23.1" customHeight="1" x14ac:dyDescent="0.25">
      <c r="B65" s="45" t="s">
        <v>158</v>
      </c>
      <c r="C65" s="50">
        <v>2</v>
      </c>
      <c r="D65" s="50">
        <v>1</v>
      </c>
      <c r="E65" s="50">
        <v>2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13</v>
      </c>
      <c r="N65" s="50">
        <v>0</v>
      </c>
      <c r="O65" s="15">
        <f t="shared" si="0"/>
        <v>5</v>
      </c>
      <c r="P65" s="15">
        <f t="shared" si="1"/>
        <v>18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1</v>
      </c>
      <c r="E66" s="50">
        <v>0</v>
      </c>
      <c r="F66" s="50">
        <v>1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16</v>
      </c>
      <c r="N66" s="50">
        <v>0</v>
      </c>
      <c r="O66" s="15">
        <f t="shared" si="0"/>
        <v>2</v>
      </c>
      <c r="P66" s="15">
        <f t="shared" si="1"/>
        <v>18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1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11</v>
      </c>
      <c r="N67" s="50">
        <v>0</v>
      </c>
      <c r="O67" s="15">
        <f t="shared" si="0"/>
        <v>2</v>
      </c>
      <c r="P67" s="15">
        <f t="shared" si="1"/>
        <v>13</v>
      </c>
      <c r="R67" s="8"/>
      <c r="T67"/>
    </row>
    <row r="68" spans="2:20" ht="23.1" customHeight="1" x14ac:dyDescent="0.25">
      <c r="B68" s="45" t="s">
        <v>105</v>
      </c>
      <c r="C68" s="50">
        <v>5</v>
      </c>
      <c r="D68" s="50">
        <v>0</v>
      </c>
      <c r="E68" s="50">
        <v>1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10</v>
      </c>
      <c r="N68" s="50">
        <v>0</v>
      </c>
      <c r="O68" s="15">
        <f t="shared" si="0"/>
        <v>6</v>
      </c>
      <c r="P68" s="15">
        <f t="shared" si="1"/>
        <v>16</v>
      </c>
      <c r="R68" s="8"/>
      <c r="T68"/>
    </row>
    <row r="69" spans="2:20" ht="23.1" customHeight="1" x14ac:dyDescent="0.25">
      <c r="B69" s="45" t="s">
        <v>106</v>
      </c>
      <c r="C69" s="50">
        <v>4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9</v>
      </c>
      <c r="N69" s="50">
        <v>0</v>
      </c>
      <c r="O69" s="15">
        <f t="shared" si="0"/>
        <v>4</v>
      </c>
      <c r="P69" s="15">
        <f t="shared" si="1"/>
        <v>13</v>
      </c>
      <c r="R69" s="8"/>
      <c r="T69"/>
    </row>
    <row r="70" spans="2:20" ht="23.1" customHeight="1" x14ac:dyDescent="0.25">
      <c r="B70" s="45" t="s">
        <v>110</v>
      </c>
      <c r="C70" s="50">
        <v>3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1</v>
      </c>
      <c r="J70" s="50">
        <v>1</v>
      </c>
      <c r="K70" s="50">
        <v>0</v>
      </c>
      <c r="L70" s="50">
        <v>0</v>
      </c>
      <c r="M70" s="50">
        <v>11</v>
      </c>
      <c r="N70" s="50">
        <v>0</v>
      </c>
      <c r="O70" s="15">
        <f t="shared" si="0"/>
        <v>5</v>
      </c>
      <c r="P70" s="15">
        <f t="shared" si="1"/>
        <v>16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2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10</v>
      </c>
      <c r="N71" s="50">
        <v>0</v>
      </c>
      <c r="O71" s="15">
        <f t="shared" si="0"/>
        <v>2</v>
      </c>
      <c r="P71" s="15">
        <f t="shared" si="1"/>
        <v>12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0</v>
      </c>
      <c r="F72" s="50">
        <v>1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12</v>
      </c>
      <c r="N72" s="50">
        <v>0</v>
      </c>
      <c r="O72" s="15">
        <f t="shared" si="0"/>
        <v>3</v>
      </c>
      <c r="P72" s="15">
        <f t="shared" si="1"/>
        <v>15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1</v>
      </c>
      <c r="E73" s="50">
        <v>0</v>
      </c>
      <c r="F73" s="50">
        <v>0</v>
      </c>
      <c r="G73" s="50">
        <v>0</v>
      </c>
      <c r="H73" s="50">
        <v>0</v>
      </c>
      <c r="I73" s="50">
        <v>2</v>
      </c>
      <c r="J73" s="50">
        <v>0</v>
      </c>
      <c r="K73" s="50">
        <v>0</v>
      </c>
      <c r="L73" s="50">
        <v>0</v>
      </c>
      <c r="M73" s="50">
        <v>4</v>
      </c>
      <c r="N73" s="50">
        <v>0</v>
      </c>
      <c r="O73" s="15">
        <f t="shared" si="0"/>
        <v>5</v>
      </c>
      <c r="P73" s="15">
        <f t="shared" si="1"/>
        <v>9</v>
      </c>
      <c r="R73" s="8"/>
      <c r="T73"/>
    </row>
    <row r="74" spans="2:20" ht="23.1" customHeight="1" x14ac:dyDescent="0.25">
      <c r="B74" s="45" t="s">
        <v>114</v>
      </c>
      <c r="C74" s="50">
        <v>5</v>
      </c>
      <c r="D74" s="50">
        <v>1</v>
      </c>
      <c r="E74" s="50">
        <v>1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8</v>
      </c>
      <c r="N74" s="50">
        <v>0</v>
      </c>
      <c r="O74" s="15">
        <f t="shared" ref="O74:O105" si="35">SUM(C74:L74,N74)</f>
        <v>7</v>
      </c>
      <c r="P74" s="15">
        <f t="shared" ref="P74:P105" si="36">SUM(C74:N74)</f>
        <v>15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6</v>
      </c>
      <c r="N75" s="50">
        <v>0</v>
      </c>
      <c r="O75" s="15">
        <f t="shared" si="35"/>
        <v>0</v>
      </c>
      <c r="P75" s="15">
        <f t="shared" si="36"/>
        <v>6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3</v>
      </c>
      <c r="N76" s="50">
        <v>0</v>
      </c>
      <c r="O76" s="15">
        <f t="shared" si="35"/>
        <v>1</v>
      </c>
      <c r="P76" s="15">
        <f t="shared" si="36"/>
        <v>4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</v>
      </c>
      <c r="N77" s="50">
        <v>0</v>
      </c>
      <c r="O77" s="15">
        <f t="shared" si="35"/>
        <v>1</v>
      </c>
      <c r="P77" s="15">
        <f t="shared" si="36"/>
        <v>3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4</v>
      </c>
      <c r="N78" s="50">
        <v>0</v>
      </c>
      <c r="O78" s="15">
        <f t="shared" si="35"/>
        <v>0</v>
      </c>
      <c r="P78" s="15">
        <f t="shared" si="36"/>
        <v>4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3</v>
      </c>
      <c r="N79" s="50">
        <v>0</v>
      </c>
      <c r="O79" s="15">
        <f t="shared" si="35"/>
        <v>1</v>
      </c>
      <c r="P79" s="15">
        <f t="shared" si="36"/>
        <v>4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3</v>
      </c>
      <c r="N80" s="50">
        <v>0</v>
      </c>
      <c r="O80" s="15">
        <f t="shared" si="35"/>
        <v>2</v>
      </c>
      <c r="P80" s="15">
        <f t="shared" si="36"/>
        <v>5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</v>
      </c>
      <c r="N81" s="50">
        <v>0</v>
      </c>
      <c r="O81" s="15">
        <f t="shared" si="35"/>
        <v>1</v>
      </c>
      <c r="P81" s="15">
        <f t="shared" si="36"/>
        <v>4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5</v>
      </c>
      <c r="N82" s="50">
        <v>0</v>
      </c>
      <c r="O82" s="15">
        <f t="shared" si="35"/>
        <v>0</v>
      </c>
      <c r="P82" s="15">
        <f t="shared" si="36"/>
        <v>5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0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0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3</v>
      </c>
      <c r="N86" s="50">
        <v>0</v>
      </c>
      <c r="O86" s="15">
        <f t="shared" si="35"/>
        <v>0</v>
      </c>
      <c r="P86" s="15">
        <f t="shared" si="36"/>
        <v>3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</v>
      </c>
      <c r="N87" s="50">
        <v>0</v>
      </c>
      <c r="O87" s="15">
        <f t="shared" si="35"/>
        <v>0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0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1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2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1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1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2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1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5">
        <f t="shared" si="35"/>
        <v>0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3</v>
      </c>
      <c r="N102" s="50">
        <v>0</v>
      </c>
      <c r="O102" s="15">
        <f t="shared" si="35"/>
        <v>1</v>
      </c>
      <c r="P102" s="15">
        <f t="shared" si="36"/>
        <v>4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2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2</v>
      </c>
      <c r="D104" s="50">
        <v>1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7</v>
      </c>
      <c r="N104" s="50">
        <v>0</v>
      </c>
      <c r="O104" s="15">
        <f t="shared" si="35"/>
        <v>3</v>
      </c>
      <c r="P104" s="15">
        <f t="shared" si="36"/>
        <v>10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8</v>
      </c>
      <c r="N105" s="50">
        <v>0</v>
      </c>
      <c r="O105" s="15">
        <f t="shared" si="35"/>
        <v>3</v>
      </c>
      <c r="P105" s="15">
        <f t="shared" si="36"/>
        <v>11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316</v>
      </c>
      <c r="D106" s="16">
        <f t="shared" ref="D106:P106" si="37">SUM(D10:D105)</f>
        <v>33</v>
      </c>
      <c r="E106" s="16">
        <f t="shared" si="37"/>
        <v>42</v>
      </c>
      <c r="F106" s="16">
        <f t="shared" si="37"/>
        <v>44</v>
      </c>
      <c r="G106" s="16">
        <f t="shared" si="37"/>
        <v>2</v>
      </c>
      <c r="H106" s="16">
        <f t="shared" si="37"/>
        <v>1</v>
      </c>
      <c r="I106" s="16">
        <f t="shared" si="37"/>
        <v>45</v>
      </c>
      <c r="J106" s="16">
        <f t="shared" si="37"/>
        <v>18</v>
      </c>
      <c r="K106" s="16">
        <f t="shared" si="37"/>
        <v>8</v>
      </c>
      <c r="L106" s="16">
        <f t="shared" si="37"/>
        <v>0</v>
      </c>
      <c r="M106" s="16">
        <f t="shared" si="37"/>
        <v>1081</v>
      </c>
      <c r="N106" s="16">
        <f t="shared" si="37"/>
        <v>0</v>
      </c>
      <c r="O106" s="16">
        <f t="shared" si="37"/>
        <v>509</v>
      </c>
      <c r="P106" s="16">
        <f t="shared" si="37"/>
        <v>1590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0.19874213836477989</v>
      </c>
      <c r="D107" s="43">
        <f t="shared" si="38"/>
        <v>2.0754716981132074E-2</v>
      </c>
      <c r="E107" s="43">
        <f t="shared" si="38"/>
        <v>2.6415094339622643E-2</v>
      </c>
      <c r="F107" s="43">
        <f t="shared" si="38"/>
        <v>2.7672955974842768E-2</v>
      </c>
      <c r="G107" s="43">
        <f t="shared" si="38"/>
        <v>1.2578616352201257E-3</v>
      </c>
      <c r="H107" s="43">
        <f t="shared" si="38"/>
        <v>6.2893081761006286E-4</v>
      </c>
      <c r="I107" s="43">
        <f t="shared" si="38"/>
        <v>2.8301886792452831E-2</v>
      </c>
      <c r="J107" s="43">
        <f t="shared" si="38"/>
        <v>1.1320754716981131E-2</v>
      </c>
      <c r="K107" s="43">
        <f t="shared" si="38"/>
        <v>5.0314465408805029E-3</v>
      </c>
      <c r="L107" s="43">
        <f t="shared" si="38"/>
        <v>0</v>
      </c>
      <c r="M107" s="43">
        <f t="shared" si="38"/>
        <v>0.67987421383647795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0.62082514734774064</v>
      </c>
      <c r="D108" s="44">
        <f t="shared" ref="D108:N108" si="39">D106/$O$106</f>
        <v>6.4833005893909626E-2</v>
      </c>
      <c r="E108" s="44">
        <f t="shared" si="39"/>
        <v>8.2514734774066803E-2</v>
      </c>
      <c r="F108" s="44">
        <f t="shared" si="39"/>
        <v>8.6444007858546168E-2</v>
      </c>
      <c r="G108" s="44">
        <f t="shared" si="39"/>
        <v>3.929273084479371E-3</v>
      </c>
      <c r="H108" s="44">
        <f t="shared" si="39"/>
        <v>1.9646365422396855E-3</v>
      </c>
      <c r="I108" s="44">
        <f t="shared" si="39"/>
        <v>8.8408644400785857E-2</v>
      </c>
      <c r="J108" s="44">
        <f t="shared" si="39"/>
        <v>3.536345776031434E-2</v>
      </c>
      <c r="K108" s="44">
        <f t="shared" si="39"/>
        <v>1.5717092337917484E-2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KYENJOJO-HOIMA'!C3:G3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3" t="str">
        <f>'25.10 KYENJOJO-HOIMA'!G5:H5</f>
        <v>KYENJOJO</v>
      </c>
      <c r="H5" s="64"/>
      <c r="I5" s="14"/>
      <c r="J5" s="2" t="s">
        <v>5</v>
      </c>
      <c r="K5" s="63" t="str">
        <f>'25.10 KYENJOJO-HOIMA'!K5:L5</f>
        <v>OLOYA FELIX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KYENJOJO-HOIMA'!D6:E6</f>
        <v>KYENJOJO</v>
      </c>
      <c r="E6" s="64"/>
      <c r="F6" s="2" t="s">
        <v>2</v>
      </c>
      <c r="G6" s="63" t="str">
        <f>'25.10 KYENJOJO-HOIMA'!G6:H6</f>
        <v>HOIMA</v>
      </c>
      <c r="H6" s="64"/>
      <c r="J6" s="2" t="s">
        <v>21</v>
      </c>
      <c r="K6" s="63" t="str">
        <f>'25.10 KYENJOJO-HOIMA'!K6:L6</f>
        <v>FELIX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1</v>
      </c>
      <c r="K10" s="50">
        <v>1</v>
      </c>
      <c r="L10" s="50">
        <v>1</v>
      </c>
      <c r="M10" s="50">
        <v>4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5</v>
      </c>
      <c r="T10" s="17">
        <f t="shared" si="2"/>
        <v>0</v>
      </c>
      <c r="U10" s="17">
        <f t="shared" si="2"/>
        <v>0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1</v>
      </c>
      <c r="AA10" s="17">
        <f t="shared" si="2"/>
        <v>1</v>
      </c>
      <c r="AB10" s="17">
        <f t="shared" si="2"/>
        <v>1</v>
      </c>
      <c r="AC10" s="17">
        <f t="shared" si="2"/>
        <v>45</v>
      </c>
      <c r="AD10" s="17">
        <f t="shared" si="2"/>
        <v>0</v>
      </c>
      <c r="AE10" s="31">
        <f t="shared" si="2"/>
        <v>10</v>
      </c>
      <c r="AF10" s="31">
        <f t="shared" si="2"/>
        <v>55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12</v>
      </c>
      <c r="N11" s="50">
        <v>0</v>
      </c>
      <c r="O11" s="15">
        <f t="shared" si="0"/>
        <v>3</v>
      </c>
      <c r="P11" s="15">
        <f t="shared" si="1"/>
        <v>15</v>
      </c>
      <c r="R11" s="1" t="s">
        <v>7</v>
      </c>
      <c r="S11" s="17">
        <f t="shared" ref="S11:AF11" si="3">SUM(C14:C17)</f>
        <v>13</v>
      </c>
      <c r="T11" s="17">
        <f t="shared" si="3"/>
        <v>0</v>
      </c>
      <c r="U11" s="17">
        <f t="shared" si="3"/>
        <v>2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5</v>
      </c>
      <c r="AA11" s="17">
        <f t="shared" si="3"/>
        <v>0</v>
      </c>
      <c r="AB11" s="17">
        <f t="shared" si="3"/>
        <v>1</v>
      </c>
      <c r="AC11" s="17">
        <f t="shared" si="3"/>
        <v>108</v>
      </c>
      <c r="AD11" s="17">
        <f t="shared" si="3"/>
        <v>0</v>
      </c>
      <c r="AE11" s="31">
        <f t="shared" si="3"/>
        <v>25</v>
      </c>
      <c r="AF11" s="31">
        <f t="shared" si="3"/>
        <v>133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9</v>
      </c>
      <c r="N12" s="50">
        <v>0</v>
      </c>
      <c r="O12" s="15">
        <f t="shared" si="0"/>
        <v>0</v>
      </c>
      <c r="P12" s="15">
        <f t="shared" si="1"/>
        <v>9</v>
      </c>
      <c r="R12" s="1" t="s">
        <v>8</v>
      </c>
      <c r="S12" s="17">
        <f t="shared" ref="S12:AF12" si="4">SUM(C18:C21)</f>
        <v>18</v>
      </c>
      <c r="T12" s="17">
        <f t="shared" si="4"/>
        <v>1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148</v>
      </c>
      <c r="AD12" s="17">
        <f t="shared" si="4"/>
        <v>0</v>
      </c>
      <c r="AE12" s="31">
        <f t="shared" si="4"/>
        <v>27</v>
      </c>
      <c r="AF12" s="31">
        <f t="shared" si="4"/>
        <v>175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20</v>
      </c>
      <c r="N13" s="50">
        <v>0</v>
      </c>
      <c r="O13" s="15">
        <f t="shared" si="0"/>
        <v>2</v>
      </c>
      <c r="P13" s="15">
        <f t="shared" si="1"/>
        <v>22</v>
      </c>
      <c r="R13" s="1" t="s">
        <v>9</v>
      </c>
      <c r="S13" s="17">
        <f t="shared" ref="S13:AF13" si="5">SUM(C22:C25)</f>
        <v>17</v>
      </c>
      <c r="T13" s="17">
        <f t="shared" si="5"/>
        <v>2</v>
      </c>
      <c r="U13" s="17">
        <f t="shared" si="5"/>
        <v>4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2</v>
      </c>
      <c r="AA13" s="17">
        <f t="shared" si="5"/>
        <v>0</v>
      </c>
      <c r="AB13" s="17">
        <f t="shared" si="5"/>
        <v>1</v>
      </c>
      <c r="AC13" s="17">
        <f t="shared" si="5"/>
        <v>175</v>
      </c>
      <c r="AD13" s="17">
        <f t="shared" si="5"/>
        <v>0</v>
      </c>
      <c r="AE13" s="31">
        <f t="shared" si="5"/>
        <v>32</v>
      </c>
      <c r="AF13" s="31">
        <f t="shared" si="5"/>
        <v>207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1</v>
      </c>
      <c r="M14" s="50">
        <v>27</v>
      </c>
      <c r="N14" s="50">
        <v>0</v>
      </c>
      <c r="O14" s="15">
        <f t="shared" si="0"/>
        <v>2</v>
      </c>
      <c r="P14" s="15">
        <f t="shared" si="1"/>
        <v>29</v>
      </c>
      <c r="R14" s="1" t="s">
        <v>10</v>
      </c>
      <c r="S14" s="17">
        <f t="shared" ref="S14:AF14" si="6">SUM(C26:C29)</f>
        <v>36</v>
      </c>
      <c r="T14" s="17">
        <f t="shared" si="6"/>
        <v>0</v>
      </c>
      <c r="U14" s="17">
        <f t="shared" si="6"/>
        <v>4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201</v>
      </c>
      <c r="AD14" s="17">
        <f t="shared" si="6"/>
        <v>0</v>
      </c>
      <c r="AE14" s="31">
        <f t="shared" si="6"/>
        <v>47</v>
      </c>
      <c r="AF14" s="31">
        <f t="shared" si="6"/>
        <v>248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19</v>
      </c>
      <c r="N15" s="50">
        <v>0</v>
      </c>
      <c r="O15" s="15">
        <f t="shared" si="0"/>
        <v>6</v>
      </c>
      <c r="P15" s="15">
        <f t="shared" si="1"/>
        <v>25</v>
      </c>
      <c r="R15" s="1" t="s">
        <v>11</v>
      </c>
      <c r="S15" s="17">
        <f t="shared" ref="S15:AF15" si="7">SUM(C30:C33)</f>
        <v>9</v>
      </c>
      <c r="T15" s="17">
        <f t="shared" si="7"/>
        <v>2</v>
      </c>
      <c r="U15" s="17">
        <f t="shared" si="7"/>
        <v>5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159</v>
      </c>
      <c r="AD15" s="17">
        <f t="shared" si="7"/>
        <v>0</v>
      </c>
      <c r="AE15" s="31">
        <f t="shared" si="7"/>
        <v>21</v>
      </c>
      <c r="AF15" s="31">
        <f t="shared" si="7"/>
        <v>180</v>
      </c>
    </row>
    <row r="16" spans="2:32" ht="23.1" customHeight="1" x14ac:dyDescent="0.25">
      <c r="B16" s="23" t="s">
        <v>43</v>
      </c>
      <c r="C16" s="50">
        <v>4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2</v>
      </c>
      <c r="K16" s="50">
        <v>0</v>
      </c>
      <c r="L16" s="50">
        <v>0</v>
      </c>
      <c r="M16" s="50">
        <v>25</v>
      </c>
      <c r="N16" s="50">
        <v>0</v>
      </c>
      <c r="O16" s="15">
        <f t="shared" si="0"/>
        <v>6</v>
      </c>
      <c r="P16" s="15">
        <f t="shared" si="1"/>
        <v>31</v>
      </c>
      <c r="R16" s="1" t="s">
        <v>12</v>
      </c>
      <c r="S16" s="17">
        <f t="shared" ref="S16:AF16" si="8">SUM(C34:C37)</f>
        <v>25</v>
      </c>
      <c r="T16" s="17">
        <f t="shared" si="8"/>
        <v>2</v>
      </c>
      <c r="U16" s="17">
        <f t="shared" si="8"/>
        <v>4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4</v>
      </c>
      <c r="AA16" s="17">
        <f t="shared" si="8"/>
        <v>0</v>
      </c>
      <c r="AB16" s="17">
        <f t="shared" si="8"/>
        <v>1</v>
      </c>
      <c r="AC16" s="17">
        <f t="shared" si="8"/>
        <v>161</v>
      </c>
      <c r="AD16" s="17">
        <f t="shared" si="8"/>
        <v>0</v>
      </c>
      <c r="AE16" s="31">
        <f t="shared" si="8"/>
        <v>41</v>
      </c>
      <c r="AF16" s="31">
        <f t="shared" si="8"/>
        <v>202</v>
      </c>
    </row>
    <row r="17" spans="2:32" ht="23.1" customHeight="1" x14ac:dyDescent="0.25">
      <c r="B17" s="23" t="s">
        <v>44</v>
      </c>
      <c r="C17" s="50">
        <v>6</v>
      </c>
      <c r="D17" s="50">
        <v>0</v>
      </c>
      <c r="E17" s="50">
        <v>1</v>
      </c>
      <c r="F17" s="50">
        <v>1</v>
      </c>
      <c r="G17" s="50">
        <v>0</v>
      </c>
      <c r="H17" s="50">
        <v>0</v>
      </c>
      <c r="I17" s="50">
        <v>1</v>
      </c>
      <c r="J17" s="50">
        <v>2</v>
      </c>
      <c r="K17" s="50">
        <v>0</v>
      </c>
      <c r="L17" s="50">
        <v>0</v>
      </c>
      <c r="M17" s="50">
        <v>37</v>
      </c>
      <c r="N17" s="50">
        <v>0</v>
      </c>
      <c r="O17" s="15">
        <f t="shared" si="0"/>
        <v>11</v>
      </c>
      <c r="P17" s="15">
        <f t="shared" si="1"/>
        <v>48</v>
      </c>
      <c r="R17" s="1" t="s">
        <v>13</v>
      </c>
      <c r="S17" s="17">
        <f t="shared" ref="S17:AF17" si="9">SUM(C38:C41)</f>
        <v>24</v>
      </c>
      <c r="T17" s="17">
        <f t="shared" si="9"/>
        <v>0</v>
      </c>
      <c r="U17" s="17">
        <f t="shared" si="9"/>
        <v>1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134</v>
      </c>
      <c r="AD17" s="17">
        <f t="shared" si="9"/>
        <v>0</v>
      </c>
      <c r="AE17" s="31">
        <f t="shared" si="9"/>
        <v>32</v>
      </c>
      <c r="AF17" s="31">
        <f t="shared" si="9"/>
        <v>166</v>
      </c>
    </row>
    <row r="18" spans="2:32" ht="23.1" customHeight="1" x14ac:dyDescent="0.25">
      <c r="B18" s="23" t="s">
        <v>45</v>
      </c>
      <c r="C18" s="50">
        <v>5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35</v>
      </c>
      <c r="N18" s="50">
        <v>0</v>
      </c>
      <c r="O18" s="15">
        <f t="shared" si="0"/>
        <v>6</v>
      </c>
      <c r="P18" s="15">
        <f t="shared" si="1"/>
        <v>41</v>
      </c>
      <c r="R18" s="1" t="s">
        <v>14</v>
      </c>
      <c r="S18" s="17">
        <f t="shared" ref="S18:AF18" si="10">SUM(C42:C45)</f>
        <v>29</v>
      </c>
      <c r="T18" s="17">
        <f t="shared" si="10"/>
        <v>0</v>
      </c>
      <c r="U18" s="17">
        <f t="shared" si="10"/>
        <v>4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1</v>
      </c>
      <c r="AA18" s="17">
        <f t="shared" si="10"/>
        <v>0</v>
      </c>
      <c r="AB18" s="17">
        <f t="shared" si="10"/>
        <v>1</v>
      </c>
      <c r="AC18" s="17">
        <f t="shared" si="10"/>
        <v>125</v>
      </c>
      <c r="AD18" s="17">
        <f t="shared" si="10"/>
        <v>0</v>
      </c>
      <c r="AE18" s="31">
        <f t="shared" si="10"/>
        <v>38</v>
      </c>
      <c r="AF18" s="31">
        <f t="shared" si="10"/>
        <v>163</v>
      </c>
    </row>
    <row r="19" spans="2:32" ht="23.1" customHeight="1" x14ac:dyDescent="0.25">
      <c r="B19" s="23" t="s">
        <v>46</v>
      </c>
      <c r="C19" s="50">
        <v>5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26</v>
      </c>
      <c r="N19" s="50">
        <v>0</v>
      </c>
      <c r="O19" s="15">
        <f t="shared" si="0"/>
        <v>8</v>
      </c>
      <c r="P19" s="15">
        <f t="shared" si="1"/>
        <v>34</v>
      </c>
      <c r="R19" s="1" t="s">
        <v>15</v>
      </c>
      <c r="S19" s="17">
        <f t="shared" ref="S19:AF19" si="11">SUM(C46:C49)</f>
        <v>33</v>
      </c>
      <c r="T19" s="17">
        <f t="shared" si="11"/>
        <v>2</v>
      </c>
      <c r="U19" s="17">
        <f t="shared" si="11"/>
        <v>1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4</v>
      </c>
      <c r="AC19" s="17">
        <f t="shared" si="11"/>
        <v>142</v>
      </c>
      <c r="AD19" s="17">
        <f t="shared" si="11"/>
        <v>0</v>
      </c>
      <c r="AE19" s="31">
        <f t="shared" si="11"/>
        <v>45</v>
      </c>
      <c r="AF19" s="31">
        <f t="shared" si="11"/>
        <v>187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49</v>
      </c>
      <c r="N20" s="50">
        <v>0</v>
      </c>
      <c r="O20" s="15">
        <f t="shared" si="0"/>
        <v>5</v>
      </c>
      <c r="P20" s="15">
        <f t="shared" si="1"/>
        <v>54</v>
      </c>
      <c r="R20" s="1" t="s">
        <v>16</v>
      </c>
      <c r="S20" s="17">
        <f t="shared" ref="S20:AF20" si="12">SUM(C50:C53)</f>
        <v>26</v>
      </c>
      <c r="T20" s="17">
        <f t="shared" si="12"/>
        <v>5</v>
      </c>
      <c r="U20" s="17">
        <f t="shared" si="12"/>
        <v>6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1</v>
      </c>
      <c r="AA20" s="17">
        <f t="shared" si="12"/>
        <v>0</v>
      </c>
      <c r="AB20" s="17">
        <f t="shared" si="12"/>
        <v>1</v>
      </c>
      <c r="AC20" s="17">
        <f t="shared" si="12"/>
        <v>140</v>
      </c>
      <c r="AD20" s="17">
        <f t="shared" si="12"/>
        <v>0</v>
      </c>
      <c r="AE20" s="31">
        <f t="shared" si="12"/>
        <v>43</v>
      </c>
      <c r="AF20" s="31">
        <f t="shared" si="12"/>
        <v>183</v>
      </c>
    </row>
    <row r="21" spans="2:32" ht="23.1" customHeight="1" x14ac:dyDescent="0.25">
      <c r="B21" s="23" t="s">
        <v>48</v>
      </c>
      <c r="C21" s="50">
        <v>4</v>
      </c>
      <c r="D21" s="50">
        <v>1</v>
      </c>
      <c r="E21" s="50">
        <v>1</v>
      </c>
      <c r="F21" s="50">
        <v>0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38</v>
      </c>
      <c r="N21" s="50">
        <v>0</v>
      </c>
      <c r="O21" s="15">
        <f t="shared" si="0"/>
        <v>8</v>
      </c>
      <c r="P21" s="15">
        <f t="shared" si="1"/>
        <v>46</v>
      </c>
      <c r="R21" s="36" t="s">
        <v>20</v>
      </c>
      <c r="S21" s="34">
        <f t="shared" ref="S21:AF21" si="13">SUM(C54:C57)</f>
        <v>23</v>
      </c>
      <c r="T21" s="17">
        <f t="shared" si="13"/>
        <v>1</v>
      </c>
      <c r="U21" s="17">
        <f t="shared" si="13"/>
        <v>3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1</v>
      </c>
      <c r="AA21" s="17">
        <f t="shared" si="13"/>
        <v>0</v>
      </c>
      <c r="AB21" s="17">
        <f t="shared" si="13"/>
        <v>1</v>
      </c>
      <c r="AC21" s="17">
        <f t="shared" si="13"/>
        <v>128</v>
      </c>
      <c r="AD21" s="17">
        <f t="shared" si="13"/>
        <v>0</v>
      </c>
      <c r="AE21" s="31">
        <f t="shared" si="13"/>
        <v>34</v>
      </c>
      <c r="AF21" s="31">
        <f t="shared" si="13"/>
        <v>162</v>
      </c>
    </row>
    <row r="22" spans="2:32" ht="23.1" customHeight="1" x14ac:dyDescent="0.25">
      <c r="B22" s="23" t="s">
        <v>49</v>
      </c>
      <c r="C22" s="50">
        <v>4</v>
      </c>
      <c r="D22" s="50">
        <v>2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2</v>
      </c>
      <c r="K22" s="50">
        <v>0</v>
      </c>
      <c r="L22" s="50">
        <v>0</v>
      </c>
      <c r="M22" s="50">
        <v>35</v>
      </c>
      <c r="N22" s="50">
        <v>0</v>
      </c>
      <c r="O22" s="15">
        <f t="shared" si="0"/>
        <v>10</v>
      </c>
      <c r="P22" s="15">
        <f t="shared" si="1"/>
        <v>45</v>
      </c>
      <c r="R22" s="38" t="s">
        <v>90</v>
      </c>
      <c r="S22" s="39">
        <f>MAX(S10:S12)</f>
        <v>18</v>
      </c>
      <c r="T22" s="39">
        <f t="shared" ref="T22:AF22" si="14">MAX(T10:T12)</f>
        <v>1</v>
      </c>
      <c r="U22" s="39">
        <f t="shared" si="14"/>
        <v>2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5</v>
      </c>
      <c r="AA22" s="39">
        <f t="shared" si="14"/>
        <v>1</v>
      </c>
      <c r="AB22" s="39">
        <f t="shared" si="14"/>
        <v>1</v>
      </c>
      <c r="AC22" s="39">
        <f t="shared" si="14"/>
        <v>148</v>
      </c>
      <c r="AD22" s="39">
        <f t="shared" si="14"/>
        <v>0</v>
      </c>
      <c r="AE22" s="40">
        <f t="shared" si="14"/>
        <v>27</v>
      </c>
      <c r="AF22" s="40">
        <f t="shared" si="14"/>
        <v>175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44</v>
      </c>
      <c r="N23" s="50">
        <v>0</v>
      </c>
      <c r="O23" s="15">
        <f t="shared" si="0"/>
        <v>3</v>
      </c>
      <c r="P23" s="15">
        <f t="shared" si="1"/>
        <v>47</v>
      </c>
      <c r="R23" s="38" t="s">
        <v>91</v>
      </c>
      <c r="S23" s="39">
        <f>MAX(S13:S18)</f>
        <v>36</v>
      </c>
      <c r="T23" s="39">
        <f t="shared" ref="T23:AF23" si="15">MAX(T13:T18)</f>
        <v>2</v>
      </c>
      <c r="U23" s="39">
        <f t="shared" si="15"/>
        <v>5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4</v>
      </c>
      <c r="AA23" s="39">
        <f t="shared" si="15"/>
        <v>0</v>
      </c>
      <c r="AB23" s="39">
        <f t="shared" si="15"/>
        <v>1</v>
      </c>
      <c r="AC23" s="39">
        <f t="shared" si="15"/>
        <v>201</v>
      </c>
      <c r="AD23" s="39">
        <f t="shared" si="15"/>
        <v>0</v>
      </c>
      <c r="AE23" s="40">
        <f t="shared" si="15"/>
        <v>47</v>
      </c>
      <c r="AF23" s="40">
        <f t="shared" si="15"/>
        <v>248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1</v>
      </c>
      <c r="M24" s="50">
        <v>46</v>
      </c>
      <c r="N24" s="50">
        <v>0</v>
      </c>
      <c r="O24" s="15">
        <f t="shared" si="0"/>
        <v>3</v>
      </c>
      <c r="P24" s="15">
        <f t="shared" si="1"/>
        <v>49</v>
      </c>
      <c r="R24" s="38" t="s">
        <v>92</v>
      </c>
      <c r="S24" s="39">
        <f>MAX(S19:S21)</f>
        <v>33</v>
      </c>
      <c r="T24" s="39">
        <f t="shared" ref="T24:AF24" si="16">MAX(T19:T21)</f>
        <v>5</v>
      </c>
      <c r="U24" s="39">
        <f t="shared" si="16"/>
        <v>6</v>
      </c>
      <c r="V24" s="39">
        <f t="shared" si="16"/>
        <v>2</v>
      </c>
      <c r="W24" s="39">
        <f t="shared" si="16"/>
        <v>0</v>
      </c>
      <c r="X24" s="39">
        <f t="shared" si="16"/>
        <v>0</v>
      </c>
      <c r="Y24" s="39">
        <f t="shared" si="16"/>
        <v>4</v>
      </c>
      <c r="Z24" s="39">
        <f t="shared" si="16"/>
        <v>1</v>
      </c>
      <c r="AA24" s="39">
        <f t="shared" si="16"/>
        <v>0</v>
      </c>
      <c r="AB24" s="39">
        <f t="shared" si="16"/>
        <v>4</v>
      </c>
      <c r="AC24" s="39">
        <f t="shared" si="16"/>
        <v>142</v>
      </c>
      <c r="AD24" s="39">
        <f t="shared" si="16"/>
        <v>0</v>
      </c>
      <c r="AE24" s="40">
        <f t="shared" si="16"/>
        <v>45</v>
      </c>
      <c r="AF24" s="40">
        <f t="shared" si="16"/>
        <v>187</v>
      </c>
    </row>
    <row r="25" spans="2:32" ht="23.1" customHeight="1" x14ac:dyDescent="0.25">
      <c r="B25" s="23" t="s">
        <v>52</v>
      </c>
      <c r="C25" s="50">
        <v>11</v>
      </c>
      <c r="D25" s="50">
        <v>0</v>
      </c>
      <c r="E25" s="50">
        <v>2</v>
      </c>
      <c r="F25" s="50">
        <v>0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50</v>
      </c>
      <c r="N25" s="50">
        <v>0</v>
      </c>
      <c r="O25" s="15">
        <f t="shared" si="0"/>
        <v>16</v>
      </c>
      <c r="P25" s="15">
        <f t="shared" si="1"/>
        <v>66</v>
      </c>
      <c r="R25" s="37" t="s">
        <v>85</v>
      </c>
      <c r="S25" s="35">
        <f t="shared" ref="S25:AF25" si="17">SUM(S10:S12)</f>
        <v>36</v>
      </c>
      <c r="T25" s="16">
        <f t="shared" si="17"/>
        <v>1</v>
      </c>
      <c r="U25" s="16">
        <f t="shared" si="17"/>
        <v>4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6</v>
      </c>
      <c r="Z25" s="16">
        <f t="shared" si="17"/>
        <v>9</v>
      </c>
      <c r="AA25" s="16">
        <f t="shared" si="17"/>
        <v>1</v>
      </c>
      <c r="AB25" s="16">
        <f t="shared" si="17"/>
        <v>2</v>
      </c>
      <c r="AC25" s="16">
        <f t="shared" si="17"/>
        <v>301</v>
      </c>
      <c r="AD25" s="16">
        <f t="shared" si="17"/>
        <v>0</v>
      </c>
      <c r="AE25" s="32">
        <f t="shared" si="17"/>
        <v>62</v>
      </c>
      <c r="AF25" s="32">
        <f t="shared" si="17"/>
        <v>363</v>
      </c>
    </row>
    <row r="26" spans="2:32" ht="23.1" customHeight="1" x14ac:dyDescent="0.25">
      <c r="B26" s="23" t="s">
        <v>53</v>
      </c>
      <c r="C26" s="50">
        <v>10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2</v>
      </c>
      <c r="K26" s="50">
        <v>0</v>
      </c>
      <c r="L26" s="50">
        <v>0</v>
      </c>
      <c r="M26" s="50">
        <v>67</v>
      </c>
      <c r="N26" s="50">
        <v>0</v>
      </c>
      <c r="O26" s="15">
        <f t="shared" si="0"/>
        <v>13</v>
      </c>
      <c r="P26" s="15">
        <f t="shared" si="1"/>
        <v>80</v>
      </c>
      <c r="R26" s="28" t="s">
        <v>86</v>
      </c>
      <c r="S26" s="16">
        <f t="shared" ref="S26:AF26" si="18">SUM(S13:S18)</f>
        <v>140</v>
      </c>
      <c r="T26" s="16">
        <f t="shared" si="18"/>
        <v>6</v>
      </c>
      <c r="U26" s="16">
        <f t="shared" si="18"/>
        <v>22</v>
      </c>
      <c r="V26" s="16">
        <f t="shared" si="18"/>
        <v>12</v>
      </c>
      <c r="W26" s="16">
        <f t="shared" si="18"/>
        <v>0</v>
      </c>
      <c r="X26" s="16">
        <f t="shared" si="18"/>
        <v>0</v>
      </c>
      <c r="Y26" s="16">
        <f t="shared" si="18"/>
        <v>17</v>
      </c>
      <c r="Z26" s="16">
        <f t="shared" si="18"/>
        <v>11</v>
      </c>
      <c r="AA26" s="16">
        <f t="shared" si="18"/>
        <v>0</v>
      </c>
      <c r="AB26" s="16">
        <f t="shared" si="18"/>
        <v>3</v>
      </c>
      <c r="AC26" s="16">
        <f t="shared" si="18"/>
        <v>955</v>
      </c>
      <c r="AD26" s="16">
        <f t="shared" si="18"/>
        <v>0</v>
      </c>
      <c r="AE26" s="32">
        <f t="shared" si="18"/>
        <v>211</v>
      </c>
      <c r="AF26" s="32">
        <f t="shared" si="18"/>
        <v>1166</v>
      </c>
    </row>
    <row r="27" spans="2:32" ht="23.1" customHeight="1" x14ac:dyDescent="0.25">
      <c r="B27" s="23" t="s">
        <v>54</v>
      </c>
      <c r="C27" s="50">
        <v>8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42</v>
      </c>
      <c r="N27" s="50">
        <v>0</v>
      </c>
      <c r="O27" s="15">
        <f t="shared" si="0"/>
        <v>10</v>
      </c>
      <c r="P27" s="15">
        <f t="shared" si="1"/>
        <v>52</v>
      </c>
      <c r="R27" s="29" t="s">
        <v>87</v>
      </c>
      <c r="S27" s="16">
        <f t="shared" ref="S27:AF27" si="19">SUM(S19:S21)</f>
        <v>82</v>
      </c>
      <c r="T27" s="16">
        <f t="shared" si="19"/>
        <v>8</v>
      </c>
      <c r="U27" s="16">
        <f t="shared" si="19"/>
        <v>10</v>
      </c>
      <c r="V27" s="16">
        <f t="shared" si="19"/>
        <v>3</v>
      </c>
      <c r="W27" s="16">
        <f t="shared" si="19"/>
        <v>0</v>
      </c>
      <c r="X27" s="16">
        <f t="shared" si="19"/>
        <v>0</v>
      </c>
      <c r="Y27" s="16">
        <f t="shared" si="19"/>
        <v>11</v>
      </c>
      <c r="Z27" s="16">
        <f t="shared" si="19"/>
        <v>2</v>
      </c>
      <c r="AA27" s="16">
        <f t="shared" si="19"/>
        <v>0</v>
      </c>
      <c r="AB27" s="16">
        <f t="shared" si="19"/>
        <v>6</v>
      </c>
      <c r="AC27" s="16">
        <f t="shared" si="19"/>
        <v>410</v>
      </c>
      <c r="AD27" s="16">
        <f t="shared" si="19"/>
        <v>0</v>
      </c>
      <c r="AE27" s="32">
        <f t="shared" si="19"/>
        <v>122</v>
      </c>
      <c r="AF27" s="32">
        <f t="shared" si="19"/>
        <v>532</v>
      </c>
    </row>
    <row r="28" spans="2:32" ht="23.1" customHeight="1" x14ac:dyDescent="0.25">
      <c r="B28" s="23" t="s">
        <v>55</v>
      </c>
      <c r="C28" s="50">
        <v>12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52</v>
      </c>
      <c r="N28" s="50">
        <v>0</v>
      </c>
      <c r="O28" s="15">
        <f t="shared" si="0"/>
        <v>14</v>
      </c>
      <c r="P28" s="15">
        <f t="shared" si="1"/>
        <v>66</v>
      </c>
      <c r="R28" s="5" t="s">
        <v>17</v>
      </c>
      <c r="S28" s="16">
        <f t="shared" ref="S28:AF28" si="20">SUM(S10:S21)</f>
        <v>258</v>
      </c>
      <c r="T28" s="16">
        <f t="shared" si="20"/>
        <v>15</v>
      </c>
      <c r="U28" s="16">
        <f t="shared" si="20"/>
        <v>36</v>
      </c>
      <c r="V28" s="16">
        <f t="shared" si="20"/>
        <v>18</v>
      </c>
      <c r="W28" s="16">
        <f t="shared" si="20"/>
        <v>0</v>
      </c>
      <c r="X28" s="16">
        <f t="shared" si="20"/>
        <v>0</v>
      </c>
      <c r="Y28" s="16">
        <f t="shared" si="20"/>
        <v>34</v>
      </c>
      <c r="Z28" s="16">
        <f t="shared" si="20"/>
        <v>22</v>
      </c>
      <c r="AA28" s="16">
        <f t="shared" si="20"/>
        <v>1</v>
      </c>
      <c r="AB28" s="16">
        <f t="shared" si="20"/>
        <v>11</v>
      </c>
      <c r="AC28" s="16">
        <f t="shared" si="20"/>
        <v>1666</v>
      </c>
      <c r="AD28" s="16">
        <f t="shared" si="20"/>
        <v>0</v>
      </c>
      <c r="AE28" s="32">
        <f t="shared" si="20"/>
        <v>395</v>
      </c>
      <c r="AF28" s="32">
        <f t="shared" si="20"/>
        <v>2061</v>
      </c>
    </row>
    <row r="29" spans="2:32" ht="23.1" customHeight="1" x14ac:dyDescent="0.25">
      <c r="B29" s="23" t="s">
        <v>56</v>
      </c>
      <c r="C29" s="50">
        <v>6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40</v>
      </c>
      <c r="N29" s="50">
        <v>0</v>
      </c>
      <c r="O29" s="15">
        <f t="shared" si="0"/>
        <v>10</v>
      </c>
      <c r="P29" s="15">
        <f t="shared" si="1"/>
        <v>50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1</v>
      </c>
      <c r="E30" s="50">
        <v>2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46</v>
      </c>
      <c r="N30" s="50">
        <v>0</v>
      </c>
      <c r="O30" s="15">
        <f t="shared" si="0"/>
        <v>8</v>
      </c>
      <c r="P30" s="15">
        <f t="shared" si="1"/>
        <v>54</v>
      </c>
    </row>
    <row r="31" spans="2:32" ht="23.1" customHeight="1" x14ac:dyDescent="0.25">
      <c r="B31" s="24" t="s">
        <v>58</v>
      </c>
      <c r="C31" s="50">
        <v>3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31</v>
      </c>
      <c r="N31" s="50">
        <v>0</v>
      </c>
      <c r="O31" s="15">
        <f t="shared" si="0"/>
        <v>4</v>
      </c>
      <c r="P31" s="15">
        <f t="shared" si="1"/>
        <v>35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2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50</v>
      </c>
      <c r="N32" s="50">
        <v>0</v>
      </c>
      <c r="O32" s="15">
        <f t="shared" si="0"/>
        <v>6</v>
      </c>
      <c r="P32" s="15">
        <f t="shared" si="1"/>
        <v>56</v>
      </c>
    </row>
    <row r="33" spans="2:20" ht="23.1" customHeight="1" x14ac:dyDescent="0.25">
      <c r="B33" s="23" t="s">
        <v>60</v>
      </c>
      <c r="C33" s="50">
        <v>1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32</v>
      </c>
      <c r="N33" s="50">
        <v>0</v>
      </c>
      <c r="O33" s="15">
        <f t="shared" si="0"/>
        <v>3</v>
      </c>
      <c r="P33" s="15">
        <f t="shared" si="1"/>
        <v>35</v>
      </c>
    </row>
    <row r="34" spans="2:20" ht="23.1" customHeight="1" x14ac:dyDescent="0.25">
      <c r="B34" s="24" t="s">
        <v>61</v>
      </c>
      <c r="C34" s="50">
        <v>6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41</v>
      </c>
      <c r="N34" s="50">
        <v>0</v>
      </c>
      <c r="O34" s="15">
        <f t="shared" si="0"/>
        <v>10</v>
      </c>
      <c r="P34" s="15">
        <f t="shared" si="1"/>
        <v>51</v>
      </c>
    </row>
    <row r="35" spans="2:20" ht="23.1" customHeight="1" x14ac:dyDescent="0.25">
      <c r="B35" s="24" t="s">
        <v>62</v>
      </c>
      <c r="C35" s="50">
        <v>8</v>
      </c>
      <c r="D35" s="50">
        <v>2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32</v>
      </c>
      <c r="N35" s="50">
        <v>0</v>
      </c>
      <c r="O35" s="15">
        <f t="shared" si="0"/>
        <v>11</v>
      </c>
      <c r="P35" s="15">
        <f t="shared" si="1"/>
        <v>43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2</v>
      </c>
      <c r="F36" s="50">
        <v>1</v>
      </c>
      <c r="G36" s="50">
        <v>0</v>
      </c>
      <c r="H36" s="50">
        <v>0</v>
      </c>
      <c r="I36" s="50">
        <v>0</v>
      </c>
      <c r="J36" s="50">
        <v>2</v>
      </c>
      <c r="K36" s="50">
        <v>0</v>
      </c>
      <c r="L36" s="50">
        <v>0</v>
      </c>
      <c r="M36" s="50">
        <v>48</v>
      </c>
      <c r="N36" s="50">
        <v>0</v>
      </c>
      <c r="O36" s="15">
        <f t="shared" si="0"/>
        <v>8</v>
      </c>
      <c r="P36" s="15">
        <f t="shared" si="1"/>
        <v>56</v>
      </c>
    </row>
    <row r="37" spans="2:20" ht="23.1" customHeight="1" x14ac:dyDescent="0.25">
      <c r="B37" s="23" t="s">
        <v>64</v>
      </c>
      <c r="C37" s="50">
        <v>8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1</v>
      </c>
      <c r="M37" s="50">
        <v>40</v>
      </c>
      <c r="N37" s="50">
        <v>0</v>
      </c>
      <c r="O37" s="15">
        <f t="shared" si="0"/>
        <v>12</v>
      </c>
      <c r="P37" s="15">
        <f t="shared" si="1"/>
        <v>52</v>
      </c>
    </row>
    <row r="38" spans="2:20" ht="23.1" customHeight="1" x14ac:dyDescent="0.25">
      <c r="B38" s="24" t="s">
        <v>65</v>
      </c>
      <c r="C38" s="50">
        <v>6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20</v>
      </c>
      <c r="N38" s="50">
        <v>0</v>
      </c>
      <c r="O38" s="15">
        <f t="shared" si="0"/>
        <v>7</v>
      </c>
      <c r="P38" s="15">
        <f t="shared" si="1"/>
        <v>27</v>
      </c>
    </row>
    <row r="39" spans="2:20" ht="23.1" customHeight="1" x14ac:dyDescent="0.25">
      <c r="B39" s="24" t="s">
        <v>66</v>
      </c>
      <c r="C39" s="50">
        <v>8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41</v>
      </c>
      <c r="N39" s="50">
        <v>0</v>
      </c>
      <c r="O39" s="15">
        <f t="shared" si="0"/>
        <v>10</v>
      </c>
      <c r="P39" s="15">
        <f t="shared" si="1"/>
        <v>51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35</v>
      </c>
      <c r="N40" s="50">
        <v>0</v>
      </c>
      <c r="O40" s="15">
        <f t="shared" si="0"/>
        <v>6</v>
      </c>
      <c r="P40" s="15">
        <f t="shared" si="1"/>
        <v>41</v>
      </c>
    </row>
    <row r="41" spans="2:20" ht="23.1" customHeight="1" x14ac:dyDescent="0.25">
      <c r="B41" s="23" t="s">
        <v>68</v>
      </c>
      <c r="C41" s="50">
        <v>6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38</v>
      </c>
      <c r="N41" s="50">
        <v>0</v>
      </c>
      <c r="O41" s="15">
        <f t="shared" si="0"/>
        <v>9</v>
      </c>
      <c r="P41" s="15">
        <f t="shared" si="1"/>
        <v>47</v>
      </c>
    </row>
    <row r="42" spans="2:20" ht="23.1" customHeight="1" x14ac:dyDescent="0.25">
      <c r="B42" s="24" t="s">
        <v>69</v>
      </c>
      <c r="C42" s="50">
        <v>8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43</v>
      </c>
      <c r="N42" s="50">
        <v>0</v>
      </c>
      <c r="O42" s="15">
        <f t="shared" si="0"/>
        <v>9</v>
      </c>
      <c r="P42" s="15">
        <f t="shared" si="1"/>
        <v>52</v>
      </c>
    </row>
    <row r="43" spans="2:20" ht="23.1" customHeight="1" x14ac:dyDescent="0.25">
      <c r="B43" s="23" t="s">
        <v>70</v>
      </c>
      <c r="C43" s="50">
        <v>6</v>
      </c>
      <c r="D43" s="50">
        <v>0</v>
      </c>
      <c r="E43" s="50">
        <v>2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1</v>
      </c>
      <c r="M43" s="50">
        <v>25</v>
      </c>
      <c r="N43" s="50">
        <v>0</v>
      </c>
      <c r="O43" s="15">
        <f t="shared" si="0"/>
        <v>10</v>
      </c>
      <c r="P43" s="15">
        <f t="shared" si="1"/>
        <v>35</v>
      </c>
    </row>
    <row r="44" spans="2:20" ht="23.1" customHeight="1" x14ac:dyDescent="0.25">
      <c r="B44" s="25" t="s">
        <v>71</v>
      </c>
      <c r="C44" s="50">
        <v>7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30</v>
      </c>
      <c r="N44" s="50">
        <v>0</v>
      </c>
      <c r="O44" s="15">
        <f t="shared" si="0"/>
        <v>7</v>
      </c>
      <c r="P44" s="15">
        <f t="shared" si="1"/>
        <v>37</v>
      </c>
    </row>
    <row r="45" spans="2:20" ht="23.1" customHeight="1" x14ac:dyDescent="0.25">
      <c r="B45" s="23" t="s">
        <v>72</v>
      </c>
      <c r="C45" s="50">
        <v>8</v>
      </c>
      <c r="D45" s="50">
        <v>0</v>
      </c>
      <c r="E45" s="50">
        <v>1</v>
      </c>
      <c r="F45" s="50">
        <v>1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27</v>
      </c>
      <c r="N45" s="50">
        <v>0</v>
      </c>
      <c r="O45" s="15">
        <f t="shared" si="0"/>
        <v>12</v>
      </c>
      <c r="P45" s="15">
        <f t="shared" si="1"/>
        <v>39</v>
      </c>
    </row>
    <row r="46" spans="2:20" ht="23.1" customHeight="1" x14ac:dyDescent="0.25">
      <c r="B46" s="24" t="s">
        <v>73</v>
      </c>
      <c r="C46" s="50">
        <v>11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2</v>
      </c>
      <c r="M46" s="50">
        <v>34</v>
      </c>
      <c r="N46" s="50">
        <v>0</v>
      </c>
      <c r="O46" s="15">
        <f t="shared" si="0"/>
        <v>14</v>
      </c>
      <c r="P46" s="15">
        <f t="shared" si="1"/>
        <v>48</v>
      </c>
      <c r="R46" s="8"/>
      <c r="T46"/>
    </row>
    <row r="47" spans="2:20" ht="23.1" customHeight="1" x14ac:dyDescent="0.25">
      <c r="B47" s="24" t="s">
        <v>74</v>
      </c>
      <c r="C47" s="50">
        <v>8</v>
      </c>
      <c r="D47" s="50">
        <v>0</v>
      </c>
      <c r="E47" s="50">
        <v>1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2</v>
      </c>
      <c r="M47" s="50">
        <v>35</v>
      </c>
      <c r="N47" s="50">
        <v>0</v>
      </c>
      <c r="O47" s="15">
        <f t="shared" si="0"/>
        <v>12</v>
      </c>
      <c r="P47" s="15">
        <f t="shared" si="1"/>
        <v>47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41</v>
      </c>
      <c r="N48" s="50">
        <v>0</v>
      </c>
      <c r="O48" s="15">
        <f t="shared" si="0"/>
        <v>6</v>
      </c>
      <c r="P48" s="15">
        <f t="shared" si="1"/>
        <v>47</v>
      </c>
      <c r="R48" s="8"/>
      <c r="T48"/>
    </row>
    <row r="49" spans="2:20" ht="23.1" customHeight="1" x14ac:dyDescent="0.25">
      <c r="B49" s="23" t="s">
        <v>76</v>
      </c>
      <c r="C49" s="50">
        <v>11</v>
      </c>
      <c r="D49" s="50">
        <v>1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32</v>
      </c>
      <c r="N49" s="50">
        <v>0</v>
      </c>
      <c r="O49" s="15">
        <f t="shared" si="0"/>
        <v>13</v>
      </c>
      <c r="P49" s="15">
        <f t="shared" si="1"/>
        <v>45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28</v>
      </c>
      <c r="N50" s="50">
        <v>0</v>
      </c>
      <c r="O50" s="15">
        <f t="shared" si="0"/>
        <v>8</v>
      </c>
      <c r="P50" s="15">
        <f t="shared" si="1"/>
        <v>36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4</v>
      </c>
      <c r="E51" s="50">
        <v>1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39</v>
      </c>
      <c r="N51" s="50">
        <v>0</v>
      </c>
      <c r="O51" s="15">
        <f t="shared" si="0"/>
        <v>9</v>
      </c>
      <c r="P51" s="15">
        <f t="shared" si="1"/>
        <v>48</v>
      </c>
      <c r="R51" s="8"/>
      <c r="T51"/>
    </row>
    <row r="52" spans="2:20" ht="23.1" customHeight="1" x14ac:dyDescent="0.25">
      <c r="B52" s="24" t="s">
        <v>79</v>
      </c>
      <c r="C52" s="50">
        <v>12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32</v>
      </c>
      <c r="N52" s="50">
        <v>0</v>
      </c>
      <c r="O52" s="15">
        <f t="shared" si="0"/>
        <v>14</v>
      </c>
      <c r="P52" s="15">
        <f t="shared" si="1"/>
        <v>46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1</v>
      </c>
      <c r="E53" s="50">
        <v>3</v>
      </c>
      <c r="F53" s="50">
        <v>0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1</v>
      </c>
      <c r="M53" s="50">
        <v>41</v>
      </c>
      <c r="N53" s="50">
        <v>0</v>
      </c>
      <c r="O53" s="15">
        <f t="shared" si="0"/>
        <v>12</v>
      </c>
      <c r="P53" s="15">
        <f t="shared" si="1"/>
        <v>53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1</v>
      </c>
      <c r="E54" s="50">
        <v>2</v>
      </c>
      <c r="F54" s="50">
        <v>1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0</v>
      </c>
      <c r="M54" s="50">
        <v>32</v>
      </c>
      <c r="N54" s="50">
        <v>0</v>
      </c>
      <c r="O54" s="15">
        <f t="shared" si="0"/>
        <v>13</v>
      </c>
      <c r="P54" s="15">
        <f t="shared" si="1"/>
        <v>45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1</v>
      </c>
      <c r="M55" s="50">
        <v>32</v>
      </c>
      <c r="N55" s="50">
        <v>0</v>
      </c>
      <c r="O55" s="15">
        <f t="shared" si="0"/>
        <v>9</v>
      </c>
      <c r="P55" s="15">
        <f t="shared" si="1"/>
        <v>41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40</v>
      </c>
      <c r="N56" s="50">
        <v>0</v>
      </c>
      <c r="O56" s="15">
        <f t="shared" si="0"/>
        <v>9</v>
      </c>
      <c r="P56" s="15">
        <f t="shared" si="1"/>
        <v>49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24</v>
      </c>
      <c r="N57" s="50">
        <v>0</v>
      </c>
      <c r="O57" s="15">
        <f t="shared" si="0"/>
        <v>3</v>
      </c>
      <c r="P57" s="15">
        <f t="shared" si="1"/>
        <v>27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258</v>
      </c>
      <c r="D58" s="16">
        <f t="shared" si="21"/>
        <v>15</v>
      </c>
      <c r="E58" s="16">
        <f t="shared" si="21"/>
        <v>36</v>
      </c>
      <c r="F58" s="16">
        <f t="shared" si="21"/>
        <v>18</v>
      </c>
      <c r="G58" s="16">
        <f t="shared" si="21"/>
        <v>0</v>
      </c>
      <c r="H58" s="16">
        <f t="shared" si="21"/>
        <v>0</v>
      </c>
      <c r="I58" s="16">
        <f t="shared" si="21"/>
        <v>34</v>
      </c>
      <c r="J58" s="16">
        <f t="shared" si="21"/>
        <v>22</v>
      </c>
      <c r="K58" s="16">
        <f t="shared" si="21"/>
        <v>1</v>
      </c>
      <c r="L58" s="16">
        <f t="shared" si="21"/>
        <v>11</v>
      </c>
      <c r="M58" s="16">
        <f t="shared" si="21"/>
        <v>1666</v>
      </c>
      <c r="N58" s="16">
        <f t="shared" si="21"/>
        <v>0</v>
      </c>
      <c r="O58" s="16">
        <f t="shared" si="21"/>
        <v>395</v>
      </c>
      <c r="P58" s="16">
        <f t="shared" si="21"/>
        <v>2061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0.12518195050946143</v>
      </c>
      <c r="D59" s="43">
        <f t="shared" si="22"/>
        <v>7.2780203784570596E-3</v>
      </c>
      <c r="E59" s="43">
        <f t="shared" si="22"/>
        <v>1.7467248908296942E-2</v>
      </c>
      <c r="F59" s="43">
        <f t="shared" si="22"/>
        <v>8.7336244541484712E-3</v>
      </c>
      <c r="G59" s="43">
        <f t="shared" si="22"/>
        <v>0</v>
      </c>
      <c r="H59" s="43">
        <f t="shared" si="22"/>
        <v>0</v>
      </c>
      <c r="I59" s="43">
        <f t="shared" si="22"/>
        <v>1.6496846191169336E-2</v>
      </c>
      <c r="J59" s="43">
        <f t="shared" si="22"/>
        <v>1.0674429888403688E-2</v>
      </c>
      <c r="K59" s="43">
        <f t="shared" si="22"/>
        <v>4.8520135856380397E-4</v>
      </c>
      <c r="L59" s="43">
        <f t="shared" si="22"/>
        <v>5.3372149442018442E-3</v>
      </c>
      <c r="M59" s="43">
        <f t="shared" si="22"/>
        <v>0.8083454633672974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0.65316455696202536</v>
      </c>
      <c r="D60" s="44">
        <f t="shared" ref="D60:N60" si="23">D58/$O$58</f>
        <v>3.7974683544303799E-2</v>
      </c>
      <c r="E60" s="44">
        <f t="shared" si="23"/>
        <v>9.1139240506329114E-2</v>
      </c>
      <c r="F60" s="44">
        <f t="shared" si="23"/>
        <v>4.5569620253164557E-2</v>
      </c>
      <c r="G60" s="44">
        <f t="shared" si="23"/>
        <v>0</v>
      </c>
      <c r="H60" s="44">
        <f t="shared" si="23"/>
        <v>0</v>
      </c>
      <c r="I60" s="44">
        <f t="shared" si="23"/>
        <v>8.6075949367088608E-2</v>
      </c>
      <c r="J60" s="44">
        <f t="shared" si="23"/>
        <v>5.5696202531645568E-2</v>
      </c>
      <c r="K60" s="44">
        <f t="shared" si="23"/>
        <v>2.5316455696202532E-3</v>
      </c>
      <c r="L60" s="44">
        <f t="shared" si="23"/>
        <v>2.7848101265822784E-2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HOIMA-KYENJOJO'!C3:G3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'27.10 KYENJOJO-HOIMA'!D5</f>
        <v>27.10.19</v>
      </c>
      <c r="E5" s="3"/>
      <c r="F5" s="41" t="s">
        <v>1</v>
      </c>
      <c r="G5" s="63" t="str">
        <f>'25.10 KYENJOJO-HOIMA'!G5:H5</f>
        <v>KYENJOJO</v>
      </c>
      <c r="H5" s="64"/>
      <c r="I5" s="14"/>
      <c r="J5" s="2" t="s">
        <v>5</v>
      </c>
      <c r="K5" s="63" t="str">
        <f>'25.10 KYENJOJO-HOIMA'!K5:L5</f>
        <v>OLOYA FELIX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HOIMA-KYENJOJO'!D6:E6</f>
        <v>HOIMA</v>
      </c>
      <c r="E6" s="64"/>
      <c r="F6" s="2" t="s">
        <v>2</v>
      </c>
      <c r="G6" s="63" t="str">
        <f>'25.10 HOIMA-KYENJOJO'!G6:H6</f>
        <v>KYENJOJO</v>
      </c>
      <c r="H6" s="64"/>
      <c r="J6" s="2" t="s">
        <v>21</v>
      </c>
      <c r="K6" s="63" t="str">
        <f>'25.10 KYENJOJO-HOIMA'!K6:L6</f>
        <v>FELIX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5</v>
      </c>
      <c r="T10" s="17">
        <f t="shared" si="2"/>
        <v>0</v>
      </c>
      <c r="U10" s="17">
        <f t="shared" si="2"/>
        <v>0</v>
      </c>
      <c r="V10" s="17">
        <f t="shared" si="2"/>
        <v>1</v>
      </c>
      <c r="W10" s="17">
        <f t="shared" si="2"/>
        <v>1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64</v>
      </c>
      <c r="AD10" s="17">
        <f t="shared" si="2"/>
        <v>0</v>
      </c>
      <c r="AE10" s="31">
        <f t="shared" si="2"/>
        <v>7</v>
      </c>
      <c r="AF10" s="31">
        <f t="shared" si="2"/>
        <v>71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18</v>
      </c>
      <c r="N11" s="50">
        <v>0</v>
      </c>
      <c r="O11" s="15">
        <f t="shared" si="0"/>
        <v>1</v>
      </c>
      <c r="P11" s="15">
        <f t="shared" si="1"/>
        <v>19</v>
      </c>
      <c r="R11" s="1" t="s">
        <v>7</v>
      </c>
      <c r="S11" s="17">
        <f t="shared" ref="S11:AF11" si="3">SUM(C14:C17)</f>
        <v>17</v>
      </c>
      <c r="T11" s="17">
        <f t="shared" si="3"/>
        <v>0</v>
      </c>
      <c r="U11" s="17">
        <f t="shared" si="3"/>
        <v>1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105</v>
      </c>
      <c r="AD11" s="17">
        <f t="shared" si="3"/>
        <v>0</v>
      </c>
      <c r="AE11" s="31">
        <f t="shared" si="3"/>
        <v>27</v>
      </c>
      <c r="AF11" s="31">
        <f t="shared" si="3"/>
        <v>132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0</v>
      </c>
      <c r="F12" s="50">
        <v>0</v>
      </c>
      <c r="G12" s="50">
        <v>1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13</v>
      </c>
      <c r="N12" s="50">
        <v>0</v>
      </c>
      <c r="O12" s="15">
        <f t="shared" si="0"/>
        <v>4</v>
      </c>
      <c r="P12" s="15">
        <f t="shared" si="1"/>
        <v>17</v>
      </c>
      <c r="R12" s="1" t="s">
        <v>8</v>
      </c>
      <c r="S12" s="17">
        <f t="shared" ref="S12:AF12" si="4">SUM(C18:C21)</f>
        <v>19</v>
      </c>
      <c r="T12" s="17">
        <f t="shared" si="4"/>
        <v>0</v>
      </c>
      <c r="U12" s="17">
        <f t="shared" si="4"/>
        <v>2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134</v>
      </c>
      <c r="AD12" s="17">
        <f t="shared" si="4"/>
        <v>0</v>
      </c>
      <c r="AE12" s="31">
        <f t="shared" si="4"/>
        <v>23</v>
      </c>
      <c r="AF12" s="31">
        <f t="shared" si="4"/>
        <v>157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26</v>
      </c>
      <c r="N13" s="50">
        <v>0</v>
      </c>
      <c r="O13" s="15">
        <f t="shared" si="0"/>
        <v>2</v>
      </c>
      <c r="P13" s="15">
        <f t="shared" si="1"/>
        <v>28</v>
      </c>
      <c r="R13" s="1" t="s">
        <v>9</v>
      </c>
      <c r="S13" s="17">
        <f t="shared" ref="S13:AF13" si="5">SUM(C22:C25)</f>
        <v>26</v>
      </c>
      <c r="T13" s="17">
        <f t="shared" si="5"/>
        <v>2</v>
      </c>
      <c r="U13" s="17">
        <f t="shared" si="5"/>
        <v>2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3</v>
      </c>
      <c r="AA13" s="17">
        <f t="shared" si="5"/>
        <v>0</v>
      </c>
      <c r="AB13" s="17">
        <f t="shared" si="5"/>
        <v>1</v>
      </c>
      <c r="AC13" s="17">
        <f t="shared" si="5"/>
        <v>155</v>
      </c>
      <c r="AD13" s="17">
        <f t="shared" si="5"/>
        <v>1</v>
      </c>
      <c r="AE13" s="31">
        <f t="shared" si="5"/>
        <v>41</v>
      </c>
      <c r="AF13" s="31">
        <f t="shared" si="5"/>
        <v>196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19</v>
      </c>
      <c r="N14" s="50">
        <v>0</v>
      </c>
      <c r="O14" s="15">
        <f t="shared" si="0"/>
        <v>3</v>
      </c>
      <c r="P14" s="15">
        <f t="shared" si="1"/>
        <v>22</v>
      </c>
      <c r="R14" s="1" t="s">
        <v>10</v>
      </c>
      <c r="S14" s="17">
        <f t="shared" ref="S14:AF14" si="6">SUM(C26:C29)</f>
        <v>28</v>
      </c>
      <c r="T14" s="17">
        <f t="shared" si="6"/>
        <v>2</v>
      </c>
      <c r="U14" s="17">
        <f t="shared" si="6"/>
        <v>3</v>
      </c>
      <c r="V14" s="17">
        <f t="shared" si="6"/>
        <v>1</v>
      </c>
      <c r="W14" s="17">
        <f t="shared" si="6"/>
        <v>0</v>
      </c>
      <c r="X14" s="17">
        <f t="shared" si="6"/>
        <v>1</v>
      </c>
      <c r="Y14" s="17">
        <f t="shared" si="6"/>
        <v>4</v>
      </c>
      <c r="Z14" s="17">
        <f t="shared" si="6"/>
        <v>5</v>
      </c>
      <c r="AA14" s="17">
        <f t="shared" si="6"/>
        <v>1</v>
      </c>
      <c r="AB14" s="17">
        <f t="shared" si="6"/>
        <v>0</v>
      </c>
      <c r="AC14" s="17">
        <f t="shared" si="6"/>
        <v>204</v>
      </c>
      <c r="AD14" s="17">
        <f t="shared" si="6"/>
        <v>1</v>
      </c>
      <c r="AE14" s="31">
        <f t="shared" si="6"/>
        <v>46</v>
      </c>
      <c r="AF14" s="31">
        <f t="shared" si="6"/>
        <v>250</v>
      </c>
    </row>
    <row r="15" spans="2:32" ht="23.1" customHeight="1" x14ac:dyDescent="0.25">
      <c r="B15" s="23" t="s">
        <v>42</v>
      </c>
      <c r="C15" s="50">
        <v>5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1</v>
      </c>
      <c r="J15" s="50">
        <v>2</v>
      </c>
      <c r="K15" s="50">
        <v>0</v>
      </c>
      <c r="L15" s="50">
        <v>0</v>
      </c>
      <c r="M15" s="50">
        <v>25</v>
      </c>
      <c r="N15" s="50">
        <v>0</v>
      </c>
      <c r="O15" s="15">
        <f t="shared" si="0"/>
        <v>9</v>
      </c>
      <c r="P15" s="15">
        <f t="shared" si="1"/>
        <v>34</v>
      </c>
      <c r="R15" s="1" t="s">
        <v>11</v>
      </c>
      <c r="S15" s="17">
        <f t="shared" ref="S15:AF15" si="7">SUM(C30:C33)</f>
        <v>19</v>
      </c>
      <c r="T15" s="17">
        <f t="shared" si="7"/>
        <v>1</v>
      </c>
      <c r="U15" s="17">
        <f t="shared" si="7"/>
        <v>5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3</v>
      </c>
      <c r="AA15" s="17">
        <f t="shared" si="7"/>
        <v>4</v>
      </c>
      <c r="AB15" s="17">
        <f t="shared" si="7"/>
        <v>0</v>
      </c>
      <c r="AC15" s="17">
        <f t="shared" si="7"/>
        <v>159</v>
      </c>
      <c r="AD15" s="17">
        <f t="shared" si="7"/>
        <v>0</v>
      </c>
      <c r="AE15" s="31">
        <f t="shared" si="7"/>
        <v>37</v>
      </c>
      <c r="AF15" s="31">
        <f t="shared" si="7"/>
        <v>196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30</v>
      </c>
      <c r="N16" s="50">
        <v>0</v>
      </c>
      <c r="O16" s="15">
        <f t="shared" si="0"/>
        <v>6</v>
      </c>
      <c r="P16" s="15">
        <f t="shared" si="1"/>
        <v>36</v>
      </c>
      <c r="R16" s="1" t="s">
        <v>12</v>
      </c>
      <c r="S16" s="17">
        <f t="shared" ref="S16:AF16" si="8">SUM(C34:C37)</f>
        <v>25</v>
      </c>
      <c r="T16" s="17">
        <f t="shared" si="8"/>
        <v>6</v>
      </c>
      <c r="U16" s="17">
        <f t="shared" si="8"/>
        <v>6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6</v>
      </c>
      <c r="AA16" s="17">
        <f t="shared" si="8"/>
        <v>0</v>
      </c>
      <c r="AB16" s="17">
        <f t="shared" si="8"/>
        <v>0</v>
      </c>
      <c r="AC16" s="17">
        <f t="shared" si="8"/>
        <v>153</v>
      </c>
      <c r="AD16" s="17">
        <f t="shared" si="8"/>
        <v>0</v>
      </c>
      <c r="AE16" s="31">
        <f t="shared" si="8"/>
        <v>50</v>
      </c>
      <c r="AF16" s="31">
        <f t="shared" si="8"/>
        <v>203</v>
      </c>
    </row>
    <row r="17" spans="2:32" ht="23.1" customHeight="1" x14ac:dyDescent="0.25">
      <c r="B17" s="23" t="s">
        <v>44</v>
      </c>
      <c r="C17" s="50">
        <v>7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31</v>
      </c>
      <c r="N17" s="50">
        <v>0</v>
      </c>
      <c r="O17" s="15">
        <f t="shared" si="0"/>
        <v>9</v>
      </c>
      <c r="P17" s="15">
        <f t="shared" si="1"/>
        <v>40</v>
      </c>
      <c r="R17" s="1" t="s">
        <v>13</v>
      </c>
      <c r="S17" s="17">
        <f t="shared" ref="S17:AF17" si="9">SUM(C38:C41)</f>
        <v>21</v>
      </c>
      <c r="T17" s="17">
        <f t="shared" si="9"/>
        <v>1</v>
      </c>
      <c r="U17" s="17">
        <f t="shared" si="9"/>
        <v>2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2</v>
      </c>
      <c r="AA17" s="17">
        <f t="shared" si="9"/>
        <v>2</v>
      </c>
      <c r="AB17" s="17">
        <f t="shared" si="9"/>
        <v>0</v>
      </c>
      <c r="AC17" s="17">
        <f t="shared" si="9"/>
        <v>132</v>
      </c>
      <c r="AD17" s="17">
        <f t="shared" si="9"/>
        <v>0</v>
      </c>
      <c r="AE17" s="31">
        <f t="shared" si="9"/>
        <v>34</v>
      </c>
      <c r="AF17" s="31">
        <f t="shared" si="9"/>
        <v>166</v>
      </c>
    </row>
    <row r="18" spans="2:32" ht="23.1" customHeight="1" x14ac:dyDescent="0.25">
      <c r="B18" s="23" t="s">
        <v>45</v>
      </c>
      <c r="C18" s="50">
        <v>4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41</v>
      </c>
      <c r="N18" s="50">
        <v>0</v>
      </c>
      <c r="O18" s="15">
        <f t="shared" si="0"/>
        <v>5</v>
      </c>
      <c r="P18" s="15">
        <f t="shared" si="1"/>
        <v>46</v>
      </c>
      <c r="R18" s="1" t="s">
        <v>14</v>
      </c>
      <c r="S18" s="17">
        <f t="shared" ref="S18:AF18" si="10">SUM(C42:C45)</f>
        <v>27</v>
      </c>
      <c r="T18" s="17">
        <f t="shared" si="10"/>
        <v>1</v>
      </c>
      <c r="U18" s="17">
        <f t="shared" si="10"/>
        <v>3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2</v>
      </c>
      <c r="AA18" s="17">
        <f t="shared" si="10"/>
        <v>0</v>
      </c>
      <c r="AB18" s="17">
        <f t="shared" si="10"/>
        <v>1</v>
      </c>
      <c r="AC18" s="17">
        <f t="shared" si="10"/>
        <v>153</v>
      </c>
      <c r="AD18" s="17">
        <f t="shared" si="10"/>
        <v>0</v>
      </c>
      <c r="AE18" s="31">
        <f t="shared" si="10"/>
        <v>41</v>
      </c>
      <c r="AF18" s="31">
        <f t="shared" si="10"/>
        <v>194</v>
      </c>
    </row>
    <row r="19" spans="2:32" ht="23.1" customHeight="1" x14ac:dyDescent="0.25">
      <c r="B19" s="23" t="s">
        <v>46</v>
      </c>
      <c r="C19" s="50">
        <v>6</v>
      </c>
      <c r="D19" s="50">
        <v>0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31</v>
      </c>
      <c r="N19" s="50">
        <v>0</v>
      </c>
      <c r="O19" s="15">
        <f t="shared" si="0"/>
        <v>8</v>
      </c>
      <c r="P19" s="15">
        <f t="shared" si="1"/>
        <v>39</v>
      </c>
      <c r="R19" s="1" t="s">
        <v>15</v>
      </c>
      <c r="S19" s="17">
        <f t="shared" ref="S19:AF19" si="11">SUM(C46:C49)</f>
        <v>29</v>
      </c>
      <c r="T19" s="17">
        <f t="shared" si="11"/>
        <v>2</v>
      </c>
      <c r="U19" s="17">
        <f t="shared" si="11"/>
        <v>1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3</v>
      </c>
      <c r="AB19" s="17">
        <f t="shared" si="11"/>
        <v>0</v>
      </c>
      <c r="AC19" s="17">
        <f t="shared" si="11"/>
        <v>152</v>
      </c>
      <c r="AD19" s="17">
        <f t="shared" si="11"/>
        <v>0</v>
      </c>
      <c r="AE19" s="31">
        <f t="shared" si="11"/>
        <v>38</v>
      </c>
      <c r="AF19" s="31">
        <f t="shared" si="11"/>
        <v>190</v>
      </c>
    </row>
    <row r="20" spans="2:32" ht="23.1" customHeight="1" x14ac:dyDescent="0.25">
      <c r="B20" s="23" t="s">
        <v>47</v>
      </c>
      <c r="C20" s="50">
        <v>5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25</v>
      </c>
      <c r="N20" s="50">
        <v>0</v>
      </c>
      <c r="O20" s="15">
        <f t="shared" si="0"/>
        <v>5</v>
      </c>
      <c r="P20" s="15">
        <f t="shared" si="1"/>
        <v>30</v>
      </c>
      <c r="R20" s="1" t="s">
        <v>16</v>
      </c>
      <c r="S20" s="17">
        <f t="shared" ref="S20:AF20" si="12">SUM(C50:C53)</f>
        <v>14</v>
      </c>
      <c r="T20" s="17">
        <f t="shared" si="12"/>
        <v>3</v>
      </c>
      <c r="U20" s="17">
        <f t="shared" si="12"/>
        <v>3</v>
      </c>
      <c r="V20" s="17">
        <f t="shared" si="12"/>
        <v>1</v>
      </c>
      <c r="W20" s="17">
        <f t="shared" si="12"/>
        <v>0</v>
      </c>
      <c r="X20" s="17">
        <f t="shared" si="12"/>
        <v>1</v>
      </c>
      <c r="Y20" s="17">
        <f t="shared" si="12"/>
        <v>1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130</v>
      </c>
      <c r="AD20" s="17">
        <f t="shared" si="12"/>
        <v>0</v>
      </c>
      <c r="AE20" s="31">
        <f t="shared" si="12"/>
        <v>25</v>
      </c>
      <c r="AF20" s="31">
        <f t="shared" si="12"/>
        <v>155</v>
      </c>
    </row>
    <row r="21" spans="2:32" ht="23.1" customHeight="1" x14ac:dyDescent="0.25">
      <c r="B21" s="23" t="s">
        <v>48</v>
      </c>
      <c r="C21" s="50">
        <v>4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37</v>
      </c>
      <c r="N21" s="50">
        <v>0</v>
      </c>
      <c r="O21" s="15">
        <f t="shared" si="0"/>
        <v>5</v>
      </c>
      <c r="P21" s="15">
        <f t="shared" si="1"/>
        <v>42</v>
      </c>
      <c r="R21" s="36" t="s">
        <v>20</v>
      </c>
      <c r="S21" s="34">
        <f t="shared" ref="S21:AF21" si="13">SUM(C54:C57)</f>
        <v>14</v>
      </c>
      <c r="T21" s="17">
        <f t="shared" si="13"/>
        <v>2</v>
      </c>
      <c r="U21" s="17">
        <f t="shared" si="13"/>
        <v>2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4</v>
      </c>
      <c r="AA21" s="17">
        <f t="shared" si="13"/>
        <v>5</v>
      </c>
      <c r="AB21" s="17">
        <f t="shared" si="13"/>
        <v>0</v>
      </c>
      <c r="AC21" s="17">
        <f t="shared" si="13"/>
        <v>114</v>
      </c>
      <c r="AD21" s="17">
        <f t="shared" si="13"/>
        <v>0</v>
      </c>
      <c r="AE21" s="31">
        <f t="shared" si="13"/>
        <v>35</v>
      </c>
      <c r="AF21" s="31">
        <f t="shared" si="13"/>
        <v>149</v>
      </c>
    </row>
    <row r="22" spans="2:32" ht="23.1" customHeight="1" x14ac:dyDescent="0.25">
      <c r="B22" s="23" t="s">
        <v>49</v>
      </c>
      <c r="C22" s="50">
        <v>11</v>
      </c>
      <c r="D22" s="50">
        <v>2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37</v>
      </c>
      <c r="N22" s="50">
        <v>0</v>
      </c>
      <c r="O22" s="15">
        <f t="shared" si="0"/>
        <v>15</v>
      </c>
      <c r="P22" s="15">
        <f t="shared" si="1"/>
        <v>52</v>
      </c>
      <c r="R22" s="38" t="s">
        <v>90</v>
      </c>
      <c r="S22" s="39">
        <f>MAX(S10:S12)</f>
        <v>19</v>
      </c>
      <c r="T22" s="39">
        <f t="shared" ref="T22:AF22" si="14">MAX(T10:T12)</f>
        <v>0</v>
      </c>
      <c r="U22" s="39">
        <f t="shared" si="14"/>
        <v>2</v>
      </c>
      <c r="V22" s="39">
        <f t="shared" si="14"/>
        <v>1</v>
      </c>
      <c r="W22" s="39">
        <f t="shared" si="14"/>
        <v>1</v>
      </c>
      <c r="X22" s="39">
        <f t="shared" si="14"/>
        <v>0</v>
      </c>
      <c r="Y22" s="39">
        <f t="shared" si="14"/>
        <v>5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134</v>
      </c>
      <c r="AD22" s="39">
        <f t="shared" si="14"/>
        <v>0</v>
      </c>
      <c r="AE22" s="40">
        <f t="shared" si="14"/>
        <v>27</v>
      </c>
      <c r="AF22" s="40">
        <f t="shared" si="14"/>
        <v>157</v>
      </c>
    </row>
    <row r="23" spans="2:32" ht="23.1" customHeight="1" x14ac:dyDescent="0.25">
      <c r="B23" s="23" t="s">
        <v>50</v>
      </c>
      <c r="C23" s="50">
        <v>9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36</v>
      </c>
      <c r="N23" s="50">
        <v>0</v>
      </c>
      <c r="O23" s="15">
        <f t="shared" si="0"/>
        <v>12</v>
      </c>
      <c r="P23" s="15">
        <f t="shared" si="1"/>
        <v>48</v>
      </c>
      <c r="R23" s="38" t="s">
        <v>91</v>
      </c>
      <c r="S23" s="39">
        <f>MAX(S13:S18)</f>
        <v>28</v>
      </c>
      <c r="T23" s="39">
        <f t="shared" ref="T23:AF23" si="15">MAX(T13:T18)</f>
        <v>6</v>
      </c>
      <c r="U23" s="39">
        <f t="shared" si="15"/>
        <v>6</v>
      </c>
      <c r="V23" s="39">
        <f t="shared" si="15"/>
        <v>4</v>
      </c>
      <c r="W23" s="39">
        <f t="shared" si="15"/>
        <v>0</v>
      </c>
      <c r="X23" s="39">
        <f t="shared" si="15"/>
        <v>1</v>
      </c>
      <c r="Y23" s="39">
        <f t="shared" si="15"/>
        <v>4</v>
      </c>
      <c r="Z23" s="39">
        <f t="shared" si="15"/>
        <v>6</v>
      </c>
      <c r="AA23" s="39">
        <f t="shared" si="15"/>
        <v>4</v>
      </c>
      <c r="AB23" s="39">
        <f t="shared" si="15"/>
        <v>1</v>
      </c>
      <c r="AC23" s="39">
        <f t="shared" si="15"/>
        <v>204</v>
      </c>
      <c r="AD23" s="39">
        <f t="shared" si="15"/>
        <v>1</v>
      </c>
      <c r="AE23" s="40">
        <f t="shared" si="15"/>
        <v>50</v>
      </c>
      <c r="AF23" s="40">
        <f t="shared" si="15"/>
        <v>250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45</v>
      </c>
      <c r="N24" s="50">
        <v>1</v>
      </c>
      <c r="O24" s="15">
        <f t="shared" si="0"/>
        <v>4</v>
      </c>
      <c r="P24" s="15">
        <f t="shared" si="1"/>
        <v>49</v>
      </c>
      <c r="R24" s="38" t="s">
        <v>92</v>
      </c>
      <c r="S24" s="39">
        <f>MAX(S19:S21)</f>
        <v>29</v>
      </c>
      <c r="T24" s="39">
        <f t="shared" ref="T24:AF24" si="16">MAX(T19:T21)</f>
        <v>3</v>
      </c>
      <c r="U24" s="39">
        <f t="shared" si="16"/>
        <v>3</v>
      </c>
      <c r="V24" s="39">
        <f t="shared" si="16"/>
        <v>4</v>
      </c>
      <c r="W24" s="39">
        <f t="shared" si="16"/>
        <v>0</v>
      </c>
      <c r="X24" s="39">
        <f t="shared" si="16"/>
        <v>1</v>
      </c>
      <c r="Y24" s="39">
        <f t="shared" si="16"/>
        <v>4</v>
      </c>
      <c r="Z24" s="39">
        <f t="shared" si="16"/>
        <v>4</v>
      </c>
      <c r="AA24" s="39">
        <f t="shared" si="16"/>
        <v>5</v>
      </c>
      <c r="AB24" s="39">
        <f t="shared" si="16"/>
        <v>0</v>
      </c>
      <c r="AC24" s="39">
        <f t="shared" si="16"/>
        <v>152</v>
      </c>
      <c r="AD24" s="39">
        <f t="shared" si="16"/>
        <v>0</v>
      </c>
      <c r="AE24" s="40">
        <f t="shared" si="16"/>
        <v>38</v>
      </c>
      <c r="AF24" s="40">
        <f t="shared" si="16"/>
        <v>190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0</v>
      </c>
      <c r="F25" s="50">
        <v>2</v>
      </c>
      <c r="G25" s="50">
        <v>0</v>
      </c>
      <c r="H25" s="50">
        <v>0</v>
      </c>
      <c r="I25" s="50">
        <v>1</v>
      </c>
      <c r="J25" s="50">
        <v>2</v>
      </c>
      <c r="K25" s="50">
        <v>0</v>
      </c>
      <c r="L25" s="50">
        <v>1</v>
      </c>
      <c r="M25" s="50">
        <v>37</v>
      </c>
      <c r="N25" s="50">
        <v>0</v>
      </c>
      <c r="O25" s="15">
        <f t="shared" si="0"/>
        <v>10</v>
      </c>
      <c r="P25" s="15">
        <f t="shared" si="1"/>
        <v>47</v>
      </c>
      <c r="R25" s="37" t="s">
        <v>85</v>
      </c>
      <c r="S25" s="35">
        <f t="shared" ref="S25:AF25" si="17">SUM(S10:S12)</f>
        <v>41</v>
      </c>
      <c r="T25" s="16">
        <f t="shared" si="17"/>
        <v>0</v>
      </c>
      <c r="U25" s="16">
        <f t="shared" si="17"/>
        <v>3</v>
      </c>
      <c r="V25" s="16">
        <f t="shared" si="17"/>
        <v>3</v>
      </c>
      <c r="W25" s="16">
        <f t="shared" si="17"/>
        <v>1</v>
      </c>
      <c r="X25" s="16">
        <f t="shared" si="17"/>
        <v>0</v>
      </c>
      <c r="Y25" s="16">
        <f t="shared" si="17"/>
        <v>6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303</v>
      </c>
      <c r="AD25" s="16">
        <f t="shared" si="17"/>
        <v>0</v>
      </c>
      <c r="AE25" s="32">
        <f t="shared" si="17"/>
        <v>57</v>
      </c>
      <c r="AF25" s="32">
        <f t="shared" si="17"/>
        <v>360</v>
      </c>
    </row>
    <row r="26" spans="2:32" ht="23.1" customHeight="1" x14ac:dyDescent="0.25">
      <c r="B26" s="23" t="s">
        <v>53</v>
      </c>
      <c r="C26" s="50">
        <v>6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4</v>
      </c>
      <c r="K26" s="50">
        <v>1</v>
      </c>
      <c r="L26" s="50">
        <v>0</v>
      </c>
      <c r="M26" s="50">
        <v>62</v>
      </c>
      <c r="N26" s="50">
        <v>1</v>
      </c>
      <c r="O26" s="15">
        <f t="shared" si="0"/>
        <v>14</v>
      </c>
      <c r="P26" s="15">
        <f t="shared" si="1"/>
        <v>76</v>
      </c>
      <c r="R26" s="28" t="s">
        <v>86</v>
      </c>
      <c r="S26" s="16">
        <f t="shared" ref="S26:AF26" si="18">SUM(S13:S18)</f>
        <v>146</v>
      </c>
      <c r="T26" s="16">
        <f t="shared" si="18"/>
        <v>13</v>
      </c>
      <c r="U26" s="16">
        <f t="shared" si="18"/>
        <v>21</v>
      </c>
      <c r="V26" s="16">
        <f t="shared" si="18"/>
        <v>16</v>
      </c>
      <c r="W26" s="16">
        <f t="shared" si="18"/>
        <v>0</v>
      </c>
      <c r="X26" s="16">
        <f t="shared" si="18"/>
        <v>1</v>
      </c>
      <c r="Y26" s="16">
        <f t="shared" si="18"/>
        <v>20</v>
      </c>
      <c r="Z26" s="16">
        <f t="shared" si="18"/>
        <v>21</v>
      </c>
      <c r="AA26" s="16">
        <f t="shared" si="18"/>
        <v>7</v>
      </c>
      <c r="AB26" s="16">
        <f t="shared" si="18"/>
        <v>2</v>
      </c>
      <c r="AC26" s="16">
        <f t="shared" si="18"/>
        <v>956</v>
      </c>
      <c r="AD26" s="16">
        <f t="shared" si="18"/>
        <v>2</v>
      </c>
      <c r="AE26" s="32">
        <f t="shared" si="18"/>
        <v>249</v>
      </c>
      <c r="AF26" s="32">
        <f t="shared" si="18"/>
        <v>1205</v>
      </c>
    </row>
    <row r="27" spans="2:32" ht="23.1" customHeight="1" x14ac:dyDescent="0.25">
      <c r="B27" s="23" t="s">
        <v>54</v>
      </c>
      <c r="C27" s="50">
        <v>5</v>
      </c>
      <c r="D27" s="50">
        <v>1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50</v>
      </c>
      <c r="N27" s="50">
        <v>0</v>
      </c>
      <c r="O27" s="15">
        <f t="shared" si="0"/>
        <v>8</v>
      </c>
      <c r="P27" s="15">
        <f t="shared" si="1"/>
        <v>58</v>
      </c>
      <c r="R27" s="29" t="s">
        <v>87</v>
      </c>
      <c r="S27" s="16">
        <f t="shared" ref="S27:AF27" si="19">SUM(S19:S21)</f>
        <v>57</v>
      </c>
      <c r="T27" s="16">
        <f t="shared" si="19"/>
        <v>7</v>
      </c>
      <c r="U27" s="16">
        <f t="shared" si="19"/>
        <v>6</v>
      </c>
      <c r="V27" s="16">
        <f t="shared" si="19"/>
        <v>7</v>
      </c>
      <c r="W27" s="16">
        <f t="shared" si="19"/>
        <v>0</v>
      </c>
      <c r="X27" s="16">
        <f t="shared" si="19"/>
        <v>1</v>
      </c>
      <c r="Y27" s="16">
        <f t="shared" si="19"/>
        <v>6</v>
      </c>
      <c r="Z27" s="16">
        <f t="shared" si="19"/>
        <v>6</v>
      </c>
      <c r="AA27" s="16">
        <f t="shared" si="19"/>
        <v>8</v>
      </c>
      <c r="AB27" s="16">
        <f t="shared" si="19"/>
        <v>0</v>
      </c>
      <c r="AC27" s="16">
        <f t="shared" si="19"/>
        <v>396</v>
      </c>
      <c r="AD27" s="16">
        <f t="shared" si="19"/>
        <v>0</v>
      </c>
      <c r="AE27" s="32">
        <f t="shared" si="19"/>
        <v>98</v>
      </c>
      <c r="AF27" s="32">
        <f t="shared" si="19"/>
        <v>494</v>
      </c>
    </row>
    <row r="28" spans="2:32" ht="23.1" customHeight="1" x14ac:dyDescent="0.25">
      <c r="B28" s="23" t="s">
        <v>55</v>
      </c>
      <c r="C28" s="50">
        <v>13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51</v>
      </c>
      <c r="N28" s="50">
        <v>0</v>
      </c>
      <c r="O28" s="15">
        <f t="shared" si="0"/>
        <v>17</v>
      </c>
      <c r="P28" s="15">
        <f t="shared" si="1"/>
        <v>68</v>
      </c>
      <c r="R28" s="5" t="s">
        <v>17</v>
      </c>
      <c r="S28" s="16">
        <f t="shared" ref="S28:AF28" si="20">SUM(S10:S21)</f>
        <v>244</v>
      </c>
      <c r="T28" s="16">
        <f t="shared" si="20"/>
        <v>20</v>
      </c>
      <c r="U28" s="16">
        <f t="shared" si="20"/>
        <v>30</v>
      </c>
      <c r="V28" s="16">
        <f t="shared" si="20"/>
        <v>26</v>
      </c>
      <c r="W28" s="16">
        <f t="shared" si="20"/>
        <v>1</v>
      </c>
      <c r="X28" s="16">
        <f t="shared" si="20"/>
        <v>2</v>
      </c>
      <c r="Y28" s="16">
        <f t="shared" si="20"/>
        <v>32</v>
      </c>
      <c r="Z28" s="16">
        <f t="shared" si="20"/>
        <v>30</v>
      </c>
      <c r="AA28" s="16">
        <f t="shared" si="20"/>
        <v>15</v>
      </c>
      <c r="AB28" s="16">
        <f t="shared" si="20"/>
        <v>2</v>
      </c>
      <c r="AC28" s="16">
        <f t="shared" si="20"/>
        <v>1655</v>
      </c>
      <c r="AD28" s="16">
        <f t="shared" si="20"/>
        <v>2</v>
      </c>
      <c r="AE28" s="32">
        <f t="shared" si="20"/>
        <v>404</v>
      </c>
      <c r="AF28" s="32">
        <f t="shared" si="20"/>
        <v>2059</v>
      </c>
    </row>
    <row r="29" spans="2:32" ht="23.1" customHeight="1" x14ac:dyDescent="0.25">
      <c r="B29" s="23" t="s">
        <v>56</v>
      </c>
      <c r="C29" s="50">
        <v>4</v>
      </c>
      <c r="D29" s="50">
        <v>0</v>
      </c>
      <c r="E29" s="50">
        <v>2</v>
      </c>
      <c r="F29" s="50">
        <v>0</v>
      </c>
      <c r="G29" s="50">
        <v>0</v>
      </c>
      <c r="H29" s="50">
        <v>1</v>
      </c>
      <c r="I29" s="50">
        <v>0</v>
      </c>
      <c r="J29" s="50">
        <v>0</v>
      </c>
      <c r="K29" s="50">
        <v>0</v>
      </c>
      <c r="L29" s="50">
        <v>0</v>
      </c>
      <c r="M29" s="50">
        <v>41</v>
      </c>
      <c r="N29" s="50">
        <v>0</v>
      </c>
      <c r="O29" s="15">
        <f t="shared" si="0"/>
        <v>7</v>
      </c>
      <c r="P29" s="15">
        <f t="shared" si="1"/>
        <v>48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0</v>
      </c>
      <c r="E30" s="50">
        <v>2</v>
      </c>
      <c r="F30" s="50">
        <v>1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45</v>
      </c>
      <c r="N30" s="50">
        <v>0</v>
      </c>
      <c r="O30" s="15">
        <f t="shared" si="0"/>
        <v>10</v>
      </c>
      <c r="P30" s="15">
        <f t="shared" si="1"/>
        <v>55</v>
      </c>
    </row>
    <row r="31" spans="2:32" ht="23.1" customHeight="1" x14ac:dyDescent="0.25">
      <c r="B31" s="24" t="s">
        <v>58</v>
      </c>
      <c r="C31" s="50">
        <v>6</v>
      </c>
      <c r="D31" s="50">
        <v>0</v>
      </c>
      <c r="E31" s="50">
        <v>2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41</v>
      </c>
      <c r="N31" s="50">
        <v>0</v>
      </c>
      <c r="O31" s="15">
        <f t="shared" si="0"/>
        <v>9</v>
      </c>
      <c r="P31" s="15">
        <f t="shared" si="1"/>
        <v>50</v>
      </c>
    </row>
    <row r="32" spans="2:32" ht="23.1" customHeight="1" x14ac:dyDescent="0.25">
      <c r="B32" s="24" t="s">
        <v>59</v>
      </c>
      <c r="C32" s="50">
        <v>3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3</v>
      </c>
      <c r="L32" s="50">
        <v>0</v>
      </c>
      <c r="M32" s="50">
        <v>39</v>
      </c>
      <c r="N32" s="50">
        <v>0</v>
      </c>
      <c r="O32" s="15">
        <f t="shared" si="0"/>
        <v>8</v>
      </c>
      <c r="P32" s="15">
        <f t="shared" si="1"/>
        <v>47</v>
      </c>
    </row>
    <row r="33" spans="2:20" ht="23.1" customHeight="1" x14ac:dyDescent="0.25">
      <c r="B33" s="23" t="s">
        <v>60</v>
      </c>
      <c r="C33" s="50">
        <v>5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3</v>
      </c>
      <c r="K33" s="50">
        <v>1</v>
      </c>
      <c r="L33" s="50">
        <v>0</v>
      </c>
      <c r="M33" s="50">
        <v>34</v>
      </c>
      <c r="N33" s="50">
        <v>0</v>
      </c>
      <c r="O33" s="15">
        <f t="shared" si="0"/>
        <v>10</v>
      </c>
      <c r="P33" s="15">
        <f t="shared" si="1"/>
        <v>44</v>
      </c>
    </row>
    <row r="34" spans="2:20" ht="23.1" customHeight="1" x14ac:dyDescent="0.25">
      <c r="B34" s="24" t="s">
        <v>61</v>
      </c>
      <c r="C34" s="50">
        <v>4</v>
      </c>
      <c r="D34" s="50">
        <v>1</v>
      </c>
      <c r="E34" s="50">
        <v>3</v>
      </c>
      <c r="F34" s="50">
        <v>0</v>
      </c>
      <c r="G34" s="50">
        <v>0</v>
      </c>
      <c r="H34" s="50">
        <v>0</v>
      </c>
      <c r="I34" s="50">
        <v>0</v>
      </c>
      <c r="J34" s="50">
        <v>2</v>
      </c>
      <c r="K34" s="50">
        <v>0</v>
      </c>
      <c r="L34" s="50">
        <v>0</v>
      </c>
      <c r="M34" s="50">
        <v>31</v>
      </c>
      <c r="N34" s="50">
        <v>0</v>
      </c>
      <c r="O34" s="15">
        <f t="shared" si="0"/>
        <v>10</v>
      </c>
      <c r="P34" s="15">
        <f t="shared" si="1"/>
        <v>41</v>
      </c>
    </row>
    <row r="35" spans="2:20" ht="23.1" customHeight="1" x14ac:dyDescent="0.25">
      <c r="B35" s="24" t="s">
        <v>62</v>
      </c>
      <c r="C35" s="50">
        <v>5</v>
      </c>
      <c r="D35" s="50">
        <v>3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52</v>
      </c>
      <c r="N35" s="50">
        <v>0</v>
      </c>
      <c r="O35" s="15">
        <f t="shared" si="0"/>
        <v>11</v>
      </c>
      <c r="P35" s="15">
        <f t="shared" si="1"/>
        <v>63</v>
      </c>
    </row>
    <row r="36" spans="2:20" ht="23.1" customHeight="1" x14ac:dyDescent="0.25">
      <c r="B36" s="24" t="s">
        <v>63</v>
      </c>
      <c r="C36" s="50">
        <v>7</v>
      </c>
      <c r="D36" s="50">
        <v>2</v>
      </c>
      <c r="E36" s="50">
        <v>2</v>
      </c>
      <c r="F36" s="50">
        <v>1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29</v>
      </c>
      <c r="N36" s="50">
        <v>0</v>
      </c>
      <c r="O36" s="15">
        <f t="shared" si="0"/>
        <v>16</v>
      </c>
      <c r="P36" s="15">
        <f t="shared" si="1"/>
        <v>45</v>
      </c>
    </row>
    <row r="37" spans="2:20" ht="23.1" customHeight="1" x14ac:dyDescent="0.25">
      <c r="B37" s="23" t="s">
        <v>64</v>
      </c>
      <c r="C37" s="50">
        <v>9</v>
      </c>
      <c r="D37" s="50">
        <v>0</v>
      </c>
      <c r="E37" s="50">
        <v>0</v>
      </c>
      <c r="F37" s="50">
        <v>2</v>
      </c>
      <c r="G37" s="50">
        <v>0</v>
      </c>
      <c r="H37" s="50">
        <v>0</v>
      </c>
      <c r="I37" s="50">
        <v>0</v>
      </c>
      <c r="J37" s="50">
        <v>2</v>
      </c>
      <c r="K37" s="50">
        <v>0</v>
      </c>
      <c r="L37" s="50">
        <v>0</v>
      </c>
      <c r="M37" s="50">
        <v>41</v>
      </c>
      <c r="N37" s="50">
        <v>0</v>
      </c>
      <c r="O37" s="15">
        <f t="shared" si="0"/>
        <v>13</v>
      </c>
      <c r="P37" s="15">
        <f t="shared" si="1"/>
        <v>54</v>
      </c>
    </row>
    <row r="38" spans="2:20" ht="23.1" customHeight="1" x14ac:dyDescent="0.25">
      <c r="B38" s="24" t="s">
        <v>65</v>
      </c>
      <c r="C38" s="50">
        <v>6</v>
      </c>
      <c r="D38" s="50">
        <v>0</v>
      </c>
      <c r="E38" s="50">
        <v>1</v>
      </c>
      <c r="F38" s="50">
        <v>1</v>
      </c>
      <c r="G38" s="50">
        <v>0</v>
      </c>
      <c r="H38" s="50">
        <v>0</v>
      </c>
      <c r="I38" s="50">
        <v>0</v>
      </c>
      <c r="J38" s="50">
        <v>2</v>
      </c>
      <c r="K38" s="50">
        <v>0</v>
      </c>
      <c r="L38" s="50">
        <v>0</v>
      </c>
      <c r="M38" s="50">
        <v>38</v>
      </c>
      <c r="N38" s="50">
        <v>0</v>
      </c>
      <c r="O38" s="15">
        <f t="shared" si="0"/>
        <v>10</v>
      </c>
      <c r="P38" s="15">
        <f t="shared" si="1"/>
        <v>48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28</v>
      </c>
      <c r="N39" s="50">
        <v>0</v>
      </c>
      <c r="O39" s="15">
        <f t="shared" si="0"/>
        <v>6</v>
      </c>
      <c r="P39" s="15">
        <f t="shared" si="1"/>
        <v>34</v>
      </c>
    </row>
    <row r="40" spans="2:20" ht="23.1" customHeight="1" x14ac:dyDescent="0.25">
      <c r="B40" s="24" t="s">
        <v>67</v>
      </c>
      <c r="C40" s="50">
        <v>7</v>
      </c>
      <c r="D40" s="50">
        <v>1</v>
      </c>
      <c r="E40" s="50">
        <v>0</v>
      </c>
      <c r="F40" s="50">
        <v>1</v>
      </c>
      <c r="G40" s="50">
        <v>0</v>
      </c>
      <c r="H40" s="50">
        <v>0</v>
      </c>
      <c r="I40" s="50">
        <v>2</v>
      </c>
      <c r="J40" s="50">
        <v>0</v>
      </c>
      <c r="K40" s="50">
        <v>1</v>
      </c>
      <c r="L40" s="50">
        <v>0</v>
      </c>
      <c r="M40" s="50">
        <v>31</v>
      </c>
      <c r="N40" s="50">
        <v>0</v>
      </c>
      <c r="O40" s="15">
        <f t="shared" si="0"/>
        <v>12</v>
      </c>
      <c r="P40" s="15">
        <f t="shared" si="1"/>
        <v>43</v>
      </c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1</v>
      </c>
      <c r="L41" s="50">
        <v>0</v>
      </c>
      <c r="M41" s="50">
        <v>35</v>
      </c>
      <c r="N41" s="50">
        <v>0</v>
      </c>
      <c r="O41" s="15">
        <f t="shared" si="0"/>
        <v>6</v>
      </c>
      <c r="P41" s="15">
        <f t="shared" si="1"/>
        <v>41</v>
      </c>
    </row>
    <row r="42" spans="2:20" ht="23.1" customHeight="1" x14ac:dyDescent="0.25">
      <c r="B42" s="24" t="s">
        <v>69</v>
      </c>
      <c r="C42" s="50">
        <v>7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33</v>
      </c>
      <c r="N42" s="50">
        <v>0</v>
      </c>
      <c r="O42" s="15">
        <f t="shared" si="0"/>
        <v>9</v>
      </c>
      <c r="P42" s="15">
        <f t="shared" si="1"/>
        <v>42</v>
      </c>
    </row>
    <row r="43" spans="2:20" ht="23.1" customHeight="1" x14ac:dyDescent="0.25">
      <c r="B43" s="23" t="s">
        <v>70</v>
      </c>
      <c r="C43" s="50">
        <v>7</v>
      </c>
      <c r="D43" s="50">
        <v>0</v>
      </c>
      <c r="E43" s="50">
        <v>2</v>
      </c>
      <c r="F43" s="50">
        <v>1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1</v>
      </c>
      <c r="M43" s="50">
        <v>46</v>
      </c>
      <c r="N43" s="50">
        <v>0</v>
      </c>
      <c r="O43" s="15">
        <f t="shared" si="0"/>
        <v>14</v>
      </c>
      <c r="P43" s="15">
        <f t="shared" si="1"/>
        <v>60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25</v>
      </c>
      <c r="N44" s="50">
        <v>0</v>
      </c>
      <c r="O44" s="15">
        <f t="shared" si="0"/>
        <v>4</v>
      </c>
      <c r="P44" s="15">
        <f t="shared" si="1"/>
        <v>29</v>
      </c>
    </row>
    <row r="45" spans="2:20" ht="23.1" customHeight="1" x14ac:dyDescent="0.25">
      <c r="B45" s="23" t="s">
        <v>72</v>
      </c>
      <c r="C45" s="50">
        <v>10</v>
      </c>
      <c r="D45" s="50">
        <v>1</v>
      </c>
      <c r="E45" s="50">
        <v>1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49</v>
      </c>
      <c r="N45" s="50">
        <v>0</v>
      </c>
      <c r="O45" s="15">
        <f t="shared" si="0"/>
        <v>14</v>
      </c>
      <c r="P45" s="15">
        <f t="shared" si="1"/>
        <v>63</v>
      </c>
    </row>
    <row r="46" spans="2:20" ht="23.1" customHeight="1" x14ac:dyDescent="0.25">
      <c r="B46" s="24" t="s">
        <v>73</v>
      </c>
      <c r="C46" s="50">
        <v>14</v>
      </c>
      <c r="D46" s="50">
        <v>1</v>
      </c>
      <c r="E46" s="50">
        <v>1</v>
      </c>
      <c r="F46" s="50">
        <v>2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35</v>
      </c>
      <c r="N46" s="50">
        <v>0</v>
      </c>
      <c r="O46" s="15">
        <f t="shared" si="0"/>
        <v>18</v>
      </c>
      <c r="P46" s="15">
        <f t="shared" si="1"/>
        <v>53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2</v>
      </c>
      <c r="L47" s="50">
        <v>0</v>
      </c>
      <c r="M47" s="50">
        <v>45</v>
      </c>
      <c r="N47" s="50">
        <v>0</v>
      </c>
      <c r="O47" s="15">
        <f t="shared" si="0"/>
        <v>7</v>
      </c>
      <c r="P47" s="15">
        <f t="shared" si="1"/>
        <v>52</v>
      </c>
      <c r="R47" s="8"/>
      <c r="T47"/>
    </row>
    <row r="48" spans="2:20" ht="23.1" customHeight="1" x14ac:dyDescent="0.25">
      <c r="B48" s="24" t="s">
        <v>75</v>
      </c>
      <c r="C48" s="50">
        <v>7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1</v>
      </c>
      <c r="L48" s="50">
        <v>0</v>
      </c>
      <c r="M48" s="50">
        <v>42</v>
      </c>
      <c r="N48" s="50">
        <v>0</v>
      </c>
      <c r="O48" s="15">
        <f t="shared" si="0"/>
        <v>9</v>
      </c>
      <c r="P48" s="15">
        <f t="shared" si="1"/>
        <v>51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1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30</v>
      </c>
      <c r="N49" s="50">
        <v>0</v>
      </c>
      <c r="O49" s="15">
        <f t="shared" si="0"/>
        <v>4</v>
      </c>
      <c r="P49" s="15">
        <f t="shared" si="1"/>
        <v>34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1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30</v>
      </c>
      <c r="N50" s="50">
        <v>0</v>
      </c>
      <c r="O50" s="15">
        <f t="shared" si="0"/>
        <v>5</v>
      </c>
      <c r="P50" s="15">
        <f t="shared" si="1"/>
        <v>35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1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38</v>
      </c>
      <c r="N51" s="50">
        <v>0</v>
      </c>
      <c r="O51" s="15">
        <f t="shared" si="0"/>
        <v>9</v>
      </c>
      <c r="P51" s="15">
        <f t="shared" si="1"/>
        <v>47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2</v>
      </c>
      <c r="F52" s="50">
        <v>0</v>
      </c>
      <c r="G52" s="50">
        <v>0</v>
      </c>
      <c r="H52" s="50">
        <v>1</v>
      </c>
      <c r="I52" s="50">
        <v>0</v>
      </c>
      <c r="J52" s="50">
        <v>1</v>
      </c>
      <c r="K52" s="50">
        <v>0</v>
      </c>
      <c r="L52" s="50">
        <v>0</v>
      </c>
      <c r="M52" s="50">
        <v>28</v>
      </c>
      <c r="N52" s="50">
        <v>0</v>
      </c>
      <c r="O52" s="15">
        <f t="shared" si="0"/>
        <v>6</v>
      </c>
      <c r="P52" s="15">
        <f t="shared" si="1"/>
        <v>34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1</v>
      </c>
      <c r="E53" s="50">
        <v>1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34</v>
      </c>
      <c r="N53" s="50">
        <v>0</v>
      </c>
      <c r="O53" s="15">
        <f t="shared" si="0"/>
        <v>5</v>
      </c>
      <c r="P53" s="15">
        <f t="shared" si="1"/>
        <v>39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0</v>
      </c>
      <c r="F54" s="50">
        <v>3</v>
      </c>
      <c r="G54" s="50">
        <v>0</v>
      </c>
      <c r="H54" s="50">
        <v>0</v>
      </c>
      <c r="I54" s="50">
        <v>0</v>
      </c>
      <c r="J54" s="50">
        <v>2</v>
      </c>
      <c r="K54" s="50">
        <v>0</v>
      </c>
      <c r="L54" s="50">
        <v>0</v>
      </c>
      <c r="M54" s="50">
        <v>34</v>
      </c>
      <c r="N54" s="50">
        <v>0</v>
      </c>
      <c r="O54" s="15">
        <f t="shared" si="0"/>
        <v>8</v>
      </c>
      <c r="P54" s="15">
        <f t="shared" si="1"/>
        <v>42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1</v>
      </c>
      <c r="J55" s="50">
        <v>1</v>
      </c>
      <c r="K55" s="50">
        <v>1</v>
      </c>
      <c r="L55" s="50">
        <v>0</v>
      </c>
      <c r="M55" s="50">
        <v>32</v>
      </c>
      <c r="N55" s="50">
        <v>0</v>
      </c>
      <c r="O55" s="15">
        <f t="shared" si="0"/>
        <v>7</v>
      </c>
      <c r="P55" s="15">
        <f t="shared" si="1"/>
        <v>39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2</v>
      </c>
      <c r="E56" s="50">
        <v>1</v>
      </c>
      <c r="F56" s="50">
        <v>1</v>
      </c>
      <c r="G56" s="50">
        <v>0</v>
      </c>
      <c r="H56" s="50">
        <v>0</v>
      </c>
      <c r="I56" s="50">
        <v>3</v>
      </c>
      <c r="J56" s="50">
        <v>1</v>
      </c>
      <c r="K56" s="50">
        <v>2</v>
      </c>
      <c r="L56" s="50">
        <v>0</v>
      </c>
      <c r="M56" s="50">
        <v>33</v>
      </c>
      <c r="N56" s="50">
        <v>0</v>
      </c>
      <c r="O56" s="15">
        <f t="shared" si="0"/>
        <v>17</v>
      </c>
      <c r="P56" s="15">
        <f t="shared" si="1"/>
        <v>50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2</v>
      </c>
      <c r="L57" s="50">
        <v>0</v>
      </c>
      <c r="M57" s="50">
        <v>15</v>
      </c>
      <c r="N57" s="50">
        <v>0</v>
      </c>
      <c r="O57" s="15">
        <f t="shared" si="0"/>
        <v>3</v>
      </c>
      <c r="P57" s="15">
        <f t="shared" si="1"/>
        <v>18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244</v>
      </c>
      <c r="D58" s="16">
        <f t="shared" si="21"/>
        <v>20</v>
      </c>
      <c r="E58" s="16">
        <f t="shared" si="21"/>
        <v>30</v>
      </c>
      <c r="F58" s="16">
        <f t="shared" si="21"/>
        <v>26</v>
      </c>
      <c r="G58" s="16">
        <f t="shared" si="21"/>
        <v>1</v>
      </c>
      <c r="H58" s="16">
        <f t="shared" si="21"/>
        <v>2</v>
      </c>
      <c r="I58" s="16">
        <f t="shared" si="21"/>
        <v>32</v>
      </c>
      <c r="J58" s="16">
        <f t="shared" si="21"/>
        <v>30</v>
      </c>
      <c r="K58" s="16">
        <f t="shared" si="21"/>
        <v>15</v>
      </c>
      <c r="L58" s="16">
        <f t="shared" si="21"/>
        <v>2</v>
      </c>
      <c r="M58" s="16">
        <f t="shared" si="21"/>
        <v>1655</v>
      </c>
      <c r="N58" s="16">
        <f t="shared" si="21"/>
        <v>2</v>
      </c>
      <c r="O58" s="16">
        <f t="shared" si="21"/>
        <v>404</v>
      </c>
      <c r="P58" s="16">
        <f t="shared" si="21"/>
        <v>2059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0.11850412821758136</v>
      </c>
      <c r="D59" s="43">
        <f t="shared" si="22"/>
        <v>9.7134531325886349E-3</v>
      </c>
      <c r="E59" s="43">
        <f t="shared" si="22"/>
        <v>1.4570179698882952E-2</v>
      </c>
      <c r="F59" s="43">
        <f t="shared" si="22"/>
        <v>1.2627489072365225E-2</v>
      </c>
      <c r="G59" s="43">
        <f t="shared" si="22"/>
        <v>4.8567265662943174E-4</v>
      </c>
      <c r="H59" s="43">
        <f t="shared" si="22"/>
        <v>9.7134531325886349E-4</v>
      </c>
      <c r="I59" s="43">
        <f t="shared" si="22"/>
        <v>1.5541525012141816E-2</v>
      </c>
      <c r="J59" s="43">
        <f t="shared" si="22"/>
        <v>1.4570179698882952E-2</v>
      </c>
      <c r="K59" s="43">
        <f t="shared" si="22"/>
        <v>7.2850898494414762E-3</v>
      </c>
      <c r="L59" s="43">
        <f t="shared" si="22"/>
        <v>9.7134531325886349E-4</v>
      </c>
      <c r="M59" s="43">
        <f t="shared" si="22"/>
        <v>0.80378824672170957</v>
      </c>
      <c r="N59" s="43">
        <f t="shared" si="22"/>
        <v>9.7134531325886349E-4</v>
      </c>
      <c r="R59" s="8"/>
      <c r="T59"/>
    </row>
    <row r="60" spans="2:20" ht="23.1" customHeight="1" x14ac:dyDescent="0.25">
      <c r="B60" s="42" t="s">
        <v>94</v>
      </c>
      <c r="C60" s="44">
        <f>C58/$O$58</f>
        <v>0.60396039603960394</v>
      </c>
      <c r="D60" s="44">
        <f t="shared" ref="D60:N60" si="23">D58/$O$58</f>
        <v>4.9504950495049507E-2</v>
      </c>
      <c r="E60" s="44">
        <f t="shared" si="23"/>
        <v>7.4257425742574254E-2</v>
      </c>
      <c r="F60" s="44">
        <f t="shared" si="23"/>
        <v>6.4356435643564358E-2</v>
      </c>
      <c r="G60" s="44">
        <f t="shared" si="23"/>
        <v>2.4752475247524753E-3</v>
      </c>
      <c r="H60" s="44">
        <f t="shared" si="23"/>
        <v>4.9504950495049506E-3</v>
      </c>
      <c r="I60" s="44">
        <f t="shared" si="23"/>
        <v>7.9207920792079209E-2</v>
      </c>
      <c r="J60" s="44">
        <f t="shared" si="23"/>
        <v>7.4257425742574254E-2</v>
      </c>
      <c r="K60" s="44">
        <f t="shared" si="23"/>
        <v>3.7128712871287127E-2</v>
      </c>
      <c r="L60" s="44">
        <f t="shared" si="23"/>
        <v>4.9504950495049506E-3</v>
      </c>
      <c r="M60" s="44"/>
      <c r="N60" s="44">
        <f t="shared" si="23"/>
        <v>4.9504950495049506E-3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43" zoomScale="60" workbookViewId="0">
      <selection activeCell="M104" sqref="M10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KYENJOJO-HOIMA'!C3:G3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63" t="str">
        <f>'26.10 HOIMA-KYENJOJO-24h'!G5:H5</f>
        <v>KYENJOJO</v>
      </c>
      <c r="H5" s="64"/>
      <c r="I5" s="14"/>
      <c r="J5" s="2" t="s">
        <v>5</v>
      </c>
      <c r="K5" s="63" t="str">
        <f>'26.10 HOIMA-KYENJOJO-24h'!K5:L5</f>
        <v>STEVEN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KYENJOJO-HOIMA'!D6:E6</f>
        <v>KYENJOJO</v>
      </c>
      <c r="E6" s="64"/>
      <c r="F6" s="2" t="s">
        <v>2</v>
      </c>
      <c r="G6" s="63" t="str">
        <f>'25.10 KYENJOJO-HOIMA'!G6:H6</f>
        <v>HOIMA</v>
      </c>
      <c r="H6" s="64"/>
      <c r="J6" s="2" t="s">
        <v>21</v>
      </c>
      <c r="K6" s="63" t="str">
        <f>'26.10 HOIMA-KYENJOJO-24h'!K6:L6</f>
        <v>FELIX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0</v>
      </c>
      <c r="R10" s="1" t="s">
        <v>6</v>
      </c>
      <c r="S10" s="17">
        <f t="shared" ref="S10:AF10" si="2">SUM(C10:C13)</f>
        <v>7</v>
      </c>
      <c r="T10" s="17">
        <f t="shared" si="2"/>
        <v>2</v>
      </c>
      <c r="U10" s="17">
        <f t="shared" si="2"/>
        <v>1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2</v>
      </c>
      <c r="AA10" s="17">
        <f t="shared" si="2"/>
        <v>0</v>
      </c>
      <c r="AB10" s="17">
        <f t="shared" si="2"/>
        <v>2</v>
      </c>
      <c r="AC10" s="17">
        <f t="shared" si="2"/>
        <v>77</v>
      </c>
      <c r="AD10" s="17">
        <f t="shared" si="2"/>
        <v>0</v>
      </c>
      <c r="AE10" s="31">
        <f t="shared" si="2"/>
        <v>18</v>
      </c>
      <c r="AF10" s="31">
        <f t="shared" si="2"/>
        <v>95</v>
      </c>
    </row>
    <row r="11" spans="2:32" s="6" customFormat="1" ht="23.1" customHeight="1" x14ac:dyDescent="0.25">
      <c r="B11" s="45" t="s">
        <v>38</v>
      </c>
      <c r="C11" s="50">
        <v>1</v>
      </c>
      <c r="D11" s="50">
        <v>1</v>
      </c>
      <c r="E11" s="50">
        <v>0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</v>
      </c>
      <c r="M11" s="50">
        <v>27</v>
      </c>
      <c r="N11" s="50">
        <v>0</v>
      </c>
      <c r="O11" s="15">
        <f t="shared" si="0"/>
        <v>5</v>
      </c>
      <c r="P11" s="15">
        <f t="shared" si="1"/>
        <v>32</v>
      </c>
      <c r="R11" s="1" t="s">
        <v>7</v>
      </c>
      <c r="S11" s="17">
        <f t="shared" ref="S11:AF11" si="3">SUM(C14:C17)</f>
        <v>25</v>
      </c>
      <c r="T11" s="17">
        <f t="shared" si="3"/>
        <v>3</v>
      </c>
      <c r="U11" s="17">
        <f t="shared" si="3"/>
        <v>1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118</v>
      </c>
      <c r="AD11" s="17">
        <f t="shared" si="3"/>
        <v>0</v>
      </c>
      <c r="AE11" s="31">
        <f t="shared" si="3"/>
        <v>38</v>
      </c>
      <c r="AF11" s="31">
        <f t="shared" si="3"/>
        <v>156</v>
      </c>
    </row>
    <row r="12" spans="2:32" ht="23.1" customHeight="1" x14ac:dyDescent="0.25">
      <c r="B12" s="45" t="s">
        <v>39</v>
      </c>
      <c r="C12" s="50">
        <v>3</v>
      </c>
      <c r="D12" s="50">
        <v>1</v>
      </c>
      <c r="E12" s="50">
        <v>0</v>
      </c>
      <c r="F12" s="50">
        <v>1</v>
      </c>
      <c r="G12" s="50">
        <v>0</v>
      </c>
      <c r="H12" s="50">
        <v>0</v>
      </c>
      <c r="I12" s="50">
        <v>1</v>
      </c>
      <c r="J12" s="50">
        <v>2</v>
      </c>
      <c r="K12" s="50">
        <v>0</v>
      </c>
      <c r="L12" s="50">
        <v>1</v>
      </c>
      <c r="M12" s="50">
        <v>34</v>
      </c>
      <c r="N12" s="50">
        <v>0</v>
      </c>
      <c r="O12" s="15">
        <f t="shared" si="0"/>
        <v>9</v>
      </c>
      <c r="P12" s="15">
        <f t="shared" si="1"/>
        <v>43</v>
      </c>
      <c r="R12" s="1" t="s">
        <v>8</v>
      </c>
      <c r="S12" s="17">
        <f t="shared" ref="S12:AF12" si="4">SUM(C18:C21)</f>
        <v>28</v>
      </c>
      <c r="T12" s="17">
        <f t="shared" si="4"/>
        <v>0</v>
      </c>
      <c r="U12" s="17">
        <f t="shared" si="4"/>
        <v>2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94</v>
      </c>
      <c r="AD12" s="17">
        <f t="shared" si="4"/>
        <v>0</v>
      </c>
      <c r="AE12" s="31">
        <f t="shared" si="4"/>
        <v>41</v>
      </c>
      <c r="AF12" s="31">
        <f t="shared" si="4"/>
        <v>135</v>
      </c>
    </row>
    <row r="13" spans="2:32" ht="23.1" customHeight="1" x14ac:dyDescent="0.25">
      <c r="B13" s="45" t="s">
        <v>40</v>
      </c>
      <c r="C13" s="50">
        <v>3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16</v>
      </c>
      <c r="N13" s="50">
        <v>0</v>
      </c>
      <c r="O13" s="15">
        <f t="shared" si="0"/>
        <v>4</v>
      </c>
      <c r="P13" s="15">
        <f t="shared" si="1"/>
        <v>20</v>
      </c>
      <c r="R13" s="1" t="s">
        <v>9</v>
      </c>
      <c r="S13" s="17">
        <f t="shared" ref="S13:AF13" si="5">SUM(C22:C25)</f>
        <v>32</v>
      </c>
      <c r="T13" s="17">
        <f t="shared" si="5"/>
        <v>3</v>
      </c>
      <c r="U13" s="17">
        <f t="shared" si="5"/>
        <v>4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132</v>
      </c>
      <c r="AD13" s="17">
        <f t="shared" si="5"/>
        <v>0</v>
      </c>
      <c r="AE13" s="31">
        <f t="shared" si="5"/>
        <v>43</v>
      </c>
      <c r="AF13" s="31">
        <f t="shared" si="5"/>
        <v>175</v>
      </c>
    </row>
    <row r="14" spans="2:32" ht="23.1" customHeight="1" x14ac:dyDescent="0.25">
      <c r="B14" s="45" t="s">
        <v>41</v>
      </c>
      <c r="C14" s="50">
        <v>6</v>
      </c>
      <c r="D14" s="50">
        <v>1</v>
      </c>
      <c r="E14" s="50">
        <v>0</v>
      </c>
      <c r="F14" s="50">
        <v>1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33</v>
      </c>
      <c r="N14" s="50">
        <v>0</v>
      </c>
      <c r="O14" s="15">
        <f t="shared" si="0"/>
        <v>11</v>
      </c>
      <c r="P14" s="15">
        <f t="shared" si="1"/>
        <v>44</v>
      </c>
      <c r="R14" s="1" t="s">
        <v>10</v>
      </c>
      <c r="S14" s="17">
        <f t="shared" ref="S14:AF14" si="6">SUM(C26:C29)</f>
        <v>21</v>
      </c>
      <c r="T14" s="17">
        <f t="shared" si="6"/>
        <v>1</v>
      </c>
      <c r="U14" s="17">
        <f t="shared" si="6"/>
        <v>4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98</v>
      </c>
      <c r="AD14" s="17">
        <f t="shared" si="6"/>
        <v>0</v>
      </c>
      <c r="AE14" s="31">
        <f t="shared" si="6"/>
        <v>34</v>
      </c>
      <c r="AF14" s="31">
        <f t="shared" si="6"/>
        <v>132</v>
      </c>
    </row>
    <row r="15" spans="2:32" ht="23.1" customHeight="1" x14ac:dyDescent="0.25">
      <c r="B15" s="45" t="s">
        <v>42</v>
      </c>
      <c r="C15" s="50">
        <v>8</v>
      </c>
      <c r="D15" s="50">
        <v>2</v>
      </c>
      <c r="E15" s="50">
        <v>1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42</v>
      </c>
      <c r="N15" s="50">
        <v>0</v>
      </c>
      <c r="O15" s="15">
        <f t="shared" si="0"/>
        <v>12</v>
      </c>
      <c r="P15" s="15">
        <f t="shared" si="1"/>
        <v>54</v>
      </c>
      <c r="R15" s="1" t="s">
        <v>11</v>
      </c>
      <c r="S15" s="17">
        <f t="shared" ref="S15:AF15" si="7">SUM(C30:C33)</f>
        <v>15</v>
      </c>
      <c r="T15" s="17">
        <f t="shared" si="7"/>
        <v>2</v>
      </c>
      <c r="U15" s="17">
        <f t="shared" si="7"/>
        <v>4</v>
      </c>
      <c r="V15" s="17">
        <f t="shared" si="7"/>
        <v>2</v>
      </c>
      <c r="W15" s="17">
        <f t="shared" si="7"/>
        <v>2</v>
      </c>
      <c r="X15" s="17">
        <f t="shared" si="7"/>
        <v>0</v>
      </c>
      <c r="Y15" s="17">
        <f t="shared" si="7"/>
        <v>4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119</v>
      </c>
      <c r="AD15" s="17">
        <f t="shared" si="7"/>
        <v>0</v>
      </c>
      <c r="AE15" s="31">
        <f t="shared" si="7"/>
        <v>32</v>
      </c>
      <c r="AF15" s="31">
        <f t="shared" si="7"/>
        <v>151</v>
      </c>
    </row>
    <row r="16" spans="2:32" ht="23.1" customHeight="1" x14ac:dyDescent="0.25">
      <c r="B16" s="45" t="s">
        <v>43</v>
      </c>
      <c r="C16" s="50">
        <v>8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3</v>
      </c>
      <c r="K16" s="50">
        <v>0</v>
      </c>
      <c r="L16" s="50">
        <v>0</v>
      </c>
      <c r="M16" s="50">
        <v>28</v>
      </c>
      <c r="N16" s="50">
        <v>0</v>
      </c>
      <c r="O16" s="15">
        <f t="shared" si="0"/>
        <v>12</v>
      </c>
      <c r="P16" s="15">
        <f t="shared" si="1"/>
        <v>40</v>
      </c>
      <c r="R16" s="1" t="s">
        <v>12</v>
      </c>
      <c r="S16" s="17">
        <f t="shared" ref="S16:AF16" si="8">SUM(C34:C37)</f>
        <v>19</v>
      </c>
      <c r="T16" s="17">
        <f t="shared" si="8"/>
        <v>1</v>
      </c>
      <c r="U16" s="17">
        <f t="shared" si="8"/>
        <v>10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3</v>
      </c>
      <c r="AA16" s="17">
        <f t="shared" si="8"/>
        <v>3</v>
      </c>
      <c r="AB16" s="17">
        <f t="shared" si="8"/>
        <v>1</v>
      </c>
      <c r="AC16" s="17">
        <f t="shared" si="8"/>
        <v>111</v>
      </c>
      <c r="AD16" s="17">
        <f t="shared" si="8"/>
        <v>0</v>
      </c>
      <c r="AE16" s="31">
        <f t="shared" si="8"/>
        <v>41</v>
      </c>
      <c r="AF16" s="31">
        <f t="shared" si="8"/>
        <v>152</v>
      </c>
    </row>
    <row r="17" spans="2:32" ht="23.1" customHeight="1" x14ac:dyDescent="0.25">
      <c r="B17" s="45" t="s">
        <v>44</v>
      </c>
      <c r="C17" s="50">
        <v>3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3</v>
      </c>
      <c r="P17" s="15">
        <f t="shared" si="1"/>
        <v>18</v>
      </c>
      <c r="R17" s="1" t="s">
        <v>13</v>
      </c>
      <c r="S17" s="17">
        <f t="shared" ref="S17:AF17" si="9">SUM(C38:C41)</f>
        <v>11</v>
      </c>
      <c r="T17" s="17">
        <f t="shared" si="9"/>
        <v>1</v>
      </c>
      <c r="U17" s="17">
        <f t="shared" si="9"/>
        <v>3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1</v>
      </c>
      <c r="AC17" s="17">
        <f t="shared" si="9"/>
        <v>115</v>
      </c>
      <c r="AD17" s="17">
        <f t="shared" si="9"/>
        <v>0</v>
      </c>
      <c r="AE17" s="31">
        <f t="shared" si="9"/>
        <v>24</v>
      </c>
      <c r="AF17" s="31">
        <f t="shared" si="9"/>
        <v>139</v>
      </c>
    </row>
    <row r="18" spans="2:32" ht="23.1" customHeight="1" x14ac:dyDescent="0.25">
      <c r="B18" s="45" t="s">
        <v>45</v>
      </c>
      <c r="C18" s="50">
        <v>14</v>
      </c>
      <c r="D18" s="50">
        <v>0</v>
      </c>
      <c r="E18" s="50">
        <v>1</v>
      </c>
      <c r="F18" s="50">
        <v>5</v>
      </c>
      <c r="G18" s="50">
        <v>0</v>
      </c>
      <c r="H18" s="50">
        <v>0</v>
      </c>
      <c r="I18" s="50">
        <v>3</v>
      </c>
      <c r="J18" s="50">
        <v>2</v>
      </c>
      <c r="K18" s="50">
        <v>0</v>
      </c>
      <c r="L18" s="50">
        <v>0</v>
      </c>
      <c r="M18" s="50">
        <v>35</v>
      </c>
      <c r="N18" s="50">
        <v>0</v>
      </c>
      <c r="O18" s="15">
        <f t="shared" si="0"/>
        <v>25</v>
      </c>
      <c r="P18" s="15">
        <f t="shared" si="1"/>
        <v>60</v>
      </c>
      <c r="R18" s="1" t="s">
        <v>14</v>
      </c>
      <c r="S18" s="17">
        <f t="shared" ref="S18:AF18" si="10">SUM(C42:C45)</f>
        <v>20</v>
      </c>
      <c r="T18" s="17">
        <f t="shared" si="10"/>
        <v>2</v>
      </c>
      <c r="U18" s="17">
        <f t="shared" si="10"/>
        <v>11</v>
      </c>
      <c r="V18" s="17">
        <f t="shared" si="10"/>
        <v>4</v>
      </c>
      <c r="W18" s="17">
        <f t="shared" si="10"/>
        <v>1</v>
      </c>
      <c r="X18" s="17">
        <f t="shared" si="10"/>
        <v>0</v>
      </c>
      <c r="Y18" s="17">
        <f t="shared" si="10"/>
        <v>1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151</v>
      </c>
      <c r="AD18" s="17">
        <f t="shared" si="10"/>
        <v>0</v>
      </c>
      <c r="AE18" s="31">
        <f t="shared" si="10"/>
        <v>41</v>
      </c>
      <c r="AF18" s="31">
        <f t="shared" si="10"/>
        <v>192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20</v>
      </c>
      <c r="N19" s="50">
        <v>0</v>
      </c>
      <c r="O19" s="15">
        <f t="shared" si="0"/>
        <v>3</v>
      </c>
      <c r="P19" s="15">
        <f t="shared" si="1"/>
        <v>23</v>
      </c>
      <c r="R19" s="1" t="s">
        <v>15</v>
      </c>
      <c r="S19" s="17">
        <f t="shared" ref="S19:AF19" si="11">SUM(C46:C49)</f>
        <v>28</v>
      </c>
      <c r="T19" s="17">
        <f t="shared" si="11"/>
        <v>2</v>
      </c>
      <c r="U19" s="17">
        <f t="shared" si="11"/>
        <v>7</v>
      </c>
      <c r="V19" s="17">
        <f t="shared" si="11"/>
        <v>1</v>
      </c>
      <c r="W19" s="17">
        <f t="shared" si="11"/>
        <v>5</v>
      </c>
      <c r="X19" s="17">
        <f t="shared" si="11"/>
        <v>0</v>
      </c>
      <c r="Y19" s="17">
        <f t="shared" si="11"/>
        <v>4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145</v>
      </c>
      <c r="AD19" s="17">
        <f t="shared" si="11"/>
        <v>0</v>
      </c>
      <c r="AE19" s="31">
        <f t="shared" si="11"/>
        <v>49</v>
      </c>
      <c r="AF19" s="31">
        <f t="shared" si="11"/>
        <v>194</v>
      </c>
    </row>
    <row r="20" spans="2:32" ht="23.1" customHeight="1" x14ac:dyDescent="0.25">
      <c r="B20" s="45" t="s">
        <v>47</v>
      </c>
      <c r="C20" s="50">
        <v>6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24</v>
      </c>
      <c r="N20" s="50">
        <v>0</v>
      </c>
      <c r="O20" s="15">
        <f t="shared" si="0"/>
        <v>7</v>
      </c>
      <c r="P20" s="15">
        <f t="shared" si="1"/>
        <v>31</v>
      </c>
      <c r="R20" s="1" t="s">
        <v>16</v>
      </c>
      <c r="S20" s="17">
        <f t="shared" ref="S20:AF20" si="12">SUM(C50:C53)</f>
        <v>35</v>
      </c>
      <c r="T20" s="17">
        <f t="shared" si="12"/>
        <v>0</v>
      </c>
      <c r="U20" s="17">
        <f t="shared" si="12"/>
        <v>7</v>
      </c>
      <c r="V20" s="17">
        <f t="shared" si="12"/>
        <v>1</v>
      </c>
      <c r="W20" s="17">
        <f t="shared" si="12"/>
        <v>1</v>
      </c>
      <c r="X20" s="17">
        <f t="shared" si="12"/>
        <v>0</v>
      </c>
      <c r="Y20" s="17">
        <f t="shared" si="12"/>
        <v>3</v>
      </c>
      <c r="Z20" s="17">
        <f t="shared" si="12"/>
        <v>3</v>
      </c>
      <c r="AA20" s="17">
        <f t="shared" si="12"/>
        <v>1</v>
      </c>
      <c r="AB20" s="17">
        <f t="shared" si="12"/>
        <v>0</v>
      </c>
      <c r="AC20" s="17">
        <f t="shared" si="12"/>
        <v>124</v>
      </c>
      <c r="AD20" s="17">
        <f t="shared" si="12"/>
        <v>0</v>
      </c>
      <c r="AE20" s="31">
        <f t="shared" si="12"/>
        <v>51</v>
      </c>
      <c r="AF20" s="31">
        <f t="shared" si="12"/>
        <v>175</v>
      </c>
    </row>
    <row r="21" spans="2:32" ht="23.1" customHeight="1" x14ac:dyDescent="0.25">
      <c r="B21" s="45" t="s">
        <v>48</v>
      </c>
      <c r="C21" s="50">
        <v>6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15</v>
      </c>
      <c r="N21" s="50">
        <v>0</v>
      </c>
      <c r="O21" s="15">
        <f t="shared" si="0"/>
        <v>6</v>
      </c>
      <c r="P21" s="15">
        <f t="shared" si="1"/>
        <v>21</v>
      </c>
      <c r="R21" s="36" t="s">
        <v>20</v>
      </c>
      <c r="S21" s="34">
        <f t="shared" ref="S21:AF21" si="13">SUM(C54:C57)</f>
        <v>22</v>
      </c>
      <c r="T21" s="17">
        <f t="shared" si="13"/>
        <v>1</v>
      </c>
      <c r="U21" s="17">
        <f t="shared" si="13"/>
        <v>7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3</v>
      </c>
      <c r="AA21" s="17">
        <f t="shared" si="13"/>
        <v>0</v>
      </c>
      <c r="AB21" s="17">
        <f t="shared" si="13"/>
        <v>1</v>
      </c>
      <c r="AC21" s="17">
        <f t="shared" si="13"/>
        <v>145</v>
      </c>
      <c r="AD21" s="17">
        <f t="shared" si="13"/>
        <v>0</v>
      </c>
      <c r="AE21" s="31">
        <f t="shared" si="13"/>
        <v>38</v>
      </c>
      <c r="AF21" s="31">
        <f t="shared" si="13"/>
        <v>183</v>
      </c>
    </row>
    <row r="22" spans="2:32" ht="23.1" customHeight="1" x14ac:dyDescent="0.25">
      <c r="B22" s="45" t="s">
        <v>49</v>
      </c>
      <c r="C22" s="50">
        <v>5</v>
      </c>
      <c r="D22" s="50">
        <v>1</v>
      </c>
      <c r="E22" s="50">
        <v>2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29</v>
      </c>
      <c r="N22" s="50">
        <v>0</v>
      </c>
      <c r="O22" s="15">
        <f t="shared" si="0"/>
        <v>9</v>
      </c>
      <c r="P22" s="15">
        <f t="shared" si="1"/>
        <v>38</v>
      </c>
      <c r="R22" s="36" t="s">
        <v>146</v>
      </c>
      <c r="S22" s="34">
        <f>SUM(C58:C61)</f>
        <v>20</v>
      </c>
      <c r="T22" s="34">
        <f t="shared" ref="T22:AF22" si="14">SUM(D58:D61)</f>
        <v>9</v>
      </c>
      <c r="U22" s="34">
        <f t="shared" si="14"/>
        <v>4</v>
      </c>
      <c r="V22" s="34">
        <f t="shared" si="14"/>
        <v>13</v>
      </c>
      <c r="W22" s="34">
        <f t="shared" si="14"/>
        <v>0</v>
      </c>
      <c r="X22" s="34">
        <f t="shared" si="14"/>
        <v>2</v>
      </c>
      <c r="Y22" s="34">
        <f t="shared" si="14"/>
        <v>5</v>
      </c>
      <c r="Z22" s="34">
        <f t="shared" si="14"/>
        <v>4</v>
      </c>
      <c r="AA22" s="34">
        <f t="shared" si="14"/>
        <v>8</v>
      </c>
      <c r="AB22" s="34">
        <f t="shared" si="14"/>
        <v>0</v>
      </c>
      <c r="AC22" s="34">
        <f t="shared" si="14"/>
        <v>172</v>
      </c>
      <c r="AD22" s="34">
        <f t="shared" si="14"/>
        <v>0</v>
      </c>
      <c r="AE22" s="31">
        <f t="shared" si="14"/>
        <v>65</v>
      </c>
      <c r="AF22" s="31">
        <f t="shared" si="14"/>
        <v>237</v>
      </c>
    </row>
    <row r="23" spans="2:32" ht="23.1" customHeight="1" x14ac:dyDescent="0.25">
      <c r="B23" s="45" t="s">
        <v>50</v>
      </c>
      <c r="C23" s="50">
        <v>4</v>
      </c>
      <c r="D23" s="50">
        <v>1</v>
      </c>
      <c r="E23" s="50">
        <v>0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34</v>
      </c>
      <c r="N23" s="50">
        <v>0</v>
      </c>
      <c r="O23" s="15">
        <f t="shared" si="0"/>
        <v>7</v>
      </c>
      <c r="P23" s="15">
        <f t="shared" si="1"/>
        <v>41</v>
      </c>
      <c r="R23" s="36" t="s">
        <v>147</v>
      </c>
      <c r="S23" s="34">
        <f>SUM(C62:C65)</f>
        <v>11</v>
      </c>
      <c r="T23" s="34">
        <f t="shared" ref="T23:AF23" si="15">SUM(D62:D65)</f>
        <v>13</v>
      </c>
      <c r="U23" s="34">
        <f t="shared" si="15"/>
        <v>8</v>
      </c>
      <c r="V23" s="34">
        <f t="shared" si="15"/>
        <v>6</v>
      </c>
      <c r="W23" s="34">
        <f t="shared" si="15"/>
        <v>2</v>
      </c>
      <c r="X23" s="34">
        <f t="shared" si="15"/>
        <v>0</v>
      </c>
      <c r="Y23" s="34">
        <f t="shared" si="15"/>
        <v>7</v>
      </c>
      <c r="Z23" s="34">
        <f t="shared" si="15"/>
        <v>7</v>
      </c>
      <c r="AA23" s="34">
        <f t="shared" si="15"/>
        <v>2</v>
      </c>
      <c r="AB23" s="34">
        <f t="shared" si="15"/>
        <v>0</v>
      </c>
      <c r="AC23" s="34">
        <f t="shared" si="15"/>
        <v>86</v>
      </c>
      <c r="AD23" s="34">
        <f t="shared" si="15"/>
        <v>0</v>
      </c>
      <c r="AE23" s="31">
        <f t="shared" si="15"/>
        <v>56</v>
      </c>
      <c r="AF23" s="31">
        <f t="shared" si="15"/>
        <v>142</v>
      </c>
    </row>
    <row r="24" spans="2:32" ht="23.1" customHeight="1" x14ac:dyDescent="0.25">
      <c r="B24" s="45" t="s">
        <v>51</v>
      </c>
      <c r="C24" s="50">
        <v>11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46</v>
      </c>
      <c r="N24" s="50">
        <v>0</v>
      </c>
      <c r="O24" s="15">
        <f t="shared" si="0"/>
        <v>12</v>
      </c>
      <c r="P24" s="15">
        <f t="shared" si="1"/>
        <v>58</v>
      </c>
      <c r="R24" s="36" t="s">
        <v>148</v>
      </c>
      <c r="S24" s="34">
        <f>SUM(C66:C69)</f>
        <v>14</v>
      </c>
      <c r="T24" s="34">
        <f t="shared" ref="T24:AF24" si="16">SUM(D66:D69)</f>
        <v>2</v>
      </c>
      <c r="U24" s="34">
        <f t="shared" si="16"/>
        <v>4</v>
      </c>
      <c r="V24" s="34">
        <f t="shared" si="16"/>
        <v>4</v>
      </c>
      <c r="W24" s="34">
        <f t="shared" si="16"/>
        <v>3</v>
      </c>
      <c r="X24" s="34">
        <f t="shared" si="16"/>
        <v>0</v>
      </c>
      <c r="Y24" s="34">
        <f t="shared" si="16"/>
        <v>3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64</v>
      </c>
      <c r="AD24" s="34">
        <f t="shared" si="16"/>
        <v>0</v>
      </c>
      <c r="AE24" s="31">
        <f t="shared" si="16"/>
        <v>31</v>
      </c>
      <c r="AF24" s="31">
        <f t="shared" si="16"/>
        <v>95</v>
      </c>
    </row>
    <row r="25" spans="2:32" ht="23.1" customHeight="1" x14ac:dyDescent="0.25">
      <c r="B25" s="45" t="s">
        <v>52</v>
      </c>
      <c r="C25" s="50">
        <v>12</v>
      </c>
      <c r="D25" s="50">
        <v>1</v>
      </c>
      <c r="E25" s="50">
        <v>1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23</v>
      </c>
      <c r="N25" s="50">
        <v>0</v>
      </c>
      <c r="O25" s="15">
        <f t="shared" si="0"/>
        <v>15</v>
      </c>
      <c r="P25" s="15">
        <f t="shared" si="1"/>
        <v>38</v>
      </c>
      <c r="R25" s="36" t="s">
        <v>149</v>
      </c>
      <c r="S25" s="34">
        <f>SUM(C70:C73)</f>
        <v>7</v>
      </c>
      <c r="T25" s="34">
        <f t="shared" ref="T25:AF25" si="17">SUM(D70:D73)</f>
        <v>5</v>
      </c>
      <c r="U25" s="34">
        <f t="shared" si="17"/>
        <v>1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2</v>
      </c>
      <c r="AB25" s="34">
        <f t="shared" si="17"/>
        <v>0</v>
      </c>
      <c r="AC25" s="34">
        <f t="shared" si="17"/>
        <v>23</v>
      </c>
      <c r="AD25" s="34">
        <f t="shared" si="17"/>
        <v>0</v>
      </c>
      <c r="AE25" s="31">
        <f t="shared" si="17"/>
        <v>17</v>
      </c>
      <c r="AF25" s="31">
        <f t="shared" si="17"/>
        <v>40</v>
      </c>
    </row>
    <row r="26" spans="2:32" ht="23.1" customHeight="1" x14ac:dyDescent="0.25">
      <c r="B26" s="45" t="s">
        <v>53</v>
      </c>
      <c r="C26" s="50">
        <v>9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27</v>
      </c>
      <c r="N26" s="50">
        <v>0</v>
      </c>
      <c r="O26" s="15">
        <f t="shared" si="0"/>
        <v>11</v>
      </c>
      <c r="P26" s="15">
        <f t="shared" si="1"/>
        <v>38</v>
      </c>
      <c r="R26" s="36" t="s">
        <v>150</v>
      </c>
      <c r="S26" s="34">
        <f>SUM(C74:C77)</f>
        <v>2</v>
      </c>
      <c r="T26" s="34">
        <f t="shared" ref="T26:AF26" si="18">SUM(D74:D77)</f>
        <v>2</v>
      </c>
      <c r="U26" s="34">
        <f t="shared" si="18"/>
        <v>1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1</v>
      </c>
      <c r="AB26" s="34">
        <f t="shared" si="18"/>
        <v>0</v>
      </c>
      <c r="AC26" s="34">
        <f t="shared" si="18"/>
        <v>14</v>
      </c>
      <c r="AD26" s="34">
        <f t="shared" si="18"/>
        <v>0</v>
      </c>
      <c r="AE26" s="31">
        <f t="shared" si="18"/>
        <v>9</v>
      </c>
      <c r="AF26" s="31">
        <f t="shared" si="18"/>
        <v>23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27</v>
      </c>
      <c r="N27" s="50">
        <v>0</v>
      </c>
      <c r="O27" s="15">
        <f t="shared" si="0"/>
        <v>6</v>
      </c>
      <c r="P27" s="15">
        <f t="shared" si="1"/>
        <v>33</v>
      </c>
      <c r="R27" s="36" t="s">
        <v>151</v>
      </c>
      <c r="S27" s="34">
        <f>SUM(C78:C81)</f>
        <v>3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11</v>
      </c>
      <c r="AD27" s="34">
        <f t="shared" si="19"/>
        <v>0</v>
      </c>
      <c r="AE27" s="31">
        <f t="shared" si="19"/>
        <v>4</v>
      </c>
      <c r="AF27" s="31">
        <f t="shared" si="19"/>
        <v>15</v>
      </c>
    </row>
    <row r="28" spans="2:32" ht="23.1" customHeight="1" x14ac:dyDescent="0.25">
      <c r="B28" s="45" t="s">
        <v>55</v>
      </c>
      <c r="C28" s="50">
        <v>5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26</v>
      </c>
      <c r="N28" s="50">
        <v>0</v>
      </c>
      <c r="O28" s="15">
        <f t="shared" si="0"/>
        <v>7</v>
      </c>
      <c r="P28" s="15">
        <f t="shared" si="1"/>
        <v>33</v>
      </c>
      <c r="R28" s="36" t="s">
        <v>152</v>
      </c>
      <c r="S28" s="34">
        <f>SUM(C82:C85)</f>
        <v>3</v>
      </c>
      <c r="T28" s="34">
        <f t="shared" ref="T28:AF28" si="20">SUM(D82:D85)</f>
        <v>2</v>
      </c>
      <c r="U28" s="34">
        <f t="shared" si="20"/>
        <v>0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9</v>
      </c>
      <c r="AD28" s="34">
        <f t="shared" si="20"/>
        <v>0</v>
      </c>
      <c r="AE28" s="31">
        <f t="shared" si="20"/>
        <v>7</v>
      </c>
      <c r="AF28" s="31">
        <f t="shared" si="20"/>
        <v>16</v>
      </c>
    </row>
    <row r="29" spans="2:32" ht="23.1" customHeight="1" x14ac:dyDescent="0.25">
      <c r="B29" s="45" t="s">
        <v>56</v>
      </c>
      <c r="C29" s="50">
        <v>5</v>
      </c>
      <c r="D29" s="50">
        <v>1</v>
      </c>
      <c r="E29" s="50">
        <v>2</v>
      </c>
      <c r="F29" s="50">
        <v>1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18</v>
      </c>
      <c r="N29" s="50">
        <v>0</v>
      </c>
      <c r="O29" s="15">
        <f t="shared" si="0"/>
        <v>10</v>
      </c>
      <c r="P29" s="15">
        <f t="shared" si="1"/>
        <v>28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3</v>
      </c>
      <c r="AD29" s="34">
        <f t="shared" si="21"/>
        <v>0</v>
      </c>
      <c r="AE29" s="31">
        <f t="shared" si="21"/>
        <v>1</v>
      </c>
      <c r="AF29" s="31">
        <f t="shared" si="21"/>
        <v>4</v>
      </c>
    </row>
    <row r="30" spans="2:32" ht="23.1" customHeight="1" x14ac:dyDescent="0.25">
      <c r="B30" s="45" t="s">
        <v>57</v>
      </c>
      <c r="C30" s="50">
        <v>5</v>
      </c>
      <c r="D30" s="50">
        <v>1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34</v>
      </c>
      <c r="N30" s="50">
        <v>0</v>
      </c>
      <c r="O30" s="15">
        <f t="shared" si="0"/>
        <v>8</v>
      </c>
      <c r="P30" s="15">
        <f t="shared" si="1"/>
        <v>42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6</v>
      </c>
      <c r="D31" s="50">
        <v>0</v>
      </c>
      <c r="E31" s="50">
        <v>0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36</v>
      </c>
      <c r="N31" s="50">
        <v>0</v>
      </c>
      <c r="O31" s="15">
        <f t="shared" si="0"/>
        <v>8</v>
      </c>
      <c r="P31" s="15">
        <f t="shared" si="1"/>
        <v>44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1</v>
      </c>
      <c r="AB31" s="34">
        <f t="shared" si="23"/>
        <v>0</v>
      </c>
      <c r="AC31" s="34">
        <f t="shared" si="23"/>
        <v>5</v>
      </c>
      <c r="AD31" s="34">
        <f t="shared" si="23"/>
        <v>0</v>
      </c>
      <c r="AE31" s="31">
        <f t="shared" si="23"/>
        <v>6</v>
      </c>
      <c r="AF31" s="31">
        <f t="shared" si="23"/>
        <v>11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1</v>
      </c>
      <c r="F32" s="50">
        <v>0</v>
      </c>
      <c r="G32" s="50">
        <v>1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24</v>
      </c>
      <c r="N32" s="50">
        <v>0</v>
      </c>
      <c r="O32" s="15">
        <f t="shared" si="0"/>
        <v>5</v>
      </c>
      <c r="P32" s="15">
        <f t="shared" si="1"/>
        <v>29</v>
      </c>
      <c r="R32" s="33" t="s">
        <v>156</v>
      </c>
      <c r="S32" s="34">
        <f>SUM(C98:C101)</f>
        <v>3</v>
      </c>
      <c r="T32" s="34">
        <f t="shared" ref="T32:AF32" si="24">SUM(D98:D101)</f>
        <v>0</v>
      </c>
      <c r="U32" s="34">
        <f t="shared" si="24"/>
        <v>4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4</v>
      </c>
      <c r="Z32" s="34">
        <f t="shared" si="24"/>
        <v>0</v>
      </c>
      <c r="AA32" s="34">
        <f t="shared" si="24"/>
        <v>2</v>
      </c>
      <c r="AB32" s="34">
        <f t="shared" si="24"/>
        <v>2</v>
      </c>
      <c r="AC32" s="34">
        <f t="shared" si="24"/>
        <v>10</v>
      </c>
      <c r="AD32" s="34">
        <f t="shared" si="24"/>
        <v>0</v>
      </c>
      <c r="AE32" s="31">
        <f t="shared" si="24"/>
        <v>16</v>
      </c>
      <c r="AF32" s="31">
        <f t="shared" si="24"/>
        <v>26</v>
      </c>
    </row>
    <row r="33" spans="2:32" ht="23.1" customHeight="1" x14ac:dyDescent="0.25">
      <c r="B33" s="45" t="s">
        <v>60</v>
      </c>
      <c r="C33" s="50">
        <v>3</v>
      </c>
      <c r="D33" s="50">
        <v>1</v>
      </c>
      <c r="E33" s="50">
        <v>3</v>
      </c>
      <c r="F33" s="50">
        <v>0</v>
      </c>
      <c r="G33" s="50">
        <v>1</v>
      </c>
      <c r="H33" s="50">
        <v>0</v>
      </c>
      <c r="I33" s="50">
        <v>1</v>
      </c>
      <c r="J33" s="50">
        <v>2</v>
      </c>
      <c r="K33" s="50">
        <v>0</v>
      </c>
      <c r="L33" s="50">
        <v>0</v>
      </c>
      <c r="M33" s="50">
        <v>25</v>
      </c>
      <c r="N33" s="50">
        <v>0</v>
      </c>
      <c r="O33" s="15">
        <f t="shared" si="0"/>
        <v>11</v>
      </c>
      <c r="P33" s="15">
        <f t="shared" si="1"/>
        <v>36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4</v>
      </c>
      <c r="V33" s="34">
        <f t="shared" si="25"/>
        <v>2</v>
      </c>
      <c r="W33" s="34">
        <f t="shared" si="25"/>
        <v>0</v>
      </c>
      <c r="X33" s="34">
        <f t="shared" si="25"/>
        <v>1</v>
      </c>
      <c r="Y33" s="34">
        <f t="shared" si="25"/>
        <v>3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14</v>
      </c>
      <c r="AD33" s="34">
        <f t="shared" si="25"/>
        <v>0</v>
      </c>
      <c r="AE33" s="31">
        <f t="shared" si="25"/>
        <v>10</v>
      </c>
      <c r="AF33" s="31">
        <f t="shared" si="25"/>
        <v>24</v>
      </c>
    </row>
    <row r="34" spans="2:32" ht="23.1" customHeight="1" x14ac:dyDescent="0.25">
      <c r="B34" s="46" t="s">
        <v>61</v>
      </c>
      <c r="C34" s="50">
        <v>6</v>
      </c>
      <c r="D34" s="50">
        <v>1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2</v>
      </c>
      <c r="L34" s="50">
        <v>0</v>
      </c>
      <c r="M34" s="50">
        <v>31</v>
      </c>
      <c r="N34" s="50">
        <v>0</v>
      </c>
      <c r="O34" s="15">
        <f t="shared" si="0"/>
        <v>11</v>
      </c>
      <c r="P34" s="15">
        <f t="shared" si="1"/>
        <v>42</v>
      </c>
      <c r="R34" s="38" t="s">
        <v>90</v>
      </c>
      <c r="S34" s="39">
        <f t="shared" ref="S34:AF34" si="26">MAX(S10:S12)</f>
        <v>28</v>
      </c>
      <c r="T34" s="39">
        <f t="shared" si="26"/>
        <v>3</v>
      </c>
      <c r="U34" s="39">
        <f t="shared" si="26"/>
        <v>2</v>
      </c>
      <c r="V34" s="39">
        <f t="shared" si="26"/>
        <v>5</v>
      </c>
      <c r="W34" s="39">
        <f t="shared" si="26"/>
        <v>0</v>
      </c>
      <c r="X34" s="39">
        <f t="shared" si="26"/>
        <v>0</v>
      </c>
      <c r="Y34" s="39">
        <f t="shared" si="26"/>
        <v>4</v>
      </c>
      <c r="Z34" s="39">
        <f t="shared" si="26"/>
        <v>3</v>
      </c>
      <c r="AA34" s="39">
        <f t="shared" si="26"/>
        <v>0</v>
      </c>
      <c r="AB34" s="39">
        <f t="shared" si="26"/>
        <v>2</v>
      </c>
      <c r="AC34" s="39">
        <f t="shared" si="26"/>
        <v>118</v>
      </c>
      <c r="AD34" s="39">
        <f t="shared" si="26"/>
        <v>0</v>
      </c>
      <c r="AE34" s="40">
        <f t="shared" si="26"/>
        <v>41</v>
      </c>
      <c r="AF34" s="40">
        <f t="shared" si="26"/>
        <v>156</v>
      </c>
    </row>
    <row r="35" spans="2:32" ht="23.1" customHeight="1" x14ac:dyDescent="0.25">
      <c r="B35" s="46" t="s">
        <v>62</v>
      </c>
      <c r="C35" s="50">
        <v>4</v>
      </c>
      <c r="D35" s="50">
        <v>0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1</v>
      </c>
      <c r="L35" s="50">
        <v>0</v>
      </c>
      <c r="M35" s="50">
        <v>24</v>
      </c>
      <c r="N35" s="50">
        <v>0</v>
      </c>
      <c r="O35" s="15">
        <f t="shared" si="0"/>
        <v>7</v>
      </c>
      <c r="P35" s="15">
        <f t="shared" si="1"/>
        <v>31</v>
      </c>
      <c r="R35" s="38" t="s">
        <v>91</v>
      </c>
      <c r="S35" s="39">
        <f t="shared" ref="S35:AF35" si="27">MAX(S13:S18)</f>
        <v>32</v>
      </c>
      <c r="T35" s="39">
        <f t="shared" si="27"/>
        <v>3</v>
      </c>
      <c r="U35" s="39">
        <f t="shared" si="27"/>
        <v>11</v>
      </c>
      <c r="V35" s="39">
        <f t="shared" si="27"/>
        <v>4</v>
      </c>
      <c r="W35" s="39">
        <f t="shared" si="27"/>
        <v>2</v>
      </c>
      <c r="X35" s="39">
        <f t="shared" si="27"/>
        <v>0</v>
      </c>
      <c r="Y35" s="39">
        <f t="shared" si="27"/>
        <v>5</v>
      </c>
      <c r="Z35" s="39">
        <f t="shared" si="27"/>
        <v>4</v>
      </c>
      <c r="AA35" s="39">
        <f t="shared" si="27"/>
        <v>3</v>
      </c>
      <c r="AB35" s="39">
        <f t="shared" si="27"/>
        <v>1</v>
      </c>
      <c r="AC35" s="39">
        <f t="shared" si="27"/>
        <v>151</v>
      </c>
      <c r="AD35" s="39">
        <f t="shared" si="27"/>
        <v>0</v>
      </c>
      <c r="AE35" s="40">
        <f t="shared" si="27"/>
        <v>43</v>
      </c>
      <c r="AF35" s="40">
        <f t="shared" si="27"/>
        <v>192</v>
      </c>
    </row>
    <row r="36" spans="2:32" ht="23.1" customHeight="1" x14ac:dyDescent="0.25">
      <c r="B36" s="46" t="s">
        <v>63</v>
      </c>
      <c r="C36" s="50">
        <v>6</v>
      </c>
      <c r="D36" s="50">
        <v>0</v>
      </c>
      <c r="E36" s="50">
        <v>8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41</v>
      </c>
      <c r="N36" s="50">
        <v>0</v>
      </c>
      <c r="O36" s="15">
        <f t="shared" si="0"/>
        <v>15</v>
      </c>
      <c r="P36" s="15">
        <f t="shared" si="1"/>
        <v>56</v>
      </c>
      <c r="R36" s="38" t="s">
        <v>92</v>
      </c>
      <c r="S36" s="39">
        <f t="shared" ref="S36:AF36" si="28">MAX(S19:S21)</f>
        <v>35</v>
      </c>
      <c r="T36" s="39">
        <f t="shared" si="28"/>
        <v>2</v>
      </c>
      <c r="U36" s="39">
        <f t="shared" si="28"/>
        <v>7</v>
      </c>
      <c r="V36" s="39">
        <f t="shared" si="28"/>
        <v>3</v>
      </c>
      <c r="W36" s="39">
        <f t="shared" si="28"/>
        <v>5</v>
      </c>
      <c r="X36" s="39">
        <f t="shared" si="28"/>
        <v>0</v>
      </c>
      <c r="Y36" s="39">
        <f t="shared" si="28"/>
        <v>4</v>
      </c>
      <c r="Z36" s="39">
        <f t="shared" si="28"/>
        <v>3</v>
      </c>
      <c r="AA36" s="39">
        <f t="shared" si="28"/>
        <v>1</v>
      </c>
      <c r="AB36" s="39">
        <f t="shared" si="28"/>
        <v>1</v>
      </c>
      <c r="AC36" s="39">
        <f t="shared" si="28"/>
        <v>145</v>
      </c>
      <c r="AD36" s="39">
        <f t="shared" si="28"/>
        <v>0</v>
      </c>
      <c r="AE36" s="40">
        <f t="shared" si="28"/>
        <v>51</v>
      </c>
      <c r="AF36" s="40">
        <f t="shared" si="28"/>
        <v>194</v>
      </c>
    </row>
    <row r="37" spans="2:32" ht="23.1" customHeight="1" x14ac:dyDescent="0.25">
      <c r="B37" s="45" t="s">
        <v>64</v>
      </c>
      <c r="C37" s="50">
        <v>3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1</v>
      </c>
      <c r="J37" s="50">
        <v>2</v>
      </c>
      <c r="K37" s="50">
        <v>0</v>
      </c>
      <c r="L37" s="50">
        <v>1</v>
      </c>
      <c r="M37" s="50">
        <v>15</v>
      </c>
      <c r="N37" s="50">
        <v>0</v>
      </c>
      <c r="O37" s="15">
        <f t="shared" si="0"/>
        <v>8</v>
      </c>
      <c r="P37" s="15">
        <f t="shared" si="1"/>
        <v>23</v>
      </c>
      <c r="R37" s="37" t="s">
        <v>85</v>
      </c>
      <c r="S37" s="35">
        <f t="shared" ref="S37:AF37" si="29">SUM(S10:S12)</f>
        <v>60</v>
      </c>
      <c r="T37" s="16">
        <f t="shared" si="29"/>
        <v>5</v>
      </c>
      <c r="U37" s="16">
        <f t="shared" si="29"/>
        <v>4</v>
      </c>
      <c r="V37" s="16">
        <f t="shared" si="29"/>
        <v>10</v>
      </c>
      <c r="W37" s="16">
        <f t="shared" si="29"/>
        <v>0</v>
      </c>
      <c r="X37" s="16">
        <f t="shared" si="29"/>
        <v>0</v>
      </c>
      <c r="Y37" s="16">
        <f t="shared" si="29"/>
        <v>9</v>
      </c>
      <c r="Z37" s="16">
        <f t="shared" si="29"/>
        <v>7</v>
      </c>
      <c r="AA37" s="16">
        <f t="shared" si="29"/>
        <v>0</v>
      </c>
      <c r="AB37" s="16">
        <f t="shared" si="29"/>
        <v>2</v>
      </c>
      <c r="AC37" s="16">
        <f t="shared" si="29"/>
        <v>289</v>
      </c>
      <c r="AD37" s="16">
        <f t="shared" si="29"/>
        <v>0</v>
      </c>
      <c r="AE37" s="32">
        <f t="shared" si="29"/>
        <v>97</v>
      </c>
      <c r="AF37" s="32">
        <f t="shared" si="29"/>
        <v>386</v>
      </c>
    </row>
    <row r="38" spans="2:32" ht="23.1" customHeight="1" x14ac:dyDescent="0.25">
      <c r="B38" s="46" t="s">
        <v>65</v>
      </c>
      <c r="C38" s="50">
        <v>3</v>
      </c>
      <c r="D38" s="50">
        <v>0</v>
      </c>
      <c r="E38" s="50">
        <v>0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27</v>
      </c>
      <c r="N38" s="50">
        <v>0</v>
      </c>
      <c r="O38" s="15">
        <f t="shared" si="0"/>
        <v>5</v>
      </c>
      <c r="P38" s="15">
        <f t="shared" si="1"/>
        <v>32</v>
      </c>
      <c r="R38" s="28" t="s">
        <v>86</v>
      </c>
      <c r="S38" s="16">
        <f t="shared" ref="S38:AF38" si="30">SUM(S13:S18)</f>
        <v>118</v>
      </c>
      <c r="T38" s="16">
        <f t="shared" si="30"/>
        <v>10</v>
      </c>
      <c r="U38" s="16">
        <f t="shared" si="30"/>
        <v>36</v>
      </c>
      <c r="V38" s="16">
        <f t="shared" si="30"/>
        <v>16</v>
      </c>
      <c r="W38" s="16">
        <f t="shared" si="30"/>
        <v>3</v>
      </c>
      <c r="X38" s="16">
        <f t="shared" si="30"/>
        <v>0</v>
      </c>
      <c r="Y38" s="16">
        <f t="shared" si="30"/>
        <v>15</v>
      </c>
      <c r="Z38" s="16">
        <f t="shared" si="30"/>
        <v>11</v>
      </c>
      <c r="AA38" s="16">
        <f t="shared" si="30"/>
        <v>4</v>
      </c>
      <c r="AB38" s="16">
        <f t="shared" si="30"/>
        <v>2</v>
      </c>
      <c r="AC38" s="16">
        <f t="shared" si="30"/>
        <v>726</v>
      </c>
      <c r="AD38" s="16">
        <f t="shared" si="30"/>
        <v>0</v>
      </c>
      <c r="AE38" s="32">
        <f t="shared" si="30"/>
        <v>215</v>
      </c>
      <c r="AF38" s="32">
        <f t="shared" si="30"/>
        <v>941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3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1</v>
      </c>
      <c r="M39" s="50">
        <v>33</v>
      </c>
      <c r="N39" s="50">
        <v>0</v>
      </c>
      <c r="O39" s="15">
        <f t="shared" si="0"/>
        <v>8</v>
      </c>
      <c r="P39" s="15">
        <f t="shared" si="1"/>
        <v>41</v>
      </c>
      <c r="R39" s="29" t="s">
        <v>87</v>
      </c>
      <c r="S39" s="16">
        <f t="shared" ref="S39:AF39" si="31">SUM(S19:S21)</f>
        <v>85</v>
      </c>
      <c r="T39" s="16">
        <f t="shared" si="31"/>
        <v>3</v>
      </c>
      <c r="U39" s="16">
        <f t="shared" si="31"/>
        <v>21</v>
      </c>
      <c r="V39" s="16">
        <f t="shared" si="31"/>
        <v>5</v>
      </c>
      <c r="W39" s="16">
        <f t="shared" si="31"/>
        <v>6</v>
      </c>
      <c r="X39" s="16">
        <f t="shared" si="31"/>
        <v>0</v>
      </c>
      <c r="Y39" s="16">
        <f t="shared" si="31"/>
        <v>8</v>
      </c>
      <c r="Z39" s="16">
        <f t="shared" si="31"/>
        <v>8</v>
      </c>
      <c r="AA39" s="16">
        <f t="shared" si="31"/>
        <v>1</v>
      </c>
      <c r="AB39" s="16">
        <f t="shared" si="31"/>
        <v>1</v>
      </c>
      <c r="AC39" s="16">
        <f t="shared" si="31"/>
        <v>414</v>
      </c>
      <c r="AD39" s="16">
        <f t="shared" si="31"/>
        <v>0</v>
      </c>
      <c r="AE39" s="32">
        <f t="shared" si="31"/>
        <v>138</v>
      </c>
      <c r="AF39" s="32">
        <f t="shared" si="31"/>
        <v>552</v>
      </c>
    </row>
    <row r="40" spans="2:32" ht="23.1" customHeight="1" x14ac:dyDescent="0.25">
      <c r="B40" s="46" t="s">
        <v>67</v>
      </c>
      <c r="C40" s="50">
        <v>3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19</v>
      </c>
      <c r="N40" s="50">
        <v>0</v>
      </c>
      <c r="O40" s="15">
        <f t="shared" si="0"/>
        <v>5</v>
      </c>
      <c r="P40" s="15">
        <f t="shared" si="1"/>
        <v>24</v>
      </c>
      <c r="R40" s="5" t="s">
        <v>17</v>
      </c>
      <c r="S40" s="16">
        <f t="shared" ref="S40:AF40" si="32">SUM(S10:S21)</f>
        <v>263</v>
      </c>
      <c r="T40" s="16">
        <f t="shared" si="32"/>
        <v>18</v>
      </c>
      <c r="U40" s="16">
        <f t="shared" si="32"/>
        <v>61</v>
      </c>
      <c r="V40" s="16">
        <f t="shared" si="32"/>
        <v>31</v>
      </c>
      <c r="W40" s="16">
        <f t="shared" si="32"/>
        <v>9</v>
      </c>
      <c r="X40" s="16">
        <f t="shared" si="32"/>
        <v>0</v>
      </c>
      <c r="Y40" s="16">
        <f t="shared" si="32"/>
        <v>32</v>
      </c>
      <c r="Z40" s="16">
        <f t="shared" si="32"/>
        <v>26</v>
      </c>
      <c r="AA40" s="16">
        <f t="shared" si="32"/>
        <v>5</v>
      </c>
      <c r="AB40" s="16">
        <f t="shared" si="32"/>
        <v>5</v>
      </c>
      <c r="AC40" s="16">
        <f t="shared" si="32"/>
        <v>1429</v>
      </c>
      <c r="AD40" s="16">
        <f t="shared" si="32"/>
        <v>0</v>
      </c>
      <c r="AE40" s="32">
        <f t="shared" si="32"/>
        <v>450</v>
      </c>
      <c r="AF40" s="32">
        <f t="shared" si="32"/>
        <v>1879</v>
      </c>
    </row>
    <row r="41" spans="2:32" ht="23.1" customHeight="1" x14ac:dyDescent="0.25">
      <c r="B41" s="45" t="s">
        <v>68</v>
      </c>
      <c r="C41" s="50">
        <v>3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36</v>
      </c>
      <c r="N41" s="50">
        <v>0</v>
      </c>
      <c r="O41" s="15">
        <f t="shared" si="0"/>
        <v>6</v>
      </c>
      <c r="P41" s="15">
        <f t="shared" si="1"/>
        <v>42</v>
      </c>
      <c r="R41" s="5" t="s">
        <v>159</v>
      </c>
      <c r="S41" s="16">
        <f>SUM(S10:S33)</f>
        <v>329</v>
      </c>
      <c r="T41" s="16">
        <f t="shared" ref="T41:AF41" si="33">SUM(T10:T33)</f>
        <v>52</v>
      </c>
      <c r="U41" s="16">
        <f t="shared" si="33"/>
        <v>87</v>
      </c>
      <c r="V41" s="16">
        <f t="shared" si="33"/>
        <v>63</v>
      </c>
      <c r="W41" s="16">
        <f t="shared" si="33"/>
        <v>14</v>
      </c>
      <c r="X41" s="16">
        <f t="shared" si="33"/>
        <v>3</v>
      </c>
      <c r="Y41" s="16">
        <f t="shared" si="33"/>
        <v>58</v>
      </c>
      <c r="Z41" s="16">
        <f t="shared" si="33"/>
        <v>38</v>
      </c>
      <c r="AA41" s="16">
        <f t="shared" si="33"/>
        <v>21</v>
      </c>
      <c r="AB41" s="16">
        <f t="shared" si="33"/>
        <v>7</v>
      </c>
      <c r="AC41" s="16">
        <f t="shared" si="33"/>
        <v>1840</v>
      </c>
      <c r="AD41" s="16">
        <f t="shared" si="33"/>
        <v>0</v>
      </c>
      <c r="AE41" s="32">
        <f t="shared" si="33"/>
        <v>672</v>
      </c>
      <c r="AF41" s="32">
        <f t="shared" si="33"/>
        <v>2512</v>
      </c>
    </row>
    <row r="42" spans="2:32" ht="23.1" customHeight="1" x14ac:dyDescent="0.25">
      <c r="B42" s="46" t="s">
        <v>69</v>
      </c>
      <c r="C42" s="50">
        <v>10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35</v>
      </c>
      <c r="N42" s="50">
        <v>0</v>
      </c>
      <c r="O42" s="15">
        <f t="shared" si="0"/>
        <v>13</v>
      </c>
      <c r="P42" s="15">
        <f t="shared" si="1"/>
        <v>48</v>
      </c>
      <c r="R42" s="5" t="s">
        <v>160</v>
      </c>
      <c r="S42" s="48">
        <f>S41/S40</f>
        <v>1.2509505703422052</v>
      </c>
      <c r="T42" s="48">
        <f t="shared" ref="T42:AF42" si="34">T41/T40</f>
        <v>2.8888888888888888</v>
      </c>
      <c r="U42" s="48">
        <f t="shared" si="34"/>
        <v>1.4262295081967213</v>
      </c>
      <c r="V42" s="48">
        <f t="shared" si="34"/>
        <v>2.032258064516129</v>
      </c>
      <c r="W42" s="48">
        <f t="shared" si="34"/>
        <v>1.5555555555555556</v>
      </c>
      <c r="X42" s="48" t="e">
        <f t="shared" si="34"/>
        <v>#DIV/0!</v>
      </c>
      <c r="Y42" s="48">
        <f t="shared" si="34"/>
        <v>1.8125</v>
      </c>
      <c r="Z42" s="48">
        <f t="shared" si="34"/>
        <v>1.4615384615384615</v>
      </c>
      <c r="AA42" s="48">
        <f t="shared" si="34"/>
        <v>4.2</v>
      </c>
      <c r="AB42" s="48">
        <f t="shared" si="34"/>
        <v>1.4</v>
      </c>
      <c r="AC42" s="48">
        <f t="shared" si="34"/>
        <v>1.2876137158852343</v>
      </c>
      <c r="AD42" s="48" t="e">
        <f t="shared" si="34"/>
        <v>#DIV/0!</v>
      </c>
      <c r="AE42" s="48">
        <f t="shared" si="34"/>
        <v>1.4933333333333334</v>
      </c>
      <c r="AF42" s="48">
        <f t="shared" si="34"/>
        <v>1.3368813198509846</v>
      </c>
    </row>
    <row r="43" spans="2:32" ht="23.1" customHeight="1" x14ac:dyDescent="0.25">
      <c r="B43" s="45" t="s">
        <v>70</v>
      </c>
      <c r="C43" s="50">
        <v>5</v>
      </c>
      <c r="D43" s="50">
        <v>0</v>
      </c>
      <c r="E43" s="50">
        <v>4</v>
      </c>
      <c r="F43" s="50">
        <v>0</v>
      </c>
      <c r="G43" s="50">
        <v>1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24</v>
      </c>
      <c r="N43" s="50">
        <v>0</v>
      </c>
      <c r="O43" s="15">
        <f t="shared" si="0"/>
        <v>10</v>
      </c>
      <c r="P43" s="15">
        <f t="shared" si="1"/>
        <v>34</v>
      </c>
    </row>
    <row r="44" spans="2:32" ht="23.1" customHeight="1" x14ac:dyDescent="0.25">
      <c r="B44" s="47" t="s">
        <v>71</v>
      </c>
      <c r="C44" s="50">
        <v>4</v>
      </c>
      <c r="D44" s="50">
        <v>1</v>
      </c>
      <c r="E44" s="50">
        <v>6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1</v>
      </c>
      <c r="L44" s="50">
        <v>0</v>
      </c>
      <c r="M44" s="50">
        <v>46</v>
      </c>
      <c r="N44" s="50">
        <v>0</v>
      </c>
      <c r="O44" s="15">
        <f t="shared" si="0"/>
        <v>13</v>
      </c>
      <c r="P44" s="15">
        <f t="shared" si="1"/>
        <v>59</v>
      </c>
    </row>
    <row r="45" spans="2:32" ht="23.1" customHeight="1" x14ac:dyDescent="0.25">
      <c r="B45" s="45" t="s">
        <v>72</v>
      </c>
      <c r="C45" s="50">
        <v>1</v>
      </c>
      <c r="D45" s="50">
        <v>0</v>
      </c>
      <c r="E45" s="50">
        <v>1</v>
      </c>
      <c r="F45" s="50">
        <v>3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46</v>
      </c>
      <c r="N45" s="50">
        <v>0</v>
      </c>
      <c r="O45" s="15">
        <f t="shared" si="0"/>
        <v>5</v>
      </c>
      <c r="P45" s="15">
        <f t="shared" si="1"/>
        <v>51</v>
      </c>
    </row>
    <row r="46" spans="2:32" ht="23.1" customHeight="1" x14ac:dyDescent="0.25">
      <c r="B46" s="46" t="s">
        <v>73</v>
      </c>
      <c r="C46" s="50">
        <v>3</v>
      </c>
      <c r="D46" s="50">
        <v>0</v>
      </c>
      <c r="E46" s="50">
        <v>1</v>
      </c>
      <c r="F46" s="50">
        <v>0</v>
      </c>
      <c r="G46" s="50">
        <v>1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33</v>
      </c>
      <c r="N46" s="50">
        <v>0</v>
      </c>
      <c r="O46" s="15">
        <f t="shared" si="0"/>
        <v>8</v>
      </c>
      <c r="P46" s="15">
        <f t="shared" si="1"/>
        <v>41</v>
      </c>
      <c r="R46" s="8"/>
      <c r="T46"/>
    </row>
    <row r="47" spans="2:32" ht="23.1" customHeight="1" x14ac:dyDescent="0.25">
      <c r="B47" s="46" t="s">
        <v>74</v>
      </c>
      <c r="C47" s="50">
        <v>6</v>
      </c>
      <c r="D47" s="50">
        <v>1</v>
      </c>
      <c r="E47" s="50">
        <v>2</v>
      </c>
      <c r="F47" s="50">
        <v>0</v>
      </c>
      <c r="G47" s="50">
        <v>2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36</v>
      </c>
      <c r="N47" s="50">
        <v>0</v>
      </c>
      <c r="O47" s="15">
        <f t="shared" si="0"/>
        <v>13</v>
      </c>
      <c r="P47" s="15">
        <f t="shared" si="1"/>
        <v>49</v>
      </c>
      <c r="R47" s="8"/>
      <c r="T47"/>
    </row>
    <row r="48" spans="2:32" ht="23.1" customHeight="1" x14ac:dyDescent="0.25">
      <c r="B48" s="46" t="s">
        <v>75</v>
      </c>
      <c r="C48" s="50">
        <v>9</v>
      </c>
      <c r="D48" s="50">
        <v>1</v>
      </c>
      <c r="E48" s="50">
        <v>1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30</v>
      </c>
      <c r="N48" s="50">
        <v>0</v>
      </c>
      <c r="O48" s="15">
        <f t="shared" si="0"/>
        <v>12</v>
      </c>
      <c r="P48" s="15">
        <f t="shared" si="1"/>
        <v>42</v>
      </c>
      <c r="R48" s="8"/>
      <c r="T48"/>
    </row>
    <row r="49" spans="2:20" ht="23.1" customHeight="1" x14ac:dyDescent="0.25">
      <c r="B49" s="45" t="s">
        <v>76</v>
      </c>
      <c r="C49" s="50">
        <v>10</v>
      </c>
      <c r="D49" s="50">
        <v>0</v>
      </c>
      <c r="E49" s="50">
        <v>3</v>
      </c>
      <c r="F49" s="50">
        <v>0</v>
      </c>
      <c r="G49" s="50">
        <v>2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46</v>
      </c>
      <c r="N49" s="50">
        <v>0</v>
      </c>
      <c r="O49" s="15">
        <f t="shared" si="0"/>
        <v>16</v>
      </c>
      <c r="P49" s="15">
        <f t="shared" si="1"/>
        <v>62</v>
      </c>
      <c r="R49" s="8"/>
      <c r="T49"/>
    </row>
    <row r="50" spans="2:20" ht="23.1" customHeight="1" x14ac:dyDescent="0.25">
      <c r="B50" s="46" t="s">
        <v>77</v>
      </c>
      <c r="C50" s="50">
        <v>13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43</v>
      </c>
      <c r="N50" s="50">
        <v>0</v>
      </c>
      <c r="O50" s="15">
        <f t="shared" si="0"/>
        <v>15</v>
      </c>
      <c r="P50" s="15">
        <f t="shared" si="1"/>
        <v>58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1</v>
      </c>
      <c r="J51" s="50">
        <v>2</v>
      </c>
      <c r="K51" s="50">
        <v>0</v>
      </c>
      <c r="L51" s="50">
        <v>0</v>
      </c>
      <c r="M51" s="50">
        <v>32</v>
      </c>
      <c r="N51" s="50">
        <v>0</v>
      </c>
      <c r="O51" s="15">
        <f t="shared" si="0"/>
        <v>10</v>
      </c>
      <c r="P51" s="15">
        <f t="shared" si="1"/>
        <v>42</v>
      </c>
      <c r="R51" s="8"/>
      <c r="T51"/>
    </row>
    <row r="52" spans="2:20" ht="23.1" customHeight="1" x14ac:dyDescent="0.25">
      <c r="B52" s="46" t="s">
        <v>79</v>
      </c>
      <c r="C52" s="50">
        <v>7</v>
      </c>
      <c r="D52" s="50">
        <v>0</v>
      </c>
      <c r="E52" s="50">
        <v>3</v>
      </c>
      <c r="F52" s="50">
        <v>0</v>
      </c>
      <c r="G52" s="50">
        <v>1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26</v>
      </c>
      <c r="N52" s="50">
        <v>0</v>
      </c>
      <c r="O52" s="15">
        <f t="shared" si="0"/>
        <v>11</v>
      </c>
      <c r="P52" s="15">
        <f t="shared" si="1"/>
        <v>37</v>
      </c>
      <c r="R52" s="8"/>
      <c r="T52"/>
    </row>
    <row r="53" spans="2:20" ht="23.1" customHeight="1" x14ac:dyDescent="0.25">
      <c r="B53" s="45" t="s">
        <v>80</v>
      </c>
      <c r="C53" s="50">
        <v>9</v>
      </c>
      <c r="D53" s="50">
        <v>0</v>
      </c>
      <c r="E53" s="50">
        <v>2</v>
      </c>
      <c r="F53" s="50">
        <v>1</v>
      </c>
      <c r="G53" s="50">
        <v>0</v>
      </c>
      <c r="H53" s="50">
        <v>0</v>
      </c>
      <c r="I53" s="50">
        <v>1</v>
      </c>
      <c r="J53" s="50">
        <v>1</v>
      </c>
      <c r="K53" s="50">
        <v>1</v>
      </c>
      <c r="L53" s="50">
        <v>0</v>
      </c>
      <c r="M53" s="50">
        <v>23</v>
      </c>
      <c r="N53" s="50">
        <v>0</v>
      </c>
      <c r="O53" s="15">
        <f t="shared" si="0"/>
        <v>15</v>
      </c>
      <c r="P53" s="15">
        <f t="shared" si="1"/>
        <v>38</v>
      </c>
      <c r="R53" s="8"/>
      <c r="T53"/>
    </row>
    <row r="54" spans="2:20" ht="23.1" customHeight="1" x14ac:dyDescent="0.25">
      <c r="B54" s="45" t="s">
        <v>81</v>
      </c>
      <c r="C54" s="50">
        <v>13</v>
      </c>
      <c r="D54" s="50">
        <v>0</v>
      </c>
      <c r="E54" s="50">
        <v>1</v>
      </c>
      <c r="F54" s="50">
        <v>2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47</v>
      </c>
      <c r="N54" s="50">
        <v>0</v>
      </c>
      <c r="O54" s="15">
        <f t="shared" si="0"/>
        <v>16</v>
      </c>
      <c r="P54" s="15">
        <f t="shared" si="1"/>
        <v>63</v>
      </c>
      <c r="R54" s="8"/>
      <c r="T54"/>
    </row>
    <row r="55" spans="2:20" ht="23.1" customHeight="1" x14ac:dyDescent="0.25">
      <c r="B55" s="45" t="s">
        <v>82</v>
      </c>
      <c r="C55" s="50">
        <v>3</v>
      </c>
      <c r="D55" s="50">
        <v>0</v>
      </c>
      <c r="E55" s="50">
        <v>4</v>
      </c>
      <c r="F55" s="50">
        <v>1</v>
      </c>
      <c r="G55" s="50">
        <v>0</v>
      </c>
      <c r="H55" s="50">
        <v>0</v>
      </c>
      <c r="I55" s="50">
        <v>0</v>
      </c>
      <c r="J55" s="50">
        <v>2</v>
      </c>
      <c r="K55" s="50">
        <v>0</v>
      </c>
      <c r="L55" s="50">
        <v>1</v>
      </c>
      <c r="M55" s="50">
        <v>30</v>
      </c>
      <c r="N55" s="50">
        <v>0</v>
      </c>
      <c r="O55" s="15">
        <f t="shared" si="0"/>
        <v>11</v>
      </c>
      <c r="P55" s="15">
        <f t="shared" si="1"/>
        <v>41</v>
      </c>
      <c r="R55" s="8"/>
      <c r="T55"/>
    </row>
    <row r="56" spans="2:20" ht="23.1" customHeight="1" x14ac:dyDescent="0.25">
      <c r="B56" s="45" t="s">
        <v>83</v>
      </c>
      <c r="C56" s="50">
        <v>4</v>
      </c>
      <c r="D56" s="50">
        <v>0</v>
      </c>
      <c r="E56" s="50">
        <v>2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23</v>
      </c>
      <c r="N56" s="50">
        <v>0</v>
      </c>
      <c r="O56" s="15">
        <f t="shared" si="0"/>
        <v>7</v>
      </c>
      <c r="P56" s="15">
        <f t="shared" si="1"/>
        <v>30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45</v>
      </c>
      <c r="N57" s="50">
        <v>0</v>
      </c>
      <c r="O57" s="15">
        <f t="shared" si="0"/>
        <v>4</v>
      </c>
      <c r="P57" s="15">
        <f t="shared" si="1"/>
        <v>49</v>
      </c>
      <c r="R57" s="8"/>
      <c r="T57"/>
    </row>
    <row r="58" spans="2:20" ht="23.1" customHeight="1" x14ac:dyDescent="0.25">
      <c r="B58" s="45" t="s">
        <v>99</v>
      </c>
      <c r="C58" s="50">
        <v>5</v>
      </c>
      <c r="D58" s="50">
        <v>5</v>
      </c>
      <c r="E58" s="50">
        <v>1</v>
      </c>
      <c r="F58" s="50">
        <v>1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63</v>
      </c>
      <c r="N58" s="50">
        <v>0</v>
      </c>
      <c r="O58" s="15">
        <f t="shared" si="0"/>
        <v>12</v>
      </c>
      <c r="P58" s="15">
        <f t="shared" si="1"/>
        <v>75</v>
      </c>
      <c r="R58" s="8"/>
      <c r="T58"/>
    </row>
    <row r="59" spans="2:20" ht="23.1" customHeight="1" x14ac:dyDescent="0.25">
      <c r="B59" s="45" t="s">
        <v>100</v>
      </c>
      <c r="C59" s="50">
        <v>6</v>
      </c>
      <c r="D59" s="50">
        <v>0</v>
      </c>
      <c r="E59" s="50">
        <v>1</v>
      </c>
      <c r="F59" s="50">
        <v>2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45</v>
      </c>
      <c r="N59" s="50">
        <v>0</v>
      </c>
      <c r="O59" s="15">
        <f t="shared" si="0"/>
        <v>9</v>
      </c>
      <c r="P59" s="15">
        <f t="shared" si="1"/>
        <v>54</v>
      </c>
      <c r="R59" s="8"/>
      <c r="T59"/>
    </row>
    <row r="60" spans="2:20" ht="23.1" customHeight="1" x14ac:dyDescent="0.25">
      <c r="B60" s="45" t="s">
        <v>101</v>
      </c>
      <c r="C60" s="50">
        <v>4</v>
      </c>
      <c r="D60" s="50">
        <v>1</v>
      </c>
      <c r="E60" s="50">
        <v>1</v>
      </c>
      <c r="F60" s="50">
        <v>7</v>
      </c>
      <c r="G60" s="50">
        <v>0</v>
      </c>
      <c r="H60" s="50">
        <v>2</v>
      </c>
      <c r="I60" s="50">
        <v>3</v>
      </c>
      <c r="J60" s="50">
        <v>4</v>
      </c>
      <c r="K60" s="50">
        <v>6</v>
      </c>
      <c r="L60" s="50">
        <v>0</v>
      </c>
      <c r="M60" s="50">
        <v>39</v>
      </c>
      <c r="N60" s="50">
        <v>0</v>
      </c>
      <c r="O60" s="15">
        <f t="shared" si="0"/>
        <v>28</v>
      </c>
      <c r="P60" s="15">
        <f t="shared" si="1"/>
        <v>67</v>
      </c>
      <c r="R60" s="8"/>
      <c r="T60"/>
    </row>
    <row r="61" spans="2:20" ht="23.1" customHeight="1" x14ac:dyDescent="0.25">
      <c r="B61" s="45" t="s">
        <v>102</v>
      </c>
      <c r="C61" s="50">
        <v>5</v>
      </c>
      <c r="D61" s="50">
        <v>3</v>
      </c>
      <c r="E61" s="50">
        <v>1</v>
      </c>
      <c r="F61" s="50">
        <v>3</v>
      </c>
      <c r="G61" s="50">
        <v>0</v>
      </c>
      <c r="H61" s="50">
        <v>0</v>
      </c>
      <c r="I61" s="50">
        <v>2</v>
      </c>
      <c r="J61" s="50">
        <v>0</v>
      </c>
      <c r="K61" s="50">
        <v>2</v>
      </c>
      <c r="L61" s="50">
        <v>0</v>
      </c>
      <c r="M61" s="50">
        <v>25</v>
      </c>
      <c r="N61" s="50">
        <v>0</v>
      </c>
      <c r="O61" s="15">
        <f t="shared" si="0"/>
        <v>16</v>
      </c>
      <c r="P61" s="15">
        <f t="shared" si="1"/>
        <v>41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3</v>
      </c>
      <c r="E62" s="50">
        <v>2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12</v>
      </c>
      <c r="N62" s="50">
        <v>0</v>
      </c>
      <c r="O62" s="15">
        <f t="shared" si="0"/>
        <v>7</v>
      </c>
      <c r="P62" s="15">
        <f t="shared" si="1"/>
        <v>19</v>
      </c>
      <c r="R62" s="8"/>
      <c r="T62"/>
    </row>
    <row r="63" spans="2:20" ht="23.1" customHeight="1" x14ac:dyDescent="0.25">
      <c r="B63" s="45" t="s">
        <v>108</v>
      </c>
      <c r="C63" s="50">
        <v>5</v>
      </c>
      <c r="D63" s="50">
        <v>6</v>
      </c>
      <c r="E63" s="50">
        <v>3</v>
      </c>
      <c r="F63" s="50">
        <v>2</v>
      </c>
      <c r="G63" s="50">
        <v>0</v>
      </c>
      <c r="H63" s="50">
        <v>0</v>
      </c>
      <c r="I63" s="50">
        <v>5</v>
      </c>
      <c r="J63" s="50">
        <v>4</v>
      </c>
      <c r="K63" s="50">
        <v>1</v>
      </c>
      <c r="L63" s="50">
        <v>0</v>
      </c>
      <c r="M63" s="50">
        <v>33</v>
      </c>
      <c r="N63" s="50">
        <v>0</v>
      </c>
      <c r="O63" s="15">
        <f t="shared" si="0"/>
        <v>26</v>
      </c>
      <c r="P63" s="15">
        <f t="shared" si="1"/>
        <v>59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3</v>
      </c>
      <c r="E64" s="50">
        <v>2</v>
      </c>
      <c r="F64" s="50">
        <v>2</v>
      </c>
      <c r="G64" s="50">
        <v>2</v>
      </c>
      <c r="H64" s="50">
        <v>0</v>
      </c>
      <c r="I64" s="50">
        <v>1</v>
      </c>
      <c r="J64" s="50">
        <v>3</v>
      </c>
      <c r="K64" s="50">
        <v>1</v>
      </c>
      <c r="L64" s="50">
        <v>0</v>
      </c>
      <c r="M64" s="50">
        <v>23</v>
      </c>
      <c r="N64" s="50">
        <v>0</v>
      </c>
      <c r="O64" s="15">
        <f t="shared" si="0"/>
        <v>15</v>
      </c>
      <c r="P64" s="15">
        <f t="shared" si="1"/>
        <v>38</v>
      </c>
      <c r="R64" s="8"/>
      <c r="T64"/>
    </row>
    <row r="65" spans="2:20" ht="23.1" customHeight="1" x14ac:dyDescent="0.25">
      <c r="B65" s="45" t="s">
        <v>158</v>
      </c>
      <c r="C65" s="50">
        <v>3</v>
      </c>
      <c r="D65" s="50">
        <v>1</v>
      </c>
      <c r="E65" s="50">
        <v>1</v>
      </c>
      <c r="F65" s="50">
        <v>2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18</v>
      </c>
      <c r="N65" s="50">
        <v>0</v>
      </c>
      <c r="O65" s="15">
        <f t="shared" si="0"/>
        <v>8</v>
      </c>
      <c r="P65" s="15">
        <f t="shared" si="1"/>
        <v>26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0</v>
      </c>
      <c r="E66" s="50">
        <v>1</v>
      </c>
      <c r="F66" s="50">
        <v>1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23</v>
      </c>
      <c r="N66" s="50">
        <v>0</v>
      </c>
      <c r="O66" s="15">
        <f t="shared" si="0"/>
        <v>6</v>
      </c>
      <c r="P66" s="15">
        <f t="shared" si="1"/>
        <v>29</v>
      </c>
      <c r="R66" s="8"/>
      <c r="T66"/>
    </row>
    <row r="67" spans="2:20" ht="23.1" customHeight="1" x14ac:dyDescent="0.25">
      <c r="B67" s="45" t="s">
        <v>104</v>
      </c>
      <c r="C67" s="50">
        <v>6</v>
      </c>
      <c r="D67" s="50">
        <v>1</v>
      </c>
      <c r="E67" s="50">
        <v>1</v>
      </c>
      <c r="F67" s="50">
        <v>1</v>
      </c>
      <c r="G67" s="50">
        <v>0</v>
      </c>
      <c r="H67" s="50">
        <v>0</v>
      </c>
      <c r="I67" s="50">
        <v>0</v>
      </c>
      <c r="J67" s="50">
        <v>1</v>
      </c>
      <c r="K67" s="50">
        <v>0</v>
      </c>
      <c r="L67" s="50">
        <v>0</v>
      </c>
      <c r="M67" s="50">
        <v>10</v>
      </c>
      <c r="N67" s="50">
        <v>0</v>
      </c>
      <c r="O67" s="15">
        <f t="shared" si="0"/>
        <v>10</v>
      </c>
      <c r="P67" s="15">
        <f t="shared" si="1"/>
        <v>20</v>
      </c>
      <c r="R67" s="8"/>
      <c r="T67"/>
    </row>
    <row r="68" spans="2:20" ht="23.1" customHeight="1" x14ac:dyDescent="0.25">
      <c r="B68" s="45" t="s">
        <v>105</v>
      </c>
      <c r="C68" s="50">
        <v>3</v>
      </c>
      <c r="D68" s="50">
        <v>0</v>
      </c>
      <c r="E68" s="50">
        <v>0</v>
      </c>
      <c r="F68" s="50">
        <v>1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22</v>
      </c>
      <c r="N68" s="50">
        <v>0</v>
      </c>
      <c r="O68" s="15">
        <f t="shared" si="0"/>
        <v>4</v>
      </c>
      <c r="P68" s="15">
        <f t="shared" si="1"/>
        <v>26</v>
      </c>
      <c r="R68" s="8"/>
      <c r="T68"/>
    </row>
    <row r="69" spans="2:20" ht="23.1" customHeight="1" x14ac:dyDescent="0.25">
      <c r="B69" s="45" t="s">
        <v>106</v>
      </c>
      <c r="C69" s="50">
        <v>2</v>
      </c>
      <c r="D69" s="50">
        <v>1</v>
      </c>
      <c r="E69" s="50">
        <v>2</v>
      </c>
      <c r="F69" s="50">
        <v>1</v>
      </c>
      <c r="G69" s="50">
        <v>3</v>
      </c>
      <c r="H69" s="50">
        <v>0</v>
      </c>
      <c r="I69" s="50">
        <v>2</v>
      </c>
      <c r="J69" s="50">
        <v>0</v>
      </c>
      <c r="K69" s="50">
        <v>0</v>
      </c>
      <c r="L69" s="50">
        <v>0</v>
      </c>
      <c r="M69" s="50">
        <v>9</v>
      </c>
      <c r="N69" s="50">
        <v>0</v>
      </c>
      <c r="O69" s="15">
        <f t="shared" si="0"/>
        <v>11</v>
      </c>
      <c r="P69" s="15">
        <f t="shared" si="1"/>
        <v>20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1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2</v>
      </c>
      <c r="L70" s="50">
        <v>0</v>
      </c>
      <c r="M70" s="50">
        <v>3</v>
      </c>
      <c r="N70" s="50">
        <v>0</v>
      </c>
      <c r="O70" s="15">
        <f t="shared" si="0"/>
        <v>4</v>
      </c>
      <c r="P70" s="15">
        <f t="shared" si="1"/>
        <v>7</v>
      </c>
      <c r="R70" s="8"/>
      <c r="T70"/>
    </row>
    <row r="71" spans="2:20" ht="23.1" customHeight="1" x14ac:dyDescent="0.25">
      <c r="B71" s="45" t="s">
        <v>111</v>
      </c>
      <c r="C71" s="50">
        <v>3</v>
      </c>
      <c r="D71" s="50">
        <v>1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12</v>
      </c>
      <c r="N71" s="50">
        <v>0</v>
      </c>
      <c r="O71" s="15">
        <f t="shared" si="0"/>
        <v>4</v>
      </c>
      <c r="P71" s="15">
        <f t="shared" si="1"/>
        <v>16</v>
      </c>
      <c r="R71" s="8"/>
      <c r="T71"/>
    </row>
    <row r="72" spans="2:20" ht="23.1" customHeight="1" x14ac:dyDescent="0.25">
      <c r="B72" s="45" t="s">
        <v>112</v>
      </c>
      <c r="C72" s="50">
        <v>2</v>
      </c>
      <c r="D72" s="50">
        <v>3</v>
      </c>
      <c r="E72" s="50">
        <v>1</v>
      </c>
      <c r="F72" s="50">
        <v>0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2</v>
      </c>
      <c r="N72" s="50">
        <v>0</v>
      </c>
      <c r="O72" s="15">
        <f t="shared" si="0"/>
        <v>7</v>
      </c>
      <c r="P72" s="15">
        <f t="shared" si="1"/>
        <v>9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1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6</v>
      </c>
      <c r="N73" s="50">
        <v>0</v>
      </c>
      <c r="O73" s="15">
        <f t="shared" si="0"/>
        <v>2</v>
      </c>
      <c r="P73" s="15">
        <f t="shared" si="1"/>
        <v>8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1</v>
      </c>
      <c r="F74" s="50">
        <v>0</v>
      </c>
      <c r="G74" s="50">
        <v>0</v>
      </c>
      <c r="H74" s="50">
        <v>0</v>
      </c>
      <c r="I74" s="50">
        <v>1</v>
      </c>
      <c r="J74" s="50">
        <v>0</v>
      </c>
      <c r="K74" s="50">
        <v>1</v>
      </c>
      <c r="L74" s="50">
        <v>0</v>
      </c>
      <c r="M74" s="50">
        <v>7</v>
      </c>
      <c r="N74" s="50">
        <v>0</v>
      </c>
      <c r="O74" s="15">
        <f t="shared" ref="O74:O105" si="35">SUM(C74:L74,N74)</f>
        <v>4</v>
      </c>
      <c r="P74" s="15">
        <f t="shared" ref="P74:P105" si="36">SUM(C74:N74)</f>
        <v>11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1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2</v>
      </c>
      <c r="P75" s="15">
        <f t="shared" si="36"/>
        <v>2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5</v>
      </c>
      <c r="N76" s="50">
        <v>0</v>
      </c>
      <c r="O76" s="15">
        <f t="shared" si="35"/>
        <v>0</v>
      </c>
      <c r="P76" s="15">
        <f t="shared" si="36"/>
        <v>5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0</v>
      </c>
      <c r="F77" s="50">
        <v>2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</v>
      </c>
      <c r="N77" s="50">
        <v>0</v>
      </c>
      <c r="O77" s="15">
        <f t="shared" si="35"/>
        <v>3</v>
      </c>
      <c r="P77" s="15">
        <f t="shared" si="36"/>
        <v>5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1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3</v>
      </c>
      <c r="N78" s="50">
        <v>0</v>
      </c>
      <c r="O78" s="15">
        <f t="shared" si="35"/>
        <v>3</v>
      </c>
      <c r="P78" s="15">
        <f t="shared" si="36"/>
        <v>6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0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6</v>
      </c>
      <c r="N81" s="50">
        <v>0</v>
      </c>
      <c r="O81" s="15">
        <f t="shared" si="35"/>
        <v>1</v>
      </c>
      <c r="P81" s="15">
        <f t="shared" si="36"/>
        <v>7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2</v>
      </c>
      <c r="E82" s="50">
        <v>0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</v>
      </c>
      <c r="N82" s="50">
        <v>0</v>
      </c>
      <c r="O82" s="15">
        <f t="shared" si="35"/>
        <v>4</v>
      </c>
      <c r="P82" s="15">
        <f t="shared" si="36"/>
        <v>6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1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6</v>
      </c>
      <c r="N85" s="50">
        <v>0</v>
      </c>
      <c r="O85" s="15">
        <f t="shared" si="35"/>
        <v>2</v>
      </c>
      <c r="P85" s="15">
        <f t="shared" si="36"/>
        <v>8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</v>
      </c>
      <c r="N86" s="50">
        <v>0</v>
      </c>
      <c r="O86" s="15">
        <f t="shared" si="35"/>
        <v>1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</v>
      </c>
      <c r="N89" s="50">
        <v>0</v>
      </c>
      <c r="O89" s="15">
        <f t="shared" si="35"/>
        <v>0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2</v>
      </c>
      <c r="J94" s="50">
        <v>0</v>
      </c>
      <c r="K94" s="50">
        <v>1</v>
      </c>
      <c r="L94" s="50">
        <v>0</v>
      </c>
      <c r="M94" s="50">
        <v>2</v>
      </c>
      <c r="N94" s="50">
        <v>0</v>
      </c>
      <c r="O94" s="15">
        <f t="shared" si="35"/>
        <v>5</v>
      </c>
      <c r="P94" s="15">
        <f t="shared" si="36"/>
        <v>7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1</v>
      </c>
      <c r="P97" s="15">
        <f t="shared" si="36"/>
        <v>3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1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2</v>
      </c>
      <c r="L98" s="50">
        <v>2</v>
      </c>
      <c r="M98" s="50">
        <v>3</v>
      </c>
      <c r="N98" s="50">
        <v>0</v>
      </c>
      <c r="O98" s="15">
        <f t="shared" si="35"/>
        <v>7</v>
      </c>
      <c r="P98" s="15">
        <f t="shared" si="36"/>
        <v>10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2</v>
      </c>
      <c r="F99" s="50">
        <v>1</v>
      </c>
      <c r="G99" s="50">
        <v>0</v>
      </c>
      <c r="H99" s="50">
        <v>0</v>
      </c>
      <c r="I99" s="50">
        <v>3</v>
      </c>
      <c r="J99" s="50">
        <v>0</v>
      </c>
      <c r="K99" s="50">
        <v>0</v>
      </c>
      <c r="L99" s="50">
        <v>0</v>
      </c>
      <c r="M99" s="50">
        <v>4</v>
      </c>
      <c r="N99" s="50">
        <v>0</v>
      </c>
      <c r="O99" s="15">
        <f t="shared" si="35"/>
        <v>8</v>
      </c>
      <c r="P99" s="15">
        <f t="shared" si="36"/>
        <v>12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5">
        <f t="shared" si="35"/>
        <v>0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1</v>
      </c>
      <c r="P101" s="15">
        <f t="shared" si="36"/>
        <v>3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4</v>
      </c>
      <c r="F102" s="50">
        <v>1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3</v>
      </c>
      <c r="N102" s="50">
        <v>0</v>
      </c>
      <c r="O102" s="15">
        <f t="shared" si="35"/>
        <v>6</v>
      </c>
      <c r="P102" s="15">
        <f t="shared" si="36"/>
        <v>9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2</v>
      </c>
      <c r="J103" s="50">
        <v>0</v>
      </c>
      <c r="K103" s="50">
        <v>0</v>
      </c>
      <c r="L103" s="50">
        <v>0</v>
      </c>
      <c r="M103" s="50">
        <v>4</v>
      </c>
      <c r="N103" s="50">
        <v>0</v>
      </c>
      <c r="O103" s="15">
        <f t="shared" si="35"/>
        <v>2</v>
      </c>
      <c r="P103" s="15">
        <f t="shared" si="36"/>
        <v>6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1</v>
      </c>
      <c r="G104" s="50">
        <v>0</v>
      </c>
      <c r="H104" s="50">
        <v>1</v>
      </c>
      <c r="I104" s="50">
        <v>0</v>
      </c>
      <c r="J104" s="50">
        <v>0</v>
      </c>
      <c r="K104" s="50">
        <v>0</v>
      </c>
      <c r="L104" s="50">
        <v>0</v>
      </c>
      <c r="M104" s="50">
        <v>7</v>
      </c>
      <c r="N104" s="50">
        <v>0</v>
      </c>
      <c r="O104" s="15">
        <f t="shared" si="35"/>
        <v>2</v>
      </c>
      <c r="P104" s="15">
        <f t="shared" si="36"/>
        <v>9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329</v>
      </c>
      <c r="D106" s="16">
        <f t="shared" ref="D106:P106" si="37">SUM(D10:D105)</f>
        <v>52</v>
      </c>
      <c r="E106" s="16">
        <f t="shared" si="37"/>
        <v>87</v>
      </c>
      <c r="F106" s="16">
        <f t="shared" si="37"/>
        <v>63</v>
      </c>
      <c r="G106" s="16">
        <f t="shared" si="37"/>
        <v>14</v>
      </c>
      <c r="H106" s="16">
        <f t="shared" si="37"/>
        <v>3</v>
      </c>
      <c r="I106" s="16">
        <f t="shared" si="37"/>
        <v>58</v>
      </c>
      <c r="J106" s="16">
        <f t="shared" si="37"/>
        <v>38</v>
      </c>
      <c r="K106" s="16">
        <f t="shared" si="37"/>
        <v>21</v>
      </c>
      <c r="L106" s="16">
        <f t="shared" si="37"/>
        <v>7</v>
      </c>
      <c r="M106" s="16">
        <f t="shared" si="37"/>
        <v>1840</v>
      </c>
      <c r="N106" s="16">
        <f t="shared" si="37"/>
        <v>0</v>
      </c>
      <c r="O106" s="16">
        <f t="shared" si="37"/>
        <v>672</v>
      </c>
      <c r="P106" s="16">
        <f t="shared" si="37"/>
        <v>2512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0.13097133757961785</v>
      </c>
      <c r="D107" s="43">
        <f t="shared" si="38"/>
        <v>2.0700636942675158E-2</v>
      </c>
      <c r="E107" s="43">
        <f t="shared" si="38"/>
        <v>3.4633757961783439E-2</v>
      </c>
      <c r="F107" s="43">
        <f t="shared" si="38"/>
        <v>2.5079617834394906E-2</v>
      </c>
      <c r="G107" s="43">
        <f t="shared" si="38"/>
        <v>5.5732484076433117E-3</v>
      </c>
      <c r="H107" s="43">
        <f t="shared" si="38"/>
        <v>1.1942675159235668E-3</v>
      </c>
      <c r="I107" s="43">
        <f t="shared" si="38"/>
        <v>2.3089171974522291E-2</v>
      </c>
      <c r="J107" s="43">
        <f t="shared" si="38"/>
        <v>1.5127388535031847E-2</v>
      </c>
      <c r="K107" s="43">
        <f t="shared" si="38"/>
        <v>8.359872611464968E-3</v>
      </c>
      <c r="L107" s="43">
        <f t="shared" si="38"/>
        <v>2.7866242038216559E-3</v>
      </c>
      <c r="M107" s="43">
        <f t="shared" si="38"/>
        <v>0.73248407643312097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0.48958333333333331</v>
      </c>
      <c r="D108" s="44">
        <f t="shared" ref="D108:N108" si="39">D106/$O$106</f>
        <v>7.7380952380952384E-2</v>
      </c>
      <c r="E108" s="44">
        <f t="shared" si="39"/>
        <v>0.12946428571428573</v>
      </c>
      <c r="F108" s="44">
        <f t="shared" si="39"/>
        <v>9.375E-2</v>
      </c>
      <c r="G108" s="44">
        <f t="shared" si="39"/>
        <v>2.0833333333333332E-2</v>
      </c>
      <c r="H108" s="44">
        <f t="shared" si="39"/>
        <v>4.464285714285714E-3</v>
      </c>
      <c r="I108" s="44">
        <f t="shared" si="39"/>
        <v>8.6309523809523808E-2</v>
      </c>
      <c r="J108" s="44">
        <f t="shared" si="39"/>
        <v>5.6547619047619048E-2</v>
      </c>
      <c r="K108" s="44">
        <f t="shared" si="39"/>
        <v>3.125E-2</v>
      </c>
      <c r="L108" s="44">
        <f t="shared" si="39"/>
        <v>1.0416666666666666E-2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43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KYENJOJO-HOIMA'!C3:G3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174</v>
      </c>
      <c r="E5" s="3"/>
      <c r="F5" s="41" t="s">
        <v>1</v>
      </c>
      <c r="G5" s="63" t="str">
        <f>'28.10 KYENJOJO-HOIMA-24h'!G5:H5</f>
        <v>KYENJOJO</v>
      </c>
      <c r="H5" s="64"/>
      <c r="I5" s="14"/>
      <c r="J5" s="2" t="s">
        <v>5</v>
      </c>
      <c r="K5" s="63" t="str">
        <f>'28.10 KYENJOJO-HOIMA-24h'!K5:L5</f>
        <v>STEVEN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HOIMA-KYENJOJO'!D6:E6</f>
        <v>HOIMA</v>
      </c>
      <c r="E6" s="64"/>
      <c r="F6" s="2" t="s">
        <v>2</v>
      </c>
      <c r="G6" s="63" t="str">
        <f>'25.10 HOIMA-KYENJOJO'!G6:H6</f>
        <v>KYENJOJO</v>
      </c>
      <c r="H6" s="64"/>
      <c r="J6" s="2" t="s">
        <v>21</v>
      </c>
      <c r="K6" s="63" t="str">
        <f>'28.10 KYENJOJO-HOIMA-24h'!K6:L6</f>
        <v>FELIX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0</v>
      </c>
      <c r="R10" s="1" t="s">
        <v>6</v>
      </c>
      <c r="S10" s="17">
        <f t="shared" ref="S10:AF10" si="2">SUM(C10:C13)</f>
        <v>13</v>
      </c>
      <c r="T10" s="17">
        <f t="shared" si="2"/>
        <v>2</v>
      </c>
      <c r="U10" s="17">
        <f t="shared" si="2"/>
        <v>2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139</v>
      </c>
      <c r="AD10" s="17">
        <f t="shared" si="2"/>
        <v>0</v>
      </c>
      <c r="AE10" s="31">
        <f t="shared" si="2"/>
        <v>20</v>
      </c>
      <c r="AF10" s="31">
        <f t="shared" si="2"/>
        <v>159</v>
      </c>
    </row>
    <row r="11" spans="2:32" s="6" customFormat="1" ht="23.1" customHeight="1" x14ac:dyDescent="0.25">
      <c r="B11" s="45" t="s">
        <v>38</v>
      </c>
      <c r="C11" s="50">
        <v>3</v>
      </c>
      <c r="D11" s="50">
        <v>1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19</v>
      </c>
      <c r="N11" s="50">
        <v>0</v>
      </c>
      <c r="O11" s="15">
        <f t="shared" si="0"/>
        <v>5</v>
      </c>
      <c r="P11" s="15">
        <f t="shared" si="1"/>
        <v>24</v>
      </c>
      <c r="R11" s="1" t="s">
        <v>7</v>
      </c>
      <c r="S11" s="17">
        <f t="shared" ref="S11:AF11" si="3">SUM(C14:C17)</f>
        <v>43</v>
      </c>
      <c r="T11" s="17">
        <f t="shared" si="3"/>
        <v>0</v>
      </c>
      <c r="U11" s="17">
        <f t="shared" si="3"/>
        <v>0</v>
      </c>
      <c r="V11" s="17">
        <f t="shared" si="3"/>
        <v>4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170</v>
      </c>
      <c r="AD11" s="17">
        <f t="shared" si="3"/>
        <v>0</v>
      </c>
      <c r="AE11" s="31">
        <f t="shared" si="3"/>
        <v>50</v>
      </c>
      <c r="AF11" s="31">
        <f t="shared" si="3"/>
        <v>220</v>
      </c>
    </row>
    <row r="12" spans="2:32" ht="23.1" customHeight="1" x14ac:dyDescent="0.25">
      <c r="B12" s="45" t="s">
        <v>39</v>
      </c>
      <c r="C12" s="50">
        <v>6</v>
      </c>
      <c r="D12" s="50">
        <v>1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55</v>
      </c>
      <c r="N12" s="50">
        <v>0</v>
      </c>
      <c r="O12" s="15">
        <f t="shared" si="0"/>
        <v>8</v>
      </c>
      <c r="P12" s="15">
        <f t="shared" si="1"/>
        <v>63</v>
      </c>
      <c r="R12" s="1" t="s">
        <v>8</v>
      </c>
      <c r="S12" s="17">
        <f t="shared" ref="S12:AF12" si="4">SUM(C18:C21)</f>
        <v>25</v>
      </c>
      <c r="T12" s="17">
        <f t="shared" si="4"/>
        <v>2</v>
      </c>
      <c r="U12" s="17">
        <f t="shared" si="4"/>
        <v>2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4</v>
      </c>
      <c r="AA12" s="17">
        <f t="shared" si="4"/>
        <v>0</v>
      </c>
      <c r="AB12" s="17">
        <f t="shared" si="4"/>
        <v>1</v>
      </c>
      <c r="AC12" s="17">
        <f t="shared" si="4"/>
        <v>152</v>
      </c>
      <c r="AD12" s="17">
        <f t="shared" si="4"/>
        <v>0</v>
      </c>
      <c r="AE12" s="31">
        <f t="shared" si="4"/>
        <v>40</v>
      </c>
      <c r="AF12" s="31">
        <f t="shared" si="4"/>
        <v>192</v>
      </c>
    </row>
    <row r="13" spans="2:32" ht="23.1" customHeight="1" x14ac:dyDescent="0.25">
      <c r="B13" s="45" t="s">
        <v>40</v>
      </c>
      <c r="C13" s="50">
        <v>4</v>
      </c>
      <c r="D13" s="50">
        <v>0</v>
      </c>
      <c r="E13" s="50">
        <v>1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65</v>
      </c>
      <c r="N13" s="50">
        <v>0</v>
      </c>
      <c r="O13" s="15">
        <f t="shared" si="0"/>
        <v>7</v>
      </c>
      <c r="P13" s="15">
        <f t="shared" si="1"/>
        <v>72</v>
      </c>
      <c r="R13" s="1" t="s">
        <v>9</v>
      </c>
      <c r="S13" s="17">
        <f t="shared" ref="S13:AF13" si="5">SUM(C22:C25)</f>
        <v>31</v>
      </c>
      <c r="T13" s="17">
        <f t="shared" si="5"/>
        <v>2</v>
      </c>
      <c r="U13" s="17">
        <f t="shared" si="5"/>
        <v>8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147</v>
      </c>
      <c r="AD13" s="17">
        <f t="shared" si="5"/>
        <v>0</v>
      </c>
      <c r="AE13" s="31">
        <f t="shared" si="5"/>
        <v>56</v>
      </c>
      <c r="AF13" s="31">
        <f t="shared" si="5"/>
        <v>203</v>
      </c>
    </row>
    <row r="14" spans="2:32" ht="23.1" customHeight="1" x14ac:dyDescent="0.25">
      <c r="B14" s="45" t="s">
        <v>41</v>
      </c>
      <c r="C14" s="50">
        <v>5</v>
      </c>
      <c r="D14" s="50">
        <v>0</v>
      </c>
      <c r="E14" s="50">
        <v>0</v>
      </c>
      <c r="F14" s="50">
        <v>2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27</v>
      </c>
      <c r="N14" s="50">
        <v>0</v>
      </c>
      <c r="O14" s="15">
        <f t="shared" si="0"/>
        <v>8</v>
      </c>
      <c r="P14" s="15">
        <f t="shared" si="1"/>
        <v>35</v>
      </c>
      <c r="R14" s="1" t="s">
        <v>10</v>
      </c>
      <c r="S14" s="17">
        <f t="shared" ref="S14:AF14" si="6">SUM(C26:C29)</f>
        <v>15</v>
      </c>
      <c r="T14" s="17">
        <f t="shared" si="6"/>
        <v>0</v>
      </c>
      <c r="U14" s="17">
        <f t="shared" si="6"/>
        <v>2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3</v>
      </c>
      <c r="AA14" s="17">
        <f t="shared" si="6"/>
        <v>2</v>
      </c>
      <c r="AB14" s="17">
        <f t="shared" si="6"/>
        <v>0</v>
      </c>
      <c r="AC14" s="17">
        <f t="shared" si="6"/>
        <v>97</v>
      </c>
      <c r="AD14" s="17">
        <f t="shared" si="6"/>
        <v>0</v>
      </c>
      <c r="AE14" s="31">
        <f t="shared" si="6"/>
        <v>29</v>
      </c>
      <c r="AF14" s="31">
        <f t="shared" si="6"/>
        <v>126</v>
      </c>
    </row>
    <row r="15" spans="2:32" ht="23.1" customHeight="1" x14ac:dyDescent="0.25">
      <c r="B15" s="45" t="s">
        <v>42</v>
      </c>
      <c r="C15" s="50">
        <v>10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41</v>
      </c>
      <c r="N15" s="50">
        <v>0</v>
      </c>
      <c r="O15" s="15">
        <f t="shared" si="0"/>
        <v>12</v>
      </c>
      <c r="P15" s="15">
        <f t="shared" si="1"/>
        <v>53</v>
      </c>
      <c r="R15" s="1" t="s">
        <v>11</v>
      </c>
      <c r="S15" s="17">
        <f t="shared" ref="S15:AF15" si="7">SUM(C30:C33)</f>
        <v>10</v>
      </c>
      <c r="T15" s="17">
        <f t="shared" si="7"/>
        <v>3</v>
      </c>
      <c r="U15" s="17">
        <f t="shared" si="7"/>
        <v>0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149</v>
      </c>
      <c r="AD15" s="17">
        <f t="shared" si="7"/>
        <v>0</v>
      </c>
      <c r="AE15" s="31">
        <f t="shared" si="7"/>
        <v>20</v>
      </c>
      <c r="AF15" s="31">
        <f t="shared" si="7"/>
        <v>169</v>
      </c>
    </row>
    <row r="16" spans="2:32" ht="23.1" customHeight="1" x14ac:dyDescent="0.25">
      <c r="B16" s="45" t="s">
        <v>43</v>
      </c>
      <c r="C16" s="50">
        <v>17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55</v>
      </c>
      <c r="N16" s="50">
        <v>0</v>
      </c>
      <c r="O16" s="15">
        <f t="shared" si="0"/>
        <v>19</v>
      </c>
      <c r="P16" s="15">
        <f t="shared" si="1"/>
        <v>74</v>
      </c>
      <c r="R16" s="1" t="s">
        <v>12</v>
      </c>
      <c r="S16" s="17">
        <f t="shared" ref="S16:AF16" si="8">SUM(C34:C37)</f>
        <v>15</v>
      </c>
      <c r="T16" s="17">
        <f t="shared" si="8"/>
        <v>5</v>
      </c>
      <c r="U16" s="17">
        <f t="shared" si="8"/>
        <v>2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3</v>
      </c>
      <c r="AA16" s="17">
        <f t="shared" si="8"/>
        <v>1</v>
      </c>
      <c r="AB16" s="17">
        <f t="shared" si="8"/>
        <v>0</v>
      </c>
      <c r="AC16" s="17">
        <f t="shared" si="8"/>
        <v>148</v>
      </c>
      <c r="AD16" s="17">
        <f t="shared" si="8"/>
        <v>0</v>
      </c>
      <c r="AE16" s="31">
        <f t="shared" si="8"/>
        <v>29</v>
      </c>
      <c r="AF16" s="31">
        <f t="shared" si="8"/>
        <v>177</v>
      </c>
    </row>
    <row r="17" spans="2:32" ht="23.1" customHeight="1" x14ac:dyDescent="0.25">
      <c r="B17" s="45" t="s">
        <v>44</v>
      </c>
      <c r="C17" s="50">
        <v>11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47</v>
      </c>
      <c r="N17" s="50">
        <v>0</v>
      </c>
      <c r="O17" s="15">
        <f t="shared" si="0"/>
        <v>11</v>
      </c>
      <c r="P17" s="15">
        <f t="shared" si="1"/>
        <v>58</v>
      </c>
      <c r="R17" s="1" t="s">
        <v>13</v>
      </c>
      <c r="S17" s="17">
        <f t="shared" ref="S17:AF17" si="9">SUM(C38:C41)</f>
        <v>13</v>
      </c>
      <c r="T17" s="17">
        <f t="shared" si="9"/>
        <v>0</v>
      </c>
      <c r="U17" s="17">
        <f t="shared" si="9"/>
        <v>4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170</v>
      </c>
      <c r="AD17" s="17">
        <f t="shared" si="9"/>
        <v>0</v>
      </c>
      <c r="AE17" s="31">
        <f t="shared" si="9"/>
        <v>30</v>
      </c>
      <c r="AF17" s="31">
        <f t="shared" si="9"/>
        <v>200</v>
      </c>
    </row>
    <row r="18" spans="2:32" ht="23.1" customHeight="1" x14ac:dyDescent="0.25">
      <c r="B18" s="45" t="s">
        <v>45</v>
      </c>
      <c r="C18" s="50">
        <v>10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1</v>
      </c>
      <c r="M18" s="50">
        <v>33</v>
      </c>
      <c r="N18" s="50">
        <v>0</v>
      </c>
      <c r="O18" s="15">
        <f t="shared" si="0"/>
        <v>14</v>
      </c>
      <c r="P18" s="15">
        <f t="shared" si="1"/>
        <v>47</v>
      </c>
      <c r="R18" s="1" t="s">
        <v>14</v>
      </c>
      <c r="S18" s="17">
        <f t="shared" ref="S18:AF18" si="10">SUM(C42:C45)</f>
        <v>26</v>
      </c>
      <c r="T18" s="17">
        <f t="shared" si="10"/>
        <v>1</v>
      </c>
      <c r="U18" s="17">
        <f t="shared" si="10"/>
        <v>3</v>
      </c>
      <c r="V18" s="17">
        <f t="shared" si="10"/>
        <v>7</v>
      </c>
      <c r="W18" s="17">
        <f t="shared" si="10"/>
        <v>0</v>
      </c>
      <c r="X18" s="17">
        <f t="shared" si="10"/>
        <v>2</v>
      </c>
      <c r="Y18" s="17">
        <f t="shared" si="10"/>
        <v>4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181</v>
      </c>
      <c r="AD18" s="17">
        <f t="shared" si="10"/>
        <v>0</v>
      </c>
      <c r="AE18" s="31">
        <f t="shared" si="10"/>
        <v>45</v>
      </c>
      <c r="AF18" s="31">
        <f t="shared" si="10"/>
        <v>226</v>
      </c>
    </row>
    <row r="19" spans="2:32" ht="23.1" customHeight="1" x14ac:dyDescent="0.25">
      <c r="B19" s="45" t="s">
        <v>46</v>
      </c>
      <c r="C19" s="50">
        <v>3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39</v>
      </c>
      <c r="N19" s="50">
        <v>0</v>
      </c>
      <c r="O19" s="15">
        <f t="shared" si="0"/>
        <v>5</v>
      </c>
      <c r="P19" s="15">
        <f t="shared" si="1"/>
        <v>44</v>
      </c>
      <c r="R19" s="1" t="s">
        <v>15</v>
      </c>
      <c r="S19" s="17">
        <f t="shared" ref="S19:AF19" si="11">SUM(C46:C49)</f>
        <v>25</v>
      </c>
      <c r="T19" s="17">
        <f t="shared" si="11"/>
        <v>1</v>
      </c>
      <c r="U19" s="17">
        <f t="shared" si="11"/>
        <v>8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3</v>
      </c>
      <c r="AA19" s="17">
        <f t="shared" si="11"/>
        <v>1</v>
      </c>
      <c r="AB19" s="17">
        <f t="shared" si="11"/>
        <v>1</v>
      </c>
      <c r="AC19" s="17">
        <f t="shared" si="11"/>
        <v>180</v>
      </c>
      <c r="AD19" s="17">
        <f t="shared" si="11"/>
        <v>0</v>
      </c>
      <c r="AE19" s="31">
        <f t="shared" si="11"/>
        <v>48</v>
      </c>
      <c r="AF19" s="31">
        <f t="shared" si="11"/>
        <v>228</v>
      </c>
    </row>
    <row r="20" spans="2:32" ht="23.1" customHeight="1" x14ac:dyDescent="0.25">
      <c r="B20" s="45" t="s">
        <v>47</v>
      </c>
      <c r="C20" s="50">
        <v>5</v>
      </c>
      <c r="D20" s="50">
        <v>0</v>
      </c>
      <c r="E20" s="50">
        <v>0</v>
      </c>
      <c r="F20" s="50">
        <v>2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29</v>
      </c>
      <c r="N20" s="50">
        <v>0</v>
      </c>
      <c r="O20" s="15">
        <f t="shared" si="0"/>
        <v>7</v>
      </c>
      <c r="P20" s="15">
        <f t="shared" si="1"/>
        <v>36</v>
      </c>
      <c r="R20" s="1" t="s">
        <v>16</v>
      </c>
      <c r="S20" s="17">
        <f t="shared" ref="S20:AF20" si="12">SUM(C50:C53)</f>
        <v>27</v>
      </c>
      <c r="T20" s="17">
        <f t="shared" si="12"/>
        <v>3</v>
      </c>
      <c r="U20" s="17">
        <f t="shared" si="12"/>
        <v>3</v>
      </c>
      <c r="V20" s="17">
        <f t="shared" si="12"/>
        <v>1</v>
      </c>
      <c r="W20" s="17">
        <f t="shared" si="12"/>
        <v>2</v>
      </c>
      <c r="X20" s="17">
        <f t="shared" si="12"/>
        <v>1</v>
      </c>
      <c r="Y20" s="17">
        <f t="shared" si="12"/>
        <v>10</v>
      </c>
      <c r="Z20" s="17">
        <f t="shared" si="12"/>
        <v>3</v>
      </c>
      <c r="AA20" s="17">
        <f t="shared" si="12"/>
        <v>2</v>
      </c>
      <c r="AB20" s="17">
        <f t="shared" si="12"/>
        <v>0</v>
      </c>
      <c r="AC20" s="17">
        <f t="shared" si="12"/>
        <v>200</v>
      </c>
      <c r="AD20" s="17">
        <f t="shared" si="12"/>
        <v>0</v>
      </c>
      <c r="AE20" s="31">
        <f t="shared" si="12"/>
        <v>52</v>
      </c>
      <c r="AF20" s="31">
        <f t="shared" si="12"/>
        <v>252</v>
      </c>
    </row>
    <row r="21" spans="2:32" ht="23.1" customHeight="1" x14ac:dyDescent="0.25">
      <c r="B21" s="45" t="s">
        <v>48</v>
      </c>
      <c r="C21" s="50">
        <v>7</v>
      </c>
      <c r="D21" s="50">
        <v>1</v>
      </c>
      <c r="E21" s="50">
        <v>2</v>
      </c>
      <c r="F21" s="50">
        <v>0</v>
      </c>
      <c r="G21" s="50">
        <v>0</v>
      </c>
      <c r="H21" s="50">
        <v>0</v>
      </c>
      <c r="I21" s="50">
        <v>1</v>
      </c>
      <c r="J21" s="50">
        <v>3</v>
      </c>
      <c r="K21" s="50">
        <v>0</v>
      </c>
      <c r="L21" s="50">
        <v>0</v>
      </c>
      <c r="M21" s="50">
        <v>51</v>
      </c>
      <c r="N21" s="50">
        <v>0</v>
      </c>
      <c r="O21" s="15">
        <f t="shared" si="0"/>
        <v>14</v>
      </c>
      <c r="P21" s="15">
        <f t="shared" si="1"/>
        <v>65</v>
      </c>
      <c r="R21" s="36" t="s">
        <v>20</v>
      </c>
      <c r="S21" s="34">
        <f t="shared" ref="S21:AF21" si="13">SUM(C54:C57)</f>
        <v>18</v>
      </c>
      <c r="T21" s="17">
        <f t="shared" si="13"/>
        <v>4</v>
      </c>
      <c r="U21" s="17">
        <f t="shared" si="13"/>
        <v>8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2</v>
      </c>
      <c r="AA21" s="17">
        <f t="shared" si="13"/>
        <v>2</v>
      </c>
      <c r="AB21" s="17">
        <f t="shared" si="13"/>
        <v>0</v>
      </c>
      <c r="AC21" s="17">
        <f t="shared" si="13"/>
        <v>159</v>
      </c>
      <c r="AD21" s="17">
        <f t="shared" si="13"/>
        <v>0</v>
      </c>
      <c r="AE21" s="31">
        <f t="shared" si="13"/>
        <v>39</v>
      </c>
      <c r="AF21" s="31">
        <f t="shared" si="13"/>
        <v>198</v>
      </c>
    </row>
    <row r="22" spans="2:32" ht="23.1" customHeight="1" x14ac:dyDescent="0.25">
      <c r="B22" s="45" t="s">
        <v>49</v>
      </c>
      <c r="C22" s="50">
        <v>8</v>
      </c>
      <c r="D22" s="50">
        <v>0</v>
      </c>
      <c r="E22" s="50">
        <v>4</v>
      </c>
      <c r="F22" s="50">
        <v>3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45</v>
      </c>
      <c r="N22" s="50">
        <v>0</v>
      </c>
      <c r="O22" s="15">
        <f t="shared" si="0"/>
        <v>16</v>
      </c>
      <c r="P22" s="15">
        <f t="shared" si="1"/>
        <v>61</v>
      </c>
      <c r="R22" s="36" t="s">
        <v>146</v>
      </c>
      <c r="S22" s="34">
        <f>SUM(C58:C61)</f>
        <v>17</v>
      </c>
      <c r="T22" s="34">
        <f t="shared" ref="T22:AF22" si="14">SUM(D58:D61)</f>
        <v>0</v>
      </c>
      <c r="U22" s="34">
        <f t="shared" si="14"/>
        <v>2</v>
      </c>
      <c r="V22" s="34">
        <f t="shared" si="14"/>
        <v>6</v>
      </c>
      <c r="W22" s="34">
        <f t="shared" si="14"/>
        <v>0</v>
      </c>
      <c r="X22" s="34">
        <f t="shared" si="14"/>
        <v>0</v>
      </c>
      <c r="Y22" s="34">
        <f t="shared" si="14"/>
        <v>4</v>
      </c>
      <c r="Z22" s="34">
        <f t="shared" si="14"/>
        <v>4</v>
      </c>
      <c r="AA22" s="34">
        <f t="shared" si="14"/>
        <v>6</v>
      </c>
      <c r="AB22" s="34">
        <f t="shared" si="14"/>
        <v>0</v>
      </c>
      <c r="AC22" s="34">
        <f t="shared" si="14"/>
        <v>144</v>
      </c>
      <c r="AD22" s="34">
        <f t="shared" si="14"/>
        <v>0</v>
      </c>
      <c r="AE22" s="31">
        <f t="shared" si="14"/>
        <v>39</v>
      </c>
      <c r="AF22" s="31">
        <f t="shared" si="14"/>
        <v>183</v>
      </c>
    </row>
    <row r="23" spans="2:32" ht="23.1" customHeight="1" x14ac:dyDescent="0.25">
      <c r="B23" s="45" t="s">
        <v>50</v>
      </c>
      <c r="C23" s="50">
        <v>10</v>
      </c>
      <c r="D23" s="50">
        <v>0</v>
      </c>
      <c r="E23" s="50">
        <v>2</v>
      </c>
      <c r="F23" s="50">
        <v>2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40</v>
      </c>
      <c r="N23" s="50">
        <v>0</v>
      </c>
      <c r="O23" s="15">
        <f t="shared" si="0"/>
        <v>16</v>
      </c>
      <c r="P23" s="15">
        <f t="shared" si="1"/>
        <v>56</v>
      </c>
      <c r="R23" s="36" t="s">
        <v>147</v>
      </c>
      <c r="S23" s="34">
        <f>SUM(C62:C65)</f>
        <v>11</v>
      </c>
      <c r="T23" s="34">
        <f t="shared" ref="T23:AF23" si="15">SUM(D62:D65)</f>
        <v>0</v>
      </c>
      <c r="U23" s="34">
        <f t="shared" si="15"/>
        <v>2</v>
      </c>
      <c r="V23" s="34">
        <f t="shared" si="15"/>
        <v>3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2</v>
      </c>
      <c r="AA23" s="34">
        <f t="shared" si="15"/>
        <v>2</v>
      </c>
      <c r="AB23" s="34">
        <f t="shared" si="15"/>
        <v>1</v>
      </c>
      <c r="AC23" s="34">
        <f t="shared" si="15"/>
        <v>97</v>
      </c>
      <c r="AD23" s="34">
        <f t="shared" si="15"/>
        <v>0</v>
      </c>
      <c r="AE23" s="31">
        <f t="shared" si="15"/>
        <v>23</v>
      </c>
      <c r="AF23" s="31">
        <f t="shared" si="15"/>
        <v>120</v>
      </c>
    </row>
    <row r="24" spans="2:32" ht="23.1" customHeight="1" x14ac:dyDescent="0.25">
      <c r="B24" s="45" t="s">
        <v>51</v>
      </c>
      <c r="C24" s="50">
        <v>5</v>
      </c>
      <c r="D24" s="50">
        <v>1</v>
      </c>
      <c r="E24" s="50">
        <v>1</v>
      </c>
      <c r="F24" s="50">
        <v>0</v>
      </c>
      <c r="G24" s="50">
        <v>0</v>
      </c>
      <c r="H24" s="50">
        <v>0</v>
      </c>
      <c r="I24" s="50">
        <v>2</v>
      </c>
      <c r="J24" s="50">
        <v>2</v>
      </c>
      <c r="K24" s="50">
        <v>0</v>
      </c>
      <c r="L24" s="50">
        <v>0</v>
      </c>
      <c r="M24" s="50">
        <v>32</v>
      </c>
      <c r="N24" s="50">
        <v>0</v>
      </c>
      <c r="O24" s="15">
        <f t="shared" si="0"/>
        <v>11</v>
      </c>
      <c r="P24" s="15">
        <f t="shared" si="1"/>
        <v>43</v>
      </c>
      <c r="R24" s="36" t="s">
        <v>148</v>
      </c>
      <c r="S24" s="34">
        <f>SUM(C66:C69)</f>
        <v>10</v>
      </c>
      <c r="T24" s="34">
        <f t="shared" ref="T24:AF24" si="16">SUM(D66:D69)</f>
        <v>2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2</v>
      </c>
      <c r="AA24" s="34">
        <f t="shared" si="16"/>
        <v>1</v>
      </c>
      <c r="AB24" s="34">
        <f t="shared" si="16"/>
        <v>0</v>
      </c>
      <c r="AC24" s="34">
        <f t="shared" si="16"/>
        <v>55</v>
      </c>
      <c r="AD24" s="34">
        <f t="shared" si="16"/>
        <v>0</v>
      </c>
      <c r="AE24" s="31">
        <f t="shared" si="16"/>
        <v>17</v>
      </c>
      <c r="AF24" s="31">
        <f t="shared" si="16"/>
        <v>72</v>
      </c>
    </row>
    <row r="25" spans="2:32" ht="23.1" customHeight="1" x14ac:dyDescent="0.25">
      <c r="B25" s="45" t="s">
        <v>52</v>
      </c>
      <c r="C25" s="50">
        <v>8</v>
      </c>
      <c r="D25" s="50">
        <v>1</v>
      </c>
      <c r="E25" s="50">
        <v>1</v>
      </c>
      <c r="F25" s="50">
        <v>1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30</v>
      </c>
      <c r="N25" s="50">
        <v>0</v>
      </c>
      <c r="O25" s="15">
        <f t="shared" si="0"/>
        <v>13</v>
      </c>
      <c r="P25" s="15">
        <f t="shared" si="1"/>
        <v>43</v>
      </c>
      <c r="R25" s="36" t="s">
        <v>149</v>
      </c>
      <c r="S25" s="34">
        <f>SUM(C70:C73)</f>
        <v>6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24</v>
      </c>
      <c r="AD25" s="34">
        <f t="shared" si="17"/>
        <v>0</v>
      </c>
      <c r="AE25" s="31">
        <f t="shared" si="17"/>
        <v>8</v>
      </c>
      <c r="AF25" s="31">
        <f t="shared" si="17"/>
        <v>32</v>
      </c>
    </row>
    <row r="26" spans="2:32" ht="23.1" customHeight="1" x14ac:dyDescent="0.25">
      <c r="B26" s="45" t="s">
        <v>53</v>
      </c>
      <c r="C26" s="50">
        <v>3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1</v>
      </c>
      <c r="K26" s="50">
        <v>2</v>
      </c>
      <c r="L26" s="50">
        <v>0</v>
      </c>
      <c r="M26" s="50">
        <v>16</v>
      </c>
      <c r="N26" s="50">
        <v>0</v>
      </c>
      <c r="O26" s="15">
        <f t="shared" si="0"/>
        <v>8</v>
      </c>
      <c r="P26" s="15">
        <f t="shared" si="1"/>
        <v>24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1</v>
      </c>
      <c r="AB26" s="34">
        <f t="shared" si="18"/>
        <v>0</v>
      </c>
      <c r="AC26" s="34">
        <f t="shared" si="18"/>
        <v>17</v>
      </c>
      <c r="AD26" s="34">
        <f t="shared" si="18"/>
        <v>0</v>
      </c>
      <c r="AE26" s="31">
        <f t="shared" si="18"/>
        <v>3</v>
      </c>
      <c r="AF26" s="31">
        <f t="shared" si="18"/>
        <v>20</v>
      </c>
    </row>
    <row r="27" spans="2:32" ht="23.1" customHeight="1" x14ac:dyDescent="0.25">
      <c r="B27" s="45" t="s">
        <v>54</v>
      </c>
      <c r="C27" s="50">
        <v>8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3</v>
      </c>
      <c r="J27" s="50">
        <v>2</v>
      </c>
      <c r="K27" s="50">
        <v>0</v>
      </c>
      <c r="L27" s="50">
        <v>0</v>
      </c>
      <c r="M27" s="50">
        <v>30</v>
      </c>
      <c r="N27" s="50">
        <v>0</v>
      </c>
      <c r="O27" s="15">
        <f t="shared" si="0"/>
        <v>13</v>
      </c>
      <c r="P27" s="15">
        <f t="shared" si="1"/>
        <v>43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6</v>
      </c>
      <c r="AD27" s="34">
        <f t="shared" si="19"/>
        <v>0</v>
      </c>
      <c r="AE27" s="31">
        <f t="shared" si="19"/>
        <v>0</v>
      </c>
      <c r="AF27" s="31">
        <f t="shared" si="19"/>
        <v>6</v>
      </c>
    </row>
    <row r="28" spans="2:32" ht="23.1" customHeight="1" x14ac:dyDescent="0.25">
      <c r="B28" s="45" t="s">
        <v>55</v>
      </c>
      <c r="C28" s="50">
        <v>2</v>
      </c>
      <c r="D28" s="50">
        <v>0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23</v>
      </c>
      <c r="N28" s="50">
        <v>0</v>
      </c>
      <c r="O28" s="15">
        <f t="shared" si="0"/>
        <v>4</v>
      </c>
      <c r="P28" s="15">
        <f t="shared" si="1"/>
        <v>27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1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2</v>
      </c>
      <c r="AF28" s="31">
        <f t="shared" si="20"/>
        <v>5</v>
      </c>
    </row>
    <row r="29" spans="2:32" ht="23.1" customHeight="1" x14ac:dyDescent="0.25">
      <c r="B29" s="45" t="s">
        <v>56</v>
      </c>
      <c r="C29" s="50">
        <v>2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28</v>
      </c>
      <c r="N29" s="50">
        <v>0</v>
      </c>
      <c r="O29" s="15">
        <f t="shared" si="0"/>
        <v>4</v>
      </c>
      <c r="P29" s="15">
        <f t="shared" si="1"/>
        <v>32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4</v>
      </c>
      <c r="D30" s="50">
        <v>1</v>
      </c>
      <c r="E30" s="50">
        <v>0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39</v>
      </c>
      <c r="N30" s="50">
        <v>0</v>
      </c>
      <c r="O30" s="15">
        <f t="shared" si="0"/>
        <v>7</v>
      </c>
      <c r="P30" s="15">
        <f t="shared" si="1"/>
        <v>46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2</v>
      </c>
      <c r="K31" s="50">
        <v>0</v>
      </c>
      <c r="L31" s="50">
        <v>0</v>
      </c>
      <c r="M31" s="50">
        <v>32</v>
      </c>
      <c r="N31" s="50">
        <v>0</v>
      </c>
      <c r="O31" s="15">
        <f t="shared" si="0"/>
        <v>5</v>
      </c>
      <c r="P31" s="15">
        <f t="shared" si="1"/>
        <v>37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1</v>
      </c>
      <c r="D32" s="50">
        <v>2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36</v>
      </c>
      <c r="N32" s="50">
        <v>0</v>
      </c>
      <c r="O32" s="15">
        <f t="shared" si="0"/>
        <v>3</v>
      </c>
      <c r="P32" s="15">
        <f t="shared" si="1"/>
        <v>39</v>
      </c>
      <c r="R32" s="33" t="s">
        <v>156</v>
      </c>
      <c r="S32" s="34">
        <f>SUM(C98:C101)</f>
        <v>3</v>
      </c>
      <c r="T32" s="34">
        <f t="shared" ref="T32:AF32" si="24">SUM(D98:D101)</f>
        <v>0</v>
      </c>
      <c r="U32" s="34">
        <f t="shared" si="24"/>
        <v>1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1</v>
      </c>
      <c r="AA32" s="34">
        <f t="shared" si="24"/>
        <v>2</v>
      </c>
      <c r="AB32" s="34">
        <f t="shared" si="24"/>
        <v>0</v>
      </c>
      <c r="AC32" s="34">
        <f t="shared" si="24"/>
        <v>9</v>
      </c>
      <c r="AD32" s="34">
        <f t="shared" si="24"/>
        <v>0</v>
      </c>
      <c r="AE32" s="31">
        <f t="shared" si="24"/>
        <v>7</v>
      </c>
      <c r="AF32" s="31">
        <f t="shared" si="24"/>
        <v>16</v>
      </c>
    </row>
    <row r="33" spans="2:32" ht="23.1" customHeight="1" x14ac:dyDescent="0.25">
      <c r="B33" s="45" t="s">
        <v>60</v>
      </c>
      <c r="C33" s="50">
        <v>3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42</v>
      </c>
      <c r="N33" s="50">
        <v>0</v>
      </c>
      <c r="O33" s="15">
        <f t="shared" si="0"/>
        <v>5</v>
      </c>
      <c r="P33" s="15">
        <f t="shared" si="1"/>
        <v>47</v>
      </c>
      <c r="R33" s="33" t="s">
        <v>157</v>
      </c>
      <c r="S33" s="34">
        <f>SUM(C102:C105)</f>
        <v>5</v>
      </c>
      <c r="T33" s="34">
        <f t="shared" ref="T33:AF33" si="25">SUM(D102:D105)</f>
        <v>3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1</v>
      </c>
      <c r="AB33" s="34">
        <f t="shared" si="25"/>
        <v>0</v>
      </c>
      <c r="AC33" s="34">
        <f t="shared" si="25"/>
        <v>41</v>
      </c>
      <c r="AD33" s="34">
        <f t="shared" si="25"/>
        <v>0</v>
      </c>
      <c r="AE33" s="31">
        <f t="shared" si="25"/>
        <v>9</v>
      </c>
      <c r="AF33" s="31">
        <f t="shared" si="25"/>
        <v>50</v>
      </c>
    </row>
    <row r="34" spans="2:32" ht="23.1" customHeight="1" x14ac:dyDescent="0.25">
      <c r="B34" s="46" t="s">
        <v>61</v>
      </c>
      <c r="C34" s="50">
        <v>3</v>
      </c>
      <c r="D34" s="50">
        <v>2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2</v>
      </c>
      <c r="K34" s="50">
        <v>0</v>
      </c>
      <c r="L34" s="50">
        <v>0</v>
      </c>
      <c r="M34" s="50">
        <v>32</v>
      </c>
      <c r="N34" s="50">
        <v>0</v>
      </c>
      <c r="O34" s="15">
        <f t="shared" si="0"/>
        <v>8</v>
      </c>
      <c r="P34" s="15">
        <f t="shared" si="1"/>
        <v>40</v>
      </c>
      <c r="R34" s="38" t="s">
        <v>90</v>
      </c>
      <c r="S34" s="39">
        <f t="shared" ref="S34:AF34" si="26">MAX(S10:S12)</f>
        <v>43</v>
      </c>
      <c r="T34" s="39">
        <f t="shared" si="26"/>
        <v>2</v>
      </c>
      <c r="U34" s="39">
        <f t="shared" si="26"/>
        <v>2</v>
      </c>
      <c r="V34" s="39">
        <f t="shared" si="26"/>
        <v>4</v>
      </c>
      <c r="W34" s="39">
        <f t="shared" si="26"/>
        <v>0</v>
      </c>
      <c r="X34" s="39">
        <f t="shared" si="26"/>
        <v>0</v>
      </c>
      <c r="Y34" s="39">
        <f t="shared" si="26"/>
        <v>3</v>
      </c>
      <c r="Z34" s="39">
        <f t="shared" si="26"/>
        <v>4</v>
      </c>
      <c r="AA34" s="39">
        <f t="shared" si="26"/>
        <v>0</v>
      </c>
      <c r="AB34" s="39">
        <f t="shared" si="26"/>
        <v>1</v>
      </c>
      <c r="AC34" s="39">
        <f t="shared" si="26"/>
        <v>170</v>
      </c>
      <c r="AD34" s="39">
        <f t="shared" si="26"/>
        <v>0</v>
      </c>
      <c r="AE34" s="40">
        <f t="shared" si="26"/>
        <v>50</v>
      </c>
      <c r="AF34" s="40">
        <f t="shared" si="26"/>
        <v>220</v>
      </c>
    </row>
    <row r="35" spans="2:32" ht="23.1" customHeight="1" x14ac:dyDescent="0.25">
      <c r="B35" s="46" t="s">
        <v>62</v>
      </c>
      <c r="C35" s="50">
        <v>3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34</v>
      </c>
      <c r="N35" s="50">
        <v>0</v>
      </c>
      <c r="O35" s="15">
        <f t="shared" si="0"/>
        <v>5</v>
      </c>
      <c r="P35" s="15">
        <f t="shared" si="1"/>
        <v>39</v>
      </c>
      <c r="R35" s="38" t="s">
        <v>91</v>
      </c>
      <c r="S35" s="39">
        <f t="shared" ref="S35:AF35" si="27">MAX(S13:S18)</f>
        <v>31</v>
      </c>
      <c r="T35" s="39">
        <f t="shared" si="27"/>
        <v>5</v>
      </c>
      <c r="U35" s="39">
        <f t="shared" si="27"/>
        <v>8</v>
      </c>
      <c r="V35" s="39">
        <f t="shared" si="27"/>
        <v>7</v>
      </c>
      <c r="W35" s="39">
        <f t="shared" si="27"/>
        <v>0</v>
      </c>
      <c r="X35" s="39">
        <f t="shared" si="27"/>
        <v>2</v>
      </c>
      <c r="Y35" s="39">
        <f t="shared" si="27"/>
        <v>6</v>
      </c>
      <c r="Z35" s="39">
        <f t="shared" si="27"/>
        <v>4</v>
      </c>
      <c r="AA35" s="39">
        <f t="shared" si="27"/>
        <v>2</v>
      </c>
      <c r="AB35" s="39">
        <f t="shared" si="27"/>
        <v>0</v>
      </c>
      <c r="AC35" s="39">
        <f t="shared" si="27"/>
        <v>181</v>
      </c>
      <c r="AD35" s="39">
        <f t="shared" si="27"/>
        <v>0</v>
      </c>
      <c r="AE35" s="40">
        <f t="shared" si="27"/>
        <v>56</v>
      </c>
      <c r="AF35" s="40">
        <f t="shared" si="27"/>
        <v>226</v>
      </c>
    </row>
    <row r="36" spans="2:32" ht="23.1" customHeight="1" x14ac:dyDescent="0.25">
      <c r="B36" s="46" t="s">
        <v>63</v>
      </c>
      <c r="C36" s="50">
        <v>8</v>
      </c>
      <c r="D36" s="50">
        <v>1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1</v>
      </c>
      <c r="L36" s="50">
        <v>0</v>
      </c>
      <c r="M36" s="50">
        <v>29</v>
      </c>
      <c r="N36" s="50">
        <v>0</v>
      </c>
      <c r="O36" s="15">
        <f t="shared" si="0"/>
        <v>12</v>
      </c>
      <c r="P36" s="15">
        <f t="shared" si="1"/>
        <v>41</v>
      </c>
      <c r="R36" s="38" t="s">
        <v>92</v>
      </c>
      <c r="S36" s="39">
        <f t="shared" ref="S36:AF36" si="28">MAX(S19:S21)</f>
        <v>27</v>
      </c>
      <c r="T36" s="39">
        <f t="shared" si="28"/>
        <v>4</v>
      </c>
      <c r="U36" s="39">
        <f t="shared" si="28"/>
        <v>8</v>
      </c>
      <c r="V36" s="39">
        <f t="shared" si="28"/>
        <v>6</v>
      </c>
      <c r="W36" s="39">
        <f t="shared" si="28"/>
        <v>2</v>
      </c>
      <c r="X36" s="39">
        <f t="shared" si="28"/>
        <v>1</v>
      </c>
      <c r="Y36" s="39">
        <f t="shared" si="28"/>
        <v>10</v>
      </c>
      <c r="Z36" s="39">
        <f t="shared" si="28"/>
        <v>3</v>
      </c>
      <c r="AA36" s="39">
        <f t="shared" si="28"/>
        <v>2</v>
      </c>
      <c r="AB36" s="39">
        <f t="shared" si="28"/>
        <v>1</v>
      </c>
      <c r="AC36" s="39">
        <f t="shared" si="28"/>
        <v>200</v>
      </c>
      <c r="AD36" s="39">
        <f t="shared" si="28"/>
        <v>0</v>
      </c>
      <c r="AE36" s="40">
        <f t="shared" si="28"/>
        <v>52</v>
      </c>
      <c r="AF36" s="40">
        <f t="shared" si="28"/>
        <v>252</v>
      </c>
    </row>
    <row r="37" spans="2:32" ht="23.1" customHeight="1" x14ac:dyDescent="0.25">
      <c r="B37" s="45" t="s">
        <v>64</v>
      </c>
      <c r="C37" s="50">
        <v>1</v>
      </c>
      <c r="D37" s="50">
        <v>2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53</v>
      </c>
      <c r="N37" s="50">
        <v>0</v>
      </c>
      <c r="O37" s="15">
        <f t="shared" si="0"/>
        <v>4</v>
      </c>
      <c r="P37" s="15">
        <f t="shared" si="1"/>
        <v>57</v>
      </c>
      <c r="R37" s="37" t="s">
        <v>85</v>
      </c>
      <c r="S37" s="35">
        <f t="shared" ref="S37:AF37" si="29">SUM(S10:S12)</f>
        <v>81</v>
      </c>
      <c r="T37" s="16">
        <f t="shared" si="29"/>
        <v>4</v>
      </c>
      <c r="U37" s="16">
        <f t="shared" si="29"/>
        <v>4</v>
      </c>
      <c r="V37" s="16">
        <f t="shared" si="29"/>
        <v>9</v>
      </c>
      <c r="W37" s="16">
        <f t="shared" si="29"/>
        <v>0</v>
      </c>
      <c r="X37" s="16">
        <f t="shared" si="29"/>
        <v>0</v>
      </c>
      <c r="Y37" s="16">
        <f t="shared" si="29"/>
        <v>6</v>
      </c>
      <c r="Z37" s="16">
        <f t="shared" si="29"/>
        <v>5</v>
      </c>
      <c r="AA37" s="16">
        <f t="shared" si="29"/>
        <v>0</v>
      </c>
      <c r="AB37" s="16">
        <f t="shared" si="29"/>
        <v>1</v>
      </c>
      <c r="AC37" s="16">
        <f t="shared" si="29"/>
        <v>461</v>
      </c>
      <c r="AD37" s="16">
        <f t="shared" si="29"/>
        <v>0</v>
      </c>
      <c r="AE37" s="32">
        <f t="shared" si="29"/>
        <v>110</v>
      </c>
      <c r="AF37" s="32">
        <f t="shared" si="29"/>
        <v>571</v>
      </c>
    </row>
    <row r="38" spans="2:32" ht="23.1" customHeight="1" x14ac:dyDescent="0.25">
      <c r="B38" s="46" t="s">
        <v>65</v>
      </c>
      <c r="C38" s="50">
        <v>6</v>
      </c>
      <c r="D38" s="50">
        <v>0</v>
      </c>
      <c r="E38" s="50">
        <v>1</v>
      </c>
      <c r="F38" s="50">
        <v>2</v>
      </c>
      <c r="G38" s="50">
        <v>0</v>
      </c>
      <c r="H38" s="50">
        <v>0</v>
      </c>
      <c r="I38" s="50">
        <v>0</v>
      </c>
      <c r="J38" s="50">
        <v>1</v>
      </c>
      <c r="K38" s="50">
        <v>0</v>
      </c>
      <c r="L38" s="50">
        <v>0</v>
      </c>
      <c r="M38" s="50">
        <v>46</v>
      </c>
      <c r="N38" s="50">
        <v>0</v>
      </c>
      <c r="O38" s="15">
        <f t="shared" si="0"/>
        <v>10</v>
      </c>
      <c r="P38" s="15">
        <f t="shared" si="1"/>
        <v>56</v>
      </c>
      <c r="R38" s="28" t="s">
        <v>86</v>
      </c>
      <c r="S38" s="16">
        <f t="shared" ref="S38:AF38" si="30">SUM(S13:S18)</f>
        <v>110</v>
      </c>
      <c r="T38" s="16">
        <f t="shared" si="30"/>
        <v>11</v>
      </c>
      <c r="U38" s="16">
        <f t="shared" si="30"/>
        <v>19</v>
      </c>
      <c r="V38" s="16">
        <f t="shared" si="30"/>
        <v>22</v>
      </c>
      <c r="W38" s="16">
        <f t="shared" si="30"/>
        <v>0</v>
      </c>
      <c r="X38" s="16">
        <f t="shared" si="30"/>
        <v>2</v>
      </c>
      <c r="Y38" s="16">
        <f t="shared" si="30"/>
        <v>24</v>
      </c>
      <c r="Z38" s="16">
        <f t="shared" si="30"/>
        <v>18</v>
      </c>
      <c r="AA38" s="16">
        <f t="shared" si="30"/>
        <v>3</v>
      </c>
      <c r="AB38" s="16">
        <f t="shared" si="30"/>
        <v>0</v>
      </c>
      <c r="AC38" s="16">
        <f t="shared" si="30"/>
        <v>892</v>
      </c>
      <c r="AD38" s="16">
        <f t="shared" si="30"/>
        <v>0</v>
      </c>
      <c r="AE38" s="32">
        <f t="shared" si="30"/>
        <v>209</v>
      </c>
      <c r="AF38" s="32">
        <f t="shared" si="30"/>
        <v>1101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1</v>
      </c>
      <c r="F39" s="50">
        <v>1</v>
      </c>
      <c r="G39" s="50">
        <v>0</v>
      </c>
      <c r="H39" s="50">
        <v>0</v>
      </c>
      <c r="I39" s="50">
        <v>0</v>
      </c>
      <c r="J39" s="50">
        <v>3</v>
      </c>
      <c r="K39" s="50">
        <v>0</v>
      </c>
      <c r="L39" s="50">
        <v>0</v>
      </c>
      <c r="M39" s="50">
        <v>41</v>
      </c>
      <c r="N39" s="50">
        <v>0</v>
      </c>
      <c r="O39" s="15">
        <f t="shared" si="0"/>
        <v>7</v>
      </c>
      <c r="P39" s="15">
        <f t="shared" si="1"/>
        <v>48</v>
      </c>
      <c r="R39" s="29" t="s">
        <v>87</v>
      </c>
      <c r="S39" s="16">
        <f t="shared" ref="S39:AF39" si="31">SUM(S19:S21)</f>
        <v>70</v>
      </c>
      <c r="T39" s="16">
        <f t="shared" si="31"/>
        <v>8</v>
      </c>
      <c r="U39" s="16">
        <f t="shared" si="31"/>
        <v>19</v>
      </c>
      <c r="V39" s="16">
        <f t="shared" si="31"/>
        <v>8</v>
      </c>
      <c r="W39" s="16">
        <f t="shared" si="31"/>
        <v>2</v>
      </c>
      <c r="X39" s="16">
        <f t="shared" si="31"/>
        <v>1</v>
      </c>
      <c r="Y39" s="16">
        <f t="shared" si="31"/>
        <v>17</v>
      </c>
      <c r="Z39" s="16">
        <f t="shared" si="31"/>
        <v>8</v>
      </c>
      <c r="AA39" s="16">
        <f t="shared" si="31"/>
        <v>5</v>
      </c>
      <c r="AB39" s="16">
        <f t="shared" si="31"/>
        <v>1</v>
      </c>
      <c r="AC39" s="16">
        <f t="shared" si="31"/>
        <v>539</v>
      </c>
      <c r="AD39" s="16">
        <f t="shared" si="31"/>
        <v>0</v>
      </c>
      <c r="AE39" s="32">
        <f t="shared" si="31"/>
        <v>139</v>
      </c>
      <c r="AF39" s="32">
        <f t="shared" si="31"/>
        <v>678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2</v>
      </c>
      <c r="F40" s="50">
        <v>0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45</v>
      </c>
      <c r="N40" s="50">
        <v>0</v>
      </c>
      <c r="O40" s="15">
        <f t="shared" si="0"/>
        <v>8</v>
      </c>
      <c r="P40" s="15">
        <f t="shared" si="1"/>
        <v>53</v>
      </c>
      <c r="R40" s="5" t="s">
        <v>17</v>
      </c>
      <c r="S40" s="16">
        <f t="shared" ref="S40:AF40" si="32">SUM(S10:S21)</f>
        <v>261</v>
      </c>
      <c r="T40" s="16">
        <f t="shared" si="32"/>
        <v>23</v>
      </c>
      <c r="U40" s="16">
        <f t="shared" si="32"/>
        <v>42</v>
      </c>
      <c r="V40" s="16">
        <f t="shared" si="32"/>
        <v>39</v>
      </c>
      <c r="W40" s="16">
        <f t="shared" si="32"/>
        <v>2</v>
      </c>
      <c r="X40" s="16">
        <f t="shared" si="32"/>
        <v>3</v>
      </c>
      <c r="Y40" s="16">
        <f t="shared" si="32"/>
        <v>47</v>
      </c>
      <c r="Z40" s="16">
        <f t="shared" si="32"/>
        <v>31</v>
      </c>
      <c r="AA40" s="16">
        <f t="shared" si="32"/>
        <v>8</v>
      </c>
      <c r="AB40" s="16">
        <f t="shared" si="32"/>
        <v>2</v>
      </c>
      <c r="AC40" s="16">
        <f t="shared" si="32"/>
        <v>1892</v>
      </c>
      <c r="AD40" s="16">
        <f t="shared" si="32"/>
        <v>0</v>
      </c>
      <c r="AE40" s="32">
        <f t="shared" si="32"/>
        <v>458</v>
      </c>
      <c r="AF40" s="32">
        <f t="shared" si="32"/>
        <v>2350</v>
      </c>
    </row>
    <row r="41" spans="2:32" ht="23.1" customHeight="1" x14ac:dyDescent="0.25">
      <c r="B41" s="45" t="s">
        <v>68</v>
      </c>
      <c r="C41" s="50">
        <v>4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38</v>
      </c>
      <c r="N41" s="50">
        <v>0</v>
      </c>
      <c r="O41" s="15">
        <f t="shared" si="0"/>
        <v>5</v>
      </c>
      <c r="P41" s="15">
        <f t="shared" si="1"/>
        <v>43</v>
      </c>
      <c r="R41" s="5" t="s">
        <v>159</v>
      </c>
      <c r="S41" s="16">
        <f>SUM(S10:S33)</f>
        <v>315</v>
      </c>
      <c r="T41" s="16">
        <f t="shared" ref="T41:AF41" si="33">SUM(T10:T33)</f>
        <v>28</v>
      </c>
      <c r="U41" s="16">
        <f t="shared" si="33"/>
        <v>48</v>
      </c>
      <c r="V41" s="16">
        <f t="shared" si="33"/>
        <v>50</v>
      </c>
      <c r="W41" s="16">
        <f t="shared" si="33"/>
        <v>2</v>
      </c>
      <c r="X41" s="16">
        <f t="shared" si="33"/>
        <v>3</v>
      </c>
      <c r="Y41" s="16">
        <f t="shared" si="33"/>
        <v>54</v>
      </c>
      <c r="Z41" s="16">
        <f t="shared" si="33"/>
        <v>40</v>
      </c>
      <c r="AA41" s="16">
        <f t="shared" si="33"/>
        <v>23</v>
      </c>
      <c r="AB41" s="16">
        <f t="shared" si="33"/>
        <v>3</v>
      </c>
      <c r="AC41" s="16">
        <f t="shared" si="33"/>
        <v>2288</v>
      </c>
      <c r="AD41" s="16">
        <f t="shared" si="33"/>
        <v>0</v>
      </c>
      <c r="AE41" s="32">
        <f t="shared" si="33"/>
        <v>566</v>
      </c>
      <c r="AF41" s="32">
        <f t="shared" si="33"/>
        <v>2854</v>
      </c>
    </row>
    <row r="42" spans="2:32" ht="23.1" customHeight="1" x14ac:dyDescent="0.25">
      <c r="B42" s="46" t="s">
        <v>69</v>
      </c>
      <c r="C42" s="50">
        <v>4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40</v>
      </c>
      <c r="N42" s="50">
        <v>0</v>
      </c>
      <c r="O42" s="15">
        <f t="shared" si="0"/>
        <v>5</v>
      </c>
      <c r="P42" s="15">
        <f t="shared" si="1"/>
        <v>45</v>
      </c>
      <c r="R42" s="5" t="s">
        <v>160</v>
      </c>
      <c r="S42" s="48">
        <f>S41/S40</f>
        <v>1.2068965517241379</v>
      </c>
      <c r="T42" s="48">
        <f t="shared" ref="T42:AF42" si="34">T41/T40</f>
        <v>1.2173913043478262</v>
      </c>
      <c r="U42" s="48">
        <f t="shared" si="34"/>
        <v>1.1428571428571428</v>
      </c>
      <c r="V42" s="48">
        <f t="shared" si="34"/>
        <v>1.2820512820512822</v>
      </c>
      <c r="W42" s="48">
        <f t="shared" si="34"/>
        <v>1</v>
      </c>
      <c r="X42" s="48">
        <f t="shared" si="34"/>
        <v>1</v>
      </c>
      <c r="Y42" s="48">
        <f t="shared" si="34"/>
        <v>1.1489361702127661</v>
      </c>
      <c r="Z42" s="48">
        <f t="shared" si="34"/>
        <v>1.2903225806451613</v>
      </c>
      <c r="AA42" s="48">
        <f t="shared" si="34"/>
        <v>2.875</v>
      </c>
      <c r="AB42" s="48">
        <f t="shared" si="34"/>
        <v>1.5</v>
      </c>
      <c r="AC42" s="48">
        <f t="shared" si="34"/>
        <v>1.2093023255813953</v>
      </c>
      <c r="AD42" s="48" t="e">
        <f t="shared" si="34"/>
        <v>#DIV/0!</v>
      </c>
      <c r="AE42" s="48">
        <f t="shared" si="34"/>
        <v>1.2358078602620088</v>
      </c>
      <c r="AF42" s="48">
        <f t="shared" si="34"/>
        <v>1.2144680851063829</v>
      </c>
    </row>
    <row r="43" spans="2:32" ht="23.1" customHeight="1" x14ac:dyDescent="0.25">
      <c r="B43" s="45" t="s">
        <v>70</v>
      </c>
      <c r="C43" s="50">
        <v>8</v>
      </c>
      <c r="D43" s="50">
        <v>1</v>
      </c>
      <c r="E43" s="50">
        <v>3</v>
      </c>
      <c r="F43" s="50">
        <v>1</v>
      </c>
      <c r="G43" s="50">
        <v>0</v>
      </c>
      <c r="H43" s="50">
        <v>2</v>
      </c>
      <c r="I43" s="50">
        <v>1</v>
      </c>
      <c r="J43" s="50">
        <v>0</v>
      </c>
      <c r="K43" s="50">
        <v>0</v>
      </c>
      <c r="L43" s="50">
        <v>0</v>
      </c>
      <c r="M43" s="50">
        <v>46</v>
      </c>
      <c r="N43" s="50">
        <v>0</v>
      </c>
      <c r="O43" s="15">
        <f t="shared" si="0"/>
        <v>16</v>
      </c>
      <c r="P43" s="15">
        <f t="shared" si="1"/>
        <v>62</v>
      </c>
    </row>
    <row r="44" spans="2:32" ht="23.1" customHeight="1" x14ac:dyDescent="0.25">
      <c r="B44" s="47" t="s">
        <v>71</v>
      </c>
      <c r="C44" s="50">
        <v>9</v>
      </c>
      <c r="D44" s="50">
        <v>0</v>
      </c>
      <c r="E44" s="50">
        <v>0</v>
      </c>
      <c r="F44" s="50">
        <v>3</v>
      </c>
      <c r="G44" s="50">
        <v>0</v>
      </c>
      <c r="H44" s="50">
        <v>0</v>
      </c>
      <c r="I44" s="50">
        <v>0</v>
      </c>
      <c r="J44" s="50">
        <v>2</v>
      </c>
      <c r="K44" s="50">
        <v>0</v>
      </c>
      <c r="L44" s="50">
        <v>0</v>
      </c>
      <c r="M44" s="50">
        <v>37</v>
      </c>
      <c r="N44" s="50">
        <v>0</v>
      </c>
      <c r="O44" s="15">
        <f t="shared" si="0"/>
        <v>14</v>
      </c>
      <c r="P44" s="15">
        <f t="shared" si="1"/>
        <v>51</v>
      </c>
    </row>
    <row r="45" spans="2:32" ht="23.1" customHeight="1" x14ac:dyDescent="0.25">
      <c r="B45" s="45" t="s">
        <v>72</v>
      </c>
      <c r="C45" s="50">
        <v>5</v>
      </c>
      <c r="D45" s="50">
        <v>0</v>
      </c>
      <c r="E45" s="50">
        <v>0</v>
      </c>
      <c r="F45" s="50">
        <v>3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58</v>
      </c>
      <c r="N45" s="50">
        <v>0</v>
      </c>
      <c r="O45" s="15">
        <f t="shared" si="0"/>
        <v>10</v>
      </c>
      <c r="P45" s="15">
        <f t="shared" si="1"/>
        <v>68</v>
      </c>
    </row>
    <row r="46" spans="2:32" ht="23.1" customHeight="1" x14ac:dyDescent="0.25">
      <c r="B46" s="46" t="s">
        <v>73</v>
      </c>
      <c r="C46" s="50">
        <v>3</v>
      </c>
      <c r="D46" s="50">
        <v>0</v>
      </c>
      <c r="E46" s="50">
        <v>2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41</v>
      </c>
      <c r="N46" s="50">
        <v>0</v>
      </c>
      <c r="O46" s="15">
        <f t="shared" si="0"/>
        <v>6</v>
      </c>
      <c r="P46" s="15">
        <f t="shared" si="1"/>
        <v>47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0</v>
      </c>
      <c r="E47" s="50">
        <v>3</v>
      </c>
      <c r="F47" s="50">
        <v>2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0</v>
      </c>
      <c r="M47" s="50">
        <v>56</v>
      </c>
      <c r="N47" s="50">
        <v>0</v>
      </c>
      <c r="O47" s="15">
        <f t="shared" si="0"/>
        <v>11</v>
      </c>
      <c r="P47" s="15">
        <f t="shared" si="1"/>
        <v>67</v>
      </c>
      <c r="R47" s="8"/>
      <c r="T47"/>
    </row>
    <row r="48" spans="2:32" ht="23.1" customHeight="1" x14ac:dyDescent="0.25">
      <c r="B48" s="46" t="s">
        <v>75</v>
      </c>
      <c r="C48" s="50">
        <v>7</v>
      </c>
      <c r="D48" s="50">
        <v>0</v>
      </c>
      <c r="E48" s="50">
        <v>1</v>
      </c>
      <c r="F48" s="50">
        <v>1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v>1</v>
      </c>
      <c r="M48" s="50">
        <v>37</v>
      </c>
      <c r="N48" s="50">
        <v>0</v>
      </c>
      <c r="O48" s="15">
        <f t="shared" si="0"/>
        <v>12</v>
      </c>
      <c r="P48" s="15">
        <f t="shared" si="1"/>
        <v>49</v>
      </c>
      <c r="R48" s="8"/>
      <c r="T48"/>
    </row>
    <row r="49" spans="2:20" ht="23.1" customHeight="1" x14ac:dyDescent="0.25">
      <c r="B49" s="45" t="s">
        <v>76</v>
      </c>
      <c r="C49" s="50">
        <v>12</v>
      </c>
      <c r="D49" s="50">
        <v>1</v>
      </c>
      <c r="E49" s="50">
        <v>2</v>
      </c>
      <c r="F49" s="50">
        <v>3</v>
      </c>
      <c r="G49" s="50">
        <v>0</v>
      </c>
      <c r="H49" s="50">
        <v>0</v>
      </c>
      <c r="I49" s="50">
        <v>0</v>
      </c>
      <c r="J49" s="50">
        <v>0</v>
      </c>
      <c r="K49" s="50">
        <v>1</v>
      </c>
      <c r="L49" s="50">
        <v>0</v>
      </c>
      <c r="M49" s="50">
        <v>46</v>
      </c>
      <c r="N49" s="50">
        <v>0</v>
      </c>
      <c r="O49" s="15">
        <f t="shared" si="0"/>
        <v>19</v>
      </c>
      <c r="P49" s="15">
        <f t="shared" si="1"/>
        <v>65</v>
      </c>
      <c r="R49" s="8"/>
      <c r="T49"/>
    </row>
    <row r="50" spans="2:20" ht="23.1" customHeight="1" x14ac:dyDescent="0.25">
      <c r="B50" s="46" t="s">
        <v>77</v>
      </c>
      <c r="C50" s="50">
        <v>7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56</v>
      </c>
      <c r="N50" s="50">
        <v>0</v>
      </c>
      <c r="O50" s="15">
        <f t="shared" si="0"/>
        <v>10</v>
      </c>
      <c r="P50" s="15">
        <f t="shared" si="1"/>
        <v>66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55</v>
      </c>
      <c r="N51" s="50">
        <v>0</v>
      </c>
      <c r="O51" s="15">
        <f t="shared" si="0"/>
        <v>6</v>
      </c>
      <c r="P51" s="15">
        <f t="shared" si="1"/>
        <v>61</v>
      </c>
      <c r="R51" s="8"/>
      <c r="T51"/>
    </row>
    <row r="52" spans="2:20" ht="23.1" customHeight="1" x14ac:dyDescent="0.25">
      <c r="B52" s="46" t="s">
        <v>79</v>
      </c>
      <c r="C52" s="50">
        <v>6</v>
      </c>
      <c r="D52" s="50">
        <v>1</v>
      </c>
      <c r="E52" s="50">
        <v>0</v>
      </c>
      <c r="F52" s="50">
        <v>1</v>
      </c>
      <c r="G52" s="50">
        <v>1</v>
      </c>
      <c r="H52" s="50">
        <v>1</v>
      </c>
      <c r="I52" s="50">
        <v>7</v>
      </c>
      <c r="J52" s="50">
        <v>1</v>
      </c>
      <c r="K52" s="50">
        <v>0</v>
      </c>
      <c r="L52" s="50">
        <v>0</v>
      </c>
      <c r="M52" s="50">
        <v>48</v>
      </c>
      <c r="N52" s="50">
        <v>0</v>
      </c>
      <c r="O52" s="15">
        <f t="shared" si="0"/>
        <v>18</v>
      </c>
      <c r="P52" s="15">
        <f t="shared" si="1"/>
        <v>66</v>
      </c>
      <c r="R52" s="8"/>
      <c r="T52"/>
    </row>
    <row r="53" spans="2:20" ht="23.1" customHeight="1" x14ac:dyDescent="0.25">
      <c r="B53" s="45" t="s">
        <v>80</v>
      </c>
      <c r="C53" s="50">
        <v>8</v>
      </c>
      <c r="D53" s="50">
        <v>2</v>
      </c>
      <c r="E53" s="50">
        <v>2</v>
      </c>
      <c r="F53" s="50">
        <v>0</v>
      </c>
      <c r="G53" s="50">
        <v>1</v>
      </c>
      <c r="H53" s="50">
        <v>0</v>
      </c>
      <c r="I53" s="50">
        <v>1</v>
      </c>
      <c r="J53" s="50">
        <v>2</v>
      </c>
      <c r="K53" s="50">
        <v>2</v>
      </c>
      <c r="L53" s="50">
        <v>0</v>
      </c>
      <c r="M53" s="50">
        <v>41</v>
      </c>
      <c r="N53" s="50">
        <v>0</v>
      </c>
      <c r="O53" s="15">
        <f t="shared" si="0"/>
        <v>18</v>
      </c>
      <c r="P53" s="15">
        <f t="shared" si="1"/>
        <v>59</v>
      </c>
      <c r="R53" s="8"/>
      <c r="T53"/>
    </row>
    <row r="54" spans="2:20" ht="23.1" customHeight="1" x14ac:dyDescent="0.25">
      <c r="B54" s="45" t="s">
        <v>81</v>
      </c>
      <c r="C54" s="50">
        <v>9</v>
      </c>
      <c r="D54" s="50">
        <v>2</v>
      </c>
      <c r="E54" s="50">
        <v>2</v>
      </c>
      <c r="F54" s="50">
        <v>0</v>
      </c>
      <c r="G54" s="50">
        <v>0</v>
      </c>
      <c r="H54" s="50">
        <v>0</v>
      </c>
      <c r="I54" s="50">
        <v>1</v>
      </c>
      <c r="J54" s="50">
        <v>1</v>
      </c>
      <c r="K54" s="50">
        <v>1</v>
      </c>
      <c r="L54" s="50">
        <v>0</v>
      </c>
      <c r="M54" s="50">
        <v>54</v>
      </c>
      <c r="N54" s="50">
        <v>0</v>
      </c>
      <c r="O54" s="15">
        <f t="shared" si="0"/>
        <v>16</v>
      </c>
      <c r="P54" s="15">
        <f t="shared" si="1"/>
        <v>70</v>
      </c>
      <c r="R54" s="8"/>
      <c r="T54"/>
    </row>
    <row r="55" spans="2:20" ht="23.1" customHeight="1" x14ac:dyDescent="0.25">
      <c r="B55" s="45" t="s">
        <v>82</v>
      </c>
      <c r="C55" s="50">
        <v>9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2</v>
      </c>
      <c r="J55" s="50">
        <v>1</v>
      </c>
      <c r="K55" s="50">
        <v>0</v>
      </c>
      <c r="L55" s="50">
        <v>0</v>
      </c>
      <c r="M55" s="50">
        <v>32</v>
      </c>
      <c r="N55" s="50">
        <v>0</v>
      </c>
      <c r="O55" s="15">
        <f t="shared" si="0"/>
        <v>13</v>
      </c>
      <c r="P55" s="15">
        <f t="shared" si="1"/>
        <v>45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25</v>
      </c>
      <c r="N56" s="50">
        <v>0</v>
      </c>
      <c r="O56" s="15">
        <f t="shared" si="0"/>
        <v>2</v>
      </c>
      <c r="P56" s="15">
        <f t="shared" si="1"/>
        <v>27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2</v>
      </c>
      <c r="E57" s="50">
        <v>5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0</v>
      </c>
      <c r="M57" s="50">
        <v>48</v>
      </c>
      <c r="N57" s="50">
        <v>0</v>
      </c>
      <c r="O57" s="15">
        <f t="shared" si="0"/>
        <v>8</v>
      </c>
      <c r="P57" s="15">
        <f t="shared" si="1"/>
        <v>56</v>
      </c>
      <c r="R57" s="8"/>
      <c r="T57"/>
    </row>
    <row r="58" spans="2:20" ht="23.1" customHeight="1" x14ac:dyDescent="0.25">
      <c r="B58" s="45" t="s">
        <v>99</v>
      </c>
      <c r="C58" s="50">
        <v>4</v>
      </c>
      <c r="D58" s="50">
        <v>0</v>
      </c>
      <c r="E58" s="50">
        <v>1</v>
      </c>
      <c r="F58" s="50">
        <v>1</v>
      </c>
      <c r="G58" s="50">
        <v>0</v>
      </c>
      <c r="H58" s="50">
        <v>0</v>
      </c>
      <c r="I58" s="50">
        <v>2</v>
      </c>
      <c r="J58" s="50">
        <v>0</v>
      </c>
      <c r="K58" s="50">
        <v>1</v>
      </c>
      <c r="L58" s="50">
        <v>0</v>
      </c>
      <c r="M58" s="50">
        <v>48</v>
      </c>
      <c r="N58" s="50">
        <v>0</v>
      </c>
      <c r="O58" s="15">
        <f t="shared" si="0"/>
        <v>9</v>
      </c>
      <c r="P58" s="15">
        <f t="shared" si="1"/>
        <v>57</v>
      </c>
      <c r="R58" s="8"/>
      <c r="T58"/>
    </row>
    <row r="59" spans="2:20" ht="23.1" customHeight="1" x14ac:dyDescent="0.25">
      <c r="B59" s="45" t="s">
        <v>100</v>
      </c>
      <c r="C59" s="50">
        <v>8</v>
      </c>
      <c r="D59" s="50">
        <v>0</v>
      </c>
      <c r="E59" s="50">
        <v>1</v>
      </c>
      <c r="F59" s="50">
        <v>2</v>
      </c>
      <c r="G59" s="50">
        <v>0</v>
      </c>
      <c r="H59" s="50">
        <v>0</v>
      </c>
      <c r="I59" s="50">
        <v>1</v>
      </c>
      <c r="J59" s="50">
        <v>2</v>
      </c>
      <c r="K59" s="50">
        <v>1</v>
      </c>
      <c r="L59" s="50">
        <v>0</v>
      </c>
      <c r="M59" s="50">
        <v>29</v>
      </c>
      <c r="N59" s="50">
        <v>0</v>
      </c>
      <c r="O59" s="15">
        <f t="shared" si="0"/>
        <v>15</v>
      </c>
      <c r="P59" s="15">
        <f t="shared" si="1"/>
        <v>44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0</v>
      </c>
      <c r="E60" s="50">
        <v>0</v>
      </c>
      <c r="F60" s="50">
        <v>3</v>
      </c>
      <c r="G60" s="50">
        <v>0</v>
      </c>
      <c r="H60" s="50">
        <v>0</v>
      </c>
      <c r="I60" s="50">
        <v>0</v>
      </c>
      <c r="J60" s="50">
        <v>1</v>
      </c>
      <c r="K60" s="50">
        <v>3</v>
      </c>
      <c r="L60" s="50">
        <v>0</v>
      </c>
      <c r="M60" s="50">
        <v>27</v>
      </c>
      <c r="N60" s="50">
        <v>0</v>
      </c>
      <c r="O60" s="15">
        <f t="shared" si="0"/>
        <v>9</v>
      </c>
      <c r="P60" s="15">
        <f t="shared" si="1"/>
        <v>36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1</v>
      </c>
      <c r="J61" s="50">
        <v>1</v>
      </c>
      <c r="K61" s="50">
        <v>1</v>
      </c>
      <c r="L61" s="50">
        <v>0</v>
      </c>
      <c r="M61" s="50">
        <v>40</v>
      </c>
      <c r="N61" s="50">
        <v>0</v>
      </c>
      <c r="O61" s="15">
        <f t="shared" si="0"/>
        <v>6</v>
      </c>
      <c r="P61" s="15">
        <f t="shared" si="1"/>
        <v>46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0</v>
      </c>
      <c r="E62" s="50">
        <v>1</v>
      </c>
      <c r="F62" s="50">
        <v>3</v>
      </c>
      <c r="G62" s="50">
        <v>0</v>
      </c>
      <c r="H62" s="50">
        <v>0</v>
      </c>
      <c r="I62" s="50">
        <v>1</v>
      </c>
      <c r="J62" s="50">
        <v>1</v>
      </c>
      <c r="K62" s="50">
        <v>1</v>
      </c>
      <c r="L62" s="50">
        <v>0</v>
      </c>
      <c r="M62" s="50">
        <v>20</v>
      </c>
      <c r="N62" s="50">
        <v>0</v>
      </c>
      <c r="O62" s="15">
        <f t="shared" si="0"/>
        <v>8</v>
      </c>
      <c r="P62" s="15">
        <f t="shared" si="1"/>
        <v>28</v>
      </c>
      <c r="R62" s="8"/>
      <c r="T62"/>
    </row>
    <row r="63" spans="2:20" ht="23.1" customHeight="1" x14ac:dyDescent="0.25">
      <c r="B63" s="45" t="s">
        <v>108</v>
      </c>
      <c r="C63" s="50">
        <v>3</v>
      </c>
      <c r="D63" s="50">
        <v>0</v>
      </c>
      <c r="E63" s="50">
        <v>1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1</v>
      </c>
      <c r="L63" s="50">
        <v>1</v>
      </c>
      <c r="M63" s="50">
        <v>40</v>
      </c>
      <c r="N63" s="50">
        <v>0</v>
      </c>
      <c r="O63" s="15">
        <f t="shared" si="0"/>
        <v>6</v>
      </c>
      <c r="P63" s="15">
        <f t="shared" si="1"/>
        <v>46</v>
      </c>
      <c r="R63" s="8"/>
      <c r="T63"/>
    </row>
    <row r="64" spans="2:20" ht="23.1" customHeight="1" x14ac:dyDescent="0.25">
      <c r="B64" s="45" t="s">
        <v>109</v>
      </c>
      <c r="C64" s="50">
        <v>6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1</v>
      </c>
      <c r="J64" s="50">
        <v>1</v>
      </c>
      <c r="K64" s="50">
        <v>0</v>
      </c>
      <c r="L64" s="50">
        <v>0</v>
      </c>
      <c r="M64" s="50">
        <v>30</v>
      </c>
      <c r="N64" s="50">
        <v>0</v>
      </c>
      <c r="O64" s="15">
        <f t="shared" si="0"/>
        <v>8</v>
      </c>
      <c r="P64" s="15">
        <f t="shared" si="1"/>
        <v>38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7</v>
      </c>
      <c r="N65" s="50">
        <v>0</v>
      </c>
      <c r="O65" s="15">
        <f t="shared" si="0"/>
        <v>1</v>
      </c>
      <c r="P65" s="15">
        <f t="shared" si="1"/>
        <v>8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1</v>
      </c>
      <c r="J66" s="50">
        <v>1</v>
      </c>
      <c r="K66" s="50">
        <v>0</v>
      </c>
      <c r="L66" s="50">
        <v>0</v>
      </c>
      <c r="M66" s="50">
        <v>12</v>
      </c>
      <c r="N66" s="50">
        <v>0</v>
      </c>
      <c r="O66" s="15">
        <f t="shared" si="0"/>
        <v>3</v>
      </c>
      <c r="P66" s="15">
        <f t="shared" si="1"/>
        <v>15</v>
      </c>
      <c r="R66" s="8"/>
      <c r="T66"/>
    </row>
    <row r="67" spans="2:20" ht="23.1" customHeight="1" x14ac:dyDescent="0.25">
      <c r="B67" s="45" t="s">
        <v>104</v>
      </c>
      <c r="C67" s="50">
        <v>3</v>
      </c>
      <c r="D67" s="50">
        <v>0</v>
      </c>
      <c r="E67" s="50">
        <v>0</v>
      </c>
      <c r="F67" s="50">
        <v>1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14</v>
      </c>
      <c r="N67" s="50">
        <v>0</v>
      </c>
      <c r="O67" s="15">
        <f t="shared" si="0"/>
        <v>4</v>
      </c>
      <c r="P67" s="15">
        <f t="shared" si="1"/>
        <v>18</v>
      </c>
      <c r="R67" s="8"/>
      <c r="T67"/>
    </row>
    <row r="68" spans="2:20" ht="23.1" customHeight="1" x14ac:dyDescent="0.25">
      <c r="B68" s="45" t="s">
        <v>105</v>
      </c>
      <c r="C68" s="50">
        <v>3</v>
      </c>
      <c r="D68" s="50">
        <v>2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1</v>
      </c>
      <c r="K68" s="50">
        <v>1</v>
      </c>
      <c r="L68" s="50">
        <v>0</v>
      </c>
      <c r="M68" s="50">
        <v>14</v>
      </c>
      <c r="N68" s="50">
        <v>0</v>
      </c>
      <c r="O68" s="15">
        <f t="shared" si="0"/>
        <v>7</v>
      </c>
      <c r="P68" s="15">
        <f t="shared" si="1"/>
        <v>21</v>
      </c>
      <c r="R68" s="8"/>
      <c r="T68"/>
    </row>
    <row r="69" spans="2:20" ht="23.1" customHeight="1" x14ac:dyDescent="0.25">
      <c r="B69" s="45" t="s">
        <v>106</v>
      </c>
      <c r="C69" s="50">
        <v>3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15</v>
      </c>
      <c r="N69" s="50">
        <v>0</v>
      </c>
      <c r="O69" s="15">
        <f t="shared" si="0"/>
        <v>3</v>
      </c>
      <c r="P69" s="15">
        <f t="shared" si="1"/>
        <v>18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10</v>
      </c>
      <c r="N70" s="50">
        <v>0</v>
      </c>
      <c r="O70" s="15">
        <f t="shared" si="0"/>
        <v>1</v>
      </c>
      <c r="P70" s="15">
        <f t="shared" si="1"/>
        <v>11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1</v>
      </c>
      <c r="L71" s="50">
        <v>0</v>
      </c>
      <c r="M71" s="50">
        <v>9</v>
      </c>
      <c r="N71" s="50">
        <v>0</v>
      </c>
      <c r="O71" s="15">
        <f t="shared" si="0"/>
        <v>3</v>
      </c>
      <c r="P71" s="15">
        <f t="shared" si="1"/>
        <v>12</v>
      </c>
      <c r="R71" s="8"/>
      <c r="T71"/>
    </row>
    <row r="72" spans="2:20" ht="23.1" customHeight="1" x14ac:dyDescent="0.25">
      <c r="B72" s="45" t="s">
        <v>112</v>
      </c>
      <c r="C72" s="50">
        <v>2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3</v>
      </c>
      <c r="N72" s="50">
        <v>0</v>
      </c>
      <c r="O72" s="15">
        <f t="shared" si="0"/>
        <v>2</v>
      </c>
      <c r="P72" s="15">
        <f t="shared" si="1"/>
        <v>5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2</v>
      </c>
      <c r="N73" s="50">
        <v>0</v>
      </c>
      <c r="O73" s="15">
        <f t="shared" si="0"/>
        <v>2</v>
      </c>
      <c r="P73" s="15">
        <f t="shared" si="1"/>
        <v>4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1</v>
      </c>
      <c r="L74" s="50">
        <v>0</v>
      </c>
      <c r="M74" s="50">
        <v>9</v>
      </c>
      <c r="N74" s="50">
        <v>0</v>
      </c>
      <c r="O74" s="15">
        <f t="shared" ref="O74:O105" si="35">SUM(C74:L74,N74)</f>
        <v>3</v>
      </c>
      <c r="P74" s="15">
        <f t="shared" ref="P74:P105" si="36">SUM(C74:N74)</f>
        <v>12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3</v>
      </c>
      <c r="N75" s="50">
        <v>0</v>
      </c>
      <c r="O75" s="15">
        <f t="shared" si="35"/>
        <v>0</v>
      </c>
      <c r="P75" s="15">
        <f t="shared" si="36"/>
        <v>3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4</v>
      </c>
      <c r="N76" s="50">
        <v>0</v>
      </c>
      <c r="O76" s="15">
        <f t="shared" si="35"/>
        <v>0</v>
      </c>
      <c r="P76" s="15">
        <f t="shared" si="36"/>
        <v>4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0</v>
      </c>
      <c r="P77" s="15">
        <f t="shared" si="36"/>
        <v>1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0</v>
      </c>
      <c r="P78" s="15">
        <f t="shared" si="36"/>
        <v>1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</v>
      </c>
      <c r="N80" s="50">
        <v>0</v>
      </c>
      <c r="O80" s="15">
        <f t="shared" si="35"/>
        <v>0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</v>
      </c>
      <c r="N81" s="50">
        <v>0</v>
      </c>
      <c r="O81" s="15">
        <f t="shared" si="35"/>
        <v>0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1</v>
      </c>
      <c r="L82" s="50">
        <v>0</v>
      </c>
      <c r="M82" s="50">
        <v>1</v>
      </c>
      <c r="N82" s="50">
        <v>0</v>
      </c>
      <c r="O82" s="15">
        <f t="shared" si="35"/>
        <v>1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0</v>
      </c>
      <c r="E98" s="50">
        <v>1</v>
      </c>
      <c r="F98" s="50">
        <v>0</v>
      </c>
      <c r="G98" s="50">
        <v>0</v>
      </c>
      <c r="H98" s="50">
        <v>0</v>
      </c>
      <c r="I98" s="50">
        <v>0</v>
      </c>
      <c r="J98" s="50">
        <v>1</v>
      </c>
      <c r="K98" s="50">
        <v>2</v>
      </c>
      <c r="L98" s="50">
        <v>0</v>
      </c>
      <c r="M98" s="50">
        <v>5</v>
      </c>
      <c r="N98" s="50">
        <v>0</v>
      </c>
      <c r="O98" s="15">
        <f t="shared" si="35"/>
        <v>6</v>
      </c>
      <c r="P98" s="15">
        <f t="shared" si="36"/>
        <v>11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</v>
      </c>
      <c r="N99" s="50">
        <v>0</v>
      </c>
      <c r="O99" s="15">
        <f t="shared" si="35"/>
        <v>1</v>
      </c>
      <c r="P99" s="15">
        <f t="shared" si="36"/>
        <v>3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0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1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8</v>
      </c>
      <c r="N102" s="50">
        <v>0</v>
      </c>
      <c r="O102" s="15">
        <f t="shared" si="35"/>
        <v>3</v>
      </c>
      <c r="P102" s="15">
        <f t="shared" si="36"/>
        <v>11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0</v>
      </c>
      <c r="M103" s="50">
        <v>7</v>
      </c>
      <c r="N103" s="50">
        <v>0</v>
      </c>
      <c r="O103" s="15">
        <f t="shared" si="35"/>
        <v>3</v>
      </c>
      <c r="P103" s="15">
        <f t="shared" si="36"/>
        <v>10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1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10</v>
      </c>
      <c r="N104" s="50">
        <v>0</v>
      </c>
      <c r="O104" s="15">
        <f t="shared" si="35"/>
        <v>1</v>
      </c>
      <c r="P104" s="15">
        <f t="shared" si="36"/>
        <v>11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1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16</v>
      </c>
      <c r="N105" s="50">
        <v>0</v>
      </c>
      <c r="O105" s="15">
        <f t="shared" si="35"/>
        <v>2</v>
      </c>
      <c r="P105" s="15">
        <f t="shared" si="36"/>
        <v>18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315</v>
      </c>
      <c r="D106" s="16">
        <f t="shared" ref="D106:P106" si="37">SUM(D10:D105)</f>
        <v>28</v>
      </c>
      <c r="E106" s="16">
        <f t="shared" si="37"/>
        <v>48</v>
      </c>
      <c r="F106" s="16">
        <f t="shared" si="37"/>
        <v>50</v>
      </c>
      <c r="G106" s="16">
        <f t="shared" si="37"/>
        <v>2</v>
      </c>
      <c r="H106" s="16">
        <f t="shared" si="37"/>
        <v>3</v>
      </c>
      <c r="I106" s="16">
        <f t="shared" si="37"/>
        <v>54</v>
      </c>
      <c r="J106" s="16">
        <f t="shared" si="37"/>
        <v>40</v>
      </c>
      <c r="K106" s="16">
        <f t="shared" si="37"/>
        <v>23</v>
      </c>
      <c r="L106" s="16">
        <f t="shared" si="37"/>
        <v>3</v>
      </c>
      <c r="M106" s="16">
        <f t="shared" si="37"/>
        <v>2288</v>
      </c>
      <c r="N106" s="16">
        <f t="shared" si="37"/>
        <v>0</v>
      </c>
      <c r="O106" s="16">
        <f t="shared" si="37"/>
        <v>566</v>
      </c>
      <c r="P106" s="16">
        <f t="shared" si="37"/>
        <v>2854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0.11037140854940435</v>
      </c>
      <c r="D107" s="43">
        <f t="shared" si="38"/>
        <v>9.8107918710581641E-3</v>
      </c>
      <c r="E107" s="43">
        <f t="shared" si="38"/>
        <v>1.6818500350385426E-2</v>
      </c>
      <c r="F107" s="43">
        <f t="shared" si="38"/>
        <v>1.751927119831815E-2</v>
      </c>
      <c r="G107" s="43">
        <f t="shared" si="38"/>
        <v>7.0077084793272596E-4</v>
      </c>
      <c r="H107" s="43">
        <f t="shared" si="38"/>
        <v>1.0511562718990891E-3</v>
      </c>
      <c r="I107" s="43">
        <f t="shared" si="38"/>
        <v>1.8920812894183601E-2</v>
      </c>
      <c r="J107" s="43">
        <f t="shared" si="38"/>
        <v>1.401541695865452E-2</v>
      </c>
      <c r="K107" s="43">
        <f t="shared" si="38"/>
        <v>8.0588647512263491E-3</v>
      </c>
      <c r="L107" s="43">
        <f t="shared" si="38"/>
        <v>1.0511562718990891E-3</v>
      </c>
      <c r="M107" s="43">
        <f t="shared" si="38"/>
        <v>0.80168185003503856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0.55653710247349819</v>
      </c>
      <c r="D108" s="44">
        <f t="shared" ref="D108:N108" si="39">D106/$O$106</f>
        <v>4.9469964664310952E-2</v>
      </c>
      <c r="E108" s="44">
        <f t="shared" si="39"/>
        <v>8.4805653710247356E-2</v>
      </c>
      <c r="F108" s="44">
        <f t="shared" si="39"/>
        <v>8.8339222614840993E-2</v>
      </c>
      <c r="G108" s="44">
        <f t="shared" si="39"/>
        <v>3.5335689045936395E-3</v>
      </c>
      <c r="H108" s="44">
        <f t="shared" si="39"/>
        <v>5.3003533568904597E-3</v>
      </c>
      <c r="I108" s="44">
        <f t="shared" si="39"/>
        <v>9.5406360424028266E-2</v>
      </c>
      <c r="J108" s="44">
        <f t="shared" si="39"/>
        <v>7.0671378091872794E-2</v>
      </c>
      <c r="K108" s="44">
        <f t="shared" si="39"/>
        <v>4.0636042402826852E-2</v>
      </c>
      <c r="L108" s="44">
        <f t="shared" si="39"/>
        <v>5.3003533568904597E-3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KYENJOJO-HOIMA'!C3:G3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63" t="str">
        <f>'25.10 KYENJOJO-HOIMA'!G5:H5</f>
        <v>KYENJOJO</v>
      </c>
      <c r="H5" s="64"/>
      <c r="I5" s="14"/>
      <c r="J5" s="2" t="s">
        <v>5</v>
      </c>
      <c r="K5" s="63" t="str">
        <f>'25.10 KYENJOJO-HOIMA'!K5:L5</f>
        <v>OLOYA FELIX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KYENJOJO-HOIMA'!D6:E6</f>
        <v>KYENJOJO</v>
      </c>
      <c r="E6" s="64"/>
      <c r="F6" s="2" t="s">
        <v>2</v>
      </c>
      <c r="G6" s="63" t="str">
        <f>'25.10 KYENJOJO-HOIMA'!G6:H6</f>
        <v>HOIMA</v>
      </c>
      <c r="H6" s="64"/>
      <c r="J6" s="2" t="s">
        <v>21</v>
      </c>
      <c r="K6" s="63" t="str">
        <f>'25.10 KYENJOJO-HOIMA'!K6:L6</f>
        <v>FELIX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6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10</v>
      </c>
      <c r="T10" s="17">
        <f t="shared" si="2"/>
        <v>2</v>
      </c>
      <c r="U10" s="17">
        <f t="shared" si="2"/>
        <v>0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63</v>
      </c>
      <c r="AD10" s="17">
        <f t="shared" si="2"/>
        <v>0</v>
      </c>
      <c r="AE10" s="31">
        <f t="shared" si="2"/>
        <v>19</v>
      </c>
      <c r="AF10" s="31">
        <f t="shared" si="2"/>
        <v>82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23</v>
      </c>
      <c r="N11" s="50">
        <v>0</v>
      </c>
      <c r="O11" s="15">
        <f t="shared" si="0"/>
        <v>1</v>
      </c>
      <c r="P11" s="15">
        <f t="shared" si="1"/>
        <v>24</v>
      </c>
      <c r="R11" s="1" t="s">
        <v>7</v>
      </c>
      <c r="S11" s="17">
        <f t="shared" ref="S11:AF11" si="3">SUM(C14:C17)</f>
        <v>22</v>
      </c>
      <c r="T11" s="17">
        <f t="shared" si="3"/>
        <v>5</v>
      </c>
      <c r="U11" s="17">
        <f t="shared" si="3"/>
        <v>8</v>
      </c>
      <c r="V11" s="17">
        <f t="shared" si="3"/>
        <v>0</v>
      </c>
      <c r="W11" s="17">
        <f t="shared" si="3"/>
        <v>0</v>
      </c>
      <c r="X11" s="17">
        <f t="shared" si="3"/>
        <v>2</v>
      </c>
      <c r="Y11" s="17">
        <f t="shared" si="3"/>
        <v>4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136</v>
      </c>
      <c r="AD11" s="17">
        <f t="shared" si="3"/>
        <v>0</v>
      </c>
      <c r="AE11" s="31">
        <f t="shared" si="3"/>
        <v>44</v>
      </c>
      <c r="AF11" s="31">
        <f t="shared" si="3"/>
        <v>180</v>
      </c>
    </row>
    <row r="12" spans="2:32" ht="23.1" customHeight="1" x14ac:dyDescent="0.25">
      <c r="B12" s="23" t="s">
        <v>39</v>
      </c>
      <c r="C12" s="50">
        <v>1</v>
      </c>
      <c r="D12" s="50">
        <v>1</v>
      </c>
      <c r="E12" s="50">
        <v>0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9</v>
      </c>
      <c r="N12" s="50">
        <v>0</v>
      </c>
      <c r="O12" s="15">
        <f t="shared" si="0"/>
        <v>5</v>
      </c>
      <c r="P12" s="15">
        <f t="shared" si="1"/>
        <v>14</v>
      </c>
      <c r="R12" s="1" t="s">
        <v>8</v>
      </c>
      <c r="S12" s="17">
        <f t="shared" ref="S12:AF12" si="4">SUM(C18:C21)</f>
        <v>17</v>
      </c>
      <c r="T12" s="17">
        <f t="shared" si="4"/>
        <v>2</v>
      </c>
      <c r="U12" s="17">
        <f t="shared" si="4"/>
        <v>6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79</v>
      </c>
      <c r="AD12" s="17">
        <f t="shared" si="4"/>
        <v>0</v>
      </c>
      <c r="AE12" s="31">
        <f t="shared" si="4"/>
        <v>34</v>
      </c>
      <c r="AF12" s="31">
        <f t="shared" si="4"/>
        <v>113</v>
      </c>
    </row>
    <row r="13" spans="2:32" ht="23.1" customHeight="1" x14ac:dyDescent="0.25">
      <c r="B13" s="23" t="s">
        <v>40</v>
      </c>
      <c r="C13" s="50">
        <v>5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25</v>
      </c>
      <c r="N13" s="50">
        <v>0</v>
      </c>
      <c r="O13" s="15">
        <f t="shared" si="0"/>
        <v>8</v>
      </c>
      <c r="P13" s="15">
        <f t="shared" si="1"/>
        <v>33</v>
      </c>
      <c r="R13" s="1" t="s">
        <v>9</v>
      </c>
      <c r="S13" s="17">
        <f t="shared" ref="S13:AF13" si="5">SUM(C22:C25)</f>
        <v>28</v>
      </c>
      <c r="T13" s="17">
        <f t="shared" si="5"/>
        <v>3</v>
      </c>
      <c r="U13" s="17">
        <f t="shared" si="5"/>
        <v>6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181</v>
      </c>
      <c r="AD13" s="17">
        <f t="shared" si="5"/>
        <v>0</v>
      </c>
      <c r="AE13" s="31">
        <f t="shared" si="5"/>
        <v>42</v>
      </c>
      <c r="AF13" s="31">
        <f t="shared" si="5"/>
        <v>223</v>
      </c>
    </row>
    <row r="14" spans="2:32" ht="23.1" customHeight="1" x14ac:dyDescent="0.25">
      <c r="B14" s="23" t="s">
        <v>41</v>
      </c>
      <c r="C14" s="50">
        <v>3</v>
      </c>
      <c r="D14" s="50">
        <v>2</v>
      </c>
      <c r="E14" s="50">
        <v>3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21</v>
      </c>
      <c r="N14" s="50">
        <v>0</v>
      </c>
      <c r="O14" s="15">
        <f t="shared" si="0"/>
        <v>9</v>
      </c>
      <c r="P14" s="15">
        <f t="shared" si="1"/>
        <v>30</v>
      </c>
      <c r="R14" s="1" t="s">
        <v>10</v>
      </c>
      <c r="S14" s="17">
        <f t="shared" ref="S14:AF14" si="6">SUM(C26:C29)</f>
        <v>28</v>
      </c>
      <c r="T14" s="17">
        <f t="shared" si="6"/>
        <v>3</v>
      </c>
      <c r="U14" s="17">
        <f t="shared" si="6"/>
        <v>4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3</v>
      </c>
      <c r="AA14" s="17">
        <f t="shared" si="6"/>
        <v>0</v>
      </c>
      <c r="AB14" s="17">
        <f t="shared" si="6"/>
        <v>1</v>
      </c>
      <c r="AC14" s="17">
        <f t="shared" si="6"/>
        <v>180</v>
      </c>
      <c r="AD14" s="17">
        <f t="shared" si="6"/>
        <v>1</v>
      </c>
      <c r="AE14" s="31">
        <f t="shared" si="6"/>
        <v>48</v>
      </c>
      <c r="AF14" s="31">
        <f t="shared" si="6"/>
        <v>228</v>
      </c>
    </row>
    <row r="15" spans="2:32" ht="23.1" customHeight="1" x14ac:dyDescent="0.25">
      <c r="B15" s="23" t="s">
        <v>42</v>
      </c>
      <c r="C15" s="50">
        <v>5</v>
      </c>
      <c r="D15" s="50">
        <v>2</v>
      </c>
      <c r="E15" s="50">
        <v>2</v>
      </c>
      <c r="F15" s="50">
        <v>0</v>
      </c>
      <c r="G15" s="50">
        <v>0</v>
      </c>
      <c r="H15" s="50">
        <v>2</v>
      </c>
      <c r="I15" s="50">
        <v>0</v>
      </c>
      <c r="J15" s="50">
        <v>0</v>
      </c>
      <c r="K15" s="50">
        <v>0</v>
      </c>
      <c r="L15" s="50">
        <v>0</v>
      </c>
      <c r="M15" s="50">
        <v>37</v>
      </c>
      <c r="N15" s="50">
        <v>0</v>
      </c>
      <c r="O15" s="15">
        <f t="shared" si="0"/>
        <v>11</v>
      </c>
      <c r="P15" s="15">
        <f t="shared" si="1"/>
        <v>48</v>
      </c>
      <c r="R15" s="1" t="s">
        <v>11</v>
      </c>
      <c r="S15" s="17">
        <f t="shared" ref="S15:AF15" si="7">SUM(C30:C33)</f>
        <v>29</v>
      </c>
      <c r="T15" s="17">
        <f t="shared" si="7"/>
        <v>3</v>
      </c>
      <c r="U15" s="17">
        <f t="shared" si="7"/>
        <v>8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5</v>
      </c>
      <c r="AA15" s="17">
        <f t="shared" si="7"/>
        <v>0</v>
      </c>
      <c r="AB15" s="17">
        <f t="shared" si="7"/>
        <v>2</v>
      </c>
      <c r="AC15" s="17">
        <f t="shared" si="7"/>
        <v>152</v>
      </c>
      <c r="AD15" s="17">
        <f t="shared" si="7"/>
        <v>0</v>
      </c>
      <c r="AE15" s="31">
        <f t="shared" si="7"/>
        <v>54</v>
      </c>
      <c r="AF15" s="31">
        <f t="shared" si="7"/>
        <v>206</v>
      </c>
    </row>
    <row r="16" spans="2:32" ht="23.1" customHeight="1" x14ac:dyDescent="0.25">
      <c r="B16" s="23" t="s">
        <v>43</v>
      </c>
      <c r="C16" s="50">
        <v>8</v>
      </c>
      <c r="D16" s="50">
        <v>1</v>
      </c>
      <c r="E16" s="50">
        <v>2</v>
      </c>
      <c r="F16" s="50">
        <v>0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43</v>
      </c>
      <c r="N16" s="50">
        <v>0</v>
      </c>
      <c r="O16" s="15">
        <f t="shared" si="0"/>
        <v>14</v>
      </c>
      <c r="P16" s="15">
        <f t="shared" si="1"/>
        <v>57</v>
      </c>
      <c r="R16" s="1" t="s">
        <v>12</v>
      </c>
      <c r="S16" s="17">
        <f t="shared" ref="S16:AF16" si="8">SUM(C34:C37)</f>
        <v>28</v>
      </c>
      <c r="T16" s="17">
        <f t="shared" si="8"/>
        <v>1</v>
      </c>
      <c r="U16" s="17">
        <f t="shared" si="8"/>
        <v>6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1</v>
      </c>
      <c r="AA16" s="17">
        <f t="shared" si="8"/>
        <v>1</v>
      </c>
      <c r="AB16" s="17">
        <f t="shared" si="8"/>
        <v>1</v>
      </c>
      <c r="AC16" s="17">
        <f t="shared" si="8"/>
        <v>123</v>
      </c>
      <c r="AD16" s="17">
        <f t="shared" si="8"/>
        <v>0</v>
      </c>
      <c r="AE16" s="31">
        <f t="shared" si="8"/>
        <v>44</v>
      </c>
      <c r="AF16" s="31">
        <f t="shared" si="8"/>
        <v>167</v>
      </c>
    </row>
    <row r="17" spans="2:32" ht="23.1" customHeight="1" x14ac:dyDescent="0.25">
      <c r="B17" s="23" t="s">
        <v>44</v>
      </c>
      <c r="C17" s="50">
        <v>6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2</v>
      </c>
      <c r="K17" s="50">
        <v>0</v>
      </c>
      <c r="L17" s="50">
        <v>0</v>
      </c>
      <c r="M17" s="50">
        <v>35</v>
      </c>
      <c r="N17" s="50">
        <v>0</v>
      </c>
      <c r="O17" s="15">
        <f t="shared" si="0"/>
        <v>10</v>
      </c>
      <c r="P17" s="15">
        <f t="shared" si="1"/>
        <v>45</v>
      </c>
      <c r="R17" s="1" t="s">
        <v>13</v>
      </c>
      <c r="S17" s="17">
        <f t="shared" ref="S17:AF17" si="9">SUM(C38:C41)</f>
        <v>18</v>
      </c>
      <c r="T17" s="17">
        <f t="shared" si="9"/>
        <v>1</v>
      </c>
      <c r="U17" s="17">
        <f t="shared" si="9"/>
        <v>3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172</v>
      </c>
      <c r="AD17" s="17">
        <f t="shared" si="9"/>
        <v>0</v>
      </c>
      <c r="AE17" s="31">
        <f t="shared" si="9"/>
        <v>31</v>
      </c>
      <c r="AF17" s="31">
        <f t="shared" si="9"/>
        <v>203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20</v>
      </c>
      <c r="N18" s="50">
        <v>0</v>
      </c>
      <c r="O18" s="15">
        <f t="shared" si="0"/>
        <v>0</v>
      </c>
      <c r="P18" s="15">
        <f t="shared" si="1"/>
        <v>20</v>
      </c>
      <c r="R18" s="1" t="s">
        <v>14</v>
      </c>
      <c r="S18" s="17">
        <f t="shared" ref="S18:AF18" si="10">SUM(C42:C45)</f>
        <v>16</v>
      </c>
      <c r="T18" s="17">
        <f t="shared" si="10"/>
        <v>2</v>
      </c>
      <c r="U18" s="17">
        <f t="shared" si="10"/>
        <v>3</v>
      </c>
      <c r="V18" s="17">
        <f t="shared" si="10"/>
        <v>5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126</v>
      </c>
      <c r="AD18" s="17">
        <f t="shared" si="10"/>
        <v>0</v>
      </c>
      <c r="AE18" s="31">
        <f t="shared" si="10"/>
        <v>29</v>
      </c>
      <c r="AF18" s="31">
        <f t="shared" si="10"/>
        <v>155</v>
      </c>
    </row>
    <row r="19" spans="2:32" ht="23.1" customHeight="1" x14ac:dyDescent="0.25">
      <c r="B19" s="23" t="s">
        <v>46</v>
      </c>
      <c r="C19" s="50">
        <v>5</v>
      </c>
      <c r="D19" s="50">
        <v>2</v>
      </c>
      <c r="E19" s="50">
        <v>5</v>
      </c>
      <c r="F19" s="50">
        <v>0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15</v>
      </c>
      <c r="N19" s="50">
        <v>0</v>
      </c>
      <c r="O19" s="15">
        <f t="shared" si="0"/>
        <v>14</v>
      </c>
      <c r="P19" s="15">
        <f t="shared" si="1"/>
        <v>29</v>
      </c>
      <c r="R19" s="1" t="s">
        <v>15</v>
      </c>
      <c r="S19" s="17">
        <f t="shared" ref="S19:AF19" si="11">SUM(C46:C49)</f>
        <v>22</v>
      </c>
      <c r="T19" s="17">
        <f t="shared" si="11"/>
        <v>0</v>
      </c>
      <c r="U19" s="17">
        <f t="shared" si="11"/>
        <v>3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1</v>
      </c>
      <c r="AA19" s="17">
        <f t="shared" si="11"/>
        <v>0</v>
      </c>
      <c r="AB19" s="17">
        <f t="shared" si="11"/>
        <v>2</v>
      </c>
      <c r="AC19" s="17">
        <f t="shared" si="11"/>
        <v>164</v>
      </c>
      <c r="AD19" s="17">
        <f t="shared" si="11"/>
        <v>0</v>
      </c>
      <c r="AE19" s="31">
        <f t="shared" si="11"/>
        <v>38</v>
      </c>
      <c r="AF19" s="31">
        <f t="shared" si="11"/>
        <v>202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3</v>
      </c>
      <c r="J20" s="50">
        <v>0</v>
      </c>
      <c r="K20" s="50">
        <v>1</v>
      </c>
      <c r="L20" s="50">
        <v>0</v>
      </c>
      <c r="M20" s="50">
        <v>20</v>
      </c>
      <c r="N20" s="50">
        <v>0</v>
      </c>
      <c r="O20" s="15">
        <f t="shared" si="0"/>
        <v>10</v>
      </c>
      <c r="P20" s="15">
        <f t="shared" si="1"/>
        <v>30</v>
      </c>
      <c r="R20" s="1" t="s">
        <v>16</v>
      </c>
      <c r="S20" s="17">
        <f t="shared" ref="S20:AF20" si="12">SUM(C50:C53)</f>
        <v>40</v>
      </c>
      <c r="T20" s="17">
        <f t="shared" si="12"/>
        <v>3</v>
      </c>
      <c r="U20" s="17">
        <f t="shared" si="12"/>
        <v>3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5</v>
      </c>
      <c r="AA20" s="17">
        <f t="shared" si="12"/>
        <v>2</v>
      </c>
      <c r="AB20" s="17">
        <f t="shared" si="12"/>
        <v>2</v>
      </c>
      <c r="AC20" s="17">
        <f t="shared" si="12"/>
        <v>203</v>
      </c>
      <c r="AD20" s="17">
        <f t="shared" si="12"/>
        <v>0</v>
      </c>
      <c r="AE20" s="31">
        <f t="shared" si="12"/>
        <v>64</v>
      </c>
      <c r="AF20" s="31">
        <f t="shared" si="12"/>
        <v>267</v>
      </c>
    </row>
    <row r="21" spans="2:32" ht="23.1" customHeight="1" x14ac:dyDescent="0.25">
      <c r="B21" s="23" t="s">
        <v>48</v>
      </c>
      <c r="C21" s="50">
        <v>8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24</v>
      </c>
      <c r="N21" s="50">
        <v>0</v>
      </c>
      <c r="O21" s="15">
        <f t="shared" si="0"/>
        <v>10</v>
      </c>
      <c r="P21" s="15">
        <f t="shared" si="1"/>
        <v>34</v>
      </c>
      <c r="R21" s="36" t="s">
        <v>20</v>
      </c>
      <c r="S21" s="34">
        <f t="shared" ref="S21:AF21" si="13">SUM(C54:C57)</f>
        <v>26</v>
      </c>
      <c r="T21" s="17">
        <f t="shared" si="13"/>
        <v>4</v>
      </c>
      <c r="U21" s="17">
        <f t="shared" si="13"/>
        <v>2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187</v>
      </c>
      <c r="AD21" s="17">
        <f t="shared" si="13"/>
        <v>0</v>
      </c>
      <c r="AE21" s="31">
        <f t="shared" si="13"/>
        <v>37</v>
      </c>
      <c r="AF21" s="31">
        <f t="shared" si="13"/>
        <v>224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45</v>
      </c>
      <c r="N22" s="50">
        <v>0</v>
      </c>
      <c r="O22" s="15">
        <f t="shared" si="0"/>
        <v>3</v>
      </c>
      <c r="P22" s="15">
        <f t="shared" si="1"/>
        <v>48</v>
      </c>
      <c r="R22" s="38" t="s">
        <v>90</v>
      </c>
      <c r="S22" s="39">
        <f>MAX(S10:S12)</f>
        <v>22</v>
      </c>
      <c r="T22" s="39">
        <f t="shared" ref="T22:AF22" si="14">MAX(T10:T12)</f>
        <v>5</v>
      </c>
      <c r="U22" s="39">
        <f t="shared" si="14"/>
        <v>8</v>
      </c>
      <c r="V22" s="39">
        <f t="shared" si="14"/>
        <v>2</v>
      </c>
      <c r="W22" s="39">
        <f t="shared" si="14"/>
        <v>0</v>
      </c>
      <c r="X22" s="39">
        <f t="shared" si="14"/>
        <v>2</v>
      </c>
      <c r="Y22" s="39">
        <f t="shared" si="14"/>
        <v>5</v>
      </c>
      <c r="Z22" s="39">
        <f t="shared" si="14"/>
        <v>3</v>
      </c>
      <c r="AA22" s="39">
        <f t="shared" si="14"/>
        <v>1</v>
      </c>
      <c r="AB22" s="39">
        <f t="shared" si="14"/>
        <v>0</v>
      </c>
      <c r="AC22" s="39">
        <f t="shared" si="14"/>
        <v>136</v>
      </c>
      <c r="AD22" s="39">
        <f t="shared" si="14"/>
        <v>0</v>
      </c>
      <c r="AE22" s="40">
        <f t="shared" si="14"/>
        <v>44</v>
      </c>
      <c r="AF22" s="40">
        <f t="shared" si="14"/>
        <v>180</v>
      </c>
    </row>
    <row r="23" spans="2:32" ht="23.1" customHeight="1" x14ac:dyDescent="0.25">
      <c r="B23" s="23" t="s">
        <v>50</v>
      </c>
      <c r="C23" s="50">
        <v>7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48</v>
      </c>
      <c r="N23" s="50">
        <v>0</v>
      </c>
      <c r="O23" s="15">
        <f t="shared" si="0"/>
        <v>11</v>
      </c>
      <c r="P23" s="15">
        <f t="shared" si="1"/>
        <v>59</v>
      </c>
      <c r="R23" s="38" t="s">
        <v>91</v>
      </c>
      <c r="S23" s="39">
        <f>MAX(S13:S18)</f>
        <v>29</v>
      </c>
      <c r="T23" s="39">
        <f t="shared" ref="T23:AF23" si="15">MAX(T13:T18)</f>
        <v>3</v>
      </c>
      <c r="U23" s="39">
        <f t="shared" si="15"/>
        <v>8</v>
      </c>
      <c r="V23" s="39">
        <f t="shared" si="15"/>
        <v>5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5</v>
      </c>
      <c r="AA23" s="39">
        <f t="shared" si="15"/>
        <v>1</v>
      </c>
      <c r="AB23" s="39">
        <f t="shared" si="15"/>
        <v>2</v>
      </c>
      <c r="AC23" s="39">
        <f t="shared" si="15"/>
        <v>181</v>
      </c>
      <c r="AD23" s="39">
        <f t="shared" si="15"/>
        <v>1</v>
      </c>
      <c r="AE23" s="40">
        <f t="shared" si="15"/>
        <v>54</v>
      </c>
      <c r="AF23" s="40">
        <f t="shared" si="15"/>
        <v>228</v>
      </c>
    </row>
    <row r="24" spans="2:32" ht="23.1" customHeight="1" x14ac:dyDescent="0.25">
      <c r="B24" s="23" t="s">
        <v>51</v>
      </c>
      <c r="C24" s="50">
        <v>11</v>
      </c>
      <c r="D24" s="50">
        <v>3</v>
      </c>
      <c r="E24" s="50">
        <v>2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42</v>
      </c>
      <c r="N24" s="50">
        <v>0</v>
      </c>
      <c r="O24" s="15">
        <f t="shared" si="0"/>
        <v>16</v>
      </c>
      <c r="P24" s="15">
        <f t="shared" si="1"/>
        <v>58</v>
      </c>
      <c r="R24" s="38" t="s">
        <v>92</v>
      </c>
      <c r="S24" s="39">
        <f>MAX(S19:S21)</f>
        <v>40</v>
      </c>
      <c r="T24" s="39">
        <f t="shared" ref="T24:AF24" si="16">MAX(T19:T21)</f>
        <v>4</v>
      </c>
      <c r="U24" s="39">
        <f t="shared" si="16"/>
        <v>3</v>
      </c>
      <c r="V24" s="39">
        <f t="shared" si="16"/>
        <v>3</v>
      </c>
      <c r="W24" s="39">
        <f t="shared" si="16"/>
        <v>0</v>
      </c>
      <c r="X24" s="39">
        <f t="shared" si="16"/>
        <v>0</v>
      </c>
      <c r="Y24" s="39">
        <f t="shared" si="16"/>
        <v>7</v>
      </c>
      <c r="Z24" s="39">
        <f t="shared" si="16"/>
        <v>5</v>
      </c>
      <c r="AA24" s="39">
        <f t="shared" si="16"/>
        <v>2</v>
      </c>
      <c r="AB24" s="39">
        <f t="shared" si="16"/>
        <v>2</v>
      </c>
      <c r="AC24" s="39">
        <f t="shared" si="16"/>
        <v>203</v>
      </c>
      <c r="AD24" s="39">
        <f t="shared" si="16"/>
        <v>0</v>
      </c>
      <c r="AE24" s="40">
        <f t="shared" si="16"/>
        <v>64</v>
      </c>
      <c r="AF24" s="40">
        <f t="shared" si="16"/>
        <v>267</v>
      </c>
    </row>
    <row r="25" spans="2:32" ht="23.1" customHeight="1" x14ac:dyDescent="0.25">
      <c r="B25" s="23" t="s">
        <v>52</v>
      </c>
      <c r="C25" s="50">
        <v>7</v>
      </c>
      <c r="D25" s="50">
        <v>0</v>
      </c>
      <c r="E25" s="50">
        <v>2</v>
      </c>
      <c r="F25" s="50">
        <v>1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46</v>
      </c>
      <c r="N25" s="50">
        <v>0</v>
      </c>
      <c r="O25" s="15">
        <f t="shared" si="0"/>
        <v>12</v>
      </c>
      <c r="P25" s="15">
        <f t="shared" si="1"/>
        <v>58</v>
      </c>
      <c r="R25" s="37" t="s">
        <v>85</v>
      </c>
      <c r="S25" s="35">
        <f t="shared" ref="S25:AF25" si="17">SUM(S10:S12)</f>
        <v>49</v>
      </c>
      <c r="T25" s="16">
        <f t="shared" si="17"/>
        <v>9</v>
      </c>
      <c r="U25" s="16">
        <f t="shared" si="17"/>
        <v>14</v>
      </c>
      <c r="V25" s="16">
        <f t="shared" si="17"/>
        <v>3</v>
      </c>
      <c r="W25" s="16">
        <f t="shared" si="17"/>
        <v>0</v>
      </c>
      <c r="X25" s="16">
        <f t="shared" si="17"/>
        <v>2</v>
      </c>
      <c r="Y25" s="16">
        <f t="shared" si="17"/>
        <v>13</v>
      </c>
      <c r="Z25" s="16">
        <f t="shared" si="17"/>
        <v>5</v>
      </c>
      <c r="AA25" s="16">
        <f t="shared" si="17"/>
        <v>2</v>
      </c>
      <c r="AB25" s="16">
        <f t="shared" si="17"/>
        <v>0</v>
      </c>
      <c r="AC25" s="16">
        <f t="shared" si="17"/>
        <v>278</v>
      </c>
      <c r="AD25" s="16">
        <f t="shared" si="17"/>
        <v>0</v>
      </c>
      <c r="AE25" s="32">
        <f t="shared" si="17"/>
        <v>97</v>
      </c>
      <c r="AF25" s="32">
        <f t="shared" si="17"/>
        <v>375</v>
      </c>
    </row>
    <row r="26" spans="2:32" ht="23.1" customHeight="1" x14ac:dyDescent="0.25">
      <c r="B26" s="23" t="s">
        <v>53</v>
      </c>
      <c r="C26" s="50">
        <v>8</v>
      </c>
      <c r="D26" s="50">
        <v>1</v>
      </c>
      <c r="E26" s="50">
        <v>1</v>
      </c>
      <c r="F26" s="50">
        <v>1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48</v>
      </c>
      <c r="N26" s="50">
        <v>1</v>
      </c>
      <c r="O26" s="15">
        <f t="shared" si="0"/>
        <v>14</v>
      </c>
      <c r="P26" s="15">
        <f t="shared" si="1"/>
        <v>62</v>
      </c>
      <c r="R26" s="28" t="s">
        <v>86</v>
      </c>
      <c r="S26" s="16">
        <f t="shared" ref="S26:AF26" si="18">SUM(S13:S18)</f>
        <v>147</v>
      </c>
      <c r="T26" s="16">
        <f t="shared" si="18"/>
        <v>13</v>
      </c>
      <c r="U26" s="16">
        <f t="shared" si="18"/>
        <v>30</v>
      </c>
      <c r="V26" s="16">
        <f t="shared" si="18"/>
        <v>21</v>
      </c>
      <c r="W26" s="16">
        <f t="shared" si="18"/>
        <v>0</v>
      </c>
      <c r="X26" s="16">
        <f t="shared" si="18"/>
        <v>0</v>
      </c>
      <c r="Y26" s="16">
        <f t="shared" si="18"/>
        <v>17</v>
      </c>
      <c r="Z26" s="16">
        <f t="shared" si="18"/>
        <v>13</v>
      </c>
      <c r="AA26" s="16">
        <f t="shared" si="18"/>
        <v>2</v>
      </c>
      <c r="AB26" s="16">
        <f t="shared" si="18"/>
        <v>4</v>
      </c>
      <c r="AC26" s="16">
        <f t="shared" si="18"/>
        <v>934</v>
      </c>
      <c r="AD26" s="16">
        <f t="shared" si="18"/>
        <v>1</v>
      </c>
      <c r="AE26" s="32">
        <f t="shared" si="18"/>
        <v>248</v>
      </c>
      <c r="AF26" s="32">
        <f t="shared" si="18"/>
        <v>1182</v>
      </c>
    </row>
    <row r="27" spans="2:32" ht="23.1" customHeight="1" x14ac:dyDescent="0.25">
      <c r="B27" s="23" t="s">
        <v>54</v>
      </c>
      <c r="C27" s="50">
        <v>6</v>
      </c>
      <c r="D27" s="50">
        <v>0</v>
      </c>
      <c r="E27" s="50">
        <v>1</v>
      </c>
      <c r="F27" s="50">
        <v>3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36</v>
      </c>
      <c r="N27" s="50">
        <v>0</v>
      </c>
      <c r="O27" s="15">
        <f t="shared" si="0"/>
        <v>11</v>
      </c>
      <c r="P27" s="15">
        <f t="shared" si="1"/>
        <v>47</v>
      </c>
      <c r="R27" s="29" t="s">
        <v>87</v>
      </c>
      <c r="S27" s="16">
        <f t="shared" ref="S27:AF27" si="19">SUM(S19:S21)</f>
        <v>88</v>
      </c>
      <c r="T27" s="16">
        <f t="shared" si="19"/>
        <v>7</v>
      </c>
      <c r="U27" s="16">
        <f t="shared" si="19"/>
        <v>8</v>
      </c>
      <c r="V27" s="16">
        <f t="shared" si="19"/>
        <v>6</v>
      </c>
      <c r="W27" s="16">
        <f t="shared" si="19"/>
        <v>0</v>
      </c>
      <c r="X27" s="16">
        <f t="shared" si="19"/>
        <v>0</v>
      </c>
      <c r="Y27" s="16">
        <f t="shared" si="19"/>
        <v>17</v>
      </c>
      <c r="Z27" s="16">
        <f t="shared" si="19"/>
        <v>7</v>
      </c>
      <c r="AA27" s="16">
        <f t="shared" si="19"/>
        <v>2</v>
      </c>
      <c r="AB27" s="16">
        <f t="shared" si="19"/>
        <v>4</v>
      </c>
      <c r="AC27" s="16">
        <f t="shared" si="19"/>
        <v>554</v>
      </c>
      <c r="AD27" s="16">
        <f t="shared" si="19"/>
        <v>0</v>
      </c>
      <c r="AE27" s="32">
        <f t="shared" si="19"/>
        <v>139</v>
      </c>
      <c r="AF27" s="32">
        <f t="shared" si="19"/>
        <v>693</v>
      </c>
    </row>
    <row r="28" spans="2:32" ht="23.1" customHeight="1" x14ac:dyDescent="0.25">
      <c r="B28" s="23" t="s">
        <v>55</v>
      </c>
      <c r="C28" s="50">
        <v>7</v>
      </c>
      <c r="D28" s="50">
        <v>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2</v>
      </c>
      <c r="K28" s="50">
        <v>0</v>
      </c>
      <c r="L28" s="50">
        <v>0</v>
      </c>
      <c r="M28" s="50">
        <v>43</v>
      </c>
      <c r="N28" s="50">
        <v>0</v>
      </c>
      <c r="O28" s="15">
        <f t="shared" si="0"/>
        <v>11</v>
      </c>
      <c r="P28" s="15">
        <f t="shared" si="1"/>
        <v>54</v>
      </c>
      <c r="R28" s="5" t="s">
        <v>17</v>
      </c>
      <c r="S28" s="16">
        <f t="shared" ref="S28:AF28" si="20">SUM(S10:S21)</f>
        <v>284</v>
      </c>
      <c r="T28" s="16">
        <f t="shared" si="20"/>
        <v>29</v>
      </c>
      <c r="U28" s="16">
        <f t="shared" si="20"/>
        <v>52</v>
      </c>
      <c r="V28" s="16">
        <f t="shared" si="20"/>
        <v>30</v>
      </c>
      <c r="W28" s="16">
        <f t="shared" si="20"/>
        <v>0</v>
      </c>
      <c r="X28" s="16">
        <f t="shared" si="20"/>
        <v>2</v>
      </c>
      <c r="Y28" s="16">
        <f t="shared" si="20"/>
        <v>47</v>
      </c>
      <c r="Z28" s="16">
        <f t="shared" si="20"/>
        <v>25</v>
      </c>
      <c r="AA28" s="16">
        <f t="shared" si="20"/>
        <v>6</v>
      </c>
      <c r="AB28" s="16">
        <f t="shared" si="20"/>
        <v>8</v>
      </c>
      <c r="AC28" s="16">
        <f t="shared" si="20"/>
        <v>1766</v>
      </c>
      <c r="AD28" s="16">
        <f t="shared" si="20"/>
        <v>1</v>
      </c>
      <c r="AE28" s="32">
        <f t="shared" si="20"/>
        <v>484</v>
      </c>
      <c r="AF28" s="32">
        <f t="shared" si="20"/>
        <v>2250</v>
      </c>
    </row>
    <row r="29" spans="2:32" ht="23.1" customHeight="1" x14ac:dyDescent="0.25">
      <c r="B29" s="23" t="s">
        <v>56</v>
      </c>
      <c r="C29" s="50">
        <v>7</v>
      </c>
      <c r="D29" s="50">
        <v>0</v>
      </c>
      <c r="E29" s="50">
        <v>2</v>
      </c>
      <c r="F29" s="50">
        <v>0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1</v>
      </c>
      <c r="M29" s="50">
        <v>53</v>
      </c>
      <c r="N29" s="50">
        <v>0</v>
      </c>
      <c r="O29" s="15">
        <f t="shared" si="0"/>
        <v>12</v>
      </c>
      <c r="P29" s="15">
        <f t="shared" si="1"/>
        <v>65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2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2</v>
      </c>
      <c r="M30" s="50">
        <v>39</v>
      </c>
      <c r="N30" s="50">
        <v>0</v>
      </c>
      <c r="O30" s="15">
        <f t="shared" si="0"/>
        <v>10</v>
      </c>
      <c r="P30" s="15">
        <f t="shared" si="1"/>
        <v>49</v>
      </c>
    </row>
    <row r="31" spans="2:32" ht="23.1" customHeight="1" x14ac:dyDescent="0.25">
      <c r="B31" s="24" t="s">
        <v>58</v>
      </c>
      <c r="C31" s="50">
        <v>6</v>
      </c>
      <c r="D31" s="50">
        <v>0</v>
      </c>
      <c r="E31" s="50">
        <v>2</v>
      </c>
      <c r="F31" s="50">
        <v>2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35</v>
      </c>
      <c r="N31" s="50">
        <v>0</v>
      </c>
      <c r="O31" s="15">
        <f t="shared" si="0"/>
        <v>11</v>
      </c>
      <c r="P31" s="15">
        <f t="shared" si="1"/>
        <v>46</v>
      </c>
    </row>
    <row r="32" spans="2:32" ht="23.1" customHeight="1" x14ac:dyDescent="0.25">
      <c r="B32" s="24" t="s">
        <v>59</v>
      </c>
      <c r="C32" s="50">
        <v>9</v>
      </c>
      <c r="D32" s="50">
        <v>0</v>
      </c>
      <c r="E32" s="50">
        <v>3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33</v>
      </c>
      <c r="N32" s="50">
        <v>0</v>
      </c>
      <c r="O32" s="15">
        <f t="shared" si="0"/>
        <v>13</v>
      </c>
      <c r="P32" s="15">
        <f t="shared" si="1"/>
        <v>46</v>
      </c>
    </row>
    <row r="33" spans="2:20" ht="23.1" customHeight="1" x14ac:dyDescent="0.25">
      <c r="B33" s="23" t="s">
        <v>60</v>
      </c>
      <c r="C33" s="50">
        <v>10</v>
      </c>
      <c r="D33" s="50">
        <v>1</v>
      </c>
      <c r="E33" s="50">
        <v>3</v>
      </c>
      <c r="F33" s="50">
        <v>2</v>
      </c>
      <c r="G33" s="50">
        <v>0</v>
      </c>
      <c r="H33" s="50">
        <v>0</v>
      </c>
      <c r="I33" s="50">
        <v>0</v>
      </c>
      <c r="J33" s="50">
        <v>4</v>
      </c>
      <c r="K33" s="50">
        <v>0</v>
      </c>
      <c r="L33" s="50">
        <v>0</v>
      </c>
      <c r="M33" s="50">
        <v>45</v>
      </c>
      <c r="N33" s="50">
        <v>0</v>
      </c>
      <c r="O33" s="15">
        <f t="shared" si="0"/>
        <v>20</v>
      </c>
      <c r="P33" s="15">
        <f t="shared" si="1"/>
        <v>65</v>
      </c>
    </row>
    <row r="34" spans="2:20" ht="23.1" customHeight="1" x14ac:dyDescent="0.25">
      <c r="B34" s="24" t="s">
        <v>61</v>
      </c>
      <c r="C34" s="50">
        <v>5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0</v>
      </c>
      <c r="M34" s="50">
        <v>14</v>
      </c>
      <c r="N34" s="50">
        <v>0</v>
      </c>
      <c r="O34" s="15">
        <f t="shared" si="0"/>
        <v>8</v>
      </c>
      <c r="P34" s="15">
        <f t="shared" si="1"/>
        <v>22</v>
      </c>
    </row>
    <row r="35" spans="2:20" ht="23.1" customHeight="1" x14ac:dyDescent="0.25">
      <c r="B35" s="24" t="s">
        <v>62</v>
      </c>
      <c r="C35" s="50">
        <v>8</v>
      </c>
      <c r="D35" s="50">
        <v>1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30</v>
      </c>
      <c r="N35" s="50">
        <v>0</v>
      </c>
      <c r="O35" s="15">
        <f t="shared" si="0"/>
        <v>10</v>
      </c>
      <c r="P35" s="15">
        <f t="shared" si="1"/>
        <v>40</v>
      </c>
    </row>
    <row r="36" spans="2:20" ht="23.1" customHeight="1" x14ac:dyDescent="0.25">
      <c r="B36" s="24" t="s">
        <v>63</v>
      </c>
      <c r="C36" s="50">
        <v>8</v>
      </c>
      <c r="D36" s="50">
        <v>0</v>
      </c>
      <c r="E36" s="50">
        <v>2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33</v>
      </c>
      <c r="N36" s="50">
        <v>0</v>
      </c>
      <c r="O36" s="15">
        <f t="shared" si="0"/>
        <v>11</v>
      </c>
      <c r="P36" s="15">
        <f t="shared" si="1"/>
        <v>44</v>
      </c>
    </row>
    <row r="37" spans="2:20" ht="23.1" customHeight="1" x14ac:dyDescent="0.25">
      <c r="B37" s="23" t="s">
        <v>64</v>
      </c>
      <c r="C37" s="50">
        <v>7</v>
      </c>
      <c r="D37" s="50">
        <v>0</v>
      </c>
      <c r="E37" s="50">
        <v>3</v>
      </c>
      <c r="F37" s="50">
        <v>0</v>
      </c>
      <c r="G37" s="50">
        <v>0</v>
      </c>
      <c r="H37" s="50">
        <v>0</v>
      </c>
      <c r="I37" s="50">
        <v>3</v>
      </c>
      <c r="J37" s="50">
        <v>1</v>
      </c>
      <c r="K37" s="50">
        <v>0</v>
      </c>
      <c r="L37" s="50">
        <v>1</v>
      </c>
      <c r="M37" s="50">
        <v>46</v>
      </c>
      <c r="N37" s="50">
        <v>0</v>
      </c>
      <c r="O37" s="15">
        <f t="shared" si="0"/>
        <v>15</v>
      </c>
      <c r="P37" s="15">
        <f t="shared" si="1"/>
        <v>61</v>
      </c>
    </row>
    <row r="38" spans="2:20" ht="23.1" customHeight="1" x14ac:dyDescent="0.25">
      <c r="B38" s="24" t="s">
        <v>65</v>
      </c>
      <c r="C38" s="50">
        <v>4</v>
      </c>
      <c r="D38" s="50">
        <v>1</v>
      </c>
      <c r="E38" s="50">
        <v>1</v>
      </c>
      <c r="F38" s="50">
        <v>2</v>
      </c>
      <c r="G38" s="50">
        <v>0</v>
      </c>
      <c r="H38" s="50">
        <v>0</v>
      </c>
      <c r="I38" s="50">
        <v>2</v>
      </c>
      <c r="J38" s="50">
        <v>2</v>
      </c>
      <c r="K38" s="50">
        <v>0</v>
      </c>
      <c r="L38" s="50">
        <v>0</v>
      </c>
      <c r="M38" s="50">
        <v>40</v>
      </c>
      <c r="N38" s="50">
        <v>0</v>
      </c>
      <c r="O38" s="15">
        <f t="shared" si="0"/>
        <v>12</v>
      </c>
      <c r="P38" s="15">
        <f t="shared" si="1"/>
        <v>52</v>
      </c>
    </row>
    <row r="39" spans="2:20" ht="23.1" customHeight="1" x14ac:dyDescent="0.25">
      <c r="B39" s="24" t="s">
        <v>66</v>
      </c>
      <c r="C39" s="50">
        <v>4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30</v>
      </c>
      <c r="N39" s="50">
        <v>0</v>
      </c>
      <c r="O39" s="15">
        <f t="shared" si="0"/>
        <v>6</v>
      </c>
      <c r="P39" s="15">
        <f t="shared" si="1"/>
        <v>36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48</v>
      </c>
      <c r="N40" s="50">
        <v>0</v>
      </c>
      <c r="O40" s="15">
        <f t="shared" si="0"/>
        <v>7</v>
      </c>
      <c r="P40" s="15">
        <f t="shared" si="1"/>
        <v>55</v>
      </c>
    </row>
    <row r="41" spans="2:20" ht="23.1" customHeight="1" x14ac:dyDescent="0.25">
      <c r="B41" s="23" t="s">
        <v>68</v>
      </c>
      <c r="C41" s="50">
        <v>5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54</v>
      </c>
      <c r="N41" s="50">
        <v>0</v>
      </c>
      <c r="O41" s="15">
        <f t="shared" si="0"/>
        <v>6</v>
      </c>
      <c r="P41" s="15">
        <f t="shared" si="1"/>
        <v>60</v>
      </c>
    </row>
    <row r="42" spans="2:20" ht="23.1" customHeight="1" x14ac:dyDescent="0.25">
      <c r="B42" s="24" t="s">
        <v>69</v>
      </c>
      <c r="C42" s="50">
        <v>5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22</v>
      </c>
      <c r="N42" s="50">
        <v>0</v>
      </c>
      <c r="O42" s="15">
        <f t="shared" si="0"/>
        <v>7</v>
      </c>
      <c r="P42" s="15">
        <f t="shared" si="1"/>
        <v>29</v>
      </c>
    </row>
    <row r="43" spans="2:20" ht="23.1" customHeight="1" x14ac:dyDescent="0.25">
      <c r="B43" s="23" t="s">
        <v>70</v>
      </c>
      <c r="C43" s="50">
        <v>3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30</v>
      </c>
      <c r="N43" s="50">
        <v>0</v>
      </c>
      <c r="O43" s="15">
        <f t="shared" si="0"/>
        <v>4</v>
      </c>
      <c r="P43" s="15">
        <f t="shared" si="1"/>
        <v>34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2</v>
      </c>
      <c r="F44" s="50">
        <v>2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39</v>
      </c>
      <c r="N44" s="50">
        <v>0</v>
      </c>
      <c r="O44" s="15">
        <f t="shared" si="0"/>
        <v>11</v>
      </c>
      <c r="P44" s="15">
        <f t="shared" si="1"/>
        <v>50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1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35</v>
      </c>
      <c r="N45" s="50">
        <v>0</v>
      </c>
      <c r="O45" s="15">
        <f t="shared" si="0"/>
        <v>7</v>
      </c>
      <c r="P45" s="15">
        <f t="shared" si="1"/>
        <v>42</v>
      </c>
    </row>
    <row r="46" spans="2:20" ht="23.1" customHeight="1" x14ac:dyDescent="0.25">
      <c r="B46" s="24" t="s">
        <v>73</v>
      </c>
      <c r="C46" s="50">
        <v>5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1</v>
      </c>
      <c r="M46" s="50">
        <v>39</v>
      </c>
      <c r="N46" s="50">
        <v>0</v>
      </c>
      <c r="O46" s="15">
        <f t="shared" si="0"/>
        <v>8</v>
      </c>
      <c r="P46" s="15">
        <f t="shared" si="1"/>
        <v>47</v>
      </c>
      <c r="R46" s="8"/>
      <c r="T46"/>
    </row>
    <row r="47" spans="2:20" ht="23.1" customHeight="1" x14ac:dyDescent="0.25">
      <c r="B47" s="24" t="s">
        <v>74</v>
      </c>
      <c r="C47" s="50">
        <v>8</v>
      </c>
      <c r="D47" s="50">
        <v>0</v>
      </c>
      <c r="E47" s="50">
        <v>1</v>
      </c>
      <c r="F47" s="50">
        <v>1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49</v>
      </c>
      <c r="N47" s="50">
        <v>0</v>
      </c>
      <c r="O47" s="15">
        <f t="shared" si="0"/>
        <v>12</v>
      </c>
      <c r="P47" s="15">
        <f t="shared" si="1"/>
        <v>61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0</v>
      </c>
      <c r="E48" s="50">
        <v>2</v>
      </c>
      <c r="F48" s="50">
        <v>1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42</v>
      </c>
      <c r="N48" s="50">
        <v>0</v>
      </c>
      <c r="O48" s="15">
        <f t="shared" si="0"/>
        <v>10</v>
      </c>
      <c r="P48" s="15">
        <f t="shared" si="1"/>
        <v>52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1</v>
      </c>
      <c r="M49" s="50">
        <v>34</v>
      </c>
      <c r="N49" s="50">
        <v>0</v>
      </c>
      <c r="O49" s="15">
        <f t="shared" si="0"/>
        <v>8</v>
      </c>
      <c r="P49" s="15">
        <f t="shared" si="1"/>
        <v>42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1</v>
      </c>
      <c r="E50" s="50">
        <v>0</v>
      </c>
      <c r="F50" s="50">
        <v>2</v>
      </c>
      <c r="G50" s="50">
        <v>0</v>
      </c>
      <c r="H50" s="50">
        <v>0</v>
      </c>
      <c r="I50" s="50">
        <v>3</v>
      </c>
      <c r="J50" s="50">
        <v>1</v>
      </c>
      <c r="K50" s="50">
        <v>0</v>
      </c>
      <c r="L50" s="50">
        <v>1</v>
      </c>
      <c r="M50" s="50">
        <v>50</v>
      </c>
      <c r="N50" s="50">
        <v>0</v>
      </c>
      <c r="O50" s="15">
        <f t="shared" si="0"/>
        <v>15</v>
      </c>
      <c r="P50" s="15">
        <f t="shared" si="1"/>
        <v>65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1</v>
      </c>
      <c r="E51" s="50">
        <v>1</v>
      </c>
      <c r="F51" s="50">
        <v>0</v>
      </c>
      <c r="G51" s="50">
        <v>0</v>
      </c>
      <c r="H51" s="50">
        <v>0</v>
      </c>
      <c r="I51" s="50">
        <v>2</v>
      </c>
      <c r="J51" s="50">
        <v>1</v>
      </c>
      <c r="K51" s="50">
        <v>2</v>
      </c>
      <c r="L51" s="50">
        <v>0</v>
      </c>
      <c r="M51" s="50">
        <v>38</v>
      </c>
      <c r="N51" s="50">
        <v>0</v>
      </c>
      <c r="O51" s="15">
        <f t="shared" si="0"/>
        <v>11</v>
      </c>
      <c r="P51" s="15">
        <f t="shared" si="1"/>
        <v>49</v>
      </c>
      <c r="R51" s="8"/>
      <c r="T51"/>
    </row>
    <row r="52" spans="2:20" ht="23.1" customHeight="1" x14ac:dyDescent="0.25">
      <c r="B52" s="24" t="s">
        <v>79</v>
      </c>
      <c r="C52" s="50">
        <v>17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2</v>
      </c>
      <c r="K52" s="50">
        <v>0</v>
      </c>
      <c r="L52" s="50">
        <v>0</v>
      </c>
      <c r="M52" s="50">
        <v>56</v>
      </c>
      <c r="N52" s="50">
        <v>0</v>
      </c>
      <c r="O52" s="15">
        <f t="shared" si="0"/>
        <v>19</v>
      </c>
      <c r="P52" s="15">
        <f t="shared" si="1"/>
        <v>75</v>
      </c>
      <c r="R52" s="8"/>
      <c r="T52"/>
    </row>
    <row r="53" spans="2:20" ht="23.1" customHeight="1" x14ac:dyDescent="0.25">
      <c r="B53" s="23" t="s">
        <v>80</v>
      </c>
      <c r="C53" s="50">
        <v>12</v>
      </c>
      <c r="D53" s="50">
        <v>1</v>
      </c>
      <c r="E53" s="50">
        <v>2</v>
      </c>
      <c r="F53" s="50">
        <v>0</v>
      </c>
      <c r="G53" s="50">
        <v>0</v>
      </c>
      <c r="H53" s="50">
        <v>0</v>
      </c>
      <c r="I53" s="50">
        <v>2</v>
      </c>
      <c r="J53" s="50">
        <v>1</v>
      </c>
      <c r="K53" s="50">
        <v>0</v>
      </c>
      <c r="L53" s="50">
        <v>1</v>
      </c>
      <c r="M53" s="50">
        <v>59</v>
      </c>
      <c r="N53" s="50">
        <v>0</v>
      </c>
      <c r="O53" s="15">
        <f t="shared" si="0"/>
        <v>19</v>
      </c>
      <c r="P53" s="15">
        <f t="shared" si="1"/>
        <v>78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59</v>
      </c>
      <c r="N54" s="50">
        <v>0</v>
      </c>
      <c r="O54" s="15">
        <f t="shared" si="0"/>
        <v>8</v>
      </c>
      <c r="P54" s="15">
        <f t="shared" si="1"/>
        <v>67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2</v>
      </c>
      <c r="E55" s="50">
        <v>1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45</v>
      </c>
      <c r="N55" s="50">
        <v>0</v>
      </c>
      <c r="O55" s="15">
        <f t="shared" si="0"/>
        <v>11</v>
      </c>
      <c r="P55" s="15">
        <f t="shared" si="1"/>
        <v>56</v>
      </c>
      <c r="R55" s="8"/>
      <c r="T55"/>
    </row>
    <row r="56" spans="2:20" ht="23.1" customHeight="1" x14ac:dyDescent="0.25">
      <c r="B56" s="23" t="s">
        <v>83</v>
      </c>
      <c r="C56" s="50">
        <v>10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61</v>
      </c>
      <c r="N56" s="50">
        <v>0</v>
      </c>
      <c r="O56" s="15">
        <f t="shared" si="0"/>
        <v>11</v>
      </c>
      <c r="P56" s="15">
        <f t="shared" si="1"/>
        <v>72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2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22</v>
      </c>
      <c r="N57" s="50">
        <v>0</v>
      </c>
      <c r="O57" s="15">
        <f t="shared" si="0"/>
        <v>7</v>
      </c>
      <c r="P57" s="15">
        <f t="shared" si="1"/>
        <v>29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284</v>
      </c>
      <c r="D58" s="16">
        <f t="shared" si="21"/>
        <v>29</v>
      </c>
      <c r="E58" s="16">
        <f t="shared" si="21"/>
        <v>52</v>
      </c>
      <c r="F58" s="16">
        <f t="shared" si="21"/>
        <v>30</v>
      </c>
      <c r="G58" s="16">
        <f t="shared" si="21"/>
        <v>0</v>
      </c>
      <c r="H58" s="16">
        <f t="shared" si="21"/>
        <v>2</v>
      </c>
      <c r="I58" s="16">
        <f t="shared" si="21"/>
        <v>47</v>
      </c>
      <c r="J58" s="16">
        <f t="shared" si="21"/>
        <v>25</v>
      </c>
      <c r="K58" s="16">
        <f t="shared" si="21"/>
        <v>6</v>
      </c>
      <c r="L58" s="16">
        <f t="shared" si="21"/>
        <v>8</v>
      </c>
      <c r="M58" s="16">
        <f t="shared" si="21"/>
        <v>1766</v>
      </c>
      <c r="N58" s="16">
        <f t="shared" si="21"/>
        <v>1</v>
      </c>
      <c r="O58" s="16">
        <f t="shared" si="21"/>
        <v>484</v>
      </c>
      <c r="P58" s="16">
        <f t="shared" si="21"/>
        <v>2250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0.12622222222222224</v>
      </c>
      <c r="D59" s="43">
        <f t="shared" si="22"/>
        <v>1.2888888888888889E-2</v>
      </c>
      <c r="E59" s="43">
        <f t="shared" si="22"/>
        <v>2.311111111111111E-2</v>
      </c>
      <c r="F59" s="43">
        <f t="shared" si="22"/>
        <v>1.3333333333333334E-2</v>
      </c>
      <c r="G59" s="43">
        <f t="shared" si="22"/>
        <v>0</v>
      </c>
      <c r="H59" s="43">
        <f t="shared" si="22"/>
        <v>8.8888888888888893E-4</v>
      </c>
      <c r="I59" s="43">
        <f t="shared" si="22"/>
        <v>2.0888888888888887E-2</v>
      </c>
      <c r="J59" s="43">
        <f t="shared" si="22"/>
        <v>1.1111111111111112E-2</v>
      </c>
      <c r="K59" s="43">
        <f t="shared" si="22"/>
        <v>2.6666666666666666E-3</v>
      </c>
      <c r="L59" s="43">
        <f t="shared" si="22"/>
        <v>3.5555555555555557E-3</v>
      </c>
      <c r="M59" s="43">
        <f t="shared" si="22"/>
        <v>0.78488888888888886</v>
      </c>
      <c r="N59" s="43">
        <f t="shared" si="22"/>
        <v>4.4444444444444447E-4</v>
      </c>
      <c r="R59" s="8"/>
      <c r="T59"/>
    </row>
    <row r="60" spans="2:20" ht="23.1" customHeight="1" x14ac:dyDescent="0.25">
      <c r="B60" s="42" t="s">
        <v>94</v>
      </c>
      <c r="C60" s="44">
        <f>C58/$O$58</f>
        <v>0.58677685950413228</v>
      </c>
      <c r="D60" s="44">
        <f t="shared" ref="D60:N60" si="23">D58/$O$58</f>
        <v>5.9917355371900828E-2</v>
      </c>
      <c r="E60" s="44">
        <f t="shared" si="23"/>
        <v>0.10743801652892562</v>
      </c>
      <c r="F60" s="44">
        <f t="shared" si="23"/>
        <v>6.1983471074380167E-2</v>
      </c>
      <c r="G60" s="44">
        <f t="shared" si="23"/>
        <v>0</v>
      </c>
      <c r="H60" s="44">
        <f t="shared" si="23"/>
        <v>4.1322314049586778E-3</v>
      </c>
      <c r="I60" s="44">
        <f t="shared" si="23"/>
        <v>9.7107438016528921E-2</v>
      </c>
      <c r="J60" s="44">
        <f t="shared" si="23"/>
        <v>5.1652892561983473E-2</v>
      </c>
      <c r="K60" s="44">
        <f t="shared" si="23"/>
        <v>1.2396694214876033E-2</v>
      </c>
      <c r="L60" s="44">
        <f t="shared" si="23"/>
        <v>1.6528925619834711E-2</v>
      </c>
      <c r="M60" s="44"/>
      <c r="N60" s="44">
        <f t="shared" si="23"/>
        <v>2.0661157024793389E-3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HOIMA-KYENJOJO'!C3:G3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'29.10 KYENJOJO-HOIMA'!D5</f>
        <v>29.10.19</v>
      </c>
      <c r="E5" s="3"/>
      <c r="F5" s="41" t="s">
        <v>1</v>
      </c>
      <c r="G5" s="63" t="str">
        <f>'25.10 KYENJOJO-HOIMA'!G5:H5</f>
        <v>KYENJOJO</v>
      </c>
      <c r="H5" s="64"/>
      <c r="I5" s="14"/>
      <c r="J5" s="2" t="s">
        <v>5</v>
      </c>
      <c r="K5" s="63" t="str">
        <f>'25.10 KYENJOJO-HOIMA'!K5:L5</f>
        <v>OLOYA FELIX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HOIMA-KYENJOJO'!D6:E6</f>
        <v>HOIMA</v>
      </c>
      <c r="E6" s="64"/>
      <c r="F6" s="2" t="s">
        <v>2</v>
      </c>
      <c r="G6" s="63" t="str">
        <f>'25.10 HOIMA-KYENJOJO'!G6:H6</f>
        <v>KYENJOJO</v>
      </c>
      <c r="H6" s="64"/>
      <c r="J6" s="2" t="s">
        <v>21</v>
      </c>
      <c r="K6" s="63" t="str">
        <f>'25.10 KYENJOJO-HOIMA'!K6:L6</f>
        <v>FELIX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8</v>
      </c>
      <c r="K10" s="50">
        <v>0</v>
      </c>
      <c r="L10" s="50">
        <v>0</v>
      </c>
      <c r="M10" s="50">
        <v>27</v>
      </c>
      <c r="N10" s="50">
        <v>0</v>
      </c>
      <c r="O10" s="15">
        <f t="shared" ref="O10:O57" si="0">SUM(C10:L10,N10)</f>
        <v>14</v>
      </c>
      <c r="P10" s="15">
        <f t="shared" ref="P10:P57" si="1">SUM(C10:N10)</f>
        <v>41</v>
      </c>
      <c r="R10" s="1" t="s">
        <v>6</v>
      </c>
      <c r="S10" s="17">
        <f t="shared" ref="S10:AF10" si="2">SUM(C10:C13)</f>
        <v>16</v>
      </c>
      <c r="T10" s="17">
        <f t="shared" si="2"/>
        <v>1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10</v>
      </c>
      <c r="AA10" s="17">
        <f t="shared" si="2"/>
        <v>0</v>
      </c>
      <c r="AB10" s="17">
        <f t="shared" si="2"/>
        <v>0</v>
      </c>
      <c r="AC10" s="17">
        <f t="shared" si="2"/>
        <v>120</v>
      </c>
      <c r="AD10" s="17">
        <f t="shared" si="2"/>
        <v>0</v>
      </c>
      <c r="AE10" s="31">
        <f t="shared" si="2"/>
        <v>29</v>
      </c>
      <c r="AF10" s="31">
        <f t="shared" si="2"/>
        <v>149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28</v>
      </c>
      <c r="N11" s="50">
        <v>0</v>
      </c>
      <c r="O11" s="15">
        <f t="shared" si="0"/>
        <v>4</v>
      </c>
      <c r="P11" s="15">
        <f t="shared" si="1"/>
        <v>32</v>
      </c>
      <c r="R11" s="1" t="s">
        <v>7</v>
      </c>
      <c r="S11" s="17">
        <f t="shared" ref="S11:AF11" si="3">SUM(C14:C17)</f>
        <v>30</v>
      </c>
      <c r="T11" s="17">
        <f t="shared" si="3"/>
        <v>4</v>
      </c>
      <c r="U11" s="17">
        <f t="shared" si="3"/>
        <v>3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2</v>
      </c>
      <c r="AA11" s="17">
        <f t="shared" si="3"/>
        <v>2</v>
      </c>
      <c r="AB11" s="17">
        <f t="shared" si="3"/>
        <v>0</v>
      </c>
      <c r="AC11" s="17">
        <f t="shared" si="3"/>
        <v>131</v>
      </c>
      <c r="AD11" s="17">
        <f t="shared" si="3"/>
        <v>0</v>
      </c>
      <c r="AE11" s="31">
        <f t="shared" si="3"/>
        <v>50</v>
      </c>
      <c r="AF11" s="31">
        <f t="shared" si="3"/>
        <v>181</v>
      </c>
    </row>
    <row r="12" spans="2:32" ht="23.1" customHeight="1" x14ac:dyDescent="0.25">
      <c r="B12" s="23" t="s">
        <v>39</v>
      </c>
      <c r="C12" s="50">
        <v>1</v>
      </c>
      <c r="D12" s="50">
        <v>1</v>
      </c>
      <c r="E12" s="50">
        <v>1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13</v>
      </c>
      <c r="N12" s="50">
        <v>0</v>
      </c>
      <c r="O12" s="15">
        <f t="shared" si="0"/>
        <v>4</v>
      </c>
      <c r="P12" s="15">
        <f t="shared" si="1"/>
        <v>17</v>
      </c>
      <c r="R12" s="1" t="s">
        <v>8</v>
      </c>
      <c r="S12" s="17">
        <f t="shared" ref="S12:AF12" si="4">SUM(C18:C21)</f>
        <v>23</v>
      </c>
      <c r="T12" s="17">
        <f t="shared" si="4"/>
        <v>2</v>
      </c>
      <c r="U12" s="17">
        <f t="shared" si="4"/>
        <v>3</v>
      </c>
      <c r="V12" s="17">
        <f t="shared" si="4"/>
        <v>6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108</v>
      </c>
      <c r="AD12" s="17">
        <f t="shared" si="4"/>
        <v>0</v>
      </c>
      <c r="AE12" s="31">
        <f t="shared" si="4"/>
        <v>39</v>
      </c>
      <c r="AF12" s="31">
        <f t="shared" si="4"/>
        <v>147</v>
      </c>
    </row>
    <row r="13" spans="2:32" ht="23.1" customHeight="1" x14ac:dyDescent="0.25">
      <c r="B13" s="23" t="s">
        <v>40</v>
      </c>
      <c r="C13" s="50">
        <v>7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52</v>
      </c>
      <c r="N13" s="50">
        <v>0</v>
      </c>
      <c r="O13" s="15">
        <f t="shared" si="0"/>
        <v>7</v>
      </c>
      <c r="P13" s="15">
        <f t="shared" si="1"/>
        <v>59</v>
      </c>
      <c r="R13" s="1" t="s">
        <v>9</v>
      </c>
      <c r="S13" s="17">
        <f t="shared" ref="S13:AF13" si="5">SUM(C22:C25)</f>
        <v>30</v>
      </c>
      <c r="T13" s="17">
        <f t="shared" si="5"/>
        <v>1</v>
      </c>
      <c r="U13" s="17">
        <f t="shared" si="5"/>
        <v>5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4</v>
      </c>
      <c r="AA13" s="17">
        <f t="shared" si="5"/>
        <v>9</v>
      </c>
      <c r="AB13" s="17">
        <f t="shared" si="5"/>
        <v>0</v>
      </c>
      <c r="AC13" s="17">
        <f t="shared" si="5"/>
        <v>175</v>
      </c>
      <c r="AD13" s="17">
        <f t="shared" si="5"/>
        <v>0</v>
      </c>
      <c r="AE13" s="31">
        <f t="shared" si="5"/>
        <v>54</v>
      </c>
      <c r="AF13" s="31">
        <f t="shared" si="5"/>
        <v>229</v>
      </c>
    </row>
    <row r="14" spans="2:32" ht="23.1" customHeight="1" x14ac:dyDescent="0.25">
      <c r="B14" s="23" t="s">
        <v>41</v>
      </c>
      <c r="C14" s="50">
        <v>5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33</v>
      </c>
      <c r="N14" s="50">
        <v>0</v>
      </c>
      <c r="O14" s="15">
        <f t="shared" si="0"/>
        <v>8</v>
      </c>
      <c r="P14" s="15">
        <f t="shared" si="1"/>
        <v>41</v>
      </c>
      <c r="R14" s="1" t="s">
        <v>10</v>
      </c>
      <c r="S14" s="17">
        <f t="shared" ref="S14:AF14" si="6">SUM(C26:C29)</f>
        <v>27</v>
      </c>
      <c r="T14" s="17">
        <f t="shared" si="6"/>
        <v>0</v>
      </c>
      <c r="U14" s="17">
        <f t="shared" si="6"/>
        <v>4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1</v>
      </c>
      <c r="AA14" s="17">
        <f t="shared" si="6"/>
        <v>0</v>
      </c>
      <c r="AB14" s="17">
        <f t="shared" si="6"/>
        <v>1</v>
      </c>
      <c r="AC14" s="17">
        <f t="shared" si="6"/>
        <v>154</v>
      </c>
      <c r="AD14" s="17">
        <f t="shared" si="6"/>
        <v>1</v>
      </c>
      <c r="AE14" s="31">
        <f t="shared" si="6"/>
        <v>38</v>
      </c>
      <c r="AF14" s="31">
        <f t="shared" si="6"/>
        <v>192</v>
      </c>
    </row>
    <row r="15" spans="2:32" ht="23.1" customHeight="1" x14ac:dyDescent="0.25">
      <c r="B15" s="23" t="s">
        <v>42</v>
      </c>
      <c r="C15" s="50">
        <v>10</v>
      </c>
      <c r="D15" s="50">
        <v>2</v>
      </c>
      <c r="E15" s="50">
        <v>1</v>
      </c>
      <c r="F15" s="50">
        <v>2</v>
      </c>
      <c r="G15" s="50">
        <v>0</v>
      </c>
      <c r="H15" s="50">
        <v>0</v>
      </c>
      <c r="I15" s="50">
        <v>1</v>
      </c>
      <c r="J15" s="50">
        <v>0</v>
      </c>
      <c r="K15" s="50">
        <v>2</v>
      </c>
      <c r="L15" s="50">
        <v>0</v>
      </c>
      <c r="M15" s="50">
        <v>37</v>
      </c>
      <c r="N15" s="50">
        <v>0</v>
      </c>
      <c r="O15" s="15">
        <f t="shared" si="0"/>
        <v>18</v>
      </c>
      <c r="P15" s="15">
        <f t="shared" si="1"/>
        <v>55</v>
      </c>
      <c r="R15" s="1" t="s">
        <v>11</v>
      </c>
      <c r="S15" s="17">
        <f t="shared" ref="S15:AF15" si="7">SUM(C30:C33)</f>
        <v>16</v>
      </c>
      <c r="T15" s="17">
        <f t="shared" si="7"/>
        <v>3</v>
      </c>
      <c r="U15" s="17">
        <f t="shared" si="7"/>
        <v>2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137</v>
      </c>
      <c r="AD15" s="17">
        <f t="shared" si="7"/>
        <v>0</v>
      </c>
      <c r="AE15" s="31">
        <f t="shared" si="7"/>
        <v>29</v>
      </c>
      <c r="AF15" s="31">
        <f t="shared" si="7"/>
        <v>166</v>
      </c>
    </row>
    <row r="16" spans="2:32" ht="23.1" customHeight="1" x14ac:dyDescent="0.25">
      <c r="B16" s="23" t="s">
        <v>43</v>
      </c>
      <c r="C16" s="50">
        <v>11</v>
      </c>
      <c r="D16" s="50">
        <v>1</v>
      </c>
      <c r="E16" s="50">
        <v>1</v>
      </c>
      <c r="F16" s="50">
        <v>1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28</v>
      </c>
      <c r="N16" s="50">
        <v>0</v>
      </c>
      <c r="O16" s="15">
        <f t="shared" si="0"/>
        <v>15</v>
      </c>
      <c r="P16" s="15">
        <f t="shared" si="1"/>
        <v>43</v>
      </c>
      <c r="R16" s="1" t="s">
        <v>12</v>
      </c>
      <c r="S16" s="17">
        <f t="shared" ref="S16:AF16" si="8">SUM(C34:C37)</f>
        <v>25</v>
      </c>
      <c r="T16" s="17">
        <f t="shared" si="8"/>
        <v>1</v>
      </c>
      <c r="U16" s="17">
        <f t="shared" si="8"/>
        <v>1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3</v>
      </c>
      <c r="AA16" s="17">
        <f t="shared" si="8"/>
        <v>1</v>
      </c>
      <c r="AB16" s="17">
        <f t="shared" si="8"/>
        <v>0</v>
      </c>
      <c r="AC16" s="17">
        <f t="shared" si="8"/>
        <v>134</v>
      </c>
      <c r="AD16" s="17">
        <f t="shared" si="8"/>
        <v>0</v>
      </c>
      <c r="AE16" s="31">
        <f t="shared" si="8"/>
        <v>35</v>
      </c>
      <c r="AF16" s="31">
        <f t="shared" si="8"/>
        <v>169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1</v>
      </c>
      <c r="F17" s="50">
        <v>2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33</v>
      </c>
      <c r="N17" s="50">
        <v>0</v>
      </c>
      <c r="O17" s="15">
        <f t="shared" si="0"/>
        <v>9</v>
      </c>
      <c r="P17" s="15">
        <f t="shared" si="1"/>
        <v>42</v>
      </c>
      <c r="R17" s="1" t="s">
        <v>13</v>
      </c>
      <c r="S17" s="17">
        <f t="shared" ref="S17:AF17" si="9">SUM(C38:C41)</f>
        <v>14</v>
      </c>
      <c r="T17" s="17">
        <f t="shared" si="9"/>
        <v>4</v>
      </c>
      <c r="U17" s="17">
        <f t="shared" si="9"/>
        <v>6</v>
      </c>
      <c r="V17" s="17">
        <f t="shared" si="9"/>
        <v>8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2</v>
      </c>
      <c r="AA17" s="17">
        <f t="shared" si="9"/>
        <v>3</v>
      </c>
      <c r="AB17" s="17">
        <f t="shared" si="9"/>
        <v>0</v>
      </c>
      <c r="AC17" s="17">
        <f t="shared" si="9"/>
        <v>103</v>
      </c>
      <c r="AD17" s="17">
        <f t="shared" si="9"/>
        <v>0</v>
      </c>
      <c r="AE17" s="31">
        <f t="shared" si="9"/>
        <v>42</v>
      </c>
      <c r="AF17" s="31">
        <f t="shared" si="9"/>
        <v>145</v>
      </c>
    </row>
    <row r="18" spans="2:32" ht="23.1" customHeight="1" x14ac:dyDescent="0.25">
      <c r="B18" s="23" t="s">
        <v>45</v>
      </c>
      <c r="C18" s="50">
        <v>4</v>
      </c>
      <c r="D18" s="50">
        <v>1</v>
      </c>
      <c r="E18" s="50">
        <v>1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25</v>
      </c>
      <c r="N18" s="50">
        <v>0</v>
      </c>
      <c r="O18" s="15">
        <f t="shared" si="0"/>
        <v>8</v>
      </c>
      <c r="P18" s="15">
        <f t="shared" si="1"/>
        <v>33</v>
      </c>
      <c r="R18" s="1" t="s">
        <v>14</v>
      </c>
      <c r="S18" s="17">
        <f t="shared" ref="S18:AF18" si="10">SUM(C42:C45)</f>
        <v>20</v>
      </c>
      <c r="T18" s="17">
        <f t="shared" si="10"/>
        <v>2</v>
      </c>
      <c r="U18" s="17">
        <f t="shared" si="10"/>
        <v>3</v>
      </c>
      <c r="V18" s="17">
        <f t="shared" si="10"/>
        <v>2</v>
      </c>
      <c r="W18" s="17">
        <f t="shared" si="10"/>
        <v>1</v>
      </c>
      <c r="X18" s="17">
        <f t="shared" si="10"/>
        <v>0</v>
      </c>
      <c r="Y18" s="17">
        <f t="shared" si="10"/>
        <v>2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132</v>
      </c>
      <c r="AD18" s="17">
        <f t="shared" si="10"/>
        <v>0</v>
      </c>
      <c r="AE18" s="31">
        <f t="shared" si="10"/>
        <v>32</v>
      </c>
      <c r="AF18" s="31">
        <f t="shared" si="10"/>
        <v>164</v>
      </c>
    </row>
    <row r="19" spans="2:32" ht="23.1" customHeight="1" x14ac:dyDescent="0.25">
      <c r="B19" s="23" t="s">
        <v>46</v>
      </c>
      <c r="C19" s="50">
        <v>6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22</v>
      </c>
      <c r="N19" s="50">
        <v>0</v>
      </c>
      <c r="O19" s="15">
        <f t="shared" si="0"/>
        <v>8</v>
      </c>
      <c r="P19" s="15">
        <f t="shared" si="1"/>
        <v>30</v>
      </c>
      <c r="R19" s="1" t="s">
        <v>15</v>
      </c>
      <c r="S19" s="17">
        <f t="shared" ref="S19:AF19" si="11">SUM(C46:C49)</f>
        <v>26</v>
      </c>
      <c r="T19" s="17">
        <f t="shared" si="11"/>
        <v>1</v>
      </c>
      <c r="U19" s="17">
        <f t="shared" si="11"/>
        <v>5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3</v>
      </c>
      <c r="AA19" s="17">
        <f t="shared" si="11"/>
        <v>0</v>
      </c>
      <c r="AB19" s="17">
        <f t="shared" si="11"/>
        <v>2</v>
      </c>
      <c r="AC19" s="17">
        <f t="shared" si="11"/>
        <v>113</v>
      </c>
      <c r="AD19" s="17">
        <f t="shared" si="11"/>
        <v>0</v>
      </c>
      <c r="AE19" s="31">
        <f t="shared" si="11"/>
        <v>44</v>
      </c>
      <c r="AF19" s="31">
        <f t="shared" si="11"/>
        <v>157</v>
      </c>
    </row>
    <row r="20" spans="2:32" ht="23.1" customHeight="1" x14ac:dyDescent="0.25">
      <c r="B20" s="23" t="s">
        <v>47</v>
      </c>
      <c r="C20" s="50">
        <v>5</v>
      </c>
      <c r="D20" s="50">
        <v>0</v>
      </c>
      <c r="E20" s="50">
        <v>2</v>
      </c>
      <c r="F20" s="50">
        <v>1</v>
      </c>
      <c r="G20" s="50">
        <v>0</v>
      </c>
      <c r="H20" s="50">
        <v>0</v>
      </c>
      <c r="I20" s="50">
        <v>3</v>
      </c>
      <c r="J20" s="50">
        <v>1</v>
      </c>
      <c r="K20" s="50">
        <v>0</v>
      </c>
      <c r="L20" s="50">
        <v>0</v>
      </c>
      <c r="M20" s="50">
        <v>35</v>
      </c>
      <c r="N20" s="50">
        <v>0</v>
      </c>
      <c r="O20" s="15">
        <f t="shared" si="0"/>
        <v>12</v>
      </c>
      <c r="P20" s="15">
        <f t="shared" si="1"/>
        <v>47</v>
      </c>
      <c r="R20" s="1" t="s">
        <v>16</v>
      </c>
      <c r="S20" s="17">
        <f t="shared" ref="S20:AF20" si="12">SUM(C50:C53)</f>
        <v>19</v>
      </c>
      <c r="T20" s="17">
        <f t="shared" si="12"/>
        <v>2</v>
      </c>
      <c r="U20" s="17">
        <f t="shared" si="12"/>
        <v>5</v>
      </c>
      <c r="V20" s="17">
        <f t="shared" si="12"/>
        <v>2</v>
      </c>
      <c r="W20" s="17">
        <f t="shared" si="12"/>
        <v>0</v>
      </c>
      <c r="X20" s="17">
        <f t="shared" si="12"/>
        <v>1</v>
      </c>
      <c r="Y20" s="17">
        <f t="shared" si="12"/>
        <v>5</v>
      </c>
      <c r="Z20" s="17">
        <f t="shared" si="12"/>
        <v>6</v>
      </c>
      <c r="AA20" s="17">
        <f t="shared" si="12"/>
        <v>0</v>
      </c>
      <c r="AB20" s="17">
        <f t="shared" si="12"/>
        <v>0</v>
      </c>
      <c r="AC20" s="17">
        <f t="shared" si="12"/>
        <v>170</v>
      </c>
      <c r="AD20" s="17">
        <f t="shared" si="12"/>
        <v>0</v>
      </c>
      <c r="AE20" s="31">
        <f t="shared" si="12"/>
        <v>40</v>
      </c>
      <c r="AF20" s="31">
        <f t="shared" si="12"/>
        <v>210</v>
      </c>
    </row>
    <row r="21" spans="2:32" ht="23.1" customHeight="1" x14ac:dyDescent="0.25">
      <c r="B21" s="23" t="s">
        <v>48</v>
      </c>
      <c r="C21" s="50">
        <v>8</v>
      </c>
      <c r="D21" s="50">
        <v>0</v>
      </c>
      <c r="E21" s="50">
        <v>0</v>
      </c>
      <c r="F21" s="50">
        <v>3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26</v>
      </c>
      <c r="N21" s="50">
        <v>0</v>
      </c>
      <c r="O21" s="15">
        <f t="shared" si="0"/>
        <v>11</v>
      </c>
      <c r="P21" s="15">
        <f t="shared" si="1"/>
        <v>37</v>
      </c>
      <c r="R21" s="36" t="s">
        <v>20</v>
      </c>
      <c r="S21" s="34">
        <f t="shared" ref="S21:AF21" si="13">SUM(C54:C57)</f>
        <v>20</v>
      </c>
      <c r="T21" s="17">
        <f t="shared" si="13"/>
        <v>2</v>
      </c>
      <c r="U21" s="17">
        <f t="shared" si="13"/>
        <v>6</v>
      </c>
      <c r="V21" s="17">
        <f t="shared" si="13"/>
        <v>10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4</v>
      </c>
      <c r="AA21" s="17">
        <f t="shared" si="13"/>
        <v>1</v>
      </c>
      <c r="AB21" s="17">
        <f t="shared" si="13"/>
        <v>0</v>
      </c>
      <c r="AC21" s="17">
        <f t="shared" si="13"/>
        <v>179</v>
      </c>
      <c r="AD21" s="17">
        <f t="shared" si="13"/>
        <v>0</v>
      </c>
      <c r="AE21" s="31">
        <f t="shared" si="13"/>
        <v>44</v>
      </c>
      <c r="AF21" s="31">
        <f t="shared" si="13"/>
        <v>223</v>
      </c>
    </row>
    <row r="22" spans="2:32" ht="23.1" customHeight="1" x14ac:dyDescent="0.25">
      <c r="B22" s="23" t="s">
        <v>49</v>
      </c>
      <c r="C22" s="50">
        <v>6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9</v>
      </c>
      <c r="L22" s="50">
        <v>0</v>
      </c>
      <c r="M22" s="50">
        <v>42</v>
      </c>
      <c r="N22" s="50">
        <v>0</v>
      </c>
      <c r="O22" s="15">
        <f t="shared" si="0"/>
        <v>15</v>
      </c>
      <c r="P22" s="15">
        <f t="shared" si="1"/>
        <v>57</v>
      </c>
      <c r="R22" s="38" t="s">
        <v>90</v>
      </c>
      <c r="S22" s="39">
        <f>MAX(S10:S12)</f>
        <v>30</v>
      </c>
      <c r="T22" s="39">
        <f t="shared" ref="T22:AF22" si="14">MAX(T10:T12)</f>
        <v>4</v>
      </c>
      <c r="U22" s="39">
        <f t="shared" si="14"/>
        <v>3</v>
      </c>
      <c r="V22" s="39">
        <f t="shared" si="14"/>
        <v>6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10</v>
      </c>
      <c r="AA22" s="39">
        <f t="shared" si="14"/>
        <v>2</v>
      </c>
      <c r="AB22" s="39">
        <f t="shared" si="14"/>
        <v>0</v>
      </c>
      <c r="AC22" s="39">
        <f t="shared" si="14"/>
        <v>131</v>
      </c>
      <c r="AD22" s="39">
        <f t="shared" si="14"/>
        <v>0</v>
      </c>
      <c r="AE22" s="40">
        <f t="shared" si="14"/>
        <v>50</v>
      </c>
      <c r="AF22" s="40">
        <f t="shared" si="14"/>
        <v>181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35</v>
      </c>
      <c r="N23" s="50">
        <v>0</v>
      </c>
      <c r="O23" s="15">
        <f t="shared" si="0"/>
        <v>9</v>
      </c>
      <c r="P23" s="15">
        <f t="shared" si="1"/>
        <v>44</v>
      </c>
      <c r="R23" s="38" t="s">
        <v>91</v>
      </c>
      <c r="S23" s="39">
        <f>MAX(S13:S18)</f>
        <v>30</v>
      </c>
      <c r="T23" s="39">
        <f t="shared" ref="T23:AF23" si="15">MAX(T13:T18)</f>
        <v>4</v>
      </c>
      <c r="U23" s="39">
        <f t="shared" si="15"/>
        <v>6</v>
      </c>
      <c r="V23" s="39">
        <f t="shared" si="15"/>
        <v>8</v>
      </c>
      <c r="W23" s="39">
        <f t="shared" si="15"/>
        <v>1</v>
      </c>
      <c r="X23" s="39">
        <f t="shared" si="15"/>
        <v>0</v>
      </c>
      <c r="Y23" s="39">
        <f t="shared" si="15"/>
        <v>5</v>
      </c>
      <c r="Z23" s="39">
        <f t="shared" si="15"/>
        <v>4</v>
      </c>
      <c r="AA23" s="39">
        <f t="shared" si="15"/>
        <v>9</v>
      </c>
      <c r="AB23" s="39">
        <f t="shared" si="15"/>
        <v>1</v>
      </c>
      <c r="AC23" s="39">
        <f t="shared" si="15"/>
        <v>175</v>
      </c>
      <c r="AD23" s="39">
        <f t="shared" si="15"/>
        <v>1</v>
      </c>
      <c r="AE23" s="40">
        <f t="shared" si="15"/>
        <v>54</v>
      </c>
      <c r="AF23" s="40">
        <f t="shared" si="15"/>
        <v>229</v>
      </c>
    </row>
    <row r="24" spans="2:32" ht="23.1" customHeight="1" x14ac:dyDescent="0.25">
      <c r="B24" s="23" t="s">
        <v>51</v>
      </c>
      <c r="C24" s="50">
        <v>12</v>
      </c>
      <c r="D24" s="50">
        <v>0</v>
      </c>
      <c r="E24" s="50">
        <v>2</v>
      </c>
      <c r="F24" s="50">
        <v>1</v>
      </c>
      <c r="G24" s="50">
        <v>0</v>
      </c>
      <c r="H24" s="50">
        <v>0</v>
      </c>
      <c r="I24" s="50">
        <v>0</v>
      </c>
      <c r="J24" s="50">
        <v>3</v>
      </c>
      <c r="K24" s="50">
        <v>0</v>
      </c>
      <c r="L24" s="50">
        <v>0</v>
      </c>
      <c r="M24" s="50">
        <v>40</v>
      </c>
      <c r="N24" s="50">
        <v>0</v>
      </c>
      <c r="O24" s="15">
        <f t="shared" si="0"/>
        <v>18</v>
      </c>
      <c r="P24" s="15">
        <f t="shared" si="1"/>
        <v>58</v>
      </c>
      <c r="R24" s="38" t="s">
        <v>92</v>
      </c>
      <c r="S24" s="39">
        <f>MAX(S19:S21)</f>
        <v>26</v>
      </c>
      <c r="T24" s="39">
        <f t="shared" ref="T24:AF24" si="16">MAX(T19:T21)</f>
        <v>2</v>
      </c>
      <c r="U24" s="39">
        <f t="shared" si="16"/>
        <v>6</v>
      </c>
      <c r="V24" s="39">
        <f t="shared" si="16"/>
        <v>10</v>
      </c>
      <c r="W24" s="39">
        <f t="shared" si="16"/>
        <v>0</v>
      </c>
      <c r="X24" s="39">
        <f t="shared" si="16"/>
        <v>1</v>
      </c>
      <c r="Y24" s="39">
        <f t="shared" si="16"/>
        <v>5</v>
      </c>
      <c r="Z24" s="39">
        <f t="shared" si="16"/>
        <v>6</v>
      </c>
      <c r="AA24" s="39">
        <f t="shared" si="16"/>
        <v>1</v>
      </c>
      <c r="AB24" s="39">
        <f t="shared" si="16"/>
        <v>2</v>
      </c>
      <c r="AC24" s="39">
        <f t="shared" si="16"/>
        <v>179</v>
      </c>
      <c r="AD24" s="39">
        <f t="shared" si="16"/>
        <v>0</v>
      </c>
      <c r="AE24" s="40">
        <f t="shared" si="16"/>
        <v>44</v>
      </c>
      <c r="AF24" s="40">
        <f t="shared" si="16"/>
        <v>223</v>
      </c>
    </row>
    <row r="25" spans="2:32" ht="23.1" customHeight="1" x14ac:dyDescent="0.25">
      <c r="B25" s="23" t="s">
        <v>52</v>
      </c>
      <c r="C25" s="50">
        <v>7</v>
      </c>
      <c r="D25" s="50">
        <v>1</v>
      </c>
      <c r="E25" s="50">
        <v>2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58</v>
      </c>
      <c r="N25" s="50">
        <v>0</v>
      </c>
      <c r="O25" s="15">
        <f t="shared" si="0"/>
        <v>12</v>
      </c>
      <c r="P25" s="15">
        <f t="shared" si="1"/>
        <v>70</v>
      </c>
      <c r="R25" s="37" t="s">
        <v>85</v>
      </c>
      <c r="S25" s="35">
        <f t="shared" ref="S25:AF25" si="17">SUM(S10:S12)</f>
        <v>69</v>
      </c>
      <c r="T25" s="16">
        <f t="shared" si="17"/>
        <v>7</v>
      </c>
      <c r="U25" s="16">
        <f t="shared" si="17"/>
        <v>7</v>
      </c>
      <c r="V25" s="16">
        <f t="shared" si="17"/>
        <v>12</v>
      </c>
      <c r="W25" s="16">
        <f t="shared" si="17"/>
        <v>0</v>
      </c>
      <c r="X25" s="16">
        <f t="shared" si="17"/>
        <v>0</v>
      </c>
      <c r="Y25" s="16">
        <f t="shared" si="17"/>
        <v>8</v>
      </c>
      <c r="Z25" s="16">
        <f t="shared" si="17"/>
        <v>13</v>
      </c>
      <c r="AA25" s="16">
        <f t="shared" si="17"/>
        <v>2</v>
      </c>
      <c r="AB25" s="16">
        <f t="shared" si="17"/>
        <v>0</v>
      </c>
      <c r="AC25" s="16">
        <f t="shared" si="17"/>
        <v>359</v>
      </c>
      <c r="AD25" s="16">
        <f t="shared" si="17"/>
        <v>0</v>
      </c>
      <c r="AE25" s="32">
        <f t="shared" si="17"/>
        <v>118</v>
      </c>
      <c r="AF25" s="32">
        <f t="shared" si="17"/>
        <v>477</v>
      </c>
    </row>
    <row r="26" spans="2:32" ht="23.1" customHeight="1" x14ac:dyDescent="0.25">
      <c r="B26" s="23" t="s">
        <v>53</v>
      </c>
      <c r="C26" s="50">
        <v>7</v>
      </c>
      <c r="D26" s="50">
        <v>0</v>
      </c>
      <c r="E26" s="50">
        <v>2</v>
      </c>
      <c r="F26" s="50">
        <v>0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41</v>
      </c>
      <c r="N26" s="50">
        <v>0</v>
      </c>
      <c r="O26" s="15">
        <f t="shared" si="0"/>
        <v>12</v>
      </c>
      <c r="P26" s="15">
        <f t="shared" si="1"/>
        <v>53</v>
      </c>
      <c r="R26" s="28" t="s">
        <v>86</v>
      </c>
      <c r="S26" s="16">
        <f t="shared" ref="S26:AF26" si="18">SUM(S13:S18)</f>
        <v>132</v>
      </c>
      <c r="T26" s="16">
        <f t="shared" si="18"/>
        <v>11</v>
      </c>
      <c r="U26" s="16">
        <f t="shared" si="18"/>
        <v>21</v>
      </c>
      <c r="V26" s="16">
        <f t="shared" si="18"/>
        <v>20</v>
      </c>
      <c r="W26" s="16">
        <f t="shared" si="18"/>
        <v>1</v>
      </c>
      <c r="X26" s="16">
        <f t="shared" si="18"/>
        <v>0</v>
      </c>
      <c r="Y26" s="16">
        <f t="shared" si="18"/>
        <v>17</v>
      </c>
      <c r="Z26" s="16">
        <f t="shared" si="18"/>
        <v>12</v>
      </c>
      <c r="AA26" s="16">
        <f t="shared" si="18"/>
        <v>14</v>
      </c>
      <c r="AB26" s="16">
        <f t="shared" si="18"/>
        <v>1</v>
      </c>
      <c r="AC26" s="16">
        <f t="shared" si="18"/>
        <v>835</v>
      </c>
      <c r="AD26" s="16">
        <f t="shared" si="18"/>
        <v>1</v>
      </c>
      <c r="AE26" s="32">
        <f t="shared" si="18"/>
        <v>230</v>
      </c>
      <c r="AF26" s="32">
        <f t="shared" si="18"/>
        <v>1065</v>
      </c>
    </row>
    <row r="27" spans="2:32" ht="23.1" customHeight="1" x14ac:dyDescent="0.25">
      <c r="B27" s="23" t="s">
        <v>54</v>
      </c>
      <c r="C27" s="50">
        <v>7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1</v>
      </c>
      <c r="M27" s="50">
        <v>22</v>
      </c>
      <c r="N27" s="50">
        <v>0</v>
      </c>
      <c r="O27" s="15">
        <f t="shared" si="0"/>
        <v>9</v>
      </c>
      <c r="P27" s="15">
        <f t="shared" si="1"/>
        <v>31</v>
      </c>
      <c r="R27" s="29" t="s">
        <v>87</v>
      </c>
      <c r="S27" s="16">
        <f t="shared" ref="S27:AF27" si="19">SUM(S19:S21)</f>
        <v>65</v>
      </c>
      <c r="T27" s="16">
        <f t="shared" si="19"/>
        <v>5</v>
      </c>
      <c r="U27" s="16">
        <f t="shared" si="19"/>
        <v>16</v>
      </c>
      <c r="V27" s="16">
        <f t="shared" si="19"/>
        <v>15</v>
      </c>
      <c r="W27" s="16">
        <f t="shared" si="19"/>
        <v>0</v>
      </c>
      <c r="X27" s="16">
        <f t="shared" si="19"/>
        <v>1</v>
      </c>
      <c r="Y27" s="16">
        <f t="shared" si="19"/>
        <v>10</v>
      </c>
      <c r="Z27" s="16">
        <f t="shared" si="19"/>
        <v>13</v>
      </c>
      <c r="AA27" s="16">
        <f t="shared" si="19"/>
        <v>1</v>
      </c>
      <c r="AB27" s="16">
        <f t="shared" si="19"/>
        <v>2</v>
      </c>
      <c r="AC27" s="16">
        <f t="shared" si="19"/>
        <v>462</v>
      </c>
      <c r="AD27" s="16">
        <f t="shared" si="19"/>
        <v>0</v>
      </c>
      <c r="AE27" s="32">
        <f t="shared" si="19"/>
        <v>128</v>
      </c>
      <c r="AF27" s="32">
        <f t="shared" si="19"/>
        <v>590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42</v>
      </c>
      <c r="N28" s="50">
        <v>0</v>
      </c>
      <c r="O28" s="15">
        <f t="shared" si="0"/>
        <v>7</v>
      </c>
      <c r="P28" s="15">
        <f t="shared" si="1"/>
        <v>49</v>
      </c>
      <c r="R28" s="5" t="s">
        <v>17</v>
      </c>
      <c r="S28" s="16">
        <f t="shared" ref="S28:AF28" si="20">SUM(S10:S21)</f>
        <v>266</v>
      </c>
      <c r="T28" s="16">
        <f t="shared" si="20"/>
        <v>23</v>
      </c>
      <c r="U28" s="16">
        <f t="shared" si="20"/>
        <v>44</v>
      </c>
      <c r="V28" s="16">
        <f t="shared" si="20"/>
        <v>47</v>
      </c>
      <c r="W28" s="16">
        <f t="shared" si="20"/>
        <v>1</v>
      </c>
      <c r="X28" s="16">
        <f t="shared" si="20"/>
        <v>1</v>
      </c>
      <c r="Y28" s="16">
        <f t="shared" si="20"/>
        <v>35</v>
      </c>
      <c r="Z28" s="16">
        <f t="shared" si="20"/>
        <v>38</v>
      </c>
      <c r="AA28" s="16">
        <f t="shared" si="20"/>
        <v>17</v>
      </c>
      <c r="AB28" s="16">
        <f t="shared" si="20"/>
        <v>3</v>
      </c>
      <c r="AC28" s="16">
        <f t="shared" si="20"/>
        <v>1656</v>
      </c>
      <c r="AD28" s="16">
        <f t="shared" si="20"/>
        <v>1</v>
      </c>
      <c r="AE28" s="32">
        <f t="shared" si="20"/>
        <v>476</v>
      </c>
      <c r="AF28" s="32">
        <f t="shared" si="20"/>
        <v>2132</v>
      </c>
    </row>
    <row r="29" spans="2:32" ht="23.1" customHeight="1" x14ac:dyDescent="0.25">
      <c r="B29" s="23" t="s">
        <v>56</v>
      </c>
      <c r="C29" s="50">
        <v>8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49</v>
      </c>
      <c r="N29" s="50">
        <v>1</v>
      </c>
      <c r="O29" s="15">
        <f t="shared" si="0"/>
        <v>10</v>
      </c>
      <c r="P29" s="15">
        <f t="shared" si="1"/>
        <v>59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32</v>
      </c>
      <c r="N30" s="50">
        <v>0</v>
      </c>
      <c r="O30" s="15">
        <f t="shared" si="0"/>
        <v>6</v>
      </c>
      <c r="P30" s="15">
        <f t="shared" si="1"/>
        <v>38</v>
      </c>
    </row>
    <row r="31" spans="2:32" ht="23.1" customHeight="1" x14ac:dyDescent="0.25">
      <c r="B31" s="24" t="s">
        <v>58</v>
      </c>
      <c r="C31" s="50">
        <v>6</v>
      </c>
      <c r="D31" s="50">
        <v>1</v>
      </c>
      <c r="E31" s="50">
        <v>1</v>
      </c>
      <c r="F31" s="50">
        <v>2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39</v>
      </c>
      <c r="N31" s="50">
        <v>0</v>
      </c>
      <c r="O31" s="15">
        <f t="shared" si="0"/>
        <v>12</v>
      </c>
      <c r="P31" s="15">
        <f t="shared" si="1"/>
        <v>51</v>
      </c>
    </row>
    <row r="32" spans="2:32" ht="23.1" customHeight="1" x14ac:dyDescent="0.25">
      <c r="B32" s="24" t="s">
        <v>59</v>
      </c>
      <c r="C32" s="50">
        <v>3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34</v>
      </c>
      <c r="N32" s="50">
        <v>0</v>
      </c>
      <c r="O32" s="15">
        <f t="shared" si="0"/>
        <v>4</v>
      </c>
      <c r="P32" s="15">
        <f t="shared" si="1"/>
        <v>38</v>
      </c>
    </row>
    <row r="33" spans="2:20" ht="23.1" customHeight="1" x14ac:dyDescent="0.25">
      <c r="B33" s="23" t="s">
        <v>60</v>
      </c>
      <c r="C33" s="50">
        <v>4</v>
      </c>
      <c r="D33" s="50">
        <v>1</v>
      </c>
      <c r="E33" s="50">
        <v>1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32</v>
      </c>
      <c r="N33" s="50">
        <v>0</v>
      </c>
      <c r="O33" s="15">
        <f t="shared" si="0"/>
        <v>7</v>
      </c>
      <c r="P33" s="15">
        <f t="shared" si="1"/>
        <v>39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0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26</v>
      </c>
      <c r="N34" s="50">
        <v>0</v>
      </c>
      <c r="O34" s="15">
        <f t="shared" si="0"/>
        <v>4</v>
      </c>
      <c r="P34" s="15">
        <f t="shared" si="1"/>
        <v>30</v>
      </c>
    </row>
    <row r="35" spans="2:20" ht="23.1" customHeight="1" x14ac:dyDescent="0.25">
      <c r="B35" s="24" t="s">
        <v>62</v>
      </c>
      <c r="C35" s="50">
        <v>11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30</v>
      </c>
      <c r="N35" s="50">
        <v>0</v>
      </c>
      <c r="O35" s="15">
        <f t="shared" si="0"/>
        <v>11</v>
      </c>
      <c r="P35" s="15">
        <f t="shared" si="1"/>
        <v>41</v>
      </c>
    </row>
    <row r="36" spans="2:20" ht="23.1" customHeight="1" x14ac:dyDescent="0.25">
      <c r="B36" s="24" t="s">
        <v>63</v>
      </c>
      <c r="C36" s="50">
        <v>6</v>
      </c>
      <c r="D36" s="50">
        <v>1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2</v>
      </c>
      <c r="K36" s="50">
        <v>0</v>
      </c>
      <c r="L36" s="50">
        <v>0</v>
      </c>
      <c r="M36" s="50">
        <v>35</v>
      </c>
      <c r="N36" s="50">
        <v>0</v>
      </c>
      <c r="O36" s="15">
        <f t="shared" si="0"/>
        <v>10</v>
      </c>
      <c r="P36" s="15">
        <f t="shared" si="1"/>
        <v>45</v>
      </c>
    </row>
    <row r="37" spans="2:20" ht="23.1" customHeight="1" x14ac:dyDescent="0.25">
      <c r="B37" s="23" t="s">
        <v>64</v>
      </c>
      <c r="C37" s="50">
        <v>6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1</v>
      </c>
      <c r="J37" s="50">
        <v>1</v>
      </c>
      <c r="K37" s="50">
        <v>1</v>
      </c>
      <c r="L37" s="50">
        <v>0</v>
      </c>
      <c r="M37" s="50">
        <v>43</v>
      </c>
      <c r="N37" s="50">
        <v>0</v>
      </c>
      <c r="O37" s="15">
        <f t="shared" si="0"/>
        <v>10</v>
      </c>
      <c r="P37" s="15">
        <f t="shared" si="1"/>
        <v>53</v>
      </c>
    </row>
    <row r="38" spans="2:20" ht="23.1" customHeight="1" x14ac:dyDescent="0.25">
      <c r="B38" s="24" t="s">
        <v>65</v>
      </c>
      <c r="C38" s="50">
        <v>4</v>
      </c>
      <c r="D38" s="50">
        <v>0</v>
      </c>
      <c r="E38" s="50">
        <v>2</v>
      </c>
      <c r="F38" s="50">
        <v>5</v>
      </c>
      <c r="G38" s="50">
        <v>0</v>
      </c>
      <c r="H38" s="50">
        <v>0</v>
      </c>
      <c r="I38" s="50">
        <v>2</v>
      </c>
      <c r="J38" s="50">
        <v>1</v>
      </c>
      <c r="K38" s="50">
        <v>1</v>
      </c>
      <c r="L38" s="50">
        <v>0</v>
      </c>
      <c r="M38" s="50">
        <v>36</v>
      </c>
      <c r="N38" s="50">
        <v>0</v>
      </c>
      <c r="O38" s="15">
        <f t="shared" si="0"/>
        <v>15</v>
      </c>
      <c r="P38" s="15">
        <f t="shared" si="1"/>
        <v>51</v>
      </c>
    </row>
    <row r="39" spans="2:20" ht="23.1" customHeight="1" x14ac:dyDescent="0.25">
      <c r="B39" s="24" t="s">
        <v>66</v>
      </c>
      <c r="C39" s="50">
        <v>3</v>
      </c>
      <c r="D39" s="50">
        <v>2</v>
      </c>
      <c r="E39" s="50">
        <v>1</v>
      </c>
      <c r="F39" s="50">
        <v>1</v>
      </c>
      <c r="G39" s="50">
        <v>0</v>
      </c>
      <c r="H39" s="50">
        <v>0</v>
      </c>
      <c r="I39" s="50">
        <v>1</v>
      </c>
      <c r="J39" s="50">
        <v>1</v>
      </c>
      <c r="K39" s="50">
        <v>1</v>
      </c>
      <c r="L39" s="50">
        <v>0</v>
      </c>
      <c r="M39" s="50">
        <v>20</v>
      </c>
      <c r="N39" s="50">
        <v>0</v>
      </c>
      <c r="O39" s="15">
        <f t="shared" si="0"/>
        <v>10</v>
      </c>
      <c r="P39" s="15">
        <f t="shared" si="1"/>
        <v>30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24</v>
      </c>
      <c r="N40" s="50">
        <v>0</v>
      </c>
      <c r="O40" s="15">
        <f t="shared" si="0"/>
        <v>5</v>
      </c>
      <c r="P40" s="15">
        <f t="shared" si="1"/>
        <v>29</v>
      </c>
    </row>
    <row r="41" spans="2:20" ht="23.1" customHeight="1" x14ac:dyDescent="0.25">
      <c r="B41" s="23" t="s">
        <v>68</v>
      </c>
      <c r="C41" s="50">
        <v>4</v>
      </c>
      <c r="D41" s="50">
        <v>2</v>
      </c>
      <c r="E41" s="50">
        <v>2</v>
      </c>
      <c r="F41" s="50">
        <v>2</v>
      </c>
      <c r="G41" s="50">
        <v>0</v>
      </c>
      <c r="H41" s="50">
        <v>0</v>
      </c>
      <c r="I41" s="50">
        <v>1</v>
      </c>
      <c r="J41" s="50">
        <v>0</v>
      </c>
      <c r="K41" s="50">
        <v>1</v>
      </c>
      <c r="L41" s="50">
        <v>0</v>
      </c>
      <c r="M41" s="50">
        <v>23</v>
      </c>
      <c r="N41" s="50">
        <v>0</v>
      </c>
      <c r="O41" s="15">
        <f t="shared" si="0"/>
        <v>12</v>
      </c>
      <c r="P41" s="15">
        <f t="shared" si="1"/>
        <v>35</v>
      </c>
    </row>
    <row r="42" spans="2:20" ht="23.1" customHeight="1" x14ac:dyDescent="0.25">
      <c r="B42" s="24" t="s">
        <v>69</v>
      </c>
      <c r="C42" s="50">
        <v>4</v>
      </c>
      <c r="D42" s="50">
        <v>2</v>
      </c>
      <c r="E42" s="50">
        <v>1</v>
      </c>
      <c r="F42" s="50">
        <v>0</v>
      </c>
      <c r="G42" s="50">
        <v>1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32</v>
      </c>
      <c r="N42" s="50">
        <v>0</v>
      </c>
      <c r="O42" s="15">
        <f t="shared" si="0"/>
        <v>8</v>
      </c>
      <c r="P42" s="15">
        <f t="shared" si="1"/>
        <v>40</v>
      </c>
    </row>
    <row r="43" spans="2:20" ht="23.1" customHeight="1" x14ac:dyDescent="0.25">
      <c r="B43" s="23" t="s">
        <v>70</v>
      </c>
      <c r="C43" s="50">
        <v>6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1</v>
      </c>
      <c r="L43" s="50">
        <v>0</v>
      </c>
      <c r="M43" s="50">
        <v>24</v>
      </c>
      <c r="N43" s="50">
        <v>0</v>
      </c>
      <c r="O43" s="15">
        <f t="shared" si="0"/>
        <v>8</v>
      </c>
      <c r="P43" s="15">
        <f t="shared" si="1"/>
        <v>32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36</v>
      </c>
      <c r="N44" s="50">
        <v>0</v>
      </c>
      <c r="O44" s="15">
        <f t="shared" si="0"/>
        <v>6</v>
      </c>
      <c r="P44" s="15">
        <f t="shared" si="1"/>
        <v>42</v>
      </c>
    </row>
    <row r="45" spans="2:20" ht="23.1" customHeight="1" x14ac:dyDescent="0.25">
      <c r="B45" s="23" t="s">
        <v>72</v>
      </c>
      <c r="C45" s="50">
        <v>7</v>
      </c>
      <c r="D45" s="50">
        <v>0</v>
      </c>
      <c r="E45" s="50">
        <v>2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40</v>
      </c>
      <c r="N45" s="50">
        <v>0</v>
      </c>
      <c r="O45" s="15">
        <f t="shared" si="0"/>
        <v>10</v>
      </c>
      <c r="P45" s="15">
        <f t="shared" si="1"/>
        <v>50</v>
      </c>
    </row>
    <row r="46" spans="2:20" ht="23.1" customHeight="1" x14ac:dyDescent="0.25">
      <c r="B46" s="24" t="s">
        <v>73</v>
      </c>
      <c r="C46" s="50">
        <v>6</v>
      </c>
      <c r="D46" s="50">
        <v>1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1</v>
      </c>
      <c r="M46" s="50">
        <v>32</v>
      </c>
      <c r="N46" s="50">
        <v>0</v>
      </c>
      <c r="O46" s="15">
        <f t="shared" si="0"/>
        <v>9</v>
      </c>
      <c r="P46" s="15">
        <f t="shared" si="1"/>
        <v>41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0</v>
      </c>
      <c r="E47" s="50">
        <v>3</v>
      </c>
      <c r="F47" s="50">
        <v>2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1</v>
      </c>
      <c r="M47" s="50">
        <v>30</v>
      </c>
      <c r="N47" s="50">
        <v>0</v>
      </c>
      <c r="O47" s="15">
        <f t="shared" si="0"/>
        <v>12</v>
      </c>
      <c r="P47" s="15">
        <f t="shared" si="1"/>
        <v>42</v>
      </c>
      <c r="R47" s="8"/>
      <c r="T47"/>
    </row>
    <row r="48" spans="2:20" ht="23.1" customHeight="1" x14ac:dyDescent="0.25">
      <c r="B48" s="24" t="s">
        <v>75</v>
      </c>
      <c r="C48" s="50">
        <v>9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3</v>
      </c>
      <c r="K48" s="50">
        <v>0</v>
      </c>
      <c r="L48" s="50">
        <v>0</v>
      </c>
      <c r="M48" s="50">
        <v>29</v>
      </c>
      <c r="N48" s="50">
        <v>0</v>
      </c>
      <c r="O48" s="15">
        <f t="shared" si="0"/>
        <v>13</v>
      </c>
      <c r="P48" s="15">
        <f t="shared" si="1"/>
        <v>42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0</v>
      </c>
      <c r="E49" s="50">
        <v>2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22</v>
      </c>
      <c r="N49" s="50">
        <v>0</v>
      </c>
      <c r="O49" s="15">
        <f t="shared" si="0"/>
        <v>10</v>
      </c>
      <c r="P49" s="15">
        <f t="shared" si="1"/>
        <v>32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1</v>
      </c>
      <c r="E50" s="50">
        <v>4</v>
      </c>
      <c r="F50" s="50">
        <v>2</v>
      </c>
      <c r="G50" s="50">
        <v>0</v>
      </c>
      <c r="H50" s="50">
        <v>0</v>
      </c>
      <c r="I50" s="50">
        <v>1</v>
      </c>
      <c r="J50" s="50">
        <v>2</v>
      </c>
      <c r="K50" s="50">
        <v>0</v>
      </c>
      <c r="L50" s="50">
        <v>0</v>
      </c>
      <c r="M50" s="50">
        <v>55</v>
      </c>
      <c r="N50" s="50">
        <v>0</v>
      </c>
      <c r="O50" s="15">
        <f t="shared" si="0"/>
        <v>12</v>
      </c>
      <c r="P50" s="15">
        <f t="shared" si="1"/>
        <v>67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2</v>
      </c>
      <c r="K51" s="50">
        <v>0</v>
      </c>
      <c r="L51" s="50">
        <v>0</v>
      </c>
      <c r="M51" s="50">
        <v>30</v>
      </c>
      <c r="N51" s="50">
        <v>0</v>
      </c>
      <c r="O51" s="15">
        <f t="shared" si="0"/>
        <v>8</v>
      </c>
      <c r="P51" s="15">
        <f t="shared" si="1"/>
        <v>38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0</v>
      </c>
      <c r="E52" s="50">
        <v>1</v>
      </c>
      <c r="F52" s="50">
        <v>0</v>
      </c>
      <c r="G52" s="50">
        <v>0</v>
      </c>
      <c r="H52" s="50">
        <v>1</v>
      </c>
      <c r="I52" s="50">
        <v>3</v>
      </c>
      <c r="J52" s="50">
        <v>1</v>
      </c>
      <c r="K52" s="50">
        <v>0</v>
      </c>
      <c r="L52" s="50">
        <v>0</v>
      </c>
      <c r="M52" s="50">
        <v>41</v>
      </c>
      <c r="N52" s="50">
        <v>0</v>
      </c>
      <c r="O52" s="15">
        <f t="shared" si="0"/>
        <v>11</v>
      </c>
      <c r="P52" s="15">
        <f t="shared" si="1"/>
        <v>52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1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44</v>
      </c>
      <c r="N53" s="50">
        <v>0</v>
      </c>
      <c r="O53" s="15">
        <f t="shared" si="0"/>
        <v>9</v>
      </c>
      <c r="P53" s="15">
        <f t="shared" si="1"/>
        <v>53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1</v>
      </c>
      <c r="E54" s="50">
        <v>2</v>
      </c>
      <c r="F54" s="50">
        <v>3</v>
      </c>
      <c r="G54" s="50">
        <v>0</v>
      </c>
      <c r="H54" s="50">
        <v>0</v>
      </c>
      <c r="I54" s="50">
        <v>0</v>
      </c>
      <c r="J54" s="50">
        <v>1</v>
      </c>
      <c r="K54" s="50">
        <v>1</v>
      </c>
      <c r="L54" s="50">
        <v>0</v>
      </c>
      <c r="M54" s="50">
        <v>55</v>
      </c>
      <c r="N54" s="50">
        <v>0</v>
      </c>
      <c r="O54" s="15">
        <f t="shared" si="0"/>
        <v>12</v>
      </c>
      <c r="P54" s="15">
        <f t="shared" si="1"/>
        <v>67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1</v>
      </c>
      <c r="F55" s="50">
        <v>4</v>
      </c>
      <c r="G55" s="50">
        <v>0</v>
      </c>
      <c r="H55" s="50">
        <v>0</v>
      </c>
      <c r="I55" s="50">
        <v>1</v>
      </c>
      <c r="J55" s="50">
        <v>2</v>
      </c>
      <c r="K55" s="50">
        <v>0</v>
      </c>
      <c r="L55" s="50">
        <v>0</v>
      </c>
      <c r="M55" s="50">
        <v>45</v>
      </c>
      <c r="N55" s="50">
        <v>0</v>
      </c>
      <c r="O55" s="15">
        <f t="shared" si="0"/>
        <v>12</v>
      </c>
      <c r="P55" s="15">
        <f t="shared" si="1"/>
        <v>57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1</v>
      </c>
      <c r="E56" s="50">
        <v>3</v>
      </c>
      <c r="F56" s="50">
        <v>2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46</v>
      </c>
      <c r="N56" s="50">
        <v>0</v>
      </c>
      <c r="O56" s="15">
        <f t="shared" si="0"/>
        <v>13</v>
      </c>
      <c r="P56" s="15">
        <f t="shared" si="1"/>
        <v>59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33</v>
      </c>
      <c r="N57" s="50">
        <v>0</v>
      </c>
      <c r="O57" s="15">
        <f t="shared" si="0"/>
        <v>7</v>
      </c>
      <c r="P57" s="15">
        <f t="shared" si="1"/>
        <v>40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266</v>
      </c>
      <c r="D58" s="16">
        <f t="shared" si="21"/>
        <v>23</v>
      </c>
      <c r="E58" s="16">
        <f t="shared" si="21"/>
        <v>44</v>
      </c>
      <c r="F58" s="16">
        <f t="shared" si="21"/>
        <v>47</v>
      </c>
      <c r="G58" s="16">
        <f t="shared" si="21"/>
        <v>1</v>
      </c>
      <c r="H58" s="16">
        <f t="shared" si="21"/>
        <v>1</v>
      </c>
      <c r="I58" s="16">
        <f t="shared" si="21"/>
        <v>35</v>
      </c>
      <c r="J58" s="16">
        <f t="shared" si="21"/>
        <v>38</v>
      </c>
      <c r="K58" s="16">
        <f t="shared" si="21"/>
        <v>17</v>
      </c>
      <c r="L58" s="16">
        <f t="shared" si="21"/>
        <v>3</v>
      </c>
      <c r="M58" s="16">
        <f t="shared" si="21"/>
        <v>1656</v>
      </c>
      <c r="N58" s="16">
        <f t="shared" si="21"/>
        <v>1</v>
      </c>
      <c r="O58" s="16">
        <f t="shared" si="21"/>
        <v>476</v>
      </c>
      <c r="P58" s="16">
        <f t="shared" si="21"/>
        <v>2132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0.124765478424015</v>
      </c>
      <c r="D59" s="43">
        <f t="shared" si="22"/>
        <v>1.0787992495309569E-2</v>
      </c>
      <c r="E59" s="43">
        <f t="shared" si="22"/>
        <v>2.0637898686679174E-2</v>
      </c>
      <c r="F59" s="43">
        <f t="shared" si="22"/>
        <v>2.2045028142589119E-2</v>
      </c>
      <c r="G59" s="43">
        <f t="shared" si="22"/>
        <v>4.6904315196998124E-4</v>
      </c>
      <c r="H59" s="43">
        <f t="shared" si="22"/>
        <v>4.6904315196998124E-4</v>
      </c>
      <c r="I59" s="43">
        <f t="shared" si="22"/>
        <v>1.6416510318949345E-2</v>
      </c>
      <c r="J59" s="43">
        <f t="shared" si="22"/>
        <v>1.7823639774859287E-2</v>
      </c>
      <c r="K59" s="43">
        <f t="shared" si="22"/>
        <v>7.9737335834896804E-3</v>
      </c>
      <c r="L59" s="43">
        <f t="shared" si="22"/>
        <v>1.4071294559099437E-3</v>
      </c>
      <c r="M59" s="43">
        <f t="shared" si="22"/>
        <v>0.77673545966228896</v>
      </c>
      <c r="N59" s="43">
        <f t="shared" si="22"/>
        <v>4.6904315196998124E-4</v>
      </c>
      <c r="R59" s="8"/>
      <c r="T59"/>
    </row>
    <row r="60" spans="2:20" ht="23.1" customHeight="1" x14ac:dyDescent="0.25">
      <c r="B60" s="42" t="s">
        <v>94</v>
      </c>
      <c r="C60" s="44">
        <f>C58/$O$58</f>
        <v>0.55882352941176472</v>
      </c>
      <c r="D60" s="44">
        <f t="shared" ref="D60:N60" si="23">D58/$O$58</f>
        <v>4.8319327731092439E-2</v>
      </c>
      <c r="E60" s="44">
        <f t="shared" si="23"/>
        <v>9.2436974789915971E-2</v>
      </c>
      <c r="F60" s="44">
        <f t="shared" si="23"/>
        <v>9.8739495798319324E-2</v>
      </c>
      <c r="G60" s="44">
        <f t="shared" si="23"/>
        <v>2.1008403361344537E-3</v>
      </c>
      <c r="H60" s="44">
        <f t="shared" si="23"/>
        <v>2.1008403361344537E-3</v>
      </c>
      <c r="I60" s="44">
        <f t="shared" si="23"/>
        <v>7.3529411764705885E-2</v>
      </c>
      <c r="J60" s="44">
        <f t="shared" si="23"/>
        <v>7.9831932773109238E-2</v>
      </c>
      <c r="K60" s="44">
        <f t="shared" si="23"/>
        <v>3.5714285714285712E-2</v>
      </c>
      <c r="L60" s="44">
        <f t="shared" si="23"/>
        <v>6.3025210084033615E-3</v>
      </c>
      <c r="M60" s="44"/>
      <c r="N60" s="44">
        <f t="shared" si="23"/>
        <v>2.1008403361344537E-3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KYENJOJO-HOIMA'!C3:G3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63" t="str">
        <f>'29.10 HOIMA-KYENJOJO'!G5:H5</f>
        <v>KYENJOJO</v>
      </c>
      <c r="H5" s="64"/>
      <c r="I5" s="14"/>
      <c r="J5" s="2" t="s">
        <v>5</v>
      </c>
      <c r="K5" s="63" t="str">
        <f>'29.10 HOIMA-KYENJOJO'!K5:L5</f>
        <v>OLOYA FELIX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KYENJOJO-HOIMA'!D6:E6</f>
        <v>KYENJOJO</v>
      </c>
      <c r="E6" s="64"/>
      <c r="F6" s="2" t="s">
        <v>2</v>
      </c>
      <c r="G6" s="63" t="str">
        <f>'25.10 KYENJOJO-HOIMA'!G6:H6</f>
        <v>HOIMA</v>
      </c>
      <c r="H6" s="64"/>
      <c r="J6" s="2" t="s">
        <v>21</v>
      </c>
      <c r="K6" s="63" t="str">
        <f>'29.10 HOIMA-KYENJOJO'!K6:L6</f>
        <v>FELIX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0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2</v>
      </c>
      <c r="K10" s="50">
        <v>0</v>
      </c>
      <c r="L10" s="50">
        <v>0</v>
      </c>
      <c r="M10" s="50">
        <v>19</v>
      </c>
      <c r="N10" s="50">
        <v>0</v>
      </c>
      <c r="O10" s="15">
        <f t="shared" ref="O10:O57" si="0">SUM(C10:L10,N10)</f>
        <v>9</v>
      </c>
      <c r="P10" s="15">
        <f t="shared" ref="P10:P57" si="1">SUM(C10:N10)</f>
        <v>28</v>
      </c>
      <c r="R10" s="1" t="s">
        <v>6</v>
      </c>
      <c r="S10" s="17">
        <f t="shared" ref="S10:AF10" si="2">SUM(C10:C13)</f>
        <v>17</v>
      </c>
      <c r="T10" s="17">
        <f t="shared" si="2"/>
        <v>3</v>
      </c>
      <c r="U10" s="17">
        <f t="shared" si="2"/>
        <v>2</v>
      </c>
      <c r="V10" s="17">
        <f t="shared" si="2"/>
        <v>5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125</v>
      </c>
      <c r="AD10" s="17">
        <f t="shared" si="2"/>
        <v>0</v>
      </c>
      <c r="AE10" s="31">
        <f t="shared" si="2"/>
        <v>35</v>
      </c>
      <c r="AF10" s="31">
        <f t="shared" si="2"/>
        <v>160</v>
      </c>
    </row>
    <row r="11" spans="2:32" s="6" customFormat="1" ht="23.1" customHeight="1" x14ac:dyDescent="0.25">
      <c r="B11" s="23" t="s">
        <v>38</v>
      </c>
      <c r="C11" s="50">
        <v>2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24</v>
      </c>
      <c r="N11" s="50">
        <v>0</v>
      </c>
      <c r="O11" s="15">
        <f t="shared" si="0"/>
        <v>5</v>
      </c>
      <c r="P11" s="15">
        <f t="shared" si="1"/>
        <v>29</v>
      </c>
      <c r="R11" s="1" t="s">
        <v>7</v>
      </c>
      <c r="S11" s="17">
        <f t="shared" ref="S11:AF11" si="3">SUM(C14:C17)</f>
        <v>33</v>
      </c>
      <c r="T11" s="17">
        <f t="shared" si="3"/>
        <v>3</v>
      </c>
      <c r="U11" s="17">
        <f t="shared" si="3"/>
        <v>4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10</v>
      </c>
      <c r="Z11" s="17">
        <f t="shared" si="3"/>
        <v>1</v>
      </c>
      <c r="AA11" s="17">
        <f t="shared" si="3"/>
        <v>0</v>
      </c>
      <c r="AB11" s="17">
        <f t="shared" si="3"/>
        <v>1</v>
      </c>
      <c r="AC11" s="17">
        <f t="shared" si="3"/>
        <v>164</v>
      </c>
      <c r="AD11" s="17">
        <f t="shared" si="3"/>
        <v>0</v>
      </c>
      <c r="AE11" s="31">
        <f t="shared" si="3"/>
        <v>53</v>
      </c>
      <c r="AF11" s="31">
        <f t="shared" si="3"/>
        <v>217</v>
      </c>
    </row>
    <row r="12" spans="2:32" ht="23.1" customHeight="1" x14ac:dyDescent="0.25">
      <c r="B12" s="23" t="s">
        <v>39</v>
      </c>
      <c r="C12" s="50">
        <v>6</v>
      </c>
      <c r="D12" s="50">
        <v>2</v>
      </c>
      <c r="E12" s="50">
        <v>0</v>
      </c>
      <c r="F12" s="50">
        <v>1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44</v>
      </c>
      <c r="N12" s="50">
        <v>0</v>
      </c>
      <c r="O12" s="15">
        <f t="shared" si="0"/>
        <v>11</v>
      </c>
      <c r="P12" s="15">
        <f t="shared" si="1"/>
        <v>55</v>
      </c>
      <c r="R12" s="1" t="s">
        <v>8</v>
      </c>
      <c r="S12" s="17">
        <f t="shared" ref="S12:AF12" si="4">SUM(C18:C21)</f>
        <v>24</v>
      </c>
      <c r="T12" s="17">
        <f t="shared" si="4"/>
        <v>1</v>
      </c>
      <c r="U12" s="17">
        <f t="shared" si="4"/>
        <v>3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4</v>
      </c>
      <c r="AA12" s="17">
        <f t="shared" si="4"/>
        <v>1</v>
      </c>
      <c r="AB12" s="17">
        <f t="shared" si="4"/>
        <v>0</v>
      </c>
      <c r="AC12" s="17">
        <f t="shared" si="4"/>
        <v>119</v>
      </c>
      <c r="AD12" s="17">
        <f t="shared" si="4"/>
        <v>1</v>
      </c>
      <c r="AE12" s="31">
        <f t="shared" si="4"/>
        <v>37</v>
      </c>
      <c r="AF12" s="31">
        <f t="shared" si="4"/>
        <v>156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2</v>
      </c>
      <c r="F13" s="50">
        <v>2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38</v>
      </c>
      <c r="N13" s="50">
        <v>0</v>
      </c>
      <c r="O13" s="15">
        <f t="shared" si="0"/>
        <v>10</v>
      </c>
      <c r="P13" s="15">
        <f t="shared" si="1"/>
        <v>48</v>
      </c>
      <c r="R13" s="1" t="s">
        <v>9</v>
      </c>
      <c r="S13" s="17">
        <f t="shared" ref="S13:AF13" si="5">SUM(C22:C25)</f>
        <v>21</v>
      </c>
      <c r="T13" s="17">
        <f t="shared" si="5"/>
        <v>0</v>
      </c>
      <c r="U13" s="17">
        <f t="shared" si="5"/>
        <v>11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183</v>
      </c>
      <c r="AD13" s="17">
        <f t="shared" si="5"/>
        <v>0</v>
      </c>
      <c r="AE13" s="31">
        <f t="shared" si="5"/>
        <v>42</v>
      </c>
      <c r="AF13" s="31">
        <f t="shared" si="5"/>
        <v>225</v>
      </c>
    </row>
    <row r="14" spans="2:32" ht="23.1" customHeight="1" x14ac:dyDescent="0.25">
      <c r="B14" s="23" t="s">
        <v>41</v>
      </c>
      <c r="C14" s="50">
        <v>3</v>
      </c>
      <c r="D14" s="50">
        <v>2</v>
      </c>
      <c r="E14" s="50">
        <v>1</v>
      </c>
      <c r="F14" s="50">
        <v>1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50</v>
      </c>
      <c r="N14" s="50">
        <v>0</v>
      </c>
      <c r="O14" s="15">
        <f t="shared" si="0"/>
        <v>9</v>
      </c>
      <c r="P14" s="15">
        <f t="shared" si="1"/>
        <v>59</v>
      </c>
      <c r="R14" s="1" t="s">
        <v>10</v>
      </c>
      <c r="S14" s="17">
        <f t="shared" ref="S14:AF14" si="6">SUM(C26:C29)</f>
        <v>22</v>
      </c>
      <c r="T14" s="17">
        <f t="shared" si="6"/>
        <v>2</v>
      </c>
      <c r="U14" s="17">
        <f t="shared" si="6"/>
        <v>5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139</v>
      </c>
      <c r="AD14" s="17">
        <f t="shared" si="6"/>
        <v>0</v>
      </c>
      <c r="AE14" s="31">
        <f t="shared" si="6"/>
        <v>36</v>
      </c>
      <c r="AF14" s="31">
        <f t="shared" si="6"/>
        <v>175</v>
      </c>
    </row>
    <row r="15" spans="2:32" ht="23.1" customHeight="1" x14ac:dyDescent="0.25">
      <c r="B15" s="23" t="s">
        <v>42</v>
      </c>
      <c r="C15" s="50">
        <v>14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40</v>
      </c>
      <c r="N15" s="50">
        <v>0</v>
      </c>
      <c r="O15" s="15">
        <f t="shared" si="0"/>
        <v>18</v>
      </c>
      <c r="P15" s="15">
        <f t="shared" si="1"/>
        <v>58</v>
      </c>
      <c r="R15" s="1" t="s">
        <v>11</v>
      </c>
      <c r="S15" s="17">
        <f t="shared" ref="S15:AF15" si="7">SUM(C30:C33)</f>
        <v>33</v>
      </c>
      <c r="T15" s="17">
        <f t="shared" si="7"/>
        <v>4</v>
      </c>
      <c r="U15" s="17">
        <f t="shared" si="7"/>
        <v>8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10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152</v>
      </c>
      <c r="AD15" s="17">
        <f t="shared" si="7"/>
        <v>0</v>
      </c>
      <c r="AE15" s="31">
        <f t="shared" si="7"/>
        <v>61</v>
      </c>
      <c r="AF15" s="31">
        <f t="shared" si="7"/>
        <v>213</v>
      </c>
    </row>
    <row r="16" spans="2:32" ht="23.1" customHeight="1" x14ac:dyDescent="0.25">
      <c r="B16" s="23" t="s">
        <v>43</v>
      </c>
      <c r="C16" s="50">
        <v>7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1</v>
      </c>
      <c r="M16" s="50">
        <v>33</v>
      </c>
      <c r="N16" s="50">
        <v>0</v>
      </c>
      <c r="O16" s="15">
        <f t="shared" si="0"/>
        <v>11</v>
      </c>
      <c r="P16" s="15">
        <f t="shared" si="1"/>
        <v>44</v>
      </c>
      <c r="R16" s="1" t="s">
        <v>12</v>
      </c>
      <c r="S16" s="17">
        <f t="shared" ref="S16:AF16" si="8">SUM(C34:C37)</f>
        <v>22</v>
      </c>
      <c r="T16" s="17">
        <f t="shared" si="8"/>
        <v>3</v>
      </c>
      <c r="U16" s="17">
        <f t="shared" si="8"/>
        <v>2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139</v>
      </c>
      <c r="AD16" s="17">
        <f t="shared" si="8"/>
        <v>0</v>
      </c>
      <c r="AE16" s="31">
        <f t="shared" si="8"/>
        <v>36</v>
      </c>
      <c r="AF16" s="31">
        <f t="shared" si="8"/>
        <v>175</v>
      </c>
    </row>
    <row r="17" spans="2:32" ht="23.1" customHeight="1" x14ac:dyDescent="0.25">
      <c r="B17" s="23" t="s">
        <v>44</v>
      </c>
      <c r="C17" s="50">
        <v>9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5</v>
      </c>
      <c r="J17" s="50">
        <v>0</v>
      </c>
      <c r="K17" s="50">
        <v>0</v>
      </c>
      <c r="L17" s="50">
        <v>0</v>
      </c>
      <c r="M17" s="50">
        <v>41</v>
      </c>
      <c r="N17" s="50">
        <v>0</v>
      </c>
      <c r="O17" s="15">
        <f t="shared" si="0"/>
        <v>15</v>
      </c>
      <c r="P17" s="15">
        <f t="shared" si="1"/>
        <v>56</v>
      </c>
      <c r="R17" s="1" t="s">
        <v>13</v>
      </c>
      <c r="S17" s="17">
        <f t="shared" ref="S17:AF17" si="9">SUM(C38:C41)</f>
        <v>17</v>
      </c>
      <c r="T17" s="17">
        <f t="shared" si="9"/>
        <v>0</v>
      </c>
      <c r="U17" s="17">
        <f t="shared" si="9"/>
        <v>0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5</v>
      </c>
      <c r="AA17" s="17">
        <f t="shared" si="9"/>
        <v>0</v>
      </c>
      <c r="AB17" s="17">
        <f t="shared" si="9"/>
        <v>0</v>
      </c>
      <c r="AC17" s="17">
        <f t="shared" si="9"/>
        <v>96</v>
      </c>
      <c r="AD17" s="17">
        <f t="shared" si="9"/>
        <v>0</v>
      </c>
      <c r="AE17" s="31">
        <f t="shared" si="9"/>
        <v>32</v>
      </c>
      <c r="AF17" s="31">
        <f t="shared" si="9"/>
        <v>128</v>
      </c>
    </row>
    <row r="18" spans="2:32" ht="23.1" customHeight="1" x14ac:dyDescent="0.25">
      <c r="B18" s="23" t="s">
        <v>45</v>
      </c>
      <c r="C18" s="50">
        <v>6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26</v>
      </c>
      <c r="N18" s="50">
        <v>0</v>
      </c>
      <c r="O18" s="15">
        <f t="shared" si="0"/>
        <v>8</v>
      </c>
      <c r="P18" s="15">
        <f t="shared" si="1"/>
        <v>34</v>
      </c>
      <c r="R18" s="1" t="s">
        <v>14</v>
      </c>
      <c r="S18" s="17">
        <f t="shared" ref="S18:AF18" si="10">SUM(C42:C45)</f>
        <v>29</v>
      </c>
      <c r="T18" s="17">
        <f t="shared" si="10"/>
        <v>4</v>
      </c>
      <c r="U18" s="17">
        <f t="shared" si="10"/>
        <v>5</v>
      </c>
      <c r="V18" s="17">
        <f t="shared" si="10"/>
        <v>5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132</v>
      </c>
      <c r="AD18" s="17">
        <f t="shared" si="10"/>
        <v>0</v>
      </c>
      <c r="AE18" s="31">
        <f t="shared" si="10"/>
        <v>52</v>
      </c>
      <c r="AF18" s="31">
        <f t="shared" si="10"/>
        <v>184</v>
      </c>
    </row>
    <row r="19" spans="2:32" ht="23.1" customHeight="1" x14ac:dyDescent="0.25">
      <c r="B19" s="23" t="s">
        <v>46</v>
      </c>
      <c r="C19" s="50">
        <v>7</v>
      </c>
      <c r="D19" s="50">
        <v>1</v>
      </c>
      <c r="E19" s="50">
        <v>2</v>
      </c>
      <c r="F19" s="50">
        <v>0</v>
      </c>
      <c r="G19" s="50">
        <v>0</v>
      </c>
      <c r="H19" s="50">
        <v>0</v>
      </c>
      <c r="I19" s="50">
        <v>2</v>
      </c>
      <c r="J19" s="50">
        <v>1</v>
      </c>
      <c r="K19" s="50">
        <v>1</v>
      </c>
      <c r="L19" s="50">
        <v>0</v>
      </c>
      <c r="M19" s="50">
        <v>27</v>
      </c>
      <c r="N19" s="50">
        <v>0</v>
      </c>
      <c r="O19" s="15">
        <f t="shared" si="0"/>
        <v>14</v>
      </c>
      <c r="P19" s="15">
        <f t="shared" si="1"/>
        <v>41</v>
      </c>
      <c r="R19" s="1" t="s">
        <v>15</v>
      </c>
      <c r="S19" s="17">
        <f t="shared" ref="S19:AF19" si="11">SUM(C46:C49)</f>
        <v>26</v>
      </c>
      <c r="T19" s="17">
        <f t="shared" si="11"/>
        <v>4</v>
      </c>
      <c r="U19" s="17">
        <f t="shared" si="11"/>
        <v>3</v>
      </c>
      <c r="V19" s="17">
        <f t="shared" si="11"/>
        <v>5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5</v>
      </c>
      <c r="AA19" s="17">
        <f t="shared" si="11"/>
        <v>1</v>
      </c>
      <c r="AB19" s="17">
        <f t="shared" si="11"/>
        <v>0</v>
      </c>
      <c r="AC19" s="17">
        <f t="shared" si="11"/>
        <v>125</v>
      </c>
      <c r="AD19" s="17">
        <f t="shared" si="11"/>
        <v>0</v>
      </c>
      <c r="AE19" s="31">
        <f t="shared" si="11"/>
        <v>44</v>
      </c>
      <c r="AF19" s="31">
        <f t="shared" si="11"/>
        <v>169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31</v>
      </c>
      <c r="N20" s="50">
        <v>1</v>
      </c>
      <c r="O20" s="15">
        <f t="shared" si="0"/>
        <v>5</v>
      </c>
      <c r="P20" s="15">
        <f t="shared" si="1"/>
        <v>36</v>
      </c>
      <c r="R20" s="1" t="s">
        <v>16</v>
      </c>
      <c r="S20" s="17">
        <f t="shared" ref="S20:AF20" si="12">SUM(C50:C53)</f>
        <v>30</v>
      </c>
      <c r="T20" s="17">
        <f t="shared" si="12"/>
        <v>3</v>
      </c>
      <c r="U20" s="17">
        <f t="shared" si="12"/>
        <v>12</v>
      </c>
      <c r="V20" s="17">
        <f t="shared" si="12"/>
        <v>3</v>
      </c>
      <c r="W20" s="17">
        <f t="shared" si="12"/>
        <v>0</v>
      </c>
      <c r="X20" s="17">
        <f t="shared" si="12"/>
        <v>1</v>
      </c>
      <c r="Y20" s="17">
        <f t="shared" si="12"/>
        <v>6</v>
      </c>
      <c r="Z20" s="17">
        <f t="shared" si="12"/>
        <v>2</v>
      </c>
      <c r="AA20" s="17">
        <f t="shared" si="12"/>
        <v>1</v>
      </c>
      <c r="AB20" s="17">
        <f t="shared" si="12"/>
        <v>0</v>
      </c>
      <c r="AC20" s="17">
        <f t="shared" si="12"/>
        <v>155</v>
      </c>
      <c r="AD20" s="17">
        <f t="shared" si="12"/>
        <v>0</v>
      </c>
      <c r="AE20" s="31">
        <f t="shared" si="12"/>
        <v>58</v>
      </c>
      <c r="AF20" s="31">
        <f t="shared" si="12"/>
        <v>213</v>
      </c>
    </row>
    <row r="21" spans="2:32" ht="23.1" customHeight="1" x14ac:dyDescent="0.25">
      <c r="B21" s="23" t="s">
        <v>48</v>
      </c>
      <c r="C21" s="50">
        <v>8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2</v>
      </c>
      <c r="K21" s="50">
        <v>0</v>
      </c>
      <c r="L21" s="50">
        <v>0</v>
      </c>
      <c r="M21" s="50">
        <v>35</v>
      </c>
      <c r="N21" s="50">
        <v>0</v>
      </c>
      <c r="O21" s="15">
        <f t="shared" si="0"/>
        <v>10</v>
      </c>
      <c r="P21" s="15">
        <f t="shared" si="1"/>
        <v>45</v>
      </c>
      <c r="R21" s="36" t="s">
        <v>20</v>
      </c>
      <c r="S21" s="34">
        <f t="shared" ref="S21:AF21" si="13">SUM(C54:C57)</f>
        <v>27</v>
      </c>
      <c r="T21" s="17">
        <f t="shared" si="13"/>
        <v>4</v>
      </c>
      <c r="U21" s="17">
        <f t="shared" si="13"/>
        <v>2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184</v>
      </c>
      <c r="AD21" s="17">
        <f t="shared" si="13"/>
        <v>0</v>
      </c>
      <c r="AE21" s="31">
        <f t="shared" si="13"/>
        <v>37</v>
      </c>
      <c r="AF21" s="31">
        <f t="shared" si="13"/>
        <v>221</v>
      </c>
    </row>
    <row r="22" spans="2:32" ht="23.1" customHeight="1" x14ac:dyDescent="0.25">
      <c r="B22" s="23" t="s">
        <v>49</v>
      </c>
      <c r="C22" s="50">
        <v>5</v>
      </c>
      <c r="D22" s="50">
        <v>0</v>
      </c>
      <c r="E22" s="50">
        <v>3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1</v>
      </c>
      <c r="L22" s="50">
        <v>0</v>
      </c>
      <c r="M22" s="50">
        <v>52</v>
      </c>
      <c r="N22" s="50">
        <v>0</v>
      </c>
      <c r="O22" s="15">
        <f t="shared" si="0"/>
        <v>10</v>
      </c>
      <c r="P22" s="15">
        <f t="shared" si="1"/>
        <v>62</v>
      </c>
      <c r="R22" s="38" t="s">
        <v>90</v>
      </c>
      <c r="S22" s="39">
        <f>MAX(S10:S12)</f>
        <v>33</v>
      </c>
      <c r="T22" s="39">
        <f t="shared" ref="T22:AF22" si="14">MAX(T10:T12)</f>
        <v>3</v>
      </c>
      <c r="U22" s="39">
        <f t="shared" si="14"/>
        <v>4</v>
      </c>
      <c r="V22" s="39">
        <f t="shared" si="14"/>
        <v>5</v>
      </c>
      <c r="W22" s="39">
        <f t="shared" si="14"/>
        <v>0</v>
      </c>
      <c r="X22" s="39">
        <f t="shared" si="14"/>
        <v>0</v>
      </c>
      <c r="Y22" s="39">
        <f t="shared" si="14"/>
        <v>10</v>
      </c>
      <c r="Z22" s="39">
        <f t="shared" si="14"/>
        <v>4</v>
      </c>
      <c r="AA22" s="39">
        <f t="shared" si="14"/>
        <v>1</v>
      </c>
      <c r="AB22" s="39">
        <f t="shared" si="14"/>
        <v>1</v>
      </c>
      <c r="AC22" s="39">
        <f t="shared" si="14"/>
        <v>164</v>
      </c>
      <c r="AD22" s="39">
        <f t="shared" si="14"/>
        <v>1</v>
      </c>
      <c r="AE22" s="40">
        <f t="shared" si="14"/>
        <v>53</v>
      </c>
      <c r="AF22" s="40">
        <f t="shared" si="14"/>
        <v>217</v>
      </c>
    </row>
    <row r="23" spans="2:32" ht="23.1" customHeight="1" x14ac:dyDescent="0.25">
      <c r="B23" s="23" t="s">
        <v>50</v>
      </c>
      <c r="C23" s="50">
        <v>4</v>
      </c>
      <c r="D23" s="50">
        <v>0</v>
      </c>
      <c r="E23" s="50">
        <v>4</v>
      </c>
      <c r="F23" s="50">
        <v>0</v>
      </c>
      <c r="G23" s="50">
        <v>0</v>
      </c>
      <c r="H23" s="50">
        <v>0</v>
      </c>
      <c r="I23" s="50">
        <v>3</v>
      </c>
      <c r="J23" s="50">
        <v>1</v>
      </c>
      <c r="K23" s="50">
        <v>0</v>
      </c>
      <c r="L23" s="50">
        <v>0</v>
      </c>
      <c r="M23" s="50">
        <v>30</v>
      </c>
      <c r="N23" s="50">
        <v>0</v>
      </c>
      <c r="O23" s="15">
        <f t="shared" si="0"/>
        <v>12</v>
      </c>
      <c r="P23" s="15">
        <f t="shared" si="1"/>
        <v>42</v>
      </c>
      <c r="R23" s="38" t="s">
        <v>91</v>
      </c>
      <c r="S23" s="39">
        <f>MAX(S13:S18)</f>
        <v>33</v>
      </c>
      <c r="T23" s="39">
        <f t="shared" ref="T23:AF23" si="15">MAX(T13:T18)</f>
        <v>4</v>
      </c>
      <c r="U23" s="39">
        <f t="shared" si="15"/>
        <v>11</v>
      </c>
      <c r="V23" s="39">
        <f t="shared" si="15"/>
        <v>5</v>
      </c>
      <c r="W23" s="39">
        <f t="shared" si="15"/>
        <v>0</v>
      </c>
      <c r="X23" s="39">
        <f t="shared" si="15"/>
        <v>0</v>
      </c>
      <c r="Y23" s="39">
        <f t="shared" si="15"/>
        <v>10</v>
      </c>
      <c r="Z23" s="39">
        <f t="shared" si="15"/>
        <v>5</v>
      </c>
      <c r="AA23" s="39">
        <f t="shared" si="15"/>
        <v>1</v>
      </c>
      <c r="AB23" s="39">
        <f t="shared" si="15"/>
        <v>0</v>
      </c>
      <c r="AC23" s="39">
        <f t="shared" si="15"/>
        <v>183</v>
      </c>
      <c r="AD23" s="39">
        <f t="shared" si="15"/>
        <v>0</v>
      </c>
      <c r="AE23" s="40">
        <f t="shared" si="15"/>
        <v>61</v>
      </c>
      <c r="AF23" s="40">
        <f t="shared" si="15"/>
        <v>225</v>
      </c>
    </row>
    <row r="24" spans="2:32" ht="23.1" customHeight="1" x14ac:dyDescent="0.25">
      <c r="B24" s="23" t="s">
        <v>51</v>
      </c>
      <c r="C24" s="50">
        <v>8</v>
      </c>
      <c r="D24" s="50">
        <v>0</v>
      </c>
      <c r="E24" s="50">
        <v>2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51</v>
      </c>
      <c r="N24" s="50">
        <v>0</v>
      </c>
      <c r="O24" s="15">
        <f t="shared" si="0"/>
        <v>12</v>
      </c>
      <c r="P24" s="15">
        <f t="shared" si="1"/>
        <v>63</v>
      </c>
      <c r="R24" s="38" t="s">
        <v>92</v>
      </c>
      <c r="S24" s="39">
        <f>MAX(S19:S21)</f>
        <v>30</v>
      </c>
      <c r="T24" s="39">
        <f t="shared" ref="T24:AF24" si="16">MAX(T19:T21)</f>
        <v>4</v>
      </c>
      <c r="U24" s="39">
        <f t="shared" si="16"/>
        <v>12</v>
      </c>
      <c r="V24" s="39">
        <f t="shared" si="16"/>
        <v>5</v>
      </c>
      <c r="W24" s="39">
        <f t="shared" si="16"/>
        <v>0</v>
      </c>
      <c r="X24" s="39">
        <f t="shared" si="16"/>
        <v>1</v>
      </c>
      <c r="Y24" s="39">
        <f t="shared" si="16"/>
        <v>6</v>
      </c>
      <c r="Z24" s="39">
        <f t="shared" si="16"/>
        <v>5</v>
      </c>
      <c r="AA24" s="39">
        <f t="shared" si="16"/>
        <v>1</v>
      </c>
      <c r="AB24" s="39">
        <f t="shared" si="16"/>
        <v>0</v>
      </c>
      <c r="AC24" s="39">
        <f t="shared" si="16"/>
        <v>184</v>
      </c>
      <c r="AD24" s="39">
        <f t="shared" si="16"/>
        <v>0</v>
      </c>
      <c r="AE24" s="40">
        <f t="shared" si="16"/>
        <v>58</v>
      </c>
      <c r="AF24" s="40">
        <f t="shared" si="16"/>
        <v>221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2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50</v>
      </c>
      <c r="N25" s="50">
        <v>0</v>
      </c>
      <c r="O25" s="15">
        <f t="shared" si="0"/>
        <v>8</v>
      </c>
      <c r="P25" s="15">
        <f t="shared" si="1"/>
        <v>58</v>
      </c>
      <c r="R25" s="37" t="s">
        <v>85</v>
      </c>
      <c r="S25" s="35">
        <f t="shared" ref="S25:AF25" si="17">SUM(S10:S12)</f>
        <v>74</v>
      </c>
      <c r="T25" s="16">
        <f t="shared" si="17"/>
        <v>7</v>
      </c>
      <c r="U25" s="16">
        <f t="shared" si="17"/>
        <v>9</v>
      </c>
      <c r="V25" s="16">
        <f t="shared" si="17"/>
        <v>6</v>
      </c>
      <c r="W25" s="16">
        <f t="shared" si="17"/>
        <v>0</v>
      </c>
      <c r="X25" s="16">
        <f t="shared" si="17"/>
        <v>0</v>
      </c>
      <c r="Y25" s="16">
        <f t="shared" si="17"/>
        <v>17</v>
      </c>
      <c r="Z25" s="16">
        <f t="shared" si="17"/>
        <v>9</v>
      </c>
      <c r="AA25" s="16">
        <f t="shared" si="17"/>
        <v>1</v>
      </c>
      <c r="AB25" s="16">
        <f t="shared" si="17"/>
        <v>1</v>
      </c>
      <c r="AC25" s="16">
        <f t="shared" si="17"/>
        <v>408</v>
      </c>
      <c r="AD25" s="16">
        <f t="shared" si="17"/>
        <v>1</v>
      </c>
      <c r="AE25" s="32">
        <f t="shared" si="17"/>
        <v>125</v>
      </c>
      <c r="AF25" s="32">
        <f t="shared" si="17"/>
        <v>533</v>
      </c>
    </row>
    <row r="26" spans="2:32" ht="23.1" customHeight="1" x14ac:dyDescent="0.25">
      <c r="B26" s="23" t="s">
        <v>53</v>
      </c>
      <c r="C26" s="50">
        <v>5</v>
      </c>
      <c r="D26" s="50">
        <v>1</v>
      </c>
      <c r="E26" s="50">
        <v>1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29</v>
      </c>
      <c r="N26" s="50">
        <v>0</v>
      </c>
      <c r="O26" s="15">
        <f t="shared" si="0"/>
        <v>9</v>
      </c>
      <c r="P26" s="15">
        <f t="shared" si="1"/>
        <v>38</v>
      </c>
      <c r="R26" s="28" t="s">
        <v>86</v>
      </c>
      <c r="S26" s="16">
        <f t="shared" ref="S26:AF26" si="18">SUM(S13:S18)</f>
        <v>144</v>
      </c>
      <c r="T26" s="16">
        <f t="shared" si="18"/>
        <v>13</v>
      </c>
      <c r="U26" s="16">
        <f t="shared" si="18"/>
        <v>31</v>
      </c>
      <c r="V26" s="16">
        <f t="shared" si="18"/>
        <v>19</v>
      </c>
      <c r="W26" s="16">
        <f t="shared" si="18"/>
        <v>0</v>
      </c>
      <c r="X26" s="16">
        <f t="shared" si="18"/>
        <v>0</v>
      </c>
      <c r="Y26" s="16">
        <f t="shared" si="18"/>
        <v>42</v>
      </c>
      <c r="Z26" s="16">
        <f t="shared" si="18"/>
        <v>9</v>
      </c>
      <c r="AA26" s="16">
        <f t="shared" si="18"/>
        <v>1</v>
      </c>
      <c r="AB26" s="16">
        <f t="shared" si="18"/>
        <v>0</v>
      </c>
      <c r="AC26" s="16">
        <f t="shared" si="18"/>
        <v>841</v>
      </c>
      <c r="AD26" s="16">
        <f t="shared" si="18"/>
        <v>0</v>
      </c>
      <c r="AE26" s="32">
        <f t="shared" si="18"/>
        <v>259</v>
      </c>
      <c r="AF26" s="32">
        <f t="shared" si="18"/>
        <v>1100</v>
      </c>
    </row>
    <row r="27" spans="2:32" ht="23.1" customHeight="1" x14ac:dyDescent="0.25">
      <c r="B27" s="23" t="s">
        <v>54</v>
      </c>
      <c r="C27" s="50">
        <v>5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34</v>
      </c>
      <c r="N27" s="50">
        <v>0</v>
      </c>
      <c r="O27" s="15">
        <f t="shared" si="0"/>
        <v>8</v>
      </c>
      <c r="P27" s="15">
        <f t="shared" si="1"/>
        <v>42</v>
      </c>
      <c r="R27" s="29" t="s">
        <v>87</v>
      </c>
      <c r="S27" s="16">
        <f t="shared" ref="S27:AF27" si="19">SUM(S19:S21)</f>
        <v>83</v>
      </c>
      <c r="T27" s="16">
        <f t="shared" si="19"/>
        <v>11</v>
      </c>
      <c r="U27" s="16">
        <f t="shared" si="19"/>
        <v>17</v>
      </c>
      <c r="V27" s="16">
        <f t="shared" si="19"/>
        <v>10</v>
      </c>
      <c r="W27" s="16">
        <f t="shared" si="19"/>
        <v>0</v>
      </c>
      <c r="X27" s="16">
        <f t="shared" si="19"/>
        <v>1</v>
      </c>
      <c r="Y27" s="16">
        <f t="shared" si="19"/>
        <v>6</v>
      </c>
      <c r="Z27" s="16">
        <f t="shared" si="19"/>
        <v>9</v>
      </c>
      <c r="AA27" s="16">
        <f t="shared" si="19"/>
        <v>2</v>
      </c>
      <c r="AB27" s="16">
        <f t="shared" si="19"/>
        <v>0</v>
      </c>
      <c r="AC27" s="16">
        <f t="shared" si="19"/>
        <v>464</v>
      </c>
      <c r="AD27" s="16">
        <f t="shared" si="19"/>
        <v>0</v>
      </c>
      <c r="AE27" s="32">
        <f t="shared" si="19"/>
        <v>139</v>
      </c>
      <c r="AF27" s="32">
        <f t="shared" si="19"/>
        <v>603</v>
      </c>
    </row>
    <row r="28" spans="2:32" ht="23.1" customHeight="1" x14ac:dyDescent="0.25">
      <c r="B28" s="23" t="s">
        <v>55</v>
      </c>
      <c r="C28" s="50">
        <v>4</v>
      </c>
      <c r="D28" s="50">
        <v>1</v>
      </c>
      <c r="E28" s="50">
        <v>2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38</v>
      </c>
      <c r="N28" s="50">
        <v>0</v>
      </c>
      <c r="O28" s="15">
        <f t="shared" si="0"/>
        <v>8</v>
      </c>
      <c r="P28" s="15">
        <f t="shared" si="1"/>
        <v>46</v>
      </c>
      <c r="R28" s="5" t="s">
        <v>17</v>
      </c>
      <c r="S28" s="16">
        <f t="shared" ref="S28:AF28" si="20">SUM(S10:S21)</f>
        <v>301</v>
      </c>
      <c r="T28" s="16">
        <f t="shared" si="20"/>
        <v>31</v>
      </c>
      <c r="U28" s="16">
        <f t="shared" si="20"/>
        <v>57</v>
      </c>
      <c r="V28" s="16">
        <f t="shared" si="20"/>
        <v>35</v>
      </c>
      <c r="W28" s="16">
        <f t="shared" si="20"/>
        <v>0</v>
      </c>
      <c r="X28" s="16">
        <f t="shared" si="20"/>
        <v>1</v>
      </c>
      <c r="Y28" s="16">
        <f t="shared" si="20"/>
        <v>65</v>
      </c>
      <c r="Z28" s="16">
        <f t="shared" si="20"/>
        <v>27</v>
      </c>
      <c r="AA28" s="16">
        <f t="shared" si="20"/>
        <v>4</v>
      </c>
      <c r="AB28" s="16">
        <f t="shared" si="20"/>
        <v>1</v>
      </c>
      <c r="AC28" s="16">
        <f t="shared" si="20"/>
        <v>1713</v>
      </c>
      <c r="AD28" s="16">
        <f t="shared" si="20"/>
        <v>1</v>
      </c>
      <c r="AE28" s="32">
        <f t="shared" si="20"/>
        <v>523</v>
      </c>
      <c r="AF28" s="32">
        <f t="shared" si="20"/>
        <v>2236</v>
      </c>
    </row>
    <row r="29" spans="2:32" ht="23.1" customHeight="1" x14ac:dyDescent="0.25">
      <c r="B29" s="23" t="s">
        <v>56</v>
      </c>
      <c r="C29" s="50">
        <v>8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38</v>
      </c>
      <c r="N29" s="50">
        <v>0</v>
      </c>
      <c r="O29" s="15">
        <f t="shared" si="0"/>
        <v>11</v>
      </c>
      <c r="P29" s="15">
        <f t="shared" si="1"/>
        <v>49</v>
      </c>
      <c r="R29"/>
      <c r="S29" s="20"/>
      <c r="T29" s="19"/>
    </row>
    <row r="30" spans="2:32" ht="23.1" customHeight="1" x14ac:dyDescent="0.25">
      <c r="B30" s="23" t="s">
        <v>57</v>
      </c>
      <c r="C30" s="50">
        <v>7</v>
      </c>
      <c r="D30" s="50">
        <v>1</v>
      </c>
      <c r="E30" s="50">
        <v>1</v>
      </c>
      <c r="F30" s="50">
        <v>2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37</v>
      </c>
      <c r="N30" s="50">
        <v>0</v>
      </c>
      <c r="O30" s="15">
        <f t="shared" si="0"/>
        <v>14</v>
      </c>
      <c r="P30" s="15">
        <f t="shared" si="1"/>
        <v>51</v>
      </c>
    </row>
    <row r="31" spans="2:32" ht="23.1" customHeight="1" x14ac:dyDescent="0.25">
      <c r="B31" s="24" t="s">
        <v>58</v>
      </c>
      <c r="C31" s="50">
        <v>11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32</v>
      </c>
      <c r="N31" s="50">
        <v>0</v>
      </c>
      <c r="O31" s="15">
        <f t="shared" si="0"/>
        <v>14</v>
      </c>
      <c r="P31" s="15">
        <f t="shared" si="1"/>
        <v>46</v>
      </c>
    </row>
    <row r="32" spans="2:32" ht="23.1" customHeight="1" x14ac:dyDescent="0.25">
      <c r="B32" s="24" t="s">
        <v>59</v>
      </c>
      <c r="C32" s="50">
        <v>5</v>
      </c>
      <c r="D32" s="50">
        <v>0</v>
      </c>
      <c r="E32" s="50">
        <v>4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53</v>
      </c>
      <c r="N32" s="50">
        <v>0</v>
      </c>
      <c r="O32" s="15">
        <f t="shared" si="0"/>
        <v>10</v>
      </c>
      <c r="P32" s="15">
        <f t="shared" si="1"/>
        <v>63</v>
      </c>
    </row>
    <row r="33" spans="2:20" ht="23.1" customHeight="1" x14ac:dyDescent="0.25">
      <c r="B33" s="23" t="s">
        <v>60</v>
      </c>
      <c r="C33" s="50">
        <v>10</v>
      </c>
      <c r="D33" s="50">
        <v>3</v>
      </c>
      <c r="E33" s="50">
        <v>2</v>
      </c>
      <c r="F33" s="50">
        <v>1</v>
      </c>
      <c r="G33" s="50">
        <v>0</v>
      </c>
      <c r="H33" s="50">
        <v>0</v>
      </c>
      <c r="I33" s="50">
        <v>6</v>
      </c>
      <c r="J33" s="50">
        <v>1</v>
      </c>
      <c r="K33" s="50">
        <v>0</v>
      </c>
      <c r="L33" s="50">
        <v>0</v>
      </c>
      <c r="M33" s="50">
        <v>30</v>
      </c>
      <c r="N33" s="50">
        <v>0</v>
      </c>
      <c r="O33" s="15">
        <f t="shared" si="0"/>
        <v>23</v>
      </c>
      <c r="P33" s="15">
        <f t="shared" si="1"/>
        <v>53</v>
      </c>
    </row>
    <row r="34" spans="2:20" ht="23.1" customHeight="1" x14ac:dyDescent="0.25">
      <c r="B34" s="24" t="s">
        <v>61</v>
      </c>
      <c r="C34" s="50">
        <v>6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52</v>
      </c>
      <c r="N34" s="50">
        <v>0</v>
      </c>
      <c r="O34" s="15">
        <f t="shared" si="0"/>
        <v>8</v>
      </c>
      <c r="P34" s="15">
        <f t="shared" si="1"/>
        <v>60</v>
      </c>
    </row>
    <row r="35" spans="2:20" ht="23.1" customHeight="1" x14ac:dyDescent="0.25">
      <c r="B35" s="24" t="s">
        <v>62</v>
      </c>
      <c r="C35" s="50">
        <v>2</v>
      </c>
      <c r="D35" s="50">
        <v>1</v>
      </c>
      <c r="E35" s="50">
        <v>0</v>
      </c>
      <c r="F35" s="50">
        <v>2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32</v>
      </c>
      <c r="N35" s="50">
        <v>0</v>
      </c>
      <c r="O35" s="15">
        <f t="shared" si="0"/>
        <v>5</v>
      </c>
      <c r="P35" s="15">
        <f t="shared" si="1"/>
        <v>37</v>
      </c>
    </row>
    <row r="36" spans="2:20" ht="23.1" customHeight="1" x14ac:dyDescent="0.25">
      <c r="B36" s="24" t="s">
        <v>63</v>
      </c>
      <c r="C36" s="50">
        <v>6</v>
      </c>
      <c r="D36" s="50">
        <v>1</v>
      </c>
      <c r="E36" s="50">
        <v>1</v>
      </c>
      <c r="F36" s="50">
        <v>1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28</v>
      </c>
      <c r="N36" s="50">
        <v>0</v>
      </c>
      <c r="O36" s="15">
        <f t="shared" si="0"/>
        <v>11</v>
      </c>
      <c r="P36" s="15">
        <f t="shared" si="1"/>
        <v>39</v>
      </c>
    </row>
    <row r="37" spans="2:20" ht="23.1" customHeight="1" x14ac:dyDescent="0.25">
      <c r="B37" s="23" t="s">
        <v>64</v>
      </c>
      <c r="C37" s="50">
        <v>8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27</v>
      </c>
      <c r="N37" s="50">
        <v>0</v>
      </c>
      <c r="O37" s="15">
        <f t="shared" si="0"/>
        <v>12</v>
      </c>
      <c r="P37" s="15">
        <f t="shared" si="1"/>
        <v>39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0</v>
      </c>
      <c r="F38" s="50">
        <v>2</v>
      </c>
      <c r="G38" s="50">
        <v>0</v>
      </c>
      <c r="H38" s="50">
        <v>0</v>
      </c>
      <c r="I38" s="50">
        <v>4</v>
      </c>
      <c r="J38" s="50">
        <v>2</v>
      </c>
      <c r="K38" s="50">
        <v>0</v>
      </c>
      <c r="L38" s="50">
        <v>0</v>
      </c>
      <c r="M38" s="50">
        <v>31</v>
      </c>
      <c r="N38" s="50">
        <v>0</v>
      </c>
      <c r="O38" s="15">
        <f t="shared" si="0"/>
        <v>13</v>
      </c>
      <c r="P38" s="15">
        <f t="shared" si="1"/>
        <v>44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21</v>
      </c>
      <c r="N39" s="50">
        <v>0</v>
      </c>
      <c r="O39" s="15">
        <f t="shared" si="0"/>
        <v>2</v>
      </c>
      <c r="P39" s="15">
        <f t="shared" si="1"/>
        <v>23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2</v>
      </c>
      <c r="K40" s="50">
        <v>0</v>
      </c>
      <c r="L40" s="50">
        <v>0</v>
      </c>
      <c r="M40" s="50">
        <v>15</v>
      </c>
      <c r="N40" s="50">
        <v>0</v>
      </c>
      <c r="O40" s="15">
        <f t="shared" si="0"/>
        <v>9</v>
      </c>
      <c r="P40" s="15">
        <f t="shared" si="1"/>
        <v>24</v>
      </c>
    </row>
    <row r="41" spans="2:20" ht="23.1" customHeight="1" x14ac:dyDescent="0.25">
      <c r="B41" s="23" t="s">
        <v>68</v>
      </c>
      <c r="C41" s="50">
        <v>5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29</v>
      </c>
      <c r="N41" s="50">
        <v>0</v>
      </c>
      <c r="O41" s="15">
        <f t="shared" si="0"/>
        <v>8</v>
      </c>
      <c r="P41" s="15">
        <f t="shared" si="1"/>
        <v>37</v>
      </c>
    </row>
    <row r="42" spans="2:20" ht="23.1" customHeight="1" x14ac:dyDescent="0.25">
      <c r="B42" s="24" t="s">
        <v>69</v>
      </c>
      <c r="C42" s="50">
        <v>10</v>
      </c>
      <c r="D42" s="50">
        <v>2</v>
      </c>
      <c r="E42" s="50">
        <v>2</v>
      </c>
      <c r="F42" s="50">
        <v>4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37</v>
      </c>
      <c r="N42" s="50">
        <v>0</v>
      </c>
      <c r="O42" s="15">
        <f t="shared" si="0"/>
        <v>20</v>
      </c>
      <c r="P42" s="15">
        <f t="shared" si="1"/>
        <v>57</v>
      </c>
    </row>
    <row r="43" spans="2:20" ht="23.1" customHeight="1" x14ac:dyDescent="0.25">
      <c r="B43" s="23" t="s">
        <v>70</v>
      </c>
      <c r="C43" s="50">
        <v>5</v>
      </c>
      <c r="D43" s="50">
        <v>1</v>
      </c>
      <c r="E43" s="50">
        <v>2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28</v>
      </c>
      <c r="N43" s="50">
        <v>0</v>
      </c>
      <c r="O43" s="15">
        <f t="shared" si="0"/>
        <v>9</v>
      </c>
      <c r="P43" s="15">
        <f t="shared" si="1"/>
        <v>37</v>
      </c>
    </row>
    <row r="44" spans="2:20" ht="23.1" customHeight="1" x14ac:dyDescent="0.25">
      <c r="B44" s="25" t="s">
        <v>71</v>
      </c>
      <c r="C44" s="50">
        <v>7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5</v>
      </c>
      <c r="J44" s="50">
        <v>0</v>
      </c>
      <c r="K44" s="50">
        <v>0</v>
      </c>
      <c r="L44" s="50">
        <v>0</v>
      </c>
      <c r="M44" s="50">
        <v>32</v>
      </c>
      <c r="N44" s="50">
        <v>0</v>
      </c>
      <c r="O44" s="15">
        <f t="shared" si="0"/>
        <v>13</v>
      </c>
      <c r="P44" s="15">
        <f t="shared" si="1"/>
        <v>45</v>
      </c>
    </row>
    <row r="45" spans="2:20" ht="23.1" customHeight="1" x14ac:dyDescent="0.25">
      <c r="B45" s="23" t="s">
        <v>72</v>
      </c>
      <c r="C45" s="50">
        <v>7</v>
      </c>
      <c r="D45" s="50">
        <v>1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35</v>
      </c>
      <c r="N45" s="50">
        <v>0</v>
      </c>
      <c r="O45" s="15">
        <f t="shared" si="0"/>
        <v>10</v>
      </c>
      <c r="P45" s="15">
        <f t="shared" si="1"/>
        <v>45</v>
      </c>
    </row>
    <row r="46" spans="2:20" ht="23.1" customHeight="1" x14ac:dyDescent="0.25">
      <c r="B46" s="24" t="s">
        <v>73</v>
      </c>
      <c r="C46" s="50">
        <v>7</v>
      </c>
      <c r="D46" s="50">
        <v>0</v>
      </c>
      <c r="E46" s="50">
        <v>2</v>
      </c>
      <c r="F46" s="50">
        <v>4</v>
      </c>
      <c r="G46" s="50">
        <v>0</v>
      </c>
      <c r="H46" s="50">
        <v>0</v>
      </c>
      <c r="I46" s="50">
        <v>0</v>
      </c>
      <c r="J46" s="50">
        <v>2</v>
      </c>
      <c r="K46" s="50">
        <v>0</v>
      </c>
      <c r="L46" s="50">
        <v>0</v>
      </c>
      <c r="M46" s="50">
        <v>31</v>
      </c>
      <c r="N46" s="50">
        <v>0</v>
      </c>
      <c r="O46" s="15">
        <f t="shared" si="0"/>
        <v>15</v>
      </c>
      <c r="P46" s="15">
        <f t="shared" si="1"/>
        <v>46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3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34</v>
      </c>
      <c r="N47" s="50">
        <v>0</v>
      </c>
      <c r="O47" s="15">
        <f t="shared" si="0"/>
        <v>10</v>
      </c>
      <c r="P47" s="15">
        <f t="shared" si="1"/>
        <v>44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1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1</v>
      </c>
      <c r="L48" s="50">
        <v>0</v>
      </c>
      <c r="M48" s="50">
        <v>20</v>
      </c>
      <c r="N48" s="50">
        <v>0</v>
      </c>
      <c r="O48" s="15">
        <f t="shared" si="0"/>
        <v>7</v>
      </c>
      <c r="P48" s="15">
        <f t="shared" si="1"/>
        <v>27</v>
      </c>
      <c r="R48" s="8"/>
      <c r="T48"/>
    </row>
    <row r="49" spans="2:20" ht="23.1" customHeight="1" x14ac:dyDescent="0.25">
      <c r="B49" s="23" t="s">
        <v>76</v>
      </c>
      <c r="C49" s="50">
        <v>9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2</v>
      </c>
      <c r="K49" s="50">
        <v>0</v>
      </c>
      <c r="L49" s="50">
        <v>0</v>
      </c>
      <c r="M49" s="50">
        <v>40</v>
      </c>
      <c r="N49" s="50">
        <v>0</v>
      </c>
      <c r="O49" s="15">
        <f t="shared" si="0"/>
        <v>12</v>
      </c>
      <c r="P49" s="15">
        <f t="shared" si="1"/>
        <v>52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1</v>
      </c>
      <c r="E50" s="50">
        <v>0</v>
      </c>
      <c r="F50" s="50">
        <v>0</v>
      </c>
      <c r="G50" s="50">
        <v>0</v>
      </c>
      <c r="H50" s="50">
        <v>1</v>
      </c>
      <c r="I50" s="50">
        <v>0</v>
      </c>
      <c r="J50" s="50">
        <v>0</v>
      </c>
      <c r="K50" s="50">
        <v>1</v>
      </c>
      <c r="L50" s="50">
        <v>0</v>
      </c>
      <c r="M50" s="50">
        <v>41</v>
      </c>
      <c r="N50" s="50">
        <v>0</v>
      </c>
      <c r="O50" s="15">
        <f t="shared" si="0"/>
        <v>8</v>
      </c>
      <c r="P50" s="15">
        <f t="shared" si="1"/>
        <v>49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0</v>
      </c>
      <c r="E51" s="50">
        <v>5</v>
      </c>
      <c r="F51" s="50">
        <v>3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51</v>
      </c>
      <c r="N51" s="50">
        <v>0</v>
      </c>
      <c r="O51" s="15">
        <f t="shared" si="0"/>
        <v>15</v>
      </c>
      <c r="P51" s="15">
        <f t="shared" si="1"/>
        <v>66</v>
      </c>
      <c r="R51" s="8"/>
      <c r="T51"/>
    </row>
    <row r="52" spans="2:20" ht="23.1" customHeight="1" x14ac:dyDescent="0.25">
      <c r="B52" s="24" t="s">
        <v>79</v>
      </c>
      <c r="C52" s="50">
        <v>8</v>
      </c>
      <c r="D52" s="50">
        <v>1</v>
      </c>
      <c r="E52" s="50">
        <v>3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44</v>
      </c>
      <c r="N52" s="50">
        <v>0</v>
      </c>
      <c r="O52" s="15">
        <f t="shared" si="0"/>
        <v>13</v>
      </c>
      <c r="P52" s="15">
        <f t="shared" si="1"/>
        <v>57</v>
      </c>
      <c r="R52" s="8"/>
      <c r="T52"/>
    </row>
    <row r="53" spans="2:20" ht="23.1" customHeight="1" x14ac:dyDescent="0.25">
      <c r="B53" s="23" t="s">
        <v>80</v>
      </c>
      <c r="C53" s="50">
        <v>11</v>
      </c>
      <c r="D53" s="50">
        <v>1</v>
      </c>
      <c r="E53" s="50">
        <v>4</v>
      </c>
      <c r="F53" s="50">
        <v>0</v>
      </c>
      <c r="G53" s="50">
        <v>0</v>
      </c>
      <c r="H53" s="50">
        <v>0</v>
      </c>
      <c r="I53" s="50">
        <v>5</v>
      </c>
      <c r="J53" s="50">
        <v>1</v>
      </c>
      <c r="K53" s="50">
        <v>0</v>
      </c>
      <c r="L53" s="50">
        <v>0</v>
      </c>
      <c r="M53" s="50">
        <v>19</v>
      </c>
      <c r="N53" s="50">
        <v>0</v>
      </c>
      <c r="O53" s="15">
        <f t="shared" si="0"/>
        <v>22</v>
      </c>
      <c r="P53" s="15">
        <f t="shared" si="1"/>
        <v>41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22</v>
      </c>
      <c r="N54" s="50">
        <v>0</v>
      </c>
      <c r="O54" s="15">
        <f t="shared" si="0"/>
        <v>8</v>
      </c>
      <c r="P54" s="15">
        <f t="shared" si="1"/>
        <v>30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1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42</v>
      </c>
      <c r="N55" s="50">
        <v>0</v>
      </c>
      <c r="O55" s="15">
        <f t="shared" si="0"/>
        <v>10</v>
      </c>
      <c r="P55" s="15">
        <f t="shared" si="1"/>
        <v>52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49</v>
      </c>
      <c r="N56" s="50">
        <v>0</v>
      </c>
      <c r="O56" s="15">
        <f t="shared" si="0"/>
        <v>9</v>
      </c>
      <c r="P56" s="15">
        <f t="shared" si="1"/>
        <v>58</v>
      </c>
      <c r="R56" s="8"/>
      <c r="T56"/>
    </row>
    <row r="57" spans="2:20" ht="23.1" customHeight="1" x14ac:dyDescent="0.25">
      <c r="B57" s="23" t="s">
        <v>84</v>
      </c>
      <c r="C57" s="50">
        <v>7</v>
      </c>
      <c r="D57" s="50">
        <v>2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71</v>
      </c>
      <c r="N57" s="50">
        <v>0</v>
      </c>
      <c r="O57" s="15">
        <f t="shared" si="0"/>
        <v>10</v>
      </c>
      <c r="P57" s="15">
        <f t="shared" si="1"/>
        <v>81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301</v>
      </c>
      <c r="D58" s="16">
        <f t="shared" si="21"/>
        <v>31</v>
      </c>
      <c r="E58" s="16">
        <f t="shared" si="21"/>
        <v>57</v>
      </c>
      <c r="F58" s="16">
        <f t="shared" si="21"/>
        <v>35</v>
      </c>
      <c r="G58" s="16">
        <f t="shared" si="21"/>
        <v>0</v>
      </c>
      <c r="H58" s="16">
        <f t="shared" si="21"/>
        <v>1</v>
      </c>
      <c r="I58" s="16">
        <f t="shared" si="21"/>
        <v>65</v>
      </c>
      <c r="J58" s="16">
        <f t="shared" si="21"/>
        <v>27</v>
      </c>
      <c r="K58" s="16">
        <f t="shared" si="21"/>
        <v>4</v>
      </c>
      <c r="L58" s="16">
        <f t="shared" si="21"/>
        <v>1</v>
      </c>
      <c r="M58" s="16">
        <f t="shared" si="21"/>
        <v>1713</v>
      </c>
      <c r="N58" s="16">
        <f t="shared" si="21"/>
        <v>1</v>
      </c>
      <c r="O58" s="16">
        <f t="shared" si="21"/>
        <v>523</v>
      </c>
      <c r="P58" s="16">
        <f t="shared" si="21"/>
        <v>2236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0.13461538461538461</v>
      </c>
      <c r="D59" s="43">
        <f t="shared" si="22"/>
        <v>1.3864042933810376E-2</v>
      </c>
      <c r="E59" s="43">
        <f t="shared" si="22"/>
        <v>2.5491949910554562E-2</v>
      </c>
      <c r="F59" s="43">
        <f t="shared" si="22"/>
        <v>1.5652951699463326E-2</v>
      </c>
      <c r="G59" s="43">
        <f t="shared" si="22"/>
        <v>0</v>
      </c>
      <c r="H59" s="43">
        <f t="shared" si="22"/>
        <v>4.4722719141323793E-4</v>
      </c>
      <c r="I59" s="43">
        <f t="shared" si="22"/>
        <v>2.9069767441860465E-2</v>
      </c>
      <c r="J59" s="43">
        <f t="shared" si="22"/>
        <v>1.2075134168157423E-2</v>
      </c>
      <c r="K59" s="43">
        <f t="shared" si="22"/>
        <v>1.7889087656529517E-3</v>
      </c>
      <c r="L59" s="43">
        <f t="shared" si="22"/>
        <v>4.4722719141323793E-4</v>
      </c>
      <c r="M59" s="43">
        <f t="shared" si="22"/>
        <v>0.76610017889087656</v>
      </c>
      <c r="N59" s="43">
        <f t="shared" si="22"/>
        <v>4.4722719141323793E-4</v>
      </c>
      <c r="R59" s="8"/>
      <c r="T59"/>
    </row>
    <row r="60" spans="2:20" ht="23.1" customHeight="1" x14ac:dyDescent="0.25">
      <c r="B60" s="42" t="s">
        <v>94</v>
      </c>
      <c r="C60" s="44">
        <f>C58/$O$58</f>
        <v>0.57552581261950286</v>
      </c>
      <c r="D60" s="44">
        <f t="shared" ref="D60:N60" si="23">D58/$O$58</f>
        <v>5.9273422562141492E-2</v>
      </c>
      <c r="E60" s="44">
        <f t="shared" si="23"/>
        <v>0.10898661567877629</v>
      </c>
      <c r="F60" s="44">
        <f t="shared" si="23"/>
        <v>6.6921606118546847E-2</v>
      </c>
      <c r="G60" s="44">
        <f t="shared" si="23"/>
        <v>0</v>
      </c>
      <c r="H60" s="44">
        <f t="shared" si="23"/>
        <v>1.9120458891013384E-3</v>
      </c>
      <c r="I60" s="44">
        <f t="shared" si="23"/>
        <v>0.124282982791587</v>
      </c>
      <c r="J60" s="44">
        <f t="shared" si="23"/>
        <v>5.1625239005736137E-2</v>
      </c>
      <c r="K60" s="44">
        <f t="shared" si="23"/>
        <v>7.6481835564053535E-3</v>
      </c>
      <c r="L60" s="44">
        <f t="shared" si="23"/>
        <v>1.9120458891013384E-3</v>
      </c>
      <c r="M60" s="44"/>
      <c r="N60" s="44">
        <f t="shared" si="23"/>
        <v>1.9120458891013384E-3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HOIMA-KYENJOJO'!C3:G3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'30.10 KYENJOJO-HOIMA'!D5</f>
        <v>30.10.19</v>
      </c>
      <c r="E5" s="3"/>
      <c r="F5" s="41" t="s">
        <v>1</v>
      </c>
      <c r="G5" s="63" t="str">
        <f>'30.10 KYENJOJO-HOIMA'!G5:H5</f>
        <v>KYENJOJO</v>
      </c>
      <c r="H5" s="64"/>
      <c r="I5" s="14"/>
      <c r="J5" s="2" t="s">
        <v>5</v>
      </c>
      <c r="K5" s="63" t="str">
        <f>'30.10 KYENJOJO-HOIMA'!K5:L5</f>
        <v>OLOYA FELIX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HOIMA-KYENJOJO'!D6:E6</f>
        <v>HOIMA</v>
      </c>
      <c r="E6" s="64"/>
      <c r="F6" s="2" t="s">
        <v>2</v>
      </c>
      <c r="G6" s="63" t="str">
        <f>'25.10 HOIMA-KYENJOJO'!G6:H6</f>
        <v>KYENJOJO</v>
      </c>
      <c r="H6" s="64"/>
      <c r="J6" s="2" t="s">
        <v>21</v>
      </c>
      <c r="K6" s="63" t="str">
        <f>'30.10 KYENJOJO-HOIMA'!K6:L6</f>
        <v>FELIX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17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21</v>
      </c>
      <c r="R10" s="1" t="s">
        <v>6</v>
      </c>
      <c r="S10" s="17">
        <f t="shared" ref="S10:AF10" si="2">SUM(C10:C13)</f>
        <v>33</v>
      </c>
      <c r="T10" s="17">
        <f t="shared" si="2"/>
        <v>3</v>
      </c>
      <c r="U10" s="17">
        <f t="shared" si="2"/>
        <v>6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142</v>
      </c>
      <c r="AD10" s="17">
        <f t="shared" si="2"/>
        <v>0</v>
      </c>
      <c r="AE10" s="31">
        <f t="shared" si="2"/>
        <v>53</v>
      </c>
      <c r="AF10" s="31">
        <f t="shared" si="2"/>
        <v>195</v>
      </c>
    </row>
    <row r="11" spans="2:32" s="6" customFormat="1" ht="23.1" customHeight="1" x14ac:dyDescent="0.25">
      <c r="B11" s="23" t="s">
        <v>38</v>
      </c>
      <c r="C11" s="50">
        <v>14</v>
      </c>
      <c r="D11" s="50">
        <v>3</v>
      </c>
      <c r="E11" s="50">
        <v>1</v>
      </c>
      <c r="F11" s="50">
        <v>1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32</v>
      </c>
      <c r="N11" s="50">
        <v>0</v>
      </c>
      <c r="O11" s="15">
        <f t="shared" si="0"/>
        <v>22</v>
      </c>
      <c r="P11" s="15">
        <f t="shared" si="1"/>
        <v>54</v>
      </c>
      <c r="R11" s="1" t="s">
        <v>7</v>
      </c>
      <c r="S11" s="17">
        <f t="shared" ref="S11:AF11" si="3">SUM(C14:C17)</f>
        <v>28</v>
      </c>
      <c r="T11" s="17">
        <f t="shared" si="3"/>
        <v>1</v>
      </c>
      <c r="U11" s="17">
        <f t="shared" si="3"/>
        <v>5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163</v>
      </c>
      <c r="AD11" s="17">
        <f t="shared" si="3"/>
        <v>0</v>
      </c>
      <c r="AE11" s="31">
        <f t="shared" si="3"/>
        <v>44</v>
      </c>
      <c r="AF11" s="31">
        <f t="shared" si="3"/>
        <v>207</v>
      </c>
    </row>
    <row r="12" spans="2:32" ht="23.1" customHeight="1" x14ac:dyDescent="0.25">
      <c r="B12" s="23" t="s">
        <v>39</v>
      </c>
      <c r="C12" s="50">
        <v>7</v>
      </c>
      <c r="D12" s="50">
        <v>0</v>
      </c>
      <c r="E12" s="50">
        <v>3</v>
      </c>
      <c r="F12" s="50">
        <v>1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43</v>
      </c>
      <c r="N12" s="50">
        <v>0</v>
      </c>
      <c r="O12" s="15">
        <f t="shared" si="0"/>
        <v>13</v>
      </c>
      <c r="P12" s="15">
        <f t="shared" si="1"/>
        <v>56</v>
      </c>
      <c r="R12" s="1" t="s">
        <v>8</v>
      </c>
      <c r="S12" s="17">
        <f t="shared" ref="S12:AF12" si="4">SUM(C18:C21)</f>
        <v>28</v>
      </c>
      <c r="T12" s="17">
        <f t="shared" si="4"/>
        <v>3</v>
      </c>
      <c r="U12" s="17">
        <f t="shared" si="4"/>
        <v>5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5</v>
      </c>
      <c r="AA12" s="17">
        <f t="shared" si="4"/>
        <v>0</v>
      </c>
      <c r="AB12" s="17">
        <f t="shared" si="4"/>
        <v>0</v>
      </c>
      <c r="AC12" s="17">
        <f t="shared" si="4"/>
        <v>148</v>
      </c>
      <c r="AD12" s="17">
        <f t="shared" si="4"/>
        <v>0</v>
      </c>
      <c r="AE12" s="31">
        <f t="shared" si="4"/>
        <v>48</v>
      </c>
      <c r="AF12" s="31">
        <f t="shared" si="4"/>
        <v>196</v>
      </c>
    </row>
    <row r="13" spans="2:32" ht="23.1" customHeight="1" x14ac:dyDescent="0.25">
      <c r="B13" s="23" t="s">
        <v>40</v>
      </c>
      <c r="C13" s="50">
        <v>8</v>
      </c>
      <c r="D13" s="50">
        <v>0</v>
      </c>
      <c r="E13" s="50">
        <v>2</v>
      </c>
      <c r="F13" s="50">
        <v>1</v>
      </c>
      <c r="G13" s="50">
        <v>0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50</v>
      </c>
      <c r="N13" s="50">
        <v>0</v>
      </c>
      <c r="O13" s="15">
        <f t="shared" si="0"/>
        <v>14</v>
      </c>
      <c r="P13" s="15">
        <f t="shared" si="1"/>
        <v>64</v>
      </c>
      <c r="R13" s="1" t="s">
        <v>9</v>
      </c>
      <c r="S13" s="17">
        <f t="shared" ref="S13:AF13" si="5">SUM(C22:C25)</f>
        <v>19</v>
      </c>
      <c r="T13" s="17">
        <f t="shared" si="5"/>
        <v>2</v>
      </c>
      <c r="U13" s="17">
        <f t="shared" si="5"/>
        <v>11</v>
      </c>
      <c r="V13" s="17">
        <f t="shared" si="5"/>
        <v>5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150</v>
      </c>
      <c r="AD13" s="17">
        <f t="shared" si="5"/>
        <v>0</v>
      </c>
      <c r="AE13" s="31">
        <f t="shared" si="5"/>
        <v>40</v>
      </c>
      <c r="AF13" s="31">
        <f t="shared" si="5"/>
        <v>190</v>
      </c>
    </row>
    <row r="14" spans="2:32" ht="23.1" customHeight="1" x14ac:dyDescent="0.25">
      <c r="B14" s="23" t="s">
        <v>41</v>
      </c>
      <c r="C14" s="50">
        <v>5</v>
      </c>
      <c r="D14" s="50">
        <v>1</v>
      </c>
      <c r="E14" s="50">
        <v>1</v>
      </c>
      <c r="F14" s="50">
        <v>2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65</v>
      </c>
      <c r="N14" s="50">
        <v>0</v>
      </c>
      <c r="O14" s="15">
        <f t="shared" si="0"/>
        <v>11</v>
      </c>
      <c r="P14" s="15">
        <f t="shared" si="1"/>
        <v>76</v>
      </c>
      <c r="R14" s="1" t="s">
        <v>10</v>
      </c>
      <c r="S14" s="17">
        <f t="shared" ref="S14:AF14" si="6">SUM(C26:C29)</f>
        <v>22</v>
      </c>
      <c r="T14" s="17">
        <f t="shared" si="6"/>
        <v>2</v>
      </c>
      <c r="U14" s="17">
        <f t="shared" si="6"/>
        <v>3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9</v>
      </c>
      <c r="AA14" s="17">
        <f t="shared" si="6"/>
        <v>1</v>
      </c>
      <c r="AB14" s="17">
        <f t="shared" si="6"/>
        <v>0</v>
      </c>
      <c r="AC14" s="17">
        <f t="shared" si="6"/>
        <v>119</v>
      </c>
      <c r="AD14" s="17">
        <f t="shared" si="6"/>
        <v>0</v>
      </c>
      <c r="AE14" s="31">
        <f t="shared" si="6"/>
        <v>40</v>
      </c>
      <c r="AF14" s="31">
        <f t="shared" si="6"/>
        <v>159</v>
      </c>
    </row>
    <row r="15" spans="2:32" ht="23.1" customHeight="1" x14ac:dyDescent="0.25">
      <c r="B15" s="23" t="s">
        <v>42</v>
      </c>
      <c r="C15" s="50">
        <v>4</v>
      </c>
      <c r="D15" s="50">
        <v>0</v>
      </c>
      <c r="E15" s="50">
        <v>3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45</v>
      </c>
      <c r="N15" s="50">
        <v>0</v>
      </c>
      <c r="O15" s="15">
        <f t="shared" si="0"/>
        <v>8</v>
      </c>
      <c r="P15" s="15">
        <f t="shared" si="1"/>
        <v>53</v>
      </c>
      <c r="R15" s="1" t="s">
        <v>11</v>
      </c>
      <c r="S15" s="17">
        <f t="shared" ref="S15:AF15" si="7">SUM(C30:C33)</f>
        <v>28</v>
      </c>
      <c r="T15" s="17">
        <f t="shared" si="7"/>
        <v>2</v>
      </c>
      <c r="U15" s="17">
        <f t="shared" si="7"/>
        <v>4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150</v>
      </c>
      <c r="AD15" s="17">
        <f t="shared" si="7"/>
        <v>0</v>
      </c>
      <c r="AE15" s="31">
        <f t="shared" si="7"/>
        <v>40</v>
      </c>
      <c r="AF15" s="31">
        <f t="shared" si="7"/>
        <v>190</v>
      </c>
    </row>
    <row r="16" spans="2:32" ht="23.1" customHeight="1" x14ac:dyDescent="0.25">
      <c r="B16" s="23" t="s">
        <v>43</v>
      </c>
      <c r="C16" s="50">
        <v>16</v>
      </c>
      <c r="D16" s="50">
        <v>0</v>
      </c>
      <c r="E16" s="50">
        <v>1</v>
      </c>
      <c r="F16" s="50">
        <v>1</v>
      </c>
      <c r="G16" s="50">
        <v>0</v>
      </c>
      <c r="H16" s="50">
        <v>0</v>
      </c>
      <c r="I16" s="50">
        <v>0</v>
      </c>
      <c r="J16" s="50">
        <v>2</v>
      </c>
      <c r="K16" s="50">
        <v>1</v>
      </c>
      <c r="L16" s="50">
        <v>0</v>
      </c>
      <c r="M16" s="50">
        <v>28</v>
      </c>
      <c r="N16" s="50">
        <v>0</v>
      </c>
      <c r="O16" s="15">
        <f t="shared" si="0"/>
        <v>21</v>
      </c>
      <c r="P16" s="15">
        <f t="shared" si="1"/>
        <v>49</v>
      </c>
      <c r="R16" s="1" t="s">
        <v>12</v>
      </c>
      <c r="S16" s="17">
        <f t="shared" ref="S16:AF16" si="8">SUM(C34:C37)</f>
        <v>17</v>
      </c>
      <c r="T16" s="17">
        <f t="shared" si="8"/>
        <v>5</v>
      </c>
      <c r="U16" s="17">
        <f t="shared" si="8"/>
        <v>2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12</v>
      </c>
      <c r="AA16" s="17">
        <f t="shared" si="8"/>
        <v>3</v>
      </c>
      <c r="AB16" s="17">
        <f t="shared" si="8"/>
        <v>0</v>
      </c>
      <c r="AC16" s="17">
        <f t="shared" si="8"/>
        <v>130</v>
      </c>
      <c r="AD16" s="17">
        <f t="shared" si="8"/>
        <v>0</v>
      </c>
      <c r="AE16" s="31">
        <f t="shared" si="8"/>
        <v>43</v>
      </c>
      <c r="AF16" s="31">
        <f t="shared" si="8"/>
        <v>173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25</v>
      </c>
      <c r="N17" s="50">
        <v>0</v>
      </c>
      <c r="O17" s="15">
        <f t="shared" si="0"/>
        <v>4</v>
      </c>
      <c r="P17" s="15">
        <f t="shared" si="1"/>
        <v>29</v>
      </c>
      <c r="R17" s="1" t="s">
        <v>13</v>
      </c>
      <c r="S17" s="17">
        <f t="shared" ref="S17:AF17" si="9">SUM(C38:C41)</f>
        <v>18</v>
      </c>
      <c r="T17" s="17">
        <f t="shared" si="9"/>
        <v>3</v>
      </c>
      <c r="U17" s="17">
        <f t="shared" si="9"/>
        <v>2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10</v>
      </c>
      <c r="AA17" s="17">
        <f t="shared" si="9"/>
        <v>2</v>
      </c>
      <c r="AB17" s="17">
        <f t="shared" si="9"/>
        <v>0</v>
      </c>
      <c r="AC17" s="17">
        <f t="shared" si="9"/>
        <v>92</v>
      </c>
      <c r="AD17" s="17">
        <f t="shared" si="9"/>
        <v>0</v>
      </c>
      <c r="AE17" s="31">
        <f t="shared" si="9"/>
        <v>42</v>
      </c>
      <c r="AF17" s="31">
        <f t="shared" si="9"/>
        <v>134</v>
      </c>
    </row>
    <row r="18" spans="2:32" ht="23.1" customHeight="1" x14ac:dyDescent="0.25">
      <c r="B18" s="23" t="s">
        <v>45</v>
      </c>
      <c r="C18" s="50">
        <v>5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25</v>
      </c>
      <c r="N18" s="50">
        <v>0</v>
      </c>
      <c r="O18" s="15">
        <f t="shared" si="0"/>
        <v>7</v>
      </c>
      <c r="P18" s="15">
        <f t="shared" si="1"/>
        <v>32</v>
      </c>
      <c r="R18" s="1" t="s">
        <v>14</v>
      </c>
      <c r="S18" s="17">
        <f t="shared" ref="S18:AF18" si="10">SUM(C42:C45)</f>
        <v>20</v>
      </c>
      <c r="T18" s="17">
        <f t="shared" si="10"/>
        <v>3</v>
      </c>
      <c r="U18" s="17">
        <f t="shared" si="10"/>
        <v>7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2</v>
      </c>
      <c r="AA18" s="17">
        <f t="shared" si="10"/>
        <v>0</v>
      </c>
      <c r="AB18" s="17">
        <f t="shared" si="10"/>
        <v>2</v>
      </c>
      <c r="AC18" s="17">
        <f t="shared" si="10"/>
        <v>108</v>
      </c>
      <c r="AD18" s="17">
        <f t="shared" si="10"/>
        <v>0</v>
      </c>
      <c r="AE18" s="31">
        <f t="shared" si="10"/>
        <v>44</v>
      </c>
      <c r="AF18" s="31">
        <f t="shared" si="10"/>
        <v>152</v>
      </c>
    </row>
    <row r="19" spans="2:32" ht="23.1" customHeight="1" x14ac:dyDescent="0.25">
      <c r="B19" s="23" t="s">
        <v>46</v>
      </c>
      <c r="C19" s="50">
        <v>8</v>
      </c>
      <c r="D19" s="50">
        <v>2</v>
      </c>
      <c r="E19" s="50">
        <v>1</v>
      </c>
      <c r="F19" s="50">
        <v>0</v>
      </c>
      <c r="G19" s="50">
        <v>0</v>
      </c>
      <c r="H19" s="50">
        <v>0</v>
      </c>
      <c r="I19" s="50">
        <v>3</v>
      </c>
      <c r="J19" s="50">
        <v>2</v>
      </c>
      <c r="K19" s="50">
        <v>0</v>
      </c>
      <c r="L19" s="50">
        <v>0</v>
      </c>
      <c r="M19" s="50">
        <v>44</v>
      </c>
      <c r="N19" s="50">
        <v>0</v>
      </c>
      <c r="O19" s="15">
        <f t="shared" si="0"/>
        <v>16</v>
      </c>
      <c r="P19" s="15">
        <f t="shared" si="1"/>
        <v>60</v>
      </c>
      <c r="R19" s="1" t="s">
        <v>15</v>
      </c>
      <c r="S19" s="17">
        <f t="shared" ref="S19:AF19" si="11">SUM(C46:C49)</f>
        <v>20</v>
      </c>
      <c r="T19" s="17">
        <f t="shared" si="11"/>
        <v>4</v>
      </c>
      <c r="U19" s="17">
        <f t="shared" si="11"/>
        <v>5</v>
      </c>
      <c r="V19" s="17">
        <f t="shared" si="11"/>
        <v>3</v>
      </c>
      <c r="W19" s="17">
        <f t="shared" si="11"/>
        <v>1</v>
      </c>
      <c r="X19" s="17">
        <f t="shared" si="11"/>
        <v>1</v>
      </c>
      <c r="Y19" s="17">
        <f t="shared" si="11"/>
        <v>2</v>
      </c>
      <c r="Z19" s="17">
        <f t="shared" si="11"/>
        <v>5</v>
      </c>
      <c r="AA19" s="17">
        <f t="shared" si="11"/>
        <v>0</v>
      </c>
      <c r="AB19" s="17">
        <f t="shared" si="11"/>
        <v>0</v>
      </c>
      <c r="AC19" s="17">
        <f t="shared" si="11"/>
        <v>147</v>
      </c>
      <c r="AD19" s="17">
        <f t="shared" si="11"/>
        <v>0</v>
      </c>
      <c r="AE19" s="31">
        <f t="shared" si="11"/>
        <v>41</v>
      </c>
      <c r="AF19" s="31">
        <f t="shared" si="11"/>
        <v>188</v>
      </c>
    </row>
    <row r="20" spans="2:32" ht="23.1" customHeight="1" x14ac:dyDescent="0.25">
      <c r="B20" s="23" t="s">
        <v>47</v>
      </c>
      <c r="C20" s="50">
        <v>9</v>
      </c>
      <c r="D20" s="50">
        <v>1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40</v>
      </c>
      <c r="N20" s="50">
        <v>0</v>
      </c>
      <c r="O20" s="15">
        <f t="shared" si="0"/>
        <v>11</v>
      </c>
      <c r="P20" s="15">
        <f t="shared" si="1"/>
        <v>51</v>
      </c>
      <c r="R20" s="1" t="s">
        <v>16</v>
      </c>
      <c r="S20" s="17">
        <f t="shared" ref="S20:AF20" si="12">SUM(C50:C53)</f>
        <v>23</v>
      </c>
      <c r="T20" s="17">
        <f t="shared" si="12"/>
        <v>5</v>
      </c>
      <c r="U20" s="17">
        <f t="shared" si="12"/>
        <v>8</v>
      </c>
      <c r="V20" s="17">
        <f t="shared" si="12"/>
        <v>9</v>
      </c>
      <c r="W20" s="17">
        <f t="shared" si="12"/>
        <v>1</v>
      </c>
      <c r="X20" s="17">
        <f t="shared" si="12"/>
        <v>1</v>
      </c>
      <c r="Y20" s="17">
        <f t="shared" si="12"/>
        <v>5</v>
      </c>
      <c r="Z20" s="17">
        <f t="shared" si="12"/>
        <v>5</v>
      </c>
      <c r="AA20" s="17">
        <f t="shared" si="12"/>
        <v>3</v>
      </c>
      <c r="AB20" s="17">
        <f t="shared" si="12"/>
        <v>0</v>
      </c>
      <c r="AC20" s="17">
        <f t="shared" si="12"/>
        <v>150</v>
      </c>
      <c r="AD20" s="17">
        <f t="shared" si="12"/>
        <v>0</v>
      </c>
      <c r="AE20" s="31">
        <f t="shared" si="12"/>
        <v>60</v>
      </c>
      <c r="AF20" s="31">
        <f t="shared" si="12"/>
        <v>210</v>
      </c>
    </row>
    <row r="21" spans="2:32" ht="23.1" customHeight="1" x14ac:dyDescent="0.25">
      <c r="B21" s="23" t="s">
        <v>48</v>
      </c>
      <c r="C21" s="50">
        <v>6</v>
      </c>
      <c r="D21" s="50">
        <v>0</v>
      </c>
      <c r="E21" s="50">
        <v>3</v>
      </c>
      <c r="F21" s="50">
        <v>2</v>
      </c>
      <c r="G21" s="50">
        <v>0</v>
      </c>
      <c r="H21" s="50">
        <v>0</v>
      </c>
      <c r="I21" s="50">
        <v>1</v>
      </c>
      <c r="J21" s="50">
        <v>2</v>
      </c>
      <c r="K21" s="50">
        <v>0</v>
      </c>
      <c r="L21" s="50">
        <v>0</v>
      </c>
      <c r="M21" s="50">
        <v>39</v>
      </c>
      <c r="N21" s="50">
        <v>0</v>
      </c>
      <c r="O21" s="15">
        <f t="shared" si="0"/>
        <v>14</v>
      </c>
      <c r="P21" s="15">
        <f t="shared" si="1"/>
        <v>53</v>
      </c>
      <c r="R21" s="36" t="s">
        <v>20</v>
      </c>
      <c r="S21" s="34">
        <f t="shared" ref="S21:AF21" si="13">SUM(C54:C57)</f>
        <v>26</v>
      </c>
      <c r="T21" s="17">
        <f t="shared" si="13"/>
        <v>6</v>
      </c>
      <c r="U21" s="17">
        <f t="shared" si="13"/>
        <v>7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5</v>
      </c>
      <c r="AA21" s="17">
        <f t="shared" si="13"/>
        <v>5</v>
      </c>
      <c r="AB21" s="17">
        <f t="shared" si="13"/>
        <v>0</v>
      </c>
      <c r="AC21" s="17">
        <f t="shared" si="13"/>
        <v>169</v>
      </c>
      <c r="AD21" s="17">
        <f t="shared" si="13"/>
        <v>0</v>
      </c>
      <c r="AE21" s="31">
        <f t="shared" si="13"/>
        <v>51</v>
      </c>
      <c r="AF21" s="31">
        <f t="shared" si="13"/>
        <v>220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3</v>
      </c>
      <c r="F22" s="50">
        <v>1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42</v>
      </c>
      <c r="N22" s="50">
        <v>0</v>
      </c>
      <c r="O22" s="15">
        <f t="shared" si="0"/>
        <v>8</v>
      </c>
      <c r="P22" s="15">
        <f t="shared" si="1"/>
        <v>50</v>
      </c>
      <c r="R22" s="38" t="s">
        <v>90</v>
      </c>
      <c r="S22" s="39">
        <f>MAX(S10:S12)</f>
        <v>33</v>
      </c>
      <c r="T22" s="39">
        <f t="shared" ref="T22:AF22" si="14">MAX(T10:T12)</f>
        <v>3</v>
      </c>
      <c r="U22" s="39">
        <f t="shared" si="14"/>
        <v>6</v>
      </c>
      <c r="V22" s="39">
        <f t="shared" si="14"/>
        <v>3</v>
      </c>
      <c r="W22" s="39">
        <f t="shared" si="14"/>
        <v>0</v>
      </c>
      <c r="X22" s="39">
        <f t="shared" si="14"/>
        <v>0</v>
      </c>
      <c r="Y22" s="39">
        <f t="shared" si="14"/>
        <v>7</v>
      </c>
      <c r="Z22" s="39">
        <f t="shared" si="14"/>
        <v>5</v>
      </c>
      <c r="AA22" s="39">
        <f t="shared" si="14"/>
        <v>1</v>
      </c>
      <c r="AB22" s="39">
        <f t="shared" si="14"/>
        <v>0</v>
      </c>
      <c r="AC22" s="39">
        <f t="shared" si="14"/>
        <v>163</v>
      </c>
      <c r="AD22" s="39">
        <f t="shared" si="14"/>
        <v>0</v>
      </c>
      <c r="AE22" s="40">
        <f t="shared" si="14"/>
        <v>53</v>
      </c>
      <c r="AF22" s="40">
        <f t="shared" si="14"/>
        <v>207</v>
      </c>
    </row>
    <row r="23" spans="2:32" ht="23.1" customHeight="1" x14ac:dyDescent="0.25">
      <c r="B23" s="23" t="s">
        <v>50</v>
      </c>
      <c r="C23" s="50">
        <v>7</v>
      </c>
      <c r="D23" s="50">
        <v>1</v>
      </c>
      <c r="E23" s="50">
        <v>5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41</v>
      </c>
      <c r="N23" s="50">
        <v>0</v>
      </c>
      <c r="O23" s="15">
        <f t="shared" si="0"/>
        <v>13</v>
      </c>
      <c r="P23" s="15">
        <f t="shared" si="1"/>
        <v>54</v>
      </c>
      <c r="R23" s="38" t="s">
        <v>91</v>
      </c>
      <c r="S23" s="39">
        <f>MAX(S13:S18)</f>
        <v>28</v>
      </c>
      <c r="T23" s="39">
        <f t="shared" ref="T23:AF23" si="15">MAX(T13:T18)</f>
        <v>5</v>
      </c>
      <c r="U23" s="39">
        <f t="shared" si="15"/>
        <v>11</v>
      </c>
      <c r="V23" s="39">
        <f t="shared" si="15"/>
        <v>5</v>
      </c>
      <c r="W23" s="39">
        <f t="shared" si="15"/>
        <v>0</v>
      </c>
      <c r="X23" s="39">
        <f t="shared" si="15"/>
        <v>0</v>
      </c>
      <c r="Y23" s="39">
        <f t="shared" si="15"/>
        <v>7</v>
      </c>
      <c r="Z23" s="39">
        <f t="shared" si="15"/>
        <v>12</v>
      </c>
      <c r="AA23" s="39">
        <f t="shared" si="15"/>
        <v>3</v>
      </c>
      <c r="AB23" s="39">
        <f t="shared" si="15"/>
        <v>2</v>
      </c>
      <c r="AC23" s="39">
        <f t="shared" si="15"/>
        <v>150</v>
      </c>
      <c r="AD23" s="39">
        <f t="shared" si="15"/>
        <v>0</v>
      </c>
      <c r="AE23" s="40">
        <f t="shared" si="15"/>
        <v>44</v>
      </c>
      <c r="AF23" s="40">
        <f t="shared" si="15"/>
        <v>190</v>
      </c>
    </row>
    <row r="24" spans="2:32" ht="23.1" customHeight="1" x14ac:dyDescent="0.25">
      <c r="B24" s="23" t="s">
        <v>51</v>
      </c>
      <c r="C24" s="50">
        <v>4</v>
      </c>
      <c r="D24" s="50">
        <v>1</v>
      </c>
      <c r="E24" s="50">
        <v>1</v>
      </c>
      <c r="F24" s="50">
        <v>3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45</v>
      </c>
      <c r="N24" s="50">
        <v>0</v>
      </c>
      <c r="O24" s="15">
        <f t="shared" si="0"/>
        <v>10</v>
      </c>
      <c r="P24" s="15">
        <f t="shared" si="1"/>
        <v>55</v>
      </c>
      <c r="R24" s="38" t="s">
        <v>92</v>
      </c>
      <c r="S24" s="39">
        <f>MAX(S19:S21)</f>
        <v>26</v>
      </c>
      <c r="T24" s="39">
        <f t="shared" ref="T24:AF24" si="16">MAX(T19:T21)</f>
        <v>6</v>
      </c>
      <c r="U24" s="39">
        <f t="shared" si="16"/>
        <v>8</v>
      </c>
      <c r="V24" s="39">
        <f t="shared" si="16"/>
        <v>9</v>
      </c>
      <c r="W24" s="39">
        <f t="shared" si="16"/>
        <v>1</v>
      </c>
      <c r="X24" s="39">
        <f t="shared" si="16"/>
        <v>1</v>
      </c>
      <c r="Y24" s="39">
        <f t="shared" si="16"/>
        <v>5</v>
      </c>
      <c r="Z24" s="39">
        <f t="shared" si="16"/>
        <v>5</v>
      </c>
      <c r="AA24" s="39">
        <f t="shared" si="16"/>
        <v>5</v>
      </c>
      <c r="AB24" s="39">
        <f t="shared" si="16"/>
        <v>0</v>
      </c>
      <c r="AC24" s="39">
        <f t="shared" si="16"/>
        <v>169</v>
      </c>
      <c r="AD24" s="39">
        <f t="shared" si="16"/>
        <v>0</v>
      </c>
      <c r="AE24" s="40">
        <f t="shared" si="16"/>
        <v>60</v>
      </c>
      <c r="AF24" s="40">
        <f t="shared" si="16"/>
        <v>220</v>
      </c>
    </row>
    <row r="25" spans="2:32" ht="23.1" customHeight="1" x14ac:dyDescent="0.25">
      <c r="B25" s="23" t="s">
        <v>52</v>
      </c>
      <c r="C25" s="50">
        <v>5</v>
      </c>
      <c r="D25" s="50">
        <v>0</v>
      </c>
      <c r="E25" s="50">
        <v>2</v>
      </c>
      <c r="F25" s="50">
        <v>1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22</v>
      </c>
      <c r="N25" s="50">
        <v>0</v>
      </c>
      <c r="O25" s="15">
        <f t="shared" si="0"/>
        <v>9</v>
      </c>
      <c r="P25" s="15">
        <f t="shared" si="1"/>
        <v>31</v>
      </c>
      <c r="R25" s="37" t="s">
        <v>85</v>
      </c>
      <c r="S25" s="35">
        <f t="shared" ref="S25:AF25" si="17">SUM(S10:S12)</f>
        <v>89</v>
      </c>
      <c r="T25" s="16">
        <f t="shared" si="17"/>
        <v>7</v>
      </c>
      <c r="U25" s="16">
        <f t="shared" si="17"/>
        <v>16</v>
      </c>
      <c r="V25" s="16">
        <f t="shared" si="17"/>
        <v>9</v>
      </c>
      <c r="W25" s="16">
        <f t="shared" si="17"/>
        <v>0</v>
      </c>
      <c r="X25" s="16">
        <f t="shared" si="17"/>
        <v>0</v>
      </c>
      <c r="Y25" s="16">
        <f t="shared" si="17"/>
        <v>15</v>
      </c>
      <c r="Z25" s="16">
        <f t="shared" si="17"/>
        <v>8</v>
      </c>
      <c r="AA25" s="16">
        <f t="shared" si="17"/>
        <v>1</v>
      </c>
      <c r="AB25" s="16">
        <f t="shared" si="17"/>
        <v>0</v>
      </c>
      <c r="AC25" s="16">
        <f t="shared" si="17"/>
        <v>453</v>
      </c>
      <c r="AD25" s="16">
        <f t="shared" si="17"/>
        <v>0</v>
      </c>
      <c r="AE25" s="32">
        <f t="shared" si="17"/>
        <v>145</v>
      </c>
      <c r="AF25" s="32">
        <f t="shared" si="17"/>
        <v>598</v>
      </c>
    </row>
    <row r="26" spans="2:32" ht="23.1" customHeight="1" x14ac:dyDescent="0.25">
      <c r="B26" s="23" t="s">
        <v>53</v>
      </c>
      <c r="C26" s="50">
        <v>5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2</v>
      </c>
      <c r="K26" s="50">
        <v>0</v>
      </c>
      <c r="L26" s="50">
        <v>0</v>
      </c>
      <c r="M26" s="50">
        <v>30</v>
      </c>
      <c r="N26" s="50">
        <v>0</v>
      </c>
      <c r="O26" s="15">
        <f t="shared" si="0"/>
        <v>9</v>
      </c>
      <c r="P26" s="15">
        <f t="shared" si="1"/>
        <v>39</v>
      </c>
      <c r="R26" s="28" t="s">
        <v>86</v>
      </c>
      <c r="S26" s="16">
        <f t="shared" ref="S26:AF26" si="18">SUM(S13:S18)</f>
        <v>124</v>
      </c>
      <c r="T26" s="16">
        <f t="shared" si="18"/>
        <v>17</v>
      </c>
      <c r="U26" s="16">
        <f t="shared" si="18"/>
        <v>29</v>
      </c>
      <c r="V26" s="16">
        <f t="shared" si="18"/>
        <v>15</v>
      </c>
      <c r="W26" s="16">
        <f t="shared" si="18"/>
        <v>0</v>
      </c>
      <c r="X26" s="16">
        <f t="shared" si="18"/>
        <v>0</v>
      </c>
      <c r="Y26" s="16">
        <f t="shared" si="18"/>
        <v>18</v>
      </c>
      <c r="Z26" s="16">
        <f t="shared" si="18"/>
        <v>37</v>
      </c>
      <c r="AA26" s="16">
        <f t="shared" si="18"/>
        <v>7</v>
      </c>
      <c r="AB26" s="16">
        <f t="shared" si="18"/>
        <v>2</v>
      </c>
      <c r="AC26" s="16">
        <f t="shared" si="18"/>
        <v>749</v>
      </c>
      <c r="AD26" s="16">
        <f t="shared" si="18"/>
        <v>0</v>
      </c>
      <c r="AE26" s="32">
        <f t="shared" si="18"/>
        <v>249</v>
      </c>
      <c r="AF26" s="32">
        <f t="shared" si="18"/>
        <v>998</v>
      </c>
    </row>
    <row r="27" spans="2:32" ht="23.1" customHeight="1" x14ac:dyDescent="0.25">
      <c r="B27" s="23" t="s">
        <v>54</v>
      </c>
      <c r="C27" s="50">
        <v>4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4</v>
      </c>
      <c r="K27" s="50">
        <v>0</v>
      </c>
      <c r="L27" s="50">
        <v>0</v>
      </c>
      <c r="M27" s="50">
        <v>33</v>
      </c>
      <c r="N27" s="50">
        <v>0</v>
      </c>
      <c r="O27" s="15">
        <f t="shared" si="0"/>
        <v>9</v>
      </c>
      <c r="P27" s="15">
        <f t="shared" si="1"/>
        <v>42</v>
      </c>
      <c r="R27" s="29" t="s">
        <v>87</v>
      </c>
      <c r="S27" s="16">
        <f t="shared" ref="S27:AF27" si="19">SUM(S19:S21)</f>
        <v>69</v>
      </c>
      <c r="T27" s="16">
        <f t="shared" si="19"/>
        <v>15</v>
      </c>
      <c r="U27" s="16">
        <f t="shared" si="19"/>
        <v>20</v>
      </c>
      <c r="V27" s="16">
        <f t="shared" si="19"/>
        <v>14</v>
      </c>
      <c r="W27" s="16">
        <f t="shared" si="19"/>
        <v>2</v>
      </c>
      <c r="X27" s="16">
        <f t="shared" si="19"/>
        <v>2</v>
      </c>
      <c r="Y27" s="16">
        <f t="shared" si="19"/>
        <v>7</v>
      </c>
      <c r="Z27" s="16">
        <f t="shared" si="19"/>
        <v>15</v>
      </c>
      <c r="AA27" s="16">
        <f t="shared" si="19"/>
        <v>8</v>
      </c>
      <c r="AB27" s="16">
        <f t="shared" si="19"/>
        <v>0</v>
      </c>
      <c r="AC27" s="16">
        <f t="shared" si="19"/>
        <v>466</v>
      </c>
      <c r="AD27" s="16">
        <f t="shared" si="19"/>
        <v>0</v>
      </c>
      <c r="AE27" s="32">
        <f t="shared" si="19"/>
        <v>152</v>
      </c>
      <c r="AF27" s="32">
        <f t="shared" si="19"/>
        <v>618</v>
      </c>
    </row>
    <row r="28" spans="2:32" ht="23.1" customHeight="1" x14ac:dyDescent="0.25">
      <c r="B28" s="23" t="s">
        <v>55</v>
      </c>
      <c r="C28" s="50">
        <v>5</v>
      </c>
      <c r="D28" s="50">
        <v>2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3</v>
      </c>
      <c r="K28" s="50">
        <v>0</v>
      </c>
      <c r="L28" s="50">
        <v>0</v>
      </c>
      <c r="M28" s="50">
        <v>21</v>
      </c>
      <c r="N28" s="50">
        <v>0</v>
      </c>
      <c r="O28" s="15">
        <f t="shared" si="0"/>
        <v>11</v>
      </c>
      <c r="P28" s="15">
        <f t="shared" si="1"/>
        <v>32</v>
      </c>
      <c r="R28" s="5" t="s">
        <v>17</v>
      </c>
      <c r="S28" s="16">
        <f t="shared" ref="S28:AF28" si="20">SUM(S10:S21)</f>
        <v>282</v>
      </c>
      <c r="T28" s="16">
        <f t="shared" si="20"/>
        <v>39</v>
      </c>
      <c r="U28" s="16">
        <f t="shared" si="20"/>
        <v>65</v>
      </c>
      <c r="V28" s="16">
        <f t="shared" si="20"/>
        <v>38</v>
      </c>
      <c r="W28" s="16">
        <f t="shared" si="20"/>
        <v>2</v>
      </c>
      <c r="X28" s="16">
        <f t="shared" si="20"/>
        <v>2</v>
      </c>
      <c r="Y28" s="16">
        <f t="shared" si="20"/>
        <v>40</v>
      </c>
      <c r="Z28" s="16">
        <f t="shared" si="20"/>
        <v>60</v>
      </c>
      <c r="AA28" s="16">
        <f t="shared" si="20"/>
        <v>16</v>
      </c>
      <c r="AB28" s="16">
        <f t="shared" si="20"/>
        <v>2</v>
      </c>
      <c r="AC28" s="16">
        <f t="shared" si="20"/>
        <v>1668</v>
      </c>
      <c r="AD28" s="16">
        <f t="shared" si="20"/>
        <v>0</v>
      </c>
      <c r="AE28" s="32">
        <f t="shared" si="20"/>
        <v>546</v>
      </c>
      <c r="AF28" s="32">
        <f t="shared" si="20"/>
        <v>2214</v>
      </c>
    </row>
    <row r="29" spans="2:32" ht="23.1" customHeight="1" x14ac:dyDescent="0.25">
      <c r="B29" s="23" t="s">
        <v>56</v>
      </c>
      <c r="C29" s="50">
        <v>8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1</v>
      </c>
      <c r="L29" s="50">
        <v>0</v>
      </c>
      <c r="M29" s="50">
        <v>35</v>
      </c>
      <c r="N29" s="50">
        <v>0</v>
      </c>
      <c r="O29" s="15">
        <f t="shared" si="0"/>
        <v>11</v>
      </c>
      <c r="P29" s="15">
        <f t="shared" si="1"/>
        <v>46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40</v>
      </c>
      <c r="N30" s="50">
        <v>0</v>
      </c>
      <c r="O30" s="15">
        <f t="shared" si="0"/>
        <v>7</v>
      </c>
      <c r="P30" s="15">
        <f t="shared" si="1"/>
        <v>47</v>
      </c>
    </row>
    <row r="31" spans="2:32" ht="23.1" customHeight="1" x14ac:dyDescent="0.25">
      <c r="B31" s="24" t="s">
        <v>58</v>
      </c>
      <c r="C31" s="50">
        <v>11</v>
      </c>
      <c r="D31" s="50">
        <v>1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1</v>
      </c>
      <c r="L31" s="50">
        <v>0</v>
      </c>
      <c r="M31" s="50">
        <v>38</v>
      </c>
      <c r="N31" s="50">
        <v>0</v>
      </c>
      <c r="O31" s="15">
        <f t="shared" si="0"/>
        <v>15</v>
      </c>
      <c r="P31" s="15">
        <f t="shared" si="1"/>
        <v>53</v>
      </c>
    </row>
    <row r="32" spans="2:32" ht="23.1" customHeight="1" x14ac:dyDescent="0.25">
      <c r="B32" s="24" t="s">
        <v>59</v>
      </c>
      <c r="C32" s="50">
        <v>8</v>
      </c>
      <c r="D32" s="50">
        <v>1</v>
      </c>
      <c r="E32" s="50">
        <v>1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41</v>
      </c>
      <c r="N32" s="50">
        <v>0</v>
      </c>
      <c r="O32" s="15">
        <f t="shared" si="0"/>
        <v>11</v>
      </c>
      <c r="P32" s="15">
        <f t="shared" si="1"/>
        <v>52</v>
      </c>
    </row>
    <row r="33" spans="2:20" ht="23.1" customHeight="1" x14ac:dyDescent="0.25">
      <c r="B33" s="23" t="s">
        <v>60</v>
      </c>
      <c r="C33" s="50">
        <v>5</v>
      </c>
      <c r="D33" s="50">
        <v>0</v>
      </c>
      <c r="E33" s="50">
        <v>2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31</v>
      </c>
      <c r="N33" s="50">
        <v>0</v>
      </c>
      <c r="O33" s="15">
        <f t="shared" si="0"/>
        <v>7</v>
      </c>
      <c r="P33" s="15">
        <f t="shared" si="1"/>
        <v>38</v>
      </c>
    </row>
    <row r="34" spans="2:20" ht="23.1" customHeight="1" x14ac:dyDescent="0.25">
      <c r="B34" s="24" t="s">
        <v>61</v>
      </c>
      <c r="C34" s="50">
        <v>3</v>
      </c>
      <c r="D34" s="50">
        <v>2</v>
      </c>
      <c r="E34" s="50">
        <v>1</v>
      </c>
      <c r="F34" s="50">
        <v>0</v>
      </c>
      <c r="G34" s="50">
        <v>0</v>
      </c>
      <c r="H34" s="50">
        <v>0</v>
      </c>
      <c r="I34" s="50">
        <v>1</v>
      </c>
      <c r="J34" s="50">
        <v>6</v>
      </c>
      <c r="K34" s="50">
        <v>0</v>
      </c>
      <c r="L34" s="50">
        <v>0</v>
      </c>
      <c r="M34" s="50">
        <v>37</v>
      </c>
      <c r="N34" s="50">
        <v>0</v>
      </c>
      <c r="O34" s="15">
        <f t="shared" si="0"/>
        <v>13</v>
      </c>
      <c r="P34" s="15">
        <f t="shared" si="1"/>
        <v>50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50">
        <v>28</v>
      </c>
      <c r="N35" s="50">
        <v>0</v>
      </c>
      <c r="O35" s="15">
        <f t="shared" si="0"/>
        <v>5</v>
      </c>
      <c r="P35" s="15">
        <f t="shared" si="1"/>
        <v>33</v>
      </c>
    </row>
    <row r="36" spans="2:20" ht="23.1" customHeight="1" x14ac:dyDescent="0.25">
      <c r="B36" s="24" t="s">
        <v>63</v>
      </c>
      <c r="C36" s="50">
        <v>5</v>
      </c>
      <c r="D36" s="50">
        <v>3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2</v>
      </c>
      <c r="K36" s="50">
        <v>3</v>
      </c>
      <c r="L36" s="50">
        <v>0</v>
      </c>
      <c r="M36" s="50">
        <v>25</v>
      </c>
      <c r="N36" s="50">
        <v>0</v>
      </c>
      <c r="O36" s="15">
        <f t="shared" si="0"/>
        <v>14</v>
      </c>
      <c r="P36" s="15">
        <f t="shared" si="1"/>
        <v>39</v>
      </c>
    </row>
    <row r="37" spans="2:20" ht="23.1" customHeight="1" x14ac:dyDescent="0.25">
      <c r="B37" s="23" t="s">
        <v>64</v>
      </c>
      <c r="C37" s="50">
        <v>6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2</v>
      </c>
      <c r="J37" s="50">
        <v>3</v>
      </c>
      <c r="K37" s="50">
        <v>0</v>
      </c>
      <c r="L37" s="50">
        <v>0</v>
      </c>
      <c r="M37" s="50">
        <v>40</v>
      </c>
      <c r="N37" s="50">
        <v>0</v>
      </c>
      <c r="O37" s="15">
        <f t="shared" si="0"/>
        <v>11</v>
      </c>
      <c r="P37" s="15">
        <f t="shared" si="1"/>
        <v>51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20</v>
      </c>
      <c r="N38" s="50">
        <v>0</v>
      </c>
      <c r="O38" s="15">
        <f t="shared" si="0"/>
        <v>5</v>
      </c>
      <c r="P38" s="15">
        <f t="shared" si="1"/>
        <v>25</v>
      </c>
    </row>
    <row r="39" spans="2:20" ht="23.1" customHeight="1" x14ac:dyDescent="0.25">
      <c r="B39" s="24" t="s">
        <v>66</v>
      </c>
      <c r="C39" s="50">
        <v>5</v>
      </c>
      <c r="D39" s="50">
        <v>2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2</v>
      </c>
      <c r="K39" s="50">
        <v>0</v>
      </c>
      <c r="L39" s="50">
        <v>0</v>
      </c>
      <c r="M39" s="50">
        <v>25</v>
      </c>
      <c r="N39" s="50">
        <v>0</v>
      </c>
      <c r="O39" s="15">
        <f t="shared" si="0"/>
        <v>11</v>
      </c>
      <c r="P39" s="15">
        <f t="shared" si="1"/>
        <v>36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2</v>
      </c>
      <c r="F40" s="50">
        <v>0</v>
      </c>
      <c r="G40" s="50">
        <v>0</v>
      </c>
      <c r="H40" s="50">
        <v>0</v>
      </c>
      <c r="I40" s="50">
        <v>1</v>
      </c>
      <c r="J40" s="50">
        <v>2</v>
      </c>
      <c r="K40" s="50">
        <v>0</v>
      </c>
      <c r="L40" s="50">
        <v>0</v>
      </c>
      <c r="M40" s="50">
        <v>23</v>
      </c>
      <c r="N40" s="50">
        <v>0</v>
      </c>
      <c r="O40" s="15">
        <f t="shared" si="0"/>
        <v>7</v>
      </c>
      <c r="P40" s="15">
        <f t="shared" si="1"/>
        <v>30</v>
      </c>
    </row>
    <row r="41" spans="2:20" ht="23.1" customHeight="1" x14ac:dyDescent="0.25">
      <c r="B41" s="23" t="s">
        <v>68</v>
      </c>
      <c r="C41" s="50">
        <v>9</v>
      </c>
      <c r="D41" s="50">
        <v>1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6</v>
      </c>
      <c r="K41" s="50">
        <v>2</v>
      </c>
      <c r="L41" s="50">
        <v>0</v>
      </c>
      <c r="M41" s="50">
        <v>24</v>
      </c>
      <c r="N41" s="50">
        <v>0</v>
      </c>
      <c r="O41" s="15">
        <f t="shared" si="0"/>
        <v>19</v>
      </c>
      <c r="P41" s="15">
        <f t="shared" si="1"/>
        <v>43</v>
      </c>
    </row>
    <row r="42" spans="2:20" ht="23.1" customHeight="1" x14ac:dyDescent="0.25">
      <c r="B42" s="24" t="s">
        <v>69</v>
      </c>
      <c r="C42" s="50">
        <v>7</v>
      </c>
      <c r="D42" s="50">
        <v>0</v>
      </c>
      <c r="E42" s="50">
        <v>2</v>
      </c>
      <c r="F42" s="50">
        <v>2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35</v>
      </c>
      <c r="N42" s="50">
        <v>0</v>
      </c>
      <c r="O42" s="15">
        <f t="shared" si="0"/>
        <v>13</v>
      </c>
      <c r="P42" s="15">
        <f t="shared" si="1"/>
        <v>48</v>
      </c>
    </row>
    <row r="43" spans="2:20" ht="23.1" customHeight="1" x14ac:dyDescent="0.25">
      <c r="B43" s="23" t="s">
        <v>70</v>
      </c>
      <c r="C43" s="50">
        <v>7</v>
      </c>
      <c r="D43" s="50">
        <v>1</v>
      </c>
      <c r="E43" s="50">
        <v>1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22</v>
      </c>
      <c r="N43" s="50">
        <v>0</v>
      </c>
      <c r="O43" s="15">
        <f t="shared" si="0"/>
        <v>11</v>
      </c>
      <c r="P43" s="15">
        <f t="shared" si="1"/>
        <v>33</v>
      </c>
    </row>
    <row r="44" spans="2:20" ht="23.1" customHeight="1" x14ac:dyDescent="0.25">
      <c r="B44" s="25" t="s">
        <v>71</v>
      </c>
      <c r="C44" s="50">
        <v>3</v>
      </c>
      <c r="D44" s="50">
        <v>2</v>
      </c>
      <c r="E44" s="50">
        <v>2</v>
      </c>
      <c r="F44" s="50">
        <v>0</v>
      </c>
      <c r="G44" s="50">
        <v>0</v>
      </c>
      <c r="H44" s="50">
        <v>0</v>
      </c>
      <c r="I44" s="50">
        <v>2</v>
      </c>
      <c r="J44" s="50">
        <v>1</v>
      </c>
      <c r="K44" s="50">
        <v>0</v>
      </c>
      <c r="L44" s="50">
        <v>1</v>
      </c>
      <c r="M44" s="50">
        <v>24</v>
      </c>
      <c r="N44" s="50">
        <v>0</v>
      </c>
      <c r="O44" s="15">
        <f t="shared" si="0"/>
        <v>11</v>
      </c>
      <c r="P44" s="15">
        <f t="shared" si="1"/>
        <v>35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2</v>
      </c>
      <c r="F45" s="50">
        <v>0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1</v>
      </c>
      <c r="M45" s="50">
        <v>27</v>
      </c>
      <c r="N45" s="50">
        <v>0</v>
      </c>
      <c r="O45" s="15">
        <f t="shared" si="0"/>
        <v>9</v>
      </c>
      <c r="P45" s="15">
        <f t="shared" si="1"/>
        <v>36</v>
      </c>
    </row>
    <row r="46" spans="2:20" ht="23.1" customHeight="1" x14ac:dyDescent="0.25">
      <c r="B46" s="24" t="s">
        <v>73</v>
      </c>
      <c r="C46" s="50">
        <v>5</v>
      </c>
      <c r="D46" s="50">
        <v>1</v>
      </c>
      <c r="E46" s="50">
        <v>1</v>
      </c>
      <c r="F46" s="50">
        <v>2</v>
      </c>
      <c r="G46" s="50">
        <v>1</v>
      </c>
      <c r="H46" s="50">
        <v>1</v>
      </c>
      <c r="I46" s="50">
        <v>1</v>
      </c>
      <c r="J46" s="50">
        <v>2</v>
      </c>
      <c r="K46" s="50">
        <v>0</v>
      </c>
      <c r="L46" s="50">
        <v>0</v>
      </c>
      <c r="M46" s="50">
        <v>25</v>
      </c>
      <c r="N46" s="50">
        <v>0</v>
      </c>
      <c r="O46" s="15">
        <f t="shared" si="0"/>
        <v>14</v>
      </c>
      <c r="P46" s="15">
        <f t="shared" si="1"/>
        <v>39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2</v>
      </c>
      <c r="E47" s="50">
        <v>1</v>
      </c>
      <c r="F47" s="50">
        <v>1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38</v>
      </c>
      <c r="N47" s="50">
        <v>0</v>
      </c>
      <c r="O47" s="15">
        <f t="shared" si="0"/>
        <v>11</v>
      </c>
      <c r="P47" s="15">
        <f t="shared" si="1"/>
        <v>49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1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39</v>
      </c>
      <c r="N48" s="50">
        <v>0</v>
      </c>
      <c r="O48" s="15">
        <f t="shared" si="0"/>
        <v>5</v>
      </c>
      <c r="P48" s="15">
        <f t="shared" si="1"/>
        <v>44</v>
      </c>
      <c r="R48" s="8"/>
      <c r="T48"/>
    </row>
    <row r="49" spans="2:20" ht="23.1" customHeight="1" x14ac:dyDescent="0.25">
      <c r="B49" s="23" t="s">
        <v>76</v>
      </c>
      <c r="C49" s="50">
        <v>8</v>
      </c>
      <c r="D49" s="50">
        <v>0</v>
      </c>
      <c r="E49" s="50">
        <v>2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45</v>
      </c>
      <c r="N49" s="50">
        <v>0</v>
      </c>
      <c r="O49" s="15">
        <f t="shared" si="0"/>
        <v>11</v>
      </c>
      <c r="P49" s="15">
        <f t="shared" si="1"/>
        <v>56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1</v>
      </c>
      <c r="E50" s="50">
        <v>4</v>
      </c>
      <c r="F50" s="50">
        <v>3</v>
      </c>
      <c r="G50" s="50">
        <v>0</v>
      </c>
      <c r="H50" s="50">
        <v>0</v>
      </c>
      <c r="I50" s="50">
        <v>2</v>
      </c>
      <c r="J50" s="50">
        <v>0</v>
      </c>
      <c r="K50" s="50">
        <v>1</v>
      </c>
      <c r="L50" s="50">
        <v>0</v>
      </c>
      <c r="M50" s="50">
        <v>41</v>
      </c>
      <c r="N50" s="50">
        <v>0</v>
      </c>
      <c r="O50" s="15">
        <f t="shared" si="0"/>
        <v>16</v>
      </c>
      <c r="P50" s="15">
        <f t="shared" si="1"/>
        <v>57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2</v>
      </c>
      <c r="E51" s="50">
        <v>1</v>
      </c>
      <c r="F51" s="50">
        <v>1</v>
      </c>
      <c r="G51" s="50">
        <v>0</v>
      </c>
      <c r="H51" s="50">
        <v>1</v>
      </c>
      <c r="I51" s="50">
        <v>0</v>
      </c>
      <c r="J51" s="50">
        <v>3</v>
      </c>
      <c r="K51" s="50">
        <v>1</v>
      </c>
      <c r="L51" s="50">
        <v>0</v>
      </c>
      <c r="M51" s="50">
        <v>43</v>
      </c>
      <c r="N51" s="50">
        <v>0</v>
      </c>
      <c r="O51" s="15">
        <f t="shared" si="0"/>
        <v>14</v>
      </c>
      <c r="P51" s="15">
        <f t="shared" si="1"/>
        <v>57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2</v>
      </c>
      <c r="E52" s="50">
        <v>3</v>
      </c>
      <c r="F52" s="50">
        <v>1</v>
      </c>
      <c r="G52" s="50">
        <v>1</v>
      </c>
      <c r="H52" s="50">
        <v>0</v>
      </c>
      <c r="I52" s="50">
        <v>1</v>
      </c>
      <c r="J52" s="50">
        <v>1</v>
      </c>
      <c r="K52" s="50">
        <v>0</v>
      </c>
      <c r="L52" s="50">
        <v>0</v>
      </c>
      <c r="M52" s="50">
        <v>45</v>
      </c>
      <c r="N52" s="50">
        <v>0</v>
      </c>
      <c r="O52" s="15">
        <f t="shared" si="0"/>
        <v>15</v>
      </c>
      <c r="P52" s="15">
        <f t="shared" si="1"/>
        <v>60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0</v>
      </c>
      <c r="E53" s="50">
        <v>0</v>
      </c>
      <c r="F53" s="50">
        <v>4</v>
      </c>
      <c r="G53" s="50">
        <v>0</v>
      </c>
      <c r="H53" s="50">
        <v>0</v>
      </c>
      <c r="I53" s="50">
        <v>2</v>
      </c>
      <c r="J53" s="50">
        <v>1</v>
      </c>
      <c r="K53" s="50">
        <v>1</v>
      </c>
      <c r="L53" s="50">
        <v>0</v>
      </c>
      <c r="M53" s="50">
        <v>21</v>
      </c>
      <c r="N53" s="50"/>
      <c r="O53" s="15">
        <f t="shared" si="0"/>
        <v>15</v>
      </c>
      <c r="P53" s="15">
        <f t="shared" si="1"/>
        <v>36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25</v>
      </c>
      <c r="N54" s="50">
        <v>0</v>
      </c>
      <c r="O54" s="15">
        <f t="shared" si="0"/>
        <v>8</v>
      </c>
      <c r="P54" s="15">
        <f t="shared" si="1"/>
        <v>33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39</v>
      </c>
      <c r="N55" s="50">
        <v>0</v>
      </c>
      <c r="O55" s="15">
        <f t="shared" si="0"/>
        <v>6</v>
      </c>
      <c r="P55" s="15">
        <f t="shared" si="1"/>
        <v>45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1</v>
      </c>
      <c r="E56" s="50">
        <v>1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1</v>
      </c>
      <c r="L56" s="50">
        <v>0</v>
      </c>
      <c r="M56" s="50">
        <v>60</v>
      </c>
      <c r="N56" s="50">
        <v>0</v>
      </c>
      <c r="O56" s="15">
        <f t="shared" si="0"/>
        <v>9</v>
      </c>
      <c r="P56" s="15">
        <f t="shared" si="1"/>
        <v>69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5</v>
      </c>
      <c r="E57" s="50">
        <v>3</v>
      </c>
      <c r="F57" s="50">
        <v>1</v>
      </c>
      <c r="G57" s="50">
        <v>0</v>
      </c>
      <c r="H57" s="50">
        <v>0</v>
      </c>
      <c r="I57" s="50">
        <v>0</v>
      </c>
      <c r="J57" s="50">
        <v>5</v>
      </c>
      <c r="K57" s="50">
        <v>4</v>
      </c>
      <c r="L57" s="50">
        <v>0</v>
      </c>
      <c r="M57" s="50">
        <v>45</v>
      </c>
      <c r="N57" s="50">
        <v>0</v>
      </c>
      <c r="O57" s="15">
        <f t="shared" si="0"/>
        <v>28</v>
      </c>
      <c r="P57" s="15">
        <f t="shared" si="1"/>
        <v>73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282</v>
      </c>
      <c r="D58" s="16">
        <f t="shared" si="21"/>
        <v>39</v>
      </c>
      <c r="E58" s="16">
        <f t="shared" si="21"/>
        <v>65</v>
      </c>
      <c r="F58" s="16">
        <f t="shared" si="21"/>
        <v>38</v>
      </c>
      <c r="G58" s="16">
        <f t="shared" si="21"/>
        <v>2</v>
      </c>
      <c r="H58" s="16">
        <f t="shared" si="21"/>
        <v>2</v>
      </c>
      <c r="I58" s="16">
        <f t="shared" si="21"/>
        <v>40</v>
      </c>
      <c r="J58" s="16">
        <f t="shared" si="21"/>
        <v>60</v>
      </c>
      <c r="K58" s="16">
        <f t="shared" si="21"/>
        <v>16</v>
      </c>
      <c r="L58" s="16">
        <f t="shared" si="21"/>
        <v>2</v>
      </c>
      <c r="M58" s="16">
        <f t="shared" si="21"/>
        <v>1668</v>
      </c>
      <c r="N58" s="16">
        <f t="shared" si="21"/>
        <v>0</v>
      </c>
      <c r="O58" s="16">
        <f t="shared" si="21"/>
        <v>546</v>
      </c>
      <c r="P58" s="16">
        <f t="shared" si="21"/>
        <v>2214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0.12737127371273713</v>
      </c>
      <c r="D59" s="43">
        <f t="shared" si="22"/>
        <v>1.7615176151761516E-2</v>
      </c>
      <c r="E59" s="43">
        <f t="shared" si="22"/>
        <v>2.9358626919602528E-2</v>
      </c>
      <c r="F59" s="43">
        <f t="shared" si="22"/>
        <v>1.7163504968383016E-2</v>
      </c>
      <c r="G59" s="43">
        <f t="shared" si="22"/>
        <v>9.0334236675700087E-4</v>
      </c>
      <c r="H59" s="43">
        <f t="shared" si="22"/>
        <v>9.0334236675700087E-4</v>
      </c>
      <c r="I59" s="43">
        <f t="shared" si="22"/>
        <v>1.8066847335140017E-2</v>
      </c>
      <c r="J59" s="43">
        <f t="shared" si="22"/>
        <v>2.7100271002710029E-2</v>
      </c>
      <c r="K59" s="43">
        <f t="shared" si="22"/>
        <v>7.2267389340560069E-3</v>
      </c>
      <c r="L59" s="43">
        <f t="shared" si="22"/>
        <v>9.0334236675700087E-4</v>
      </c>
      <c r="M59" s="43">
        <f t="shared" si="22"/>
        <v>0.75338753387533874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0.51648351648351654</v>
      </c>
      <c r="D60" s="44">
        <f t="shared" ref="D60:N60" si="23">D58/$O$58</f>
        <v>7.1428571428571425E-2</v>
      </c>
      <c r="E60" s="44">
        <f t="shared" si="23"/>
        <v>0.11904761904761904</v>
      </c>
      <c r="F60" s="44">
        <f t="shared" si="23"/>
        <v>6.95970695970696E-2</v>
      </c>
      <c r="G60" s="44">
        <f t="shared" si="23"/>
        <v>3.663003663003663E-3</v>
      </c>
      <c r="H60" s="44">
        <f t="shared" si="23"/>
        <v>3.663003663003663E-3</v>
      </c>
      <c r="I60" s="44">
        <f t="shared" si="23"/>
        <v>7.3260073260073263E-2</v>
      </c>
      <c r="J60" s="44">
        <f t="shared" si="23"/>
        <v>0.10989010989010989</v>
      </c>
      <c r="K60" s="44">
        <f t="shared" si="23"/>
        <v>2.9304029304029304E-2</v>
      </c>
      <c r="L60" s="44">
        <f t="shared" si="23"/>
        <v>3.663003663003663E-3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KYENJOJO-HOIMA'!C3:G3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177</v>
      </c>
      <c r="E5" s="3"/>
      <c r="F5" s="41" t="s">
        <v>1</v>
      </c>
      <c r="G5" s="63" t="str">
        <f>'28.10 HOIMA-KYENJOJO-24h'!G5:H5</f>
        <v>KYENJOJO</v>
      </c>
      <c r="H5" s="64"/>
      <c r="I5" s="14"/>
      <c r="J5" s="2" t="s">
        <v>5</v>
      </c>
      <c r="K5" s="63" t="str">
        <f>'28.10 HOIMA-KYENJOJO-24h'!K5:L5</f>
        <v>STEVEN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KYENJOJO-HOIMA'!D6:E6</f>
        <v>KYENJOJO</v>
      </c>
      <c r="E6" s="64"/>
      <c r="F6" s="2" t="s">
        <v>2</v>
      </c>
      <c r="G6" s="63" t="str">
        <f>'25.10 KYENJOJO-HOIMA'!G6:H6</f>
        <v>HOIMA</v>
      </c>
      <c r="H6" s="64"/>
      <c r="J6" s="2" t="s">
        <v>21</v>
      </c>
      <c r="K6" s="63" t="str">
        <f>'28.10 HOIMA-KYENJOJO-24h'!K6:L6</f>
        <v>FELIX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13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17</v>
      </c>
      <c r="R10" s="1" t="s">
        <v>6</v>
      </c>
      <c r="S10" s="17">
        <f t="shared" ref="S10:AF10" si="2">SUM(C10:C13)</f>
        <v>16</v>
      </c>
      <c r="T10" s="17">
        <f t="shared" si="2"/>
        <v>2</v>
      </c>
      <c r="U10" s="17">
        <f t="shared" si="2"/>
        <v>3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4</v>
      </c>
      <c r="AA10" s="17">
        <f t="shared" si="2"/>
        <v>0</v>
      </c>
      <c r="AB10" s="17">
        <f t="shared" si="2"/>
        <v>1</v>
      </c>
      <c r="AC10" s="17">
        <f t="shared" si="2"/>
        <v>46</v>
      </c>
      <c r="AD10" s="17">
        <f t="shared" si="2"/>
        <v>0</v>
      </c>
      <c r="AE10" s="31">
        <f t="shared" si="2"/>
        <v>33</v>
      </c>
      <c r="AF10" s="31">
        <f t="shared" si="2"/>
        <v>79</v>
      </c>
    </row>
    <row r="11" spans="2:32" s="6" customFormat="1" ht="23.1" customHeight="1" x14ac:dyDescent="0.25">
      <c r="B11" s="23" t="s">
        <v>38</v>
      </c>
      <c r="C11" s="50">
        <v>3</v>
      </c>
      <c r="D11" s="50">
        <v>1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3</v>
      </c>
      <c r="K11" s="50">
        <v>0</v>
      </c>
      <c r="L11" s="50">
        <v>1</v>
      </c>
      <c r="M11" s="50">
        <v>18</v>
      </c>
      <c r="N11" s="50">
        <v>0</v>
      </c>
      <c r="O11" s="15">
        <f t="shared" si="0"/>
        <v>9</v>
      </c>
      <c r="P11" s="15">
        <f t="shared" si="1"/>
        <v>27</v>
      </c>
      <c r="R11" s="1" t="s">
        <v>7</v>
      </c>
      <c r="S11" s="17">
        <f t="shared" ref="S11:AF11" si="3">SUM(C14:C17)</f>
        <v>19</v>
      </c>
      <c r="T11" s="17">
        <f t="shared" si="3"/>
        <v>2</v>
      </c>
      <c r="U11" s="17">
        <f t="shared" si="3"/>
        <v>5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86</v>
      </c>
      <c r="AD11" s="17">
        <f t="shared" si="3"/>
        <v>0</v>
      </c>
      <c r="AE11" s="31">
        <f t="shared" si="3"/>
        <v>27</v>
      </c>
      <c r="AF11" s="31">
        <f t="shared" si="3"/>
        <v>113</v>
      </c>
    </row>
    <row r="12" spans="2:32" ht="23.1" customHeight="1" x14ac:dyDescent="0.25">
      <c r="B12" s="23" t="s">
        <v>39</v>
      </c>
      <c r="C12" s="50">
        <v>4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10</v>
      </c>
      <c r="N12" s="50">
        <v>0</v>
      </c>
      <c r="O12" s="15">
        <f t="shared" si="0"/>
        <v>9</v>
      </c>
      <c r="P12" s="15">
        <f t="shared" si="1"/>
        <v>19</v>
      </c>
      <c r="R12" s="1" t="s">
        <v>8</v>
      </c>
      <c r="S12" s="17">
        <f t="shared" ref="S12:AF12" si="4">SUM(C18:C21)</f>
        <v>15</v>
      </c>
      <c r="T12" s="17">
        <f t="shared" si="4"/>
        <v>5</v>
      </c>
      <c r="U12" s="17">
        <f t="shared" si="4"/>
        <v>8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75</v>
      </c>
      <c r="AD12" s="17">
        <f t="shared" si="4"/>
        <v>0</v>
      </c>
      <c r="AE12" s="31">
        <f t="shared" si="4"/>
        <v>33</v>
      </c>
      <c r="AF12" s="31">
        <f t="shared" si="4"/>
        <v>108</v>
      </c>
    </row>
    <row r="13" spans="2:32" ht="23.1" customHeight="1" x14ac:dyDescent="0.25">
      <c r="B13" s="23" t="s">
        <v>40</v>
      </c>
      <c r="C13" s="50">
        <v>5</v>
      </c>
      <c r="D13" s="50">
        <v>1</v>
      </c>
      <c r="E13" s="50">
        <v>2</v>
      </c>
      <c r="F13" s="50">
        <v>1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11</v>
      </c>
      <c r="P13" s="15">
        <f t="shared" si="1"/>
        <v>16</v>
      </c>
      <c r="R13" s="1" t="s">
        <v>9</v>
      </c>
      <c r="S13" s="17">
        <f t="shared" ref="S13:AF13" si="5">SUM(C22:C25)</f>
        <v>24</v>
      </c>
      <c r="T13" s="17">
        <f t="shared" si="5"/>
        <v>2</v>
      </c>
      <c r="U13" s="17">
        <f t="shared" si="5"/>
        <v>4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3</v>
      </c>
      <c r="AA13" s="17">
        <f t="shared" si="5"/>
        <v>0</v>
      </c>
      <c r="AB13" s="17">
        <f t="shared" si="5"/>
        <v>1</v>
      </c>
      <c r="AC13" s="17">
        <f t="shared" si="5"/>
        <v>96</v>
      </c>
      <c r="AD13" s="17">
        <f t="shared" si="5"/>
        <v>0</v>
      </c>
      <c r="AE13" s="31">
        <f t="shared" si="5"/>
        <v>40</v>
      </c>
      <c r="AF13" s="31">
        <f t="shared" si="5"/>
        <v>136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18</v>
      </c>
      <c r="N14" s="50">
        <v>0</v>
      </c>
      <c r="O14" s="15">
        <f t="shared" si="0"/>
        <v>4</v>
      </c>
      <c r="P14" s="15">
        <f t="shared" si="1"/>
        <v>22</v>
      </c>
      <c r="R14" s="1" t="s">
        <v>10</v>
      </c>
      <c r="S14" s="17">
        <f t="shared" ref="S14:AF14" si="6">SUM(C26:C29)</f>
        <v>24</v>
      </c>
      <c r="T14" s="17">
        <f t="shared" si="6"/>
        <v>2</v>
      </c>
      <c r="U14" s="17">
        <f t="shared" si="6"/>
        <v>8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120</v>
      </c>
      <c r="AD14" s="17">
        <f t="shared" si="6"/>
        <v>0</v>
      </c>
      <c r="AE14" s="31">
        <f t="shared" si="6"/>
        <v>44</v>
      </c>
      <c r="AF14" s="31">
        <f t="shared" si="6"/>
        <v>164</v>
      </c>
    </row>
    <row r="15" spans="2:32" ht="23.1" customHeight="1" x14ac:dyDescent="0.25">
      <c r="B15" s="23" t="s">
        <v>42</v>
      </c>
      <c r="C15" s="50">
        <v>5</v>
      </c>
      <c r="D15" s="50">
        <v>1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18</v>
      </c>
      <c r="N15" s="50">
        <v>0</v>
      </c>
      <c r="O15" s="15">
        <f t="shared" si="0"/>
        <v>7</v>
      </c>
      <c r="P15" s="15">
        <f t="shared" si="1"/>
        <v>25</v>
      </c>
      <c r="R15" s="1" t="s">
        <v>11</v>
      </c>
      <c r="S15" s="17">
        <f t="shared" ref="S15:AF15" si="7">SUM(C30:C33)</f>
        <v>32</v>
      </c>
      <c r="T15" s="17">
        <f t="shared" si="7"/>
        <v>3</v>
      </c>
      <c r="U15" s="17">
        <f t="shared" si="7"/>
        <v>5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2</v>
      </c>
      <c r="AC15" s="17">
        <f t="shared" si="7"/>
        <v>129</v>
      </c>
      <c r="AD15" s="17">
        <f t="shared" si="7"/>
        <v>0</v>
      </c>
      <c r="AE15" s="31">
        <f t="shared" si="7"/>
        <v>47</v>
      </c>
      <c r="AF15" s="31">
        <f t="shared" si="7"/>
        <v>176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2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32</v>
      </c>
      <c r="N16" s="50">
        <v>0</v>
      </c>
      <c r="O16" s="15">
        <f t="shared" si="0"/>
        <v>7</v>
      </c>
      <c r="P16" s="15">
        <f t="shared" si="1"/>
        <v>39</v>
      </c>
      <c r="R16" s="1" t="s">
        <v>12</v>
      </c>
      <c r="S16" s="17">
        <f t="shared" ref="S16:AF16" si="8">SUM(C34:C37)</f>
        <v>23</v>
      </c>
      <c r="T16" s="17">
        <f t="shared" si="8"/>
        <v>2</v>
      </c>
      <c r="U16" s="17">
        <f t="shared" si="8"/>
        <v>3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116</v>
      </c>
      <c r="AD16" s="17">
        <f t="shared" si="8"/>
        <v>0</v>
      </c>
      <c r="AE16" s="31">
        <f t="shared" si="8"/>
        <v>35</v>
      </c>
      <c r="AF16" s="31">
        <f t="shared" si="8"/>
        <v>151</v>
      </c>
    </row>
    <row r="17" spans="2:32" ht="23.1" customHeight="1" x14ac:dyDescent="0.25">
      <c r="B17" s="23" t="s">
        <v>44</v>
      </c>
      <c r="C17" s="50">
        <v>6</v>
      </c>
      <c r="D17" s="50">
        <v>1</v>
      </c>
      <c r="E17" s="50">
        <v>2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18</v>
      </c>
      <c r="N17" s="50">
        <v>0</v>
      </c>
      <c r="O17" s="15">
        <f t="shared" si="0"/>
        <v>9</v>
      </c>
      <c r="P17" s="15">
        <f t="shared" si="1"/>
        <v>27</v>
      </c>
      <c r="R17" s="1" t="s">
        <v>13</v>
      </c>
      <c r="S17" s="17">
        <f t="shared" ref="S17:AF17" si="9">SUM(C38:C41)</f>
        <v>26</v>
      </c>
      <c r="T17" s="17">
        <f t="shared" si="9"/>
        <v>1</v>
      </c>
      <c r="U17" s="17">
        <f t="shared" si="9"/>
        <v>3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1</v>
      </c>
      <c r="AA17" s="17">
        <f t="shared" si="9"/>
        <v>0</v>
      </c>
      <c r="AB17" s="17">
        <f t="shared" si="9"/>
        <v>1</v>
      </c>
      <c r="AC17" s="17">
        <f t="shared" si="9"/>
        <v>136</v>
      </c>
      <c r="AD17" s="17">
        <f t="shared" si="9"/>
        <v>0</v>
      </c>
      <c r="AE17" s="31">
        <f t="shared" si="9"/>
        <v>42</v>
      </c>
      <c r="AF17" s="31">
        <f t="shared" si="9"/>
        <v>178</v>
      </c>
    </row>
    <row r="18" spans="2:32" ht="23.1" customHeight="1" x14ac:dyDescent="0.25">
      <c r="B18" s="23" t="s">
        <v>45</v>
      </c>
      <c r="C18" s="50">
        <v>4</v>
      </c>
      <c r="D18" s="50">
        <v>2</v>
      </c>
      <c r="E18" s="50">
        <v>2</v>
      </c>
      <c r="F18" s="50">
        <v>1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31</v>
      </c>
      <c r="N18" s="50">
        <v>0</v>
      </c>
      <c r="O18" s="15">
        <f t="shared" si="0"/>
        <v>11</v>
      </c>
      <c r="P18" s="15">
        <f t="shared" si="1"/>
        <v>42</v>
      </c>
      <c r="R18" s="1" t="s">
        <v>14</v>
      </c>
      <c r="S18" s="17">
        <f t="shared" ref="S18:AF18" si="10">SUM(C42:C45)</f>
        <v>21</v>
      </c>
      <c r="T18" s="17">
        <f t="shared" si="10"/>
        <v>0</v>
      </c>
      <c r="U18" s="17">
        <f t="shared" si="10"/>
        <v>4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3</v>
      </c>
      <c r="AA18" s="17">
        <f t="shared" si="10"/>
        <v>0</v>
      </c>
      <c r="AB18" s="17">
        <f t="shared" si="10"/>
        <v>1</v>
      </c>
      <c r="AC18" s="17">
        <f t="shared" si="10"/>
        <v>139</v>
      </c>
      <c r="AD18" s="17">
        <f t="shared" si="10"/>
        <v>0</v>
      </c>
      <c r="AE18" s="31">
        <f t="shared" si="10"/>
        <v>37</v>
      </c>
      <c r="AF18" s="31">
        <f t="shared" si="10"/>
        <v>176</v>
      </c>
    </row>
    <row r="19" spans="2:32" ht="23.1" customHeight="1" x14ac:dyDescent="0.25">
      <c r="B19" s="23" t="s">
        <v>46</v>
      </c>
      <c r="C19" s="50">
        <v>6</v>
      </c>
      <c r="D19" s="50">
        <v>2</v>
      </c>
      <c r="E19" s="50">
        <v>3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24</v>
      </c>
      <c r="N19" s="50">
        <v>0</v>
      </c>
      <c r="O19" s="15">
        <f t="shared" si="0"/>
        <v>12</v>
      </c>
      <c r="P19" s="15">
        <f t="shared" si="1"/>
        <v>36</v>
      </c>
      <c r="R19" s="1" t="s">
        <v>15</v>
      </c>
      <c r="S19" s="17">
        <f t="shared" ref="S19:AF19" si="11">SUM(C46:C49)</f>
        <v>25</v>
      </c>
      <c r="T19" s="17">
        <f t="shared" si="11"/>
        <v>3</v>
      </c>
      <c r="U19" s="17">
        <f t="shared" si="11"/>
        <v>5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2</v>
      </c>
      <c r="AA19" s="17">
        <f t="shared" si="11"/>
        <v>1</v>
      </c>
      <c r="AB19" s="17">
        <f t="shared" si="11"/>
        <v>0</v>
      </c>
      <c r="AC19" s="17">
        <f t="shared" si="11"/>
        <v>191</v>
      </c>
      <c r="AD19" s="17">
        <f t="shared" si="11"/>
        <v>0</v>
      </c>
      <c r="AE19" s="31">
        <f t="shared" si="11"/>
        <v>42</v>
      </c>
      <c r="AF19" s="31">
        <f t="shared" si="11"/>
        <v>233</v>
      </c>
    </row>
    <row r="20" spans="2:32" ht="23.1" customHeight="1" x14ac:dyDescent="0.25">
      <c r="B20" s="23" t="s">
        <v>47</v>
      </c>
      <c r="C20" s="50">
        <v>3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11</v>
      </c>
      <c r="N20" s="50">
        <v>0</v>
      </c>
      <c r="O20" s="15">
        <f t="shared" si="0"/>
        <v>4</v>
      </c>
      <c r="P20" s="15">
        <f t="shared" si="1"/>
        <v>15</v>
      </c>
      <c r="R20" s="1" t="s">
        <v>16</v>
      </c>
      <c r="S20" s="17">
        <f t="shared" ref="S20:AF20" si="12">SUM(C50:C53)</f>
        <v>28</v>
      </c>
      <c r="T20" s="17">
        <f t="shared" si="12"/>
        <v>4</v>
      </c>
      <c r="U20" s="17">
        <f t="shared" si="12"/>
        <v>11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5</v>
      </c>
      <c r="AA20" s="17">
        <f t="shared" si="12"/>
        <v>0</v>
      </c>
      <c r="AB20" s="17">
        <f t="shared" si="12"/>
        <v>0</v>
      </c>
      <c r="AC20" s="17">
        <f t="shared" si="12"/>
        <v>140</v>
      </c>
      <c r="AD20" s="17">
        <f t="shared" si="12"/>
        <v>0</v>
      </c>
      <c r="AE20" s="31">
        <f t="shared" si="12"/>
        <v>53</v>
      </c>
      <c r="AF20" s="31">
        <f t="shared" si="12"/>
        <v>193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3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9</v>
      </c>
      <c r="N21" s="50">
        <v>0</v>
      </c>
      <c r="O21" s="15">
        <f t="shared" si="0"/>
        <v>6</v>
      </c>
      <c r="P21" s="15">
        <f t="shared" si="1"/>
        <v>15</v>
      </c>
      <c r="R21" s="36" t="s">
        <v>20</v>
      </c>
      <c r="S21" s="34">
        <f t="shared" ref="S21:AF21" si="13">SUM(C54:C57)</f>
        <v>25</v>
      </c>
      <c r="T21" s="17">
        <f t="shared" si="13"/>
        <v>0</v>
      </c>
      <c r="U21" s="17">
        <f t="shared" si="13"/>
        <v>4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178</v>
      </c>
      <c r="AD21" s="17">
        <f t="shared" si="13"/>
        <v>0</v>
      </c>
      <c r="AE21" s="31">
        <f t="shared" si="13"/>
        <v>33</v>
      </c>
      <c r="AF21" s="31">
        <f t="shared" si="13"/>
        <v>211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1</v>
      </c>
      <c r="M22" s="50">
        <v>13</v>
      </c>
      <c r="N22" s="50">
        <v>0</v>
      </c>
      <c r="O22" s="15">
        <f t="shared" si="0"/>
        <v>7</v>
      </c>
      <c r="P22" s="15">
        <f t="shared" si="1"/>
        <v>20</v>
      </c>
      <c r="R22" s="38" t="s">
        <v>90</v>
      </c>
      <c r="S22" s="39">
        <f>MAX(S10:S12)</f>
        <v>19</v>
      </c>
      <c r="T22" s="39">
        <f t="shared" ref="T22:AF22" si="14">MAX(T10:T12)</f>
        <v>5</v>
      </c>
      <c r="U22" s="39">
        <f t="shared" si="14"/>
        <v>8</v>
      </c>
      <c r="V22" s="39">
        <f t="shared" si="14"/>
        <v>3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4</v>
      </c>
      <c r="AA22" s="39">
        <f t="shared" si="14"/>
        <v>0</v>
      </c>
      <c r="AB22" s="39">
        <f t="shared" si="14"/>
        <v>1</v>
      </c>
      <c r="AC22" s="39">
        <f t="shared" si="14"/>
        <v>86</v>
      </c>
      <c r="AD22" s="39">
        <f t="shared" si="14"/>
        <v>0</v>
      </c>
      <c r="AE22" s="40">
        <f t="shared" si="14"/>
        <v>33</v>
      </c>
      <c r="AF22" s="40">
        <f t="shared" si="14"/>
        <v>113</v>
      </c>
    </row>
    <row r="23" spans="2:32" ht="23.1" customHeight="1" x14ac:dyDescent="0.25">
      <c r="B23" s="23" t="s">
        <v>50</v>
      </c>
      <c r="C23" s="50">
        <v>7</v>
      </c>
      <c r="D23" s="50">
        <v>1</v>
      </c>
      <c r="E23" s="50">
        <v>1</v>
      </c>
      <c r="F23" s="50">
        <v>1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34</v>
      </c>
      <c r="N23" s="50">
        <v>0</v>
      </c>
      <c r="O23" s="15">
        <f t="shared" si="0"/>
        <v>13</v>
      </c>
      <c r="P23" s="15">
        <f t="shared" si="1"/>
        <v>47</v>
      </c>
      <c r="R23" s="38" t="s">
        <v>91</v>
      </c>
      <c r="S23" s="39">
        <f>MAX(S13:S18)</f>
        <v>32</v>
      </c>
      <c r="T23" s="39">
        <f t="shared" ref="T23:AF23" si="15">MAX(T13:T18)</f>
        <v>3</v>
      </c>
      <c r="U23" s="39">
        <f t="shared" si="15"/>
        <v>8</v>
      </c>
      <c r="V23" s="39">
        <f t="shared" si="15"/>
        <v>5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4</v>
      </c>
      <c r="AA23" s="39">
        <f t="shared" si="15"/>
        <v>0</v>
      </c>
      <c r="AB23" s="39">
        <f t="shared" si="15"/>
        <v>2</v>
      </c>
      <c r="AC23" s="39">
        <f t="shared" si="15"/>
        <v>139</v>
      </c>
      <c r="AD23" s="39">
        <f t="shared" si="15"/>
        <v>0</v>
      </c>
      <c r="AE23" s="40">
        <f t="shared" si="15"/>
        <v>47</v>
      </c>
      <c r="AF23" s="40">
        <f t="shared" si="15"/>
        <v>178</v>
      </c>
    </row>
    <row r="24" spans="2:32" ht="23.1" customHeight="1" x14ac:dyDescent="0.25">
      <c r="B24" s="23" t="s">
        <v>51</v>
      </c>
      <c r="C24" s="50">
        <v>10</v>
      </c>
      <c r="D24" s="50">
        <v>1</v>
      </c>
      <c r="E24" s="50">
        <v>1</v>
      </c>
      <c r="F24" s="50">
        <v>0</v>
      </c>
      <c r="G24" s="50">
        <v>0</v>
      </c>
      <c r="H24" s="50">
        <v>0</v>
      </c>
      <c r="I24" s="50">
        <v>2</v>
      </c>
      <c r="J24" s="50">
        <v>2</v>
      </c>
      <c r="K24" s="50">
        <v>0</v>
      </c>
      <c r="L24" s="50">
        <v>0</v>
      </c>
      <c r="M24" s="50">
        <v>28</v>
      </c>
      <c r="N24" s="50">
        <v>0</v>
      </c>
      <c r="O24" s="15">
        <f t="shared" si="0"/>
        <v>16</v>
      </c>
      <c r="P24" s="15">
        <f t="shared" si="1"/>
        <v>44</v>
      </c>
      <c r="R24" s="38" t="s">
        <v>92</v>
      </c>
      <c r="S24" s="39">
        <f>MAX(S19:S21)</f>
        <v>28</v>
      </c>
      <c r="T24" s="39">
        <f t="shared" ref="T24:AF24" si="16">MAX(T19:T21)</f>
        <v>4</v>
      </c>
      <c r="U24" s="39">
        <f t="shared" si="16"/>
        <v>11</v>
      </c>
      <c r="V24" s="39">
        <f t="shared" si="16"/>
        <v>3</v>
      </c>
      <c r="W24" s="39">
        <f t="shared" si="16"/>
        <v>0</v>
      </c>
      <c r="X24" s="39">
        <f t="shared" si="16"/>
        <v>0</v>
      </c>
      <c r="Y24" s="39">
        <f t="shared" si="16"/>
        <v>3</v>
      </c>
      <c r="Z24" s="39">
        <f t="shared" si="16"/>
        <v>5</v>
      </c>
      <c r="AA24" s="39">
        <f t="shared" si="16"/>
        <v>1</v>
      </c>
      <c r="AB24" s="39">
        <f t="shared" si="16"/>
        <v>0</v>
      </c>
      <c r="AC24" s="39">
        <f t="shared" si="16"/>
        <v>191</v>
      </c>
      <c r="AD24" s="39">
        <f t="shared" si="16"/>
        <v>0</v>
      </c>
      <c r="AE24" s="40">
        <f t="shared" si="16"/>
        <v>53</v>
      </c>
      <c r="AF24" s="40">
        <f t="shared" si="16"/>
        <v>233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21</v>
      </c>
      <c r="N25" s="50">
        <v>0</v>
      </c>
      <c r="O25" s="15">
        <f t="shared" si="0"/>
        <v>4</v>
      </c>
      <c r="P25" s="15">
        <f t="shared" si="1"/>
        <v>25</v>
      </c>
      <c r="R25" s="37" t="s">
        <v>85</v>
      </c>
      <c r="S25" s="35">
        <f t="shared" ref="S25:AF25" si="17">SUM(S10:S12)</f>
        <v>50</v>
      </c>
      <c r="T25" s="16">
        <f t="shared" si="17"/>
        <v>9</v>
      </c>
      <c r="U25" s="16">
        <f t="shared" si="17"/>
        <v>16</v>
      </c>
      <c r="V25" s="16">
        <f t="shared" si="17"/>
        <v>7</v>
      </c>
      <c r="W25" s="16">
        <f t="shared" si="17"/>
        <v>0</v>
      </c>
      <c r="X25" s="16">
        <f t="shared" si="17"/>
        <v>0</v>
      </c>
      <c r="Y25" s="16">
        <f t="shared" si="17"/>
        <v>5</v>
      </c>
      <c r="Z25" s="16">
        <f t="shared" si="17"/>
        <v>5</v>
      </c>
      <c r="AA25" s="16">
        <f t="shared" si="17"/>
        <v>0</v>
      </c>
      <c r="AB25" s="16">
        <f t="shared" si="17"/>
        <v>1</v>
      </c>
      <c r="AC25" s="16">
        <f t="shared" si="17"/>
        <v>207</v>
      </c>
      <c r="AD25" s="16">
        <f t="shared" si="17"/>
        <v>0</v>
      </c>
      <c r="AE25" s="32">
        <f t="shared" si="17"/>
        <v>93</v>
      </c>
      <c r="AF25" s="32">
        <f t="shared" si="17"/>
        <v>300</v>
      </c>
    </row>
    <row r="26" spans="2:32" ht="23.1" customHeight="1" x14ac:dyDescent="0.25">
      <c r="B26" s="23" t="s">
        <v>53</v>
      </c>
      <c r="C26" s="50">
        <v>6</v>
      </c>
      <c r="D26" s="50">
        <v>0</v>
      </c>
      <c r="E26" s="50">
        <v>4</v>
      </c>
      <c r="F26" s="50">
        <v>1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39</v>
      </c>
      <c r="N26" s="50">
        <v>0</v>
      </c>
      <c r="O26" s="15">
        <f t="shared" si="0"/>
        <v>13</v>
      </c>
      <c r="P26" s="15">
        <f t="shared" si="1"/>
        <v>52</v>
      </c>
      <c r="R26" s="28" t="s">
        <v>86</v>
      </c>
      <c r="S26" s="16">
        <f t="shared" ref="S26:AF26" si="18">SUM(S13:S18)</f>
        <v>150</v>
      </c>
      <c r="T26" s="16">
        <f t="shared" si="18"/>
        <v>10</v>
      </c>
      <c r="U26" s="16">
        <f t="shared" si="18"/>
        <v>27</v>
      </c>
      <c r="V26" s="16">
        <f t="shared" si="18"/>
        <v>13</v>
      </c>
      <c r="W26" s="16">
        <f t="shared" si="18"/>
        <v>0</v>
      </c>
      <c r="X26" s="16">
        <f t="shared" si="18"/>
        <v>0</v>
      </c>
      <c r="Y26" s="16">
        <f t="shared" si="18"/>
        <v>26</v>
      </c>
      <c r="Z26" s="16">
        <f t="shared" si="18"/>
        <v>14</v>
      </c>
      <c r="AA26" s="16">
        <f t="shared" si="18"/>
        <v>0</v>
      </c>
      <c r="AB26" s="16">
        <f t="shared" si="18"/>
        <v>5</v>
      </c>
      <c r="AC26" s="16">
        <f t="shared" si="18"/>
        <v>736</v>
      </c>
      <c r="AD26" s="16">
        <f t="shared" si="18"/>
        <v>0</v>
      </c>
      <c r="AE26" s="32">
        <f t="shared" si="18"/>
        <v>245</v>
      </c>
      <c r="AF26" s="32">
        <f t="shared" si="18"/>
        <v>981</v>
      </c>
    </row>
    <row r="27" spans="2:32" ht="23.1" customHeight="1" x14ac:dyDescent="0.25">
      <c r="B27" s="23" t="s">
        <v>54</v>
      </c>
      <c r="C27" s="50">
        <v>9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31</v>
      </c>
      <c r="N27" s="50">
        <v>0</v>
      </c>
      <c r="O27" s="15">
        <f t="shared" si="0"/>
        <v>11</v>
      </c>
      <c r="P27" s="15">
        <f t="shared" si="1"/>
        <v>42</v>
      </c>
      <c r="R27" s="29" t="s">
        <v>87</v>
      </c>
      <c r="S27" s="16">
        <f t="shared" ref="S27:AF27" si="19">SUM(S19:S21)</f>
        <v>78</v>
      </c>
      <c r="T27" s="16">
        <f t="shared" si="19"/>
        <v>7</v>
      </c>
      <c r="U27" s="16">
        <f t="shared" si="19"/>
        <v>20</v>
      </c>
      <c r="V27" s="16">
        <f t="shared" si="19"/>
        <v>7</v>
      </c>
      <c r="W27" s="16">
        <f t="shared" si="19"/>
        <v>0</v>
      </c>
      <c r="X27" s="16">
        <f t="shared" si="19"/>
        <v>0</v>
      </c>
      <c r="Y27" s="16">
        <f t="shared" si="19"/>
        <v>8</v>
      </c>
      <c r="Z27" s="16">
        <f t="shared" si="19"/>
        <v>7</v>
      </c>
      <c r="AA27" s="16">
        <f t="shared" si="19"/>
        <v>1</v>
      </c>
      <c r="AB27" s="16">
        <f t="shared" si="19"/>
        <v>0</v>
      </c>
      <c r="AC27" s="16">
        <f t="shared" si="19"/>
        <v>509</v>
      </c>
      <c r="AD27" s="16">
        <f t="shared" si="19"/>
        <v>0</v>
      </c>
      <c r="AE27" s="32">
        <f t="shared" si="19"/>
        <v>128</v>
      </c>
      <c r="AF27" s="32">
        <f t="shared" si="19"/>
        <v>637</v>
      </c>
    </row>
    <row r="28" spans="2:32" ht="23.1" customHeight="1" x14ac:dyDescent="0.25">
      <c r="B28" s="23" t="s">
        <v>55</v>
      </c>
      <c r="C28" s="50">
        <v>7</v>
      </c>
      <c r="D28" s="50">
        <v>2</v>
      </c>
      <c r="E28" s="50">
        <v>2</v>
      </c>
      <c r="F28" s="50">
        <v>0</v>
      </c>
      <c r="G28" s="50">
        <v>0</v>
      </c>
      <c r="H28" s="50">
        <v>0</v>
      </c>
      <c r="I28" s="50">
        <v>2</v>
      </c>
      <c r="J28" s="50">
        <v>2</v>
      </c>
      <c r="K28" s="50">
        <v>0</v>
      </c>
      <c r="L28" s="50">
        <v>0</v>
      </c>
      <c r="M28" s="50">
        <v>30</v>
      </c>
      <c r="N28" s="50">
        <v>0</v>
      </c>
      <c r="O28" s="15">
        <f t="shared" si="0"/>
        <v>15</v>
      </c>
      <c r="P28" s="15">
        <f t="shared" si="1"/>
        <v>45</v>
      </c>
      <c r="R28" s="5" t="s">
        <v>17</v>
      </c>
      <c r="S28" s="16">
        <f t="shared" ref="S28:AF28" si="20">SUM(S10:S21)</f>
        <v>278</v>
      </c>
      <c r="T28" s="16">
        <f t="shared" si="20"/>
        <v>26</v>
      </c>
      <c r="U28" s="16">
        <f t="shared" si="20"/>
        <v>63</v>
      </c>
      <c r="V28" s="16">
        <f t="shared" si="20"/>
        <v>27</v>
      </c>
      <c r="W28" s="16">
        <f t="shared" si="20"/>
        <v>0</v>
      </c>
      <c r="X28" s="16">
        <f t="shared" si="20"/>
        <v>0</v>
      </c>
      <c r="Y28" s="16">
        <f t="shared" si="20"/>
        <v>39</v>
      </c>
      <c r="Z28" s="16">
        <f t="shared" si="20"/>
        <v>26</v>
      </c>
      <c r="AA28" s="16">
        <f t="shared" si="20"/>
        <v>1</v>
      </c>
      <c r="AB28" s="16">
        <f t="shared" si="20"/>
        <v>6</v>
      </c>
      <c r="AC28" s="16">
        <f t="shared" si="20"/>
        <v>1452</v>
      </c>
      <c r="AD28" s="16">
        <f t="shared" si="20"/>
        <v>0</v>
      </c>
      <c r="AE28" s="32">
        <f t="shared" si="20"/>
        <v>466</v>
      </c>
      <c r="AF28" s="32">
        <f t="shared" si="20"/>
        <v>1918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20</v>
      </c>
      <c r="N29" s="50">
        <v>0</v>
      </c>
      <c r="O29" s="15">
        <f t="shared" si="0"/>
        <v>5</v>
      </c>
      <c r="P29" s="15">
        <f t="shared" si="1"/>
        <v>25</v>
      </c>
      <c r="R29"/>
      <c r="S29" s="20"/>
      <c r="T29" s="19"/>
    </row>
    <row r="30" spans="2:32" ht="23.1" customHeight="1" x14ac:dyDescent="0.25">
      <c r="B30" s="23" t="s">
        <v>57</v>
      </c>
      <c r="C30" s="50">
        <v>10</v>
      </c>
      <c r="D30" s="50">
        <v>1</v>
      </c>
      <c r="E30" s="50">
        <v>3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31</v>
      </c>
      <c r="N30" s="50">
        <v>0</v>
      </c>
      <c r="O30" s="15">
        <f t="shared" si="0"/>
        <v>15</v>
      </c>
      <c r="P30" s="15">
        <f t="shared" si="1"/>
        <v>46</v>
      </c>
    </row>
    <row r="31" spans="2:32" ht="23.1" customHeight="1" x14ac:dyDescent="0.25">
      <c r="B31" s="24" t="s">
        <v>58</v>
      </c>
      <c r="C31" s="50">
        <v>5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26</v>
      </c>
      <c r="N31" s="50">
        <v>0</v>
      </c>
      <c r="O31" s="15">
        <f t="shared" si="0"/>
        <v>6</v>
      </c>
      <c r="P31" s="15">
        <f t="shared" si="1"/>
        <v>32</v>
      </c>
    </row>
    <row r="32" spans="2:32" ht="23.1" customHeight="1" x14ac:dyDescent="0.25">
      <c r="B32" s="24" t="s">
        <v>59</v>
      </c>
      <c r="C32" s="50">
        <v>9</v>
      </c>
      <c r="D32" s="50">
        <v>1</v>
      </c>
      <c r="E32" s="50">
        <v>1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27</v>
      </c>
      <c r="N32" s="50">
        <v>0</v>
      </c>
      <c r="O32" s="15">
        <f t="shared" si="0"/>
        <v>12</v>
      </c>
      <c r="P32" s="15">
        <f t="shared" si="1"/>
        <v>39</v>
      </c>
    </row>
    <row r="33" spans="2:20" ht="23.1" customHeight="1" x14ac:dyDescent="0.25">
      <c r="B33" s="23" t="s">
        <v>60</v>
      </c>
      <c r="C33" s="50">
        <v>8</v>
      </c>
      <c r="D33" s="50">
        <v>1</v>
      </c>
      <c r="E33" s="50">
        <v>0</v>
      </c>
      <c r="F33" s="50">
        <v>1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2</v>
      </c>
      <c r="M33" s="50">
        <v>45</v>
      </c>
      <c r="N33" s="50">
        <v>0</v>
      </c>
      <c r="O33" s="15">
        <f t="shared" si="0"/>
        <v>14</v>
      </c>
      <c r="P33" s="15">
        <f t="shared" si="1"/>
        <v>59</v>
      </c>
    </row>
    <row r="34" spans="2:20" ht="23.1" customHeight="1" x14ac:dyDescent="0.25">
      <c r="B34" s="24" t="s">
        <v>61</v>
      </c>
      <c r="C34" s="50">
        <v>4</v>
      </c>
      <c r="D34" s="50">
        <v>1</v>
      </c>
      <c r="E34" s="50">
        <v>2</v>
      </c>
      <c r="F34" s="50">
        <v>1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49</v>
      </c>
      <c r="N34" s="50">
        <v>0</v>
      </c>
      <c r="O34" s="15">
        <f t="shared" si="0"/>
        <v>10</v>
      </c>
      <c r="P34" s="15">
        <f t="shared" si="1"/>
        <v>59</v>
      </c>
    </row>
    <row r="35" spans="2:20" ht="23.1" customHeight="1" x14ac:dyDescent="0.25">
      <c r="B35" s="24" t="s">
        <v>62</v>
      </c>
      <c r="C35" s="50">
        <v>6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2</v>
      </c>
      <c r="K35" s="50">
        <v>0</v>
      </c>
      <c r="L35" s="50">
        <v>0</v>
      </c>
      <c r="M35" s="50">
        <v>22</v>
      </c>
      <c r="N35" s="50">
        <v>0</v>
      </c>
      <c r="O35" s="15">
        <f t="shared" si="0"/>
        <v>9</v>
      </c>
      <c r="P35" s="15">
        <f t="shared" si="1"/>
        <v>31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3</v>
      </c>
      <c r="P36" s="15">
        <f t="shared" si="1"/>
        <v>11</v>
      </c>
    </row>
    <row r="37" spans="2:20" ht="23.1" customHeight="1" x14ac:dyDescent="0.25">
      <c r="B37" s="23" t="s">
        <v>64</v>
      </c>
      <c r="C37" s="50">
        <v>10</v>
      </c>
      <c r="D37" s="50">
        <v>1</v>
      </c>
      <c r="E37" s="50">
        <v>1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37</v>
      </c>
      <c r="N37" s="50">
        <v>0</v>
      </c>
      <c r="O37" s="15">
        <f t="shared" si="0"/>
        <v>13</v>
      </c>
      <c r="P37" s="15">
        <f t="shared" si="1"/>
        <v>50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39</v>
      </c>
      <c r="N38" s="50">
        <v>0</v>
      </c>
      <c r="O38" s="15">
        <f t="shared" si="0"/>
        <v>7</v>
      </c>
      <c r="P38" s="15">
        <f t="shared" si="1"/>
        <v>46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0</v>
      </c>
      <c r="F39" s="50">
        <v>3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1</v>
      </c>
      <c r="M39" s="50">
        <v>40</v>
      </c>
      <c r="N39" s="50">
        <v>0</v>
      </c>
      <c r="O39" s="15">
        <f t="shared" si="0"/>
        <v>9</v>
      </c>
      <c r="P39" s="15">
        <f t="shared" si="1"/>
        <v>49</v>
      </c>
    </row>
    <row r="40" spans="2:20" ht="23.1" customHeight="1" x14ac:dyDescent="0.25">
      <c r="B40" s="24" t="s">
        <v>67</v>
      </c>
      <c r="C40" s="50">
        <v>11</v>
      </c>
      <c r="D40" s="50">
        <v>1</v>
      </c>
      <c r="E40" s="50">
        <v>2</v>
      </c>
      <c r="F40" s="50">
        <v>0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30</v>
      </c>
      <c r="N40" s="50">
        <v>0</v>
      </c>
      <c r="O40" s="15">
        <f t="shared" si="0"/>
        <v>17</v>
      </c>
      <c r="P40" s="15">
        <f t="shared" si="1"/>
        <v>47</v>
      </c>
    </row>
    <row r="41" spans="2:20" ht="23.1" customHeight="1" x14ac:dyDescent="0.25">
      <c r="B41" s="23" t="s">
        <v>68</v>
      </c>
      <c r="C41" s="50">
        <v>5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27</v>
      </c>
      <c r="N41" s="50">
        <v>0</v>
      </c>
      <c r="O41" s="15">
        <f t="shared" si="0"/>
        <v>9</v>
      </c>
      <c r="P41" s="15">
        <f t="shared" si="1"/>
        <v>36</v>
      </c>
    </row>
    <row r="42" spans="2:20" ht="23.1" customHeight="1" x14ac:dyDescent="0.25">
      <c r="B42" s="24" t="s">
        <v>69</v>
      </c>
      <c r="C42" s="50">
        <v>8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4</v>
      </c>
      <c r="J42" s="50">
        <v>1</v>
      </c>
      <c r="K42" s="50">
        <v>0</v>
      </c>
      <c r="L42" s="50">
        <v>1</v>
      </c>
      <c r="M42" s="50">
        <v>43</v>
      </c>
      <c r="N42" s="50">
        <v>0</v>
      </c>
      <c r="O42" s="15">
        <f t="shared" si="0"/>
        <v>16</v>
      </c>
      <c r="P42" s="15">
        <f t="shared" si="1"/>
        <v>59</v>
      </c>
    </row>
    <row r="43" spans="2:20" ht="23.1" customHeight="1" x14ac:dyDescent="0.25">
      <c r="B43" s="23" t="s">
        <v>70</v>
      </c>
      <c r="C43" s="50">
        <v>6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28</v>
      </c>
      <c r="N43" s="50">
        <v>0</v>
      </c>
      <c r="O43" s="15">
        <f t="shared" si="0"/>
        <v>10</v>
      </c>
      <c r="P43" s="15">
        <f t="shared" si="1"/>
        <v>38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29</v>
      </c>
      <c r="N44" s="50">
        <v>0</v>
      </c>
      <c r="O44" s="15">
        <f t="shared" si="0"/>
        <v>6</v>
      </c>
      <c r="P44" s="15">
        <f t="shared" si="1"/>
        <v>35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2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39</v>
      </c>
      <c r="N45" s="50">
        <v>0</v>
      </c>
      <c r="O45" s="15">
        <f t="shared" si="0"/>
        <v>5</v>
      </c>
      <c r="P45" s="15">
        <f t="shared" si="1"/>
        <v>44</v>
      </c>
    </row>
    <row r="46" spans="2:20" ht="23.1" customHeight="1" x14ac:dyDescent="0.25">
      <c r="B46" s="24" t="s">
        <v>73</v>
      </c>
      <c r="C46" s="50">
        <v>6</v>
      </c>
      <c r="D46" s="50">
        <v>1</v>
      </c>
      <c r="E46" s="50">
        <v>2</v>
      </c>
      <c r="F46" s="50">
        <v>0</v>
      </c>
      <c r="G46" s="50">
        <v>0</v>
      </c>
      <c r="H46" s="50">
        <v>0</v>
      </c>
      <c r="I46" s="50">
        <v>0</v>
      </c>
      <c r="J46" s="50">
        <v>2</v>
      </c>
      <c r="K46" s="50">
        <v>0</v>
      </c>
      <c r="L46" s="50">
        <v>0</v>
      </c>
      <c r="M46" s="50">
        <v>43</v>
      </c>
      <c r="N46" s="50">
        <v>0</v>
      </c>
      <c r="O46" s="15">
        <f t="shared" si="0"/>
        <v>11</v>
      </c>
      <c r="P46" s="15">
        <f t="shared" si="1"/>
        <v>54</v>
      </c>
      <c r="R46" s="8"/>
      <c r="T46"/>
    </row>
    <row r="47" spans="2:20" ht="23.1" customHeight="1" x14ac:dyDescent="0.25">
      <c r="B47" s="24" t="s">
        <v>74</v>
      </c>
      <c r="C47" s="50">
        <v>8</v>
      </c>
      <c r="D47" s="50">
        <v>1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47</v>
      </c>
      <c r="N47" s="50">
        <v>0</v>
      </c>
      <c r="O47" s="15">
        <f t="shared" si="0"/>
        <v>10</v>
      </c>
      <c r="P47" s="15">
        <f t="shared" si="1"/>
        <v>57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0</v>
      </c>
      <c r="E48" s="50">
        <v>1</v>
      </c>
      <c r="F48" s="50">
        <v>1</v>
      </c>
      <c r="G48" s="50">
        <v>0</v>
      </c>
      <c r="H48" s="50">
        <v>0</v>
      </c>
      <c r="I48" s="50">
        <v>2</v>
      </c>
      <c r="J48" s="50">
        <v>0</v>
      </c>
      <c r="K48" s="50">
        <v>1</v>
      </c>
      <c r="L48" s="50">
        <v>0</v>
      </c>
      <c r="M48" s="50">
        <v>51</v>
      </c>
      <c r="N48" s="50">
        <v>0</v>
      </c>
      <c r="O48" s="15">
        <f t="shared" si="0"/>
        <v>9</v>
      </c>
      <c r="P48" s="15">
        <f t="shared" si="1"/>
        <v>60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1</v>
      </c>
      <c r="E49" s="50">
        <v>1</v>
      </c>
      <c r="F49" s="50">
        <v>2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50</v>
      </c>
      <c r="N49" s="50">
        <v>0</v>
      </c>
      <c r="O49" s="15">
        <f t="shared" si="0"/>
        <v>12</v>
      </c>
      <c r="P49" s="15">
        <f t="shared" si="1"/>
        <v>62</v>
      </c>
      <c r="R49" s="8"/>
      <c r="T49"/>
    </row>
    <row r="50" spans="2:20" ht="23.1" customHeight="1" x14ac:dyDescent="0.25">
      <c r="B50" s="24" t="s">
        <v>77</v>
      </c>
      <c r="C50" s="50">
        <v>8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30</v>
      </c>
      <c r="N50" s="50">
        <v>0</v>
      </c>
      <c r="O50" s="15">
        <f t="shared" si="0"/>
        <v>10</v>
      </c>
      <c r="P50" s="15">
        <f t="shared" si="1"/>
        <v>40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1</v>
      </c>
      <c r="E51" s="50">
        <v>7</v>
      </c>
      <c r="F51" s="50">
        <v>2</v>
      </c>
      <c r="G51" s="50">
        <v>0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54</v>
      </c>
      <c r="N51" s="50">
        <v>0</v>
      </c>
      <c r="O51" s="15">
        <f t="shared" si="0"/>
        <v>19</v>
      </c>
      <c r="P51" s="15">
        <f t="shared" si="1"/>
        <v>73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2</v>
      </c>
      <c r="E52" s="50">
        <v>3</v>
      </c>
      <c r="F52" s="50">
        <v>0</v>
      </c>
      <c r="G52" s="50">
        <v>0</v>
      </c>
      <c r="H52" s="50">
        <v>0</v>
      </c>
      <c r="I52" s="50">
        <v>0</v>
      </c>
      <c r="J52" s="50">
        <v>2</v>
      </c>
      <c r="K52" s="50">
        <v>0</v>
      </c>
      <c r="L52" s="50">
        <v>0</v>
      </c>
      <c r="M52" s="50">
        <v>26</v>
      </c>
      <c r="N52" s="50">
        <v>0</v>
      </c>
      <c r="O52" s="15">
        <f t="shared" si="0"/>
        <v>13</v>
      </c>
      <c r="P52" s="15">
        <f t="shared" si="1"/>
        <v>39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1</v>
      </c>
      <c r="E53" s="50">
        <v>1</v>
      </c>
      <c r="F53" s="50">
        <v>0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30</v>
      </c>
      <c r="N53" s="50">
        <v>0</v>
      </c>
      <c r="O53" s="15">
        <f t="shared" si="0"/>
        <v>11</v>
      </c>
      <c r="P53" s="15">
        <f t="shared" si="1"/>
        <v>41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40</v>
      </c>
      <c r="N54" s="50">
        <v>0</v>
      </c>
      <c r="O54" s="15">
        <f t="shared" si="0"/>
        <v>8</v>
      </c>
      <c r="P54" s="15">
        <f t="shared" si="1"/>
        <v>48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35</v>
      </c>
      <c r="N55" s="50">
        <v>0</v>
      </c>
      <c r="O55" s="15">
        <f t="shared" si="0"/>
        <v>5</v>
      </c>
      <c r="P55" s="15">
        <f t="shared" si="1"/>
        <v>40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0</v>
      </c>
      <c r="E56" s="50">
        <v>1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45</v>
      </c>
      <c r="N56" s="50">
        <v>0</v>
      </c>
      <c r="O56" s="15">
        <f t="shared" si="0"/>
        <v>8</v>
      </c>
      <c r="P56" s="15">
        <f t="shared" si="1"/>
        <v>53</v>
      </c>
      <c r="R56" s="8"/>
      <c r="T56"/>
    </row>
    <row r="57" spans="2:20" ht="23.1" customHeight="1" x14ac:dyDescent="0.25">
      <c r="B57" s="23" t="s">
        <v>84</v>
      </c>
      <c r="C57" s="50">
        <v>9</v>
      </c>
      <c r="D57" s="50">
        <v>0</v>
      </c>
      <c r="E57" s="50">
        <v>2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58</v>
      </c>
      <c r="N57" s="50">
        <v>0</v>
      </c>
      <c r="O57" s="15">
        <f t="shared" si="0"/>
        <v>12</v>
      </c>
      <c r="P57" s="15">
        <f t="shared" si="1"/>
        <v>70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278</v>
      </c>
      <c r="D58" s="16">
        <f t="shared" si="21"/>
        <v>26</v>
      </c>
      <c r="E58" s="16">
        <f t="shared" si="21"/>
        <v>63</v>
      </c>
      <c r="F58" s="16">
        <f t="shared" si="21"/>
        <v>27</v>
      </c>
      <c r="G58" s="16">
        <f t="shared" si="21"/>
        <v>0</v>
      </c>
      <c r="H58" s="16">
        <f t="shared" si="21"/>
        <v>0</v>
      </c>
      <c r="I58" s="16">
        <f t="shared" si="21"/>
        <v>39</v>
      </c>
      <c r="J58" s="16">
        <f t="shared" si="21"/>
        <v>26</v>
      </c>
      <c r="K58" s="16">
        <f t="shared" si="21"/>
        <v>1</v>
      </c>
      <c r="L58" s="16">
        <f t="shared" si="21"/>
        <v>6</v>
      </c>
      <c r="M58" s="16">
        <f t="shared" si="21"/>
        <v>1452</v>
      </c>
      <c r="N58" s="16">
        <f t="shared" si="21"/>
        <v>0</v>
      </c>
      <c r="O58" s="16">
        <f t="shared" si="21"/>
        <v>466</v>
      </c>
      <c r="P58" s="16">
        <f t="shared" si="21"/>
        <v>1918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0.14494264859228362</v>
      </c>
      <c r="D59" s="43">
        <f t="shared" si="22"/>
        <v>1.3555787278415016E-2</v>
      </c>
      <c r="E59" s="43">
        <f t="shared" si="22"/>
        <v>3.2846715328467155E-2</v>
      </c>
      <c r="F59" s="43">
        <f t="shared" si="22"/>
        <v>1.4077163712200209E-2</v>
      </c>
      <c r="G59" s="43">
        <f t="shared" si="22"/>
        <v>0</v>
      </c>
      <c r="H59" s="43">
        <f t="shared" si="22"/>
        <v>0</v>
      </c>
      <c r="I59" s="43">
        <f t="shared" si="22"/>
        <v>2.0333680917622523E-2</v>
      </c>
      <c r="J59" s="43">
        <f t="shared" si="22"/>
        <v>1.3555787278415016E-2</v>
      </c>
      <c r="K59" s="43">
        <f t="shared" si="22"/>
        <v>5.2137643378519292E-4</v>
      </c>
      <c r="L59" s="43">
        <f t="shared" si="22"/>
        <v>3.1282586027111575E-3</v>
      </c>
      <c r="M59" s="43">
        <f t="shared" si="22"/>
        <v>0.75703858185610007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0.59656652360515017</v>
      </c>
      <c r="D60" s="44">
        <f t="shared" ref="D60:N60" si="23">D58/$O$58</f>
        <v>5.5793991416309016E-2</v>
      </c>
      <c r="E60" s="44">
        <f t="shared" si="23"/>
        <v>0.13519313304721031</v>
      </c>
      <c r="F60" s="44">
        <f t="shared" si="23"/>
        <v>5.7939914163090127E-2</v>
      </c>
      <c r="G60" s="44">
        <f t="shared" si="23"/>
        <v>0</v>
      </c>
      <c r="H60" s="44">
        <f t="shared" si="23"/>
        <v>0</v>
      </c>
      <c r="I60" s="44">
        <f t="shared" si="23"/>
        <v>8.3690987124463517E-2</v>
      </c>
      <c r="J60" s="44">
        <f t="shared" si="23"/>
        <v>5.5793991416309016E-2</v>
      </c>
      <c r="K60" s="44">
        <f t="shared" si="23"/>
        <v>2.1459227467811159E-3</v>
      </c>
      <c r="L60" s="44">
        <f t="shared" si="23"/>
        <v>1.2875536480686695E-2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HOIMA-KYENJOJO'!C3:G3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'31.10 KYENJOJO-HOIMA'!D5</f>
        <v>31.10.19</v>
      </c>
      <c r="E5" s="3"/>
      <c r="F5" s="41" t="s">
        <v>1</v>
      </c>
      <c r="G5" s="63" t="str">
        <f>'31.10 KYENJOJO-HOIMA'!G5:H5</f>
        <v>KYENJOJO</v>
      </c>
      <c r="H5" s="64"/>
      <c r="I5" s="14"/>
      <c r="J5" s="2" t="s">
        <v>5</v>
      </c>
      <c r="K5" s="63" t="str">
        <f>'31.10 KYENJOJO-HOIMA'!K5:L5</f>
        <v>STEVEN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HOIMA-KYENJOJO'!D6:E6</f>
        <v>HOIMA</v>
      </c>
      <c r="E6" s="64"/>
      <c r="F6" s="2" t="s">
        <v>2</v>
      </c>
      <c r="G6" s="63" t="str">
        <f>'25.10 HOIMA-KYENJOJO'!G6:H6</f>
        <v>KYENJOJO</v>
      </c>
      <c r="H6" s="64"/>
      <c r="J6" s="2" t="s">
        <v>21</v>
      </c>
      <c r="K6" s="63" t="str">
        <f>'31.10 KYENJOJO-HOIMA'!K6:L6</f>
        <v>FELIX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13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17</v>
      </c>
      <c r="R10" s="1" t="s">
        <v>6</v>
      </c>
      <c r="S10" s="17">
        <f t="shared" ref="S10:AF10" si="2">SUM(C10:C13)</f>
        <v>19</v>
      </c>
      <c r="T10" s="17">
        <f t="shared" si="2"/>
        <v>5</v>
      </c>
      <c r="U10" s="17">
        <f t="shared" si="2"/>
        <v>2</v>
      </c>
      <c r="V10" s="17">
        <f t="shared" si="2"/>
        <v>1</v>
      </c>
      <c r="W10" s="17">
        <f t="shared" si="2"/>
        <v>1</v>
      </c>
      <c r="X10" s="17">
        <f t="shared" si="2"/>
        <v>0</v>
      </c>
      <c r="Y10" s="17">
        <f t="shared" si="2"/>
        <v>1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85</v>
      </c>
      <c r="AD10" s="17">
        <f t="shared" si="2"/>
        <v>0</v>
      </c>
      <c r="AE10" s="31">
        <f t="shared" si="2"/>
        <v>30</v>
      </c>
      <c r="AF10" s="31">
        <f t="shared" si="2"/>
        <v>115</v>
      </c>
    </row>
    <row r="11" spans="2:32" s="6" customFormat="1" ht="23.1" customHeight="1" x14ac:dyDescent="0.25">
      <c r="B11" s="23" t="s">
        <v>38</v>
      </c>
      <c r="C11" s="50">
        <v>6</v>
      </c>
      <c r="D11" s="50">
        <v>1</v>
      </c>
      <c r="E11" s="50">
        <v>1</v>
      </c>
      <c r="F11" s="50">
        <v>0</v>
      </c>
      <c r="G11" s="50">
        <v>1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41</v>
      </c>
      <c r="N11" s="50">
        <v>0</v>
      </c>
      <c r="O11" s="15">
        <f t="shared" si="0"/>
        <v>9</v>
      </c>
      <c r="P11" s="15">
        <f t="shared" si="1"/>
        <v>50</v>
      </c>
      <c r="R11" s="1" t="s">
        <v>7</v>
      </c>
      <c r="S11" s="17">
        <f t="shared" ref="S11:AF11" si="3">SUM(C14:C17)</f>
        <v>24</v>
      </c>
      <c r="T11" s="17">
        <f t="shared" si="3"/>
        <v>4</v>
      </c>
      <c r="U11" s="17">
        <f t="shared" si="3"/>
        <v>12</v>
      </c>
      <c r="V11" s="17">
        <f t="shared" si="3"/>
        <v>3</v>
      </c>
      <c r="W11" s="17">
        <f t="shared" si="3"/>
        <v>1</v>
      </c>
      <c r="X11" s="17">
        <f t="shared" si="3"/>
        <v>0</v>
      </c>
      <c r="Y11" s="17">
        <f t="shared" si="3"/>
        <v>1</v>
      </c>
      <c r="Z11" s="17">
        <f t="shared" si="3"/>
        <v>4</v>
      </c>
      <c r="AA11" s="17">
        <f t="shared" si="3"/>
        <v>1</v>
      </c>
      <c r="AB11" s="17">
        <f t="shared" si="3"/>
        <v>1</v>
      </c>
      <c r="AC11" s="17">
        <f t="shared" si="3"/>
        <v>106</v>
      </c>
      <c r="AD11" s="17">
        <f t="shared" si="3"/>
        <v>0</v>
      </c>
      <c r="AE11" s="31">
        <f t="shared" si="3"/>
        <v>51</v>
      </c>
      <c r="AF11" s="31">
        <f t="shared" si="3"/>
        <v>157</v>
      </c>
    </row>
    <row r="12" spans="2:32" ht="23.1" customHeight="1" x14ac:dyDescent="0.25">
      <c r="B12" s="23" t="s">
        <v>39</v>
      </c>
      <c r="C12" s="50">
        <v>5</v>
      </c>
      <c r="D12" s="50">
        <v>3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22</v>
      </c>
      <c r="N12" s="50">
        <v>0</v>
      </c>
      <c r="O12" s="15">
        <f t="shared" si="0"/>
        <v>9</v>
      </c>
      <c r="P12" s="15">
        <f t="shared" si="1"/>
        <v>31</v>
      </c>
      <c r="R12" s="1" t="s">
        <v>8</v>
      </c>
      <c r="S12" s="17">
        <f t="shared" ref="S12:AF12" si="4">SUM(C18:C21)</f>
        <v>20</v>
      </c>
      <c r="T12" s="17">
        <f t="shared" si="4"/>
        <v>4</v>
      </c>
      <c r="U12" s="17">
        <f t="shared" si="4"/>
        <v>8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102</v>
      </c>
      <c r="AD12" s="17">
        <f t="shared" si="4"/>
        <v>0</v>
      </c>
      <c r="AE12" s="31">
        <f t="shared" si="4"/>
        <v>37</v>
      </c>
      <c r="AF12" s="31">
        <f t="shared" si="4"/>
        <v>139</v>
      </c>
    </row>
    <row r="13" spans="2:32" ht="23.1" customHeight="1" x14ac:dyDescent="0.25">
      <c r="B13" s="23" t="s">
        <v>40</v>
      </c>
      <c r="C13" s="50">
        <v>5</v>
      </c>
      <c r="D13" s="50">
        <v>1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8</v>
      </c>
      <c r="P13" s="15">
        <f t="shared" si="1"/>
        <v>17</v>
      </c>
      <c r="R13" s="1" t="s">
        <v>9</v>
      </c>
      <c r="S13" s="17">
        <f t="shared" ref="S13:AF13" si="5">SUM(C22:C25)</f>
        <v>23</v>
      </c>
      <c r="T13" s="17">
        <f t="shared" si="5"/>
        <v>2</v>
      </c>
      <c r="U13" s="17">
        <f t="shared" si="5"/>
        <v>4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81</v>
      </c>
      <c r="AD13" s="17">
        <f t="shared" si="5"/>
        <v>0</v>
      </c>
      <c r="AE13" s="31">
        <f t="shared" si="5"/>
        <v>36</v>
      </c>
      <c r="AF13" s="31">
        <f t="shared" si="5"/>
        <v>117</v>
      </c>
    </row>
    <row r="14" spans="2:32" ht="23.1" customHeight="1" x14ac:dyDescent="0.25">
      <c r="B14" s="23" t="s">
        <v>41</v>
      </c>
      <c r="C14" s="50">
        <v>5</v>
      </c>
      <c r="D14" s="50">
        <v>1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1</v>
      </c>
      <c r="M14" s="50">
        <v>17</v>
      </c>
      <c r="N14" s="50">
        <v>0</v>
      </c>
      <c r="O14" s="15">
        <f t="shared" si="0"/>
        <v>10</v>
      </c>
      <c r="P14" s="15">
        <f t="shared" si="1"/>
        <v>27</v>
      </c>
      <c r="R14" s="1" t="s">
        <v>10</v>
      </c>
      <c r="S14" s="17">
        <f t="shared" ref="S14:AF14" si="6">SUM(C26:C29)</f>
        <v>29</v>
      </c>
      <c r="T14" s="17">
        <f t="shared" si="6"/>
        <v>3</v>
      </c>
      <c r="U14" s="17">
        <f t="shared" si="6"/>
        <v>3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5</v>
      </c>
      <c r="AA14" s="17">
        <f t="shared" si="6"/>
        <v>2</v>
      </c>
      <c r="AB14" s="17">
        <f t="shared" si="6"/>
        <v>0</v>
      </c>
      <c r="AC14" s="17">
        <f t="shared" si="6"/>
        <v>170</v>
      </c>
      <c r="AD14" s="17">
        <f t="shared" si="6"/>
        <v>0</v>
      </c>
      <c r="AE14" s="31">
        <f t="shared" si="6"/>
        <v>46</v>
      </c>
      <c r="AF14" s="31">
        <f t="shared" si="6"/>
        <v>216</v>
      </c>
    </row>
    <row r="15" spans="2:32" ht="23.1" customHeight="1" x14ac:dyDescent="0.25">
      <c r="B15" s="23" t="s">
        <v>42</v>
      </c>
      <c r="C15" s="50">
        <v>7</v>
      </c>
      <c r="D15" s="50">
        <v>1</v>
      </c>
      <c r="E15" s="50">
        <v>3</v>
      </c>
      <c r="F15" s="50">
        <v>0</v>
      </c>
      <c r="G15" s="50">
        <v>1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31</v>
      </c>
      <c r="N15" s="50">
        <v>0</v>
      </c>
      <c r="O15" s="15">
        <f t="shared" si="0"/>
        <v>13</v>
      </c>
      <c r="P15" s="15">
        <f t="shared" si="1"/>
        <v>44</v>
      </c>
      <c r="R15" s="1" t="s">
        <v>11</v>
      </c>
      <c r="S15" s="17">
        <f t="shared" ref="S15:AF15" si="7">SUM(C30:C33)</f>
        <v>20</v>
      </c>
      <c r="T15" s="17">
        <f t="shared" si="7"/>
        <v>3</v>
      </c>
      <c r="U15" s="17">
        <f t="shared" si="7"/>
        <v>1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132</v>
      </c>
      <c r="AD15" s="17">
        <f t="shared" si="7"/>
        <v>1</v>
      </c>
      <c r="AE15" s="31">
        <f t="shared" si="7"/>
        <v>28</v>
      </c>
      <c r="AF15" s="31">
        <f t="shared" si="7"/>
        <v>160</v>
      </c>
    </row>
    <row r="16" spans="2:32" ht="23.1" customHeight="1" x14ac:dyDescent="0.25">
      <c r="B16" s="23" t="s">
        <v>43</v>
      </c>
      <c r="C16" s="50">
        <v>8</v>
      </c>
      <c r="D16" s="50">
        <v>1</v>
      </c>
      <c r="E16" s="50">
        <v>2</v>
      </c>
      <c r="F16" s="50">
        <v>1</v>
      </c>
      <c r="G16" s="50">
        <v>0</v>
      </c>
      <c r="H16" s="50">
        <v>0</v>
      </c>
      <c r="I16" s="50">
        <v>0</v>
      </c>
      <c r="J16" s="50">
        <v>1</v>
      </c>
      <c r="K16" s="50">
        <v>1</v>
      </c>
      <c r="L16" s="50">
        <v>0</v>
      </c>
      <c r="M16" s="50">
        <v>30</v>
      </c>
      <c r="N16" s="50">
        <v>0</v>
      </c>
      <c r="O16" s="15">
        <f t="shared" si="0"/>
        <v>14</v>
      </c>
      <c r="P16" s="15">
        <f t="shared" si="1"/>
        <v>44</v>
      </c>
      <c r="R16" s="1" t="s">
        <v>12</v>
      </c>
      <c r="S16" s="17">
        <f t="shared" ref="S16:AF16" si="8">SUM(C34:C37)</f>
        <v>17</v>
      </c>
      <c r="T16" s="17">
        <f t="shared" si="8"/>
        <v>6</v>
      </c>
      <c r="U16" s="17">
        <f t="shared" si="8"/>
        <v>8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2</v>
      </c>
      <c r="AA16" s="17">
        <f t="shared" si="8"/>
        <v>2</v>
      </c>
      <c r="AB16" s="17">
        <f t="shared" si="8"/>
        <v>0</v>
      </c>
      <c r="AC16" s="17">
        <f t="shared" si="8"/>
        <v>122</v>
      </c>
      <c r="AD16" s="17">
        <f t="shared" si="8"/>
        <v>0</v>
      </c>
      <c r="AE16" s="31">
        <f t="shared" si="8"/>
        <v>39</v>
      </c>
      <c r="AF16" s="31">
        <f t="shared" si="8"/>
        <v>161</v>
      </c>
    </row>
    <row r="17" spans="2:32" ht="23.1" customHeight="1" x14ac:dyDescent="0.25">
      <c r="B17" s="23" t="s">
        <v>44</v>
      </c>
      <c r="C17" s="50">
        <v>4</v>
      </c>
      <c r="D17" s="50">
        <v>1</v>
      </c>
      <c r="E17" s="50">
        <v>6</v>
      </c>
      <c r="F17" s="50">
        <v>2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28</v>
      </c>
      <c r="N17" s="50">
        <v>0</v>
      </c>
      <c r="O17" s="15">
        <f t="shared" si="0"/>
        <v>14</v>
      </c>
      <c r="P17" s="15">
        <f t="shared" si="1"/>
        <v>42</v>
      </c>
      <c r="R17" s="1" t="s">
        <v>13</v>
      </c>
      <c r="S17" s="17">
        <f t="shared" ref="S17:AF17" si="9">SUM(C38:C41)</f>
        <v>24</v>
      </c>
      <c r="T17" s="17">
        <f t="shared" si="9"/>
        <v>1</v>
      </c>
      <c r="U17" s="17">
        <f t="shared" si="9"/>
        <v>2</v>
      </c>
      <c r="V17" s="17">
        <f t="shared" si="9"/>
        <v>6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1</v>
      </c>
      <c r="AA17" s="17">
        <f t="shared" si="9"/>
        <v>6</v>
      </c>
      <c r="AB17" s="17">
        <f t="shared" si="9"/>
        <v>0</v>
      </c>
      <c r="AC17" s="17">
        <f t="shared" si="9"/>
        <v>120</v>
      </c>
      <c r="AD17" s="17">
        <f t="shared" si="9"/>
        <v>0</v>
      </c>
      <c r="AE17" s="31">
        <f t="shared" si="9"/>
        <v>41</v>
      </c>
      <c r="AF17" s="31">
        <f t="shared" si="9"/>
        <v>161</v>
      </c>
    </row>
    <row r="18" spans="2:32" ht="23.1" customHeight="1" x14ac:dyDescent="0.25">
      <c r="B18" s="23" t="s">
        <v>45</v>
      </c>
      <c r="C18" s="50">
        <v>6</v>
      </c>
      <c r="D18" s="50">
        <v>2</v>
      </c>
      <c r="E18" s="50">
        <v>2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26</v>
      </c>
      <c r="N18" s="50">
        <v>0</v>
      </c>
      <c r="O18" s="15">
        <f t="shared" si="0"/>
        <v>11</v>
      </c>
      <c r="P18" s="15">
        <f t="shared" si="1"/>
        <v>37</v>
      </c>
      <c r="R18" s="1" t="s">
        <v>14</v>
      </c>
      <c r="S18" s="17">
        <f t="shared" ref="S18:AF18" si="10">SUM(C42:C45)</f>
        <v>21</v>
      </c>
      <c r="T18" s="17">
        <f t="shared" si="10"/>
        <v>1</v>
      </c>
      <c r="U18" s="17">
        <f t="shared" si="10"/>
        <v>4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9</v>
      </c>
      <c r="AA18" s="17">
        <f t="shared" si="10"/>
        <v>0</v>
      </c>
      <c r="AB18" s="17">
        <f t="shared" si="10"/>
        <v>0</v>
      </c>
      <c r="AC18" s="17">
        <f t="shared" si="10"/>
        <v>139</v>
      </c>
      <c r="AD18" s="17">
        <f t="shared" si="10"/>
        <v>0</v>
      </c>
      <c r="AE18" s="31">
        <f t="shared" si="10"/>
        <v>37</v>
      </c>
      <c r="AF18" s="31">
        <f t="shared" si="10"/>
        <v>176</v>
      </c>
    </row>
    <row r="19" spans="2:32" ht="23.1" customHeight="1" x14ac:dyDescent="0.25">
      <c r="B19" s="23" t="s">
        <v>46</v>
      </c>
      <c r="C19" s="50">
        <v>5</v>
      </c>
      <c r="D19" s="50">
        <v>2</v>
      </c>
      <c r="E19" s="50">
        <v>5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1</v>
      </c>
      <c r="L19" s="50">
        <v>0</v>
      </c>
      <c r="M19" s="50">
        <v>40</v>
      </c>
      <c r="N19" s="50">
        <v>0</v>
      </c>
      <c r="O19" s="15">
        <f t="shared" si="0"/>
        <v>14</v>
      </c>
      <c r="P19" s="15">
        <f t="shared" si="1"/>
        <v>54</v>
      </c>
      <c r="R19" s="1" t="s">
        <v>15</v>
      </c>
      <c r="S19" s="17">
        <f t="shared" ref="S19:AF19" si="11">SUM(C46:C49)</f>
        <v>19</v>
      </c>
      <c r="T19" s="17">
        <f t="shared" si="11"/>
        <v>4</v>
      </c>
      <c r="U19" s="17">
        <f t="shared" si="11"/>
        <v>1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4</v>
      </c>
      <c r="AA19" s="17">
        <f t="shared" si="11"/>
        <v>0</v>
      </c>
      <c r="AB19" s="17">
        <f t="shared" si="11"/>
        <v>0</v>
      </c>
      <c r="AC19" s="17">
        <f t="shared" si="11"/>
        <v>174</v>
      </c>
      <c r="AD19" s="17">
        <f t="shared" si="11"/>
        <v>0</v>
      </c>
      <c r="AE19" s="31">
        <f t="shared" si="11"/>
        <v>34</v>
      </c>
      <c r="AF19" s="31">
        <f t="shared" si="11"/>
        <v>208</v>
      </c>
    </row>
    <row r="20" spans="2:32" ht="23.1" customHeight="1" x14ac:dyDescent="0.25">
      <c r="B20" s="23" t="s">
        <v>47</v>
      </c>
      <c r="C20" s="50">
        <v>5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20</v>
      </c>
      <c r="N20" s="50">
        <v>0</v>
      </c>
      <c r="O20" s="15">
        <f t="shared" si="0"/>
        <v>6</v>
      </c>
      <c r="P20" s="15">
        <f t="shared" si="1"/>
        <v>26</v>
      </c>
      <c r="R20" s="1" t="s">
        <v>16</v>
      </c>
      <c r="S20" s="17">
        <f t="shared" ref="S20:AF20" si="12">SUM(C50:C53)</f>
        <v>16</v>
      </c>
      <c r="T20" s="17">
        <f t="shared" si="12"/>
        <v>4</v>
      </c>
      <c r="U20" s="17">
        <f t="shared" si="12"/>
        <v>4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3</v>
      </c>
      <c r="AB20" s="17">
        <f t="shared" si="12"/>
        <v>0</v>
      </c>
      <c r="AC20" s="17">
        <f t="shared" si="12"/>
        <v>180</v>
      </c>
      <c r="AD20" s="17">
        <f t="shared" si="12"/>
        <v>0</v>
      </c>
      <c r="AE20" s="31">
        <f t="shared" si="12"/>
        <v>31</v>
      </c>
      <c r="AF20" s="31">
        <f t="shared" si="12"/>
        <v>211</v>
      </c>
    </row>
    <row r="21" spans="2:32" ht="23.1" customHeight="1" x14ac:dyDescent="0.25">
      <c r="B21" s="23" t="s">
        <v>48</v>
      </c>
      <c r="C21" s="50">
        <v>4</v>
      </c>
      <c r="D21" s="50">
        <v>0</v>
      </c>
      <c r="E21" s="50">
        <v>1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16</v>
      </c>
      <c r="N21" s="50">
        <v>0</v>
      </c>
      <c r="O21" s="15">
        <f t="shared" si="0"/>
        <v>6</v>
      </c>
      <c r="P21" s="15">
        <f t="shared" si="1"/>
        <v>22</v>
      </c>
      <c r="R21" s="36" t="s">
        <v>20</v>
      </c>
      <c r="S21" s="34">
        <f t="shared" ref="S21:AF21" si="13">SUM(C54:C57)</f>
        <v>23</v>
      </c>
      <c r="T21" s="17">
        <f t="shared" si="13"/>
        <v>4</v>
      </c>
      <c r="U21" s="17">
        <f t="shared" si="13"/>
        <v>4</v>
      </c>
      <c r="V21" s="17">
        <f t="shared" si="13"/>
        <v>6</v>
      </c>
      <c r="W21" s="17">
        <f t="shared" si="13"/>
        <v>0</v>
      </c>
      <c r="X21" s="17">
        <f t="shared" si="13"/>
        <v>2</v>
      </c>
      <c r="Y21" s="17">
        <f t="shared" si="13"/>
        <v>9</v>
      </c>
      <c r="Z21" s="17">
        <f t="shared" si="13"/>
        <v>3</v>
      </c>
      <c r="AA21" s="17">
        <f t="shared" si="13"/>
        <v>5</v>
      </c>
      <c r="AB21" s="17">
        <f t="shared" si="13"/>
        <v>0</v>
      </c>
      <c r="AC21" s="17">
        <f t="shared" si="13"/>
        <v>142</v>
      </c>
      <c r="AD21" s="17">
        <f t="shared" si="13"/>
        <v>0</v>
      </c>
      <c r="AE21" s="31">
        <f t="shared" si="13"/>
        <v>56</v>
      </c>
      <c r="AF21" s="31">
        <f t="shared" si="13"/>
        <v>198</v>
      </c>
    </row>
    <row r="22" spans="2:32" ht="23.1" customHeight="1" x14ac:dyDescent="0.25">
      <c r="B22" s="23" t="s">
        <v>49</v>
      </c>
      <c r="C22" s="50">
        <v>4</v>
      </c>
      <c r="D22" s="50">
        <v>1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12</v>
      </c>
      <c r="N22" s="50">
        <v>0</v>
      </c>
      <c r="O22" s="15">
        <f t="shared" si="0"/>
        <v>8</v>
      </c>
      <c r="P22" s="15">
        <f t="shared" si="1"/>
        <v>20</v>
      </c>
      <c r="R22" s="38" t="s">
        <v>90</v>
      </c>
      <c r="S22" s="39">
        <f>MAX(S10:S12)</f>
        <v>24</v>
      </c>
      <c r="T22" s="39">
        <f t="shared" ref="T22:AF22" si="14">MAX(T10:T12)</f>
        <v>5</v>
      </c>
      <c r="U22" s="39">
        <f t="shared" si="14"/>
        <v>12</v>
      </c>
      <c r="V22" s="39">
        <f t="shared" si="14"/>
        <v>3</v>
      </c>
      <c r="W22" s="39">
        <f t="shared" si="14"/>
        <v>1</v>
      </c>
      <c r="X22" s="39">
        <f t="shared" si="14"/>
        <v>0</v>
      </c>
      <c r="Y22" s="39">
        <f t="shared" si="14"/>
        <v>1</v>
      </c>
      <c r="Z22" s="39">
        <f t="shared" si="14"/>
        <v>4</v>
      </c>
      <c r="AA22" s="39">
        <f t="shared" si="14"/>
        <v>1</v>
      </c>
      <c r="AB22" s="39">
        <f t="shared" si="14"/>
        <v>1</v>
      </c>
      <c r="AC22" s="39">
        <f t="shared" si="14"/>
        <v>106</v>
      </c>
      <c r="AD22" s="39">
        <f t="shared" si="14"/>
        <v>0</v>
      </c>
      <c r="AE22" s="40">
        <f t="shared" si="14"/>
        <v>51</v>
      </c>
      <c r="AF22" s="40">
        <f t="shared" si="14"/>
        <v>157</v>
      </c>
    </row>
    <row r="23" spans="2:32" ht="23.1" customHeight="1" x14ac:dyDescent="0.25">
      <c r="B23" s="23" t="s">
        <v>50</v>
      </c>
      <c r="C23" s="50">
        <v>5</v>
      </c>
      <c r="D23" s="50">
        <v>1</v>
      </c>
      <c r="E23" s="50">
        <v>2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23</v>
      </c>
      <c r="N23" s="50">
        <v>0</v>
      </c>
      <c r="O23" s="15">
        <f t="shared" si="0"/>
        <v>9</v>
      </c>
      <c r="P23" s="15">
        <f t="shared" si="1"/>
        <v>32</v>
      </c>
      <c r="R23" s="38" t="s">
        <v>91</v>
      </c>
      <c r="S23" s="39">
        <f>MAX(S13:S18)</f>
        <v>29</v>
      </c>
      <c r="T23" s="39">
        <f t="shared" ref="T23:AF23" si="15">MAX(T13:T18)</f>
        <v>6</v>
      </c>
      <c r="U23" s="39">
        <f t="shared" si="15"/>
        <v>8</v>
      </c>
      <c r="V23" s="39">
        <f t="shared" si="15"/>
        <v>6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9</v>
      </c>
      <c r="AA23" s="39">
        <f t="shared" si="15"/>
        <v>6</v>
      </c>
      <c r="AB23" s="39">
        <f t="shared" si="15"/>
        <v>0</v>
      </c>
      <c r="AC23" s="39">
        <f t="shared" si="15"/>
        <v>170</v>
      </c>
      <c r="AD23" s="39">
        <f t="shared" si="15"/>
        <v>1</v>
      </c>
      <c r="AE23" s="40">
        <f t="shared" si="15"/>
        <v>46</v>
      </c>
      <c r="AF23" s="40">
        <f t="shared" si="15"/>
        <v>216</v>
      </c>
    </row>
    <row r="24" spans="2:32" ht="23.1" customHeight="1" x14ac:dyDescent="0.25">
      <c r="B24" s="23" t="s">
        <v>51</v>
      </c>
      <c r="C24" s="50">
        <v>7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31</v>
      </c>
      <c r="N24" s="50">
        <v>0</v>
      </c>
      <c r="O24" s="15">
        <f t="shared" si="0"/>
        <v>9</v>
      </c>
      <c r="P24" s="15">
        <f t="shared" si="1"/>
        <v>40</v>
      </c>
      <c r="R24" s="38" t="s">
        <v>92</v>
      </c>
      <c r="S24" s="39">
        <f>MAX(S19:S21)</f>
        <v>23</v>
      </c>
      <c r="T24" s="39">
        <f t="shared" ref="T24:AF24" si="16">MAX(T19:T21)</f>
        <v>4</v>
      </c>
      <c r="U24" s="39">
        <f t="shared" si="16"/>
        <v>4</v>
      </c>
      <c r="V24" s="39">
        <f t="shared" si="16"/>
        <v>6</v>
      </c>
      <c r="W24" s="39">
        <f t="shared" si="16"/>
        <v>0</v>
      </c>
      <c r="X24" s="39">
        <f t="shared" si="16"/>
        <v>2</v>
      </c>
      <c r="Y24" s="39">
        <f t="shared" si="16"/>
        <v>9</v>
      </c>
      <c r="Z24" s="39">
        <f t="shared" si="16"/>
        <v>4</v>
      </c>
      <c r="AA24" s="39">
        <f t="shared" si="16"/>
        <v>5</v>
      </c>
      <c r="AB24" s="39">
        <f t="shared" si="16"/>
        <v>0</v>
      </c>
      <c r="AC24" s="39">
        <f t="shared" si="16"/>
        <v>180</v>
      </c>
      <c r="AD24" s="39">
        <f t="shared" si="16"/>
        <v>0</v>
      </c>
      <c r="AE24" s="40">
        <f t="shared" si="16"/>
        <v>56</v>
      </c>
      <c r="AF24" s="40">
        <f t="shared" si="16"/>
        <v>211</v>
      </c>
    </row>
    <row r="25" spans="2:32" ht="23.1" customHeight="1" x14ac:dyDescent="0.25">
      <c r="B25" s="23" t="s">
        <v>52</v>
      </c>
      <c r="C25" s="50">
        <v>7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2</v>
      </c>
      <c r="K25" s="50">
        <v>0</v>
      </c>
      <c r="L25" s="50">
        <v>0</v>
      </c>
      <c r="M25" s="50">
        <v>15</v>
      </c>
      <c r="N25" s="50">
        <v>0</v>
      </c>
      <c r="O25" s="15">
        <f t="shared" si="0"/>
        <v>10</v>
      </c>
      <c r="P25" s="15">
        <f t="shared" si="1"/>
        <v>25</v>
      </c>
      <c r="R25" s="37" t="s">
        <v>85</v>
      </c>
      <c r="S25" s="35">
        <f t="shared" ref="S25:AF25" si="17">SUM(S10:S12)</f>
        <v>63</v>
      </c>
      <c r="T25" s="16">
        <f t="shared" si="17"/>
        <v>13</v>
      </c>
      <c r="U25" s="16">
        <f t="shared" si="17"/>
        <v>22</v>
      </c>
      <c r="V25" s="16">
        <f t="shared" si="17"/>
        <v>6</v>
      </c>
      <c r="W25" s="16">
        <f t="shared" si="17"/>
        <v>2</v>
      </c>
      <c r="X25" s="16">
        <f t="shared" si="17"/>
        <v>0</v>
      </c>
      <c r="Y25" s="16">
        <f t="shared" si="17"/>
        <v>2</v>
      </c>
      <c r="Z25" s="16">
        <f t="shared" si="17"/>
        <v>7</v>
      </c>
      <c r="AA25" s="16">
        <f t="shared" si="17"/>
        <v>2</v>
      </c>
      <c r="AB25" s="16">
        <f t="shared" si="17"/>
        <v>1</v>
      </c>
      <c r="AC25" s="16">
        <f t="shared" si="17"/>
        <v>293</v>
      </c>
      <c r="AD25" s="16">
        <f t="shared" si="17"/>
        <v>0</v>
      </c>
      <c r="AE25" s="32">
        <f t="shared" si="17"/>
        <v>118</v>
      </c>
      <c r="AF25" s="32">
        <f t="shared" si="17"/>
        <v>411</v>
      </c>
    </row>
    <row r="26" spans="2:32" ht="23.1" customHeight="1" x14ac:dyDescent="0.25">
      <c r="B26" s="23" t="s">
        <v>53</v>
      </c>
      <c r="C26" s="50">
        <v>5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30</v>
      </c>
      <c r="N26" s="50">
        <v>0</v>
      </c>
      <c r="O26" s="15">
        <f t="shared" si="0"/>
        <v>6</v>
      </c>
      <c r="P26" s="15">
        <f t="shared" si="1"/>
        <v>36</v>
      </c>
      <c r="R26" s="28" t="s">
        <v>86</v>
      </c>
      <c r="S26" s="16">
        <f t="shared" ref="S26:AF26" si="18">SUM(S13:S18)</f>
        <v>134</v>
      </c>
      <c r="T26" s="16">
        <f t="shared" si="18"/>
        <v>16</v>
      </c>
      <c r="U26" s="16">
        <f t="shared" si="18"/>
        <v>22</v>
      </c>
      <c r="V26" s="16">
        <f t="shared" si="18"/>
        <v>11</v>
      </c>
      <c r="W26" s="16">
        <f t="shared" si="18"/>
        <v>0</v>
      </c>
      <c r="X26" s="16">
        <f t="shared" si="18"/>
        <v>0</v>
      </c>
      <c r="Y26" s="16">
        <f t="shared" si="18"/>
        <v>11</v>
      </c>
      <c r="Z26" s="16">
        <f t="shared" si="18"/>
        <v>22</v>
      </c>
      <c r="AA26" s="16">
        <f t="shared" si="18"/>
        <v>10</v>
      </c>
      <c r="AB26" s="16">
        <f t="shared" si="18"/>
        <v>0</v>
      </c>
      <c r="AC26" s="16">
        <f t="shared" si="18"/>
        <v>764</v>
      </c>
      <c r="AD26" s="16">
        <f t="shared" si="18"/>
        <v>1</v>
      </c>
      <c r="AE26" s="32">
        <f t="shared" si="18"/>
        <v>227</v>
      </c>
      <c r="AF26" s="32">
        <f t="shared" si="18"/>
        <v>991</v>
      </c>
    </row>
    <row r="27" spans="2:32" ht="23.1" customHeight="1" x14ac:dyDescent="0.25">
      <c r="B27" s="23" t="s">
        <v>54</v>
      </c>
      <c r="C27" s="50">
        <v>7</v>
      </c>
      <c r="D27" s="50">
        <v>1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2</v>
      </c>
      <c r="K27" s="50">
        <v>2</v>
      </c>
      <c r="L27" s="50">
        <v>0</v>
      </c>
      <c r="M27" s="50">
        <v>53</v>
      </c>
      <c r="N27" s="50">
        <v>0</v>
      </c>
      <c r="O27" s="15">
        <f t="shared" si="0"/>
        <v>14</v>
      </c>
      <c r="P27" s="15">
        <f t="shared" si="1"/>
        <v>67</v>
      </c>
      <c r="R27" s="29" t="s">
        <v>87</v>
      </c>
      <c r="S27" s="16">
        <f t="shared" ref="S27:AF27" si="19">SUM(S19:S21)</f>
        <v>58</v>
      </c>
      <c r="T27" s="16">
        <f t="shared" si="19"/>
        <v>12</v>
      </c>
      <c r="U27" s="16">
        <f t="shared" si="19"/>
        <v>9</v>
      </c>
      <c r="V27" s="16">
        <f t="shared" si="19"/>
        <v>9</v>
      </c>
      <c r="W27" s="16">
        <f t="shared" si="19"/>
        <v>0</v>
      </c>
      <c r="X27" s="16">
        <f t="shared" si="19"/>
        <v>2</v>
      </c>
      <c r="Y27" s="16">
        <f t="shared" si="19"/>
        <v>15</v>
      </c>
      <c r="Z27" s="16">
        <f t="shared" si="19"/>
        <v>8</v>
      </c>
      <c r="AA27" s="16">
        <f t="shared" si="19"/>
        <v>8</v>
      </c>
      <c r="AB27" s="16">
        <f t="shared" si="19"/>
        <v>0</v>
      </c>
      <c r="AC27" s="16">
        <f t="shared" si="19"/>
        <v>496</v>
      </c>
      <c r="AD27" s="16">
        <f t="shared" si="19"/>
        <v>0</v>
      </c>
      <c r="AE27" s="32">
        <f t="shared" si="19"/>
        <v>121</v>
      </c>
      <c r="AF27" s="32">
        <f t="shared" si="19"/>
        <v>617</v>
      </c>
    </row>
    <row r="28" spans="2:32" ht="23.1" customHeight="1" x14ac:dyDescent="0.25">
      <c r="B28" s="23" t="s">
        <v>55</v>
      </c>
      <c r="C28" s="50">
        <v>13</v>
      </c>
      <c r="D28" s="50">
        <v>0</v>
      </c>
      <c r="E28" s="50">
        <v>2</v>
      </c>
      <c r="F28" s="50">
        <v>1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44</v>
      </c>
      <c r="N28" s="50">
        <v>0</v>
      </c>
      <c r="O28" s="15">
        <f t="shared" si="0"/>
        <v>17</v>
      </c>
      <c r="P28" s="15">
        <f t="shared" si="1"/>
        <v>61</v>
      </c>
      <c r="R28" s="5" t="s">
        <v>17</v>
      </c>
      <c r="S28" s="16">
        <f t="shared" ref="S28:AF28" si="20">SUM(S10:S21)</f>
        <v>255</v>
      </c>
      <c r="T28" s="16">
        <f t="shared" si="20"/>
        <v>41</v>
      </c>
      <c r="U28" s="16">
        <f t="shared" si="20"/>
        <v>53</v>
      </c>
      <c r="V28" s="16">
        <f t="shared" si="20"/>
        <v>26</v>
      </c>
      <c r="W28" s="16">
        <f t="shared" si="20"/>
        <v>2</v>
      </c>
      <c r="X28" s="16">
        <f t="shared" si="20"/>
        <v>2</v>
      </c>
      <c r="Y28" s="16">
        <f t="shared" si="20"/>
        <v>28</v>
      </c>
      <c r="Z28" s="16">
        <f t="shared" si="20"/>
        <v>37</v>
      </c>
      <c r="AA28" s="16">
        <f t="shared" si="20"/>
        <v>20</v>
      </c>
      <c r="AB28" s="16">
        <f t="shared" si="20"/>
        <v>1</v>
      </c>
      <c r="AC28" s="16">
        <f t="shared" si="20"/>
        <v>1553</v>
      </c>
      <c r="AD28" s="16">
        <f t="shared" si="20"/>
        <v>1</v>
      </c>
      <c r="AE28" s="32">
        <f t="shared" si="20"/>
        <v>466</v>
      </c>
      <c r="AF28" s="32">
        <f t="shared" si="20"/>
        <v>2019</v>
      </c>
    </row>
    <row r="29" spans="2:32" ht="23.1" customHeight="1" x14ac:dyDescent="0.25">
      <c r="B29" s="23" t="s">
        <v>56</v>
      </c>
      <c r="C29" s="50">
        <v>4</v>
      </c>
      <c r="D29" s="50">
        <v>2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2</v>
      </c>
      <c r="K29" s="50">
        <v>0</v>
      </c>
      <c r="L29" s="50">
        <v>0</v>
      </c>
      <c r="M29" s="50">
        <v>43</v>
      </c>
      <c r="N29" s="50">
        <v>0</v>
      </c>
      <c r="O29" s="15">
        <f t="shared" si="0"/>
        <v>9</v>
      </c>
      <c r="P29" s="15">
        <f t="shared" si="1"/>
        <v>52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33</v>
      </c>
      <c r="N30" s="50">
        <v>1</v>
      </c>
      <c r="O30" s="15">
        <f t="shared" si="0"/>
        <v>6</v>
      </c>
      <c r="P30" s="15">
        <f t="shared" si="1"/>
        <v>39</v>
      </c>
    </row>
    <row r="31" spans="2:32" ht="23.1" customHeight="1" x14ac:dyDescent="0.25">
      <c r="B31" s="24" t="s">
        <v>58</v>
      </c>
      <c r="C31" s="50">
        <v>5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24</v>
      </c>
      <c r="N31" s="50">
        <v>0</v>
      </c>
      <c r="O31" s="15">
        <f t="shared" si="0"/>
        <v>5</v>
      </c>
      <c r="P31" s="15">
        <f t="shared" si="1"/>
        <v>29</v>
      </c>
    </row>
    <row r="32" spans="2:32" ht="23.1" customHeight="1" x14ac:dyDescent="0.25">
      <c r="B32" s="24" t="s">
        <v>59</v>
      </c>
      <c r="C32" s="50">
        <v>4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45</v>
      </c>
      <c r="N32" s="50">
        <v>0</v>
      </c>
      <c r="O32" s="15">
        <f t="shared" si="0"/>
        <v>5</v>
      </c>
      <c r="P32" s="15">
        <f t="shared" si="1"/>
        <v>50</v>
      </c>
    </row>
    <row r="33" spans="2:20" ht="23.1" customHeight="1" x14ac:dyDescent="0.25">
      <c r="B33" s="23" t="s">
        <v>60</v>
      </c>
      <c r="C33" s="50">
        <v>6</v>
      </c>
      <c r="D33" s="50">
        <v>2</v>
      </c>
      <c r="E33" s="50">
        <v>1</v>
      </c>
      <c r="F33" s="50">
        <v>2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30</v>
      </c>
      <c r="N33" s="50">
        <v>0</v>
      </c>
      <c r="O33" s="15">
        <f t="shared" si="0"/>
        <v>12</v>
      </c>
      <c r="P33" s="15">
        <f t="shared" si="1"/>
        <v>42</v>
      </c>
    </row>
    <row r="34" spans="2:20" ht="23.1" customHeight="1" x14ac:dyDescent="0.25">
      <c r="B34" s="24" t="s">
        <v>61</v>
      </c>
      <c r="C34" s="50">
        <v>5</v>
      </c>
      <c r="D34" s="50">
        <v>1</v>
      </c>
      <c r="E34" s="50">
        <v>1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1</v>
      </c>
      <c r="L34" s="50">
        <v>0</v>
      </c>
      <c r="M34" s="50">
        <v>40</v>
      </c>
      <c r="N34" s="50">
        <v>0</v>
      </c>
      <c r="O34" s="15">
        <f t="shared" si="0"/>
        <v>9</v>
      </c>
      <c r="P34" s="15">
        <f t="shared" si="1"/>
        <v>49</v>
      </c>
    </row>
    <row r="35" spans="2:20" ht="23.1" customHeight="1" x14ac:dyDescent="0.25">
      <c r="B35" s="24" t="s">
        <v>62</v>
      </c>
      <c r="C35" s="50">
        <v>4</v>
      </c>
      <c r="D35" s="50">
        <v>1</v>
      </c>
      <c r="E35" s="50">
        <v>2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38</v>
      </c>
      <c r="N35" s="50">
        <v>0</v>
      </c>
      <c r="O35" s="15">
        <f t="shared" si="0"/>
        <v>8</v>
      </c>
      <c r="P35" s="15">
        <f t="shared" si="1"/>
        <v>46</v>
      </c>
    </row>
    <row r="36" spans="2:20" ht="23.1" customHeight="1" x14ac:dyDescent="0.25">
      <c r="B36" s="24" t="s">
        <v>63</v>
      </c>
      <c r="C36" s="50">
        <v>5</v>
      </c>
      <c r="D36" s="50">
        <v>2</v>
      </c>
      <c r="E36" s="50">
        <v>4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9</v>
      </c>
      <c r="N36" s="50">
        <v>0</v>
      </c>
      <c r="O36" s="15">
        <f t="shared" si="0"/>
        <v>11</v>
      </c>
      <c r="P36" s="15">
        <f t="shared" si="1"/>
        <v>20</v>
      </c>
    </row>
    <row r="37" spans="2:20" ht="23.1" customHeight="1" x14ac:dyDescent="0.25">
      <c r="B37" s="23" t="s">
        <v>64</v>
      </c>
      <c r="C37" s="50">
        <v>3</v>
      </c>
      <c r="D37" s="50">
        <v>2</v>
      </c>
      <c r="E37" s="50">
        <v>1</v>
      </c>
      <c r="F37" s="50">
        <v>0</v>
      </c>
      <c r="G37" s="50">
        <v>0</v>
      </c>
      <c r="H37" s="50">
        <v>0</v>
      </c>
      <c r="I37" s="50">
        <v>2</v>
      </c>
      <c r="J37" s="50">
        <v>2</v>
      </c>
      <c r="K37" s="50">
        <v>1</v>
      </c>
      <c r="L37" s="50">
        <v>0</v>
      </c>
      <c r="M37" s="50">
        <v>35</v>
      </c>
      <c r="N37" s="50">
        <v>0</v>
      </c>
      <c r="O37" s="15">
        <f t="shared" si="0"/>
        <v>11</v>
      </c>
      <c r="P37" s="15">
        <f t="shared" si="1"/>
        <v>46</v>
      </c>
    </row>
    <row r="38" spans="2:20" ht="23.1" customHeight="1" x14ac:dyDescent="0.25">
      <c r="B38" s="24" t="s">
        <v>65</v>
      </c>
      <c r="C38" s="50">
        <v>6</v>
      </c>
      <c r="D38" s="50">
        <v>0</v>
      </c>
      <c r="E38" s="50">
        <v>0</v>
      </c>
      <c r="F38" s="50">
        <v>2</v>
      </c>
      <c r="G38" s="50">
        <v>0</v>
      </c>
      <c r="H38" s="50">
        <v>0</v>
      </c>
      <c r="I38" s="50">
        <v>0</v>
      </c>
      <c r="J38" s="50">
        <v>1</v>
      </c>
      <c r="K38" s="50">
        <v>0</v>
      </c>
      <c r="L38" s="50">
        <v>0</v>
      </c>
      <c r="M38" s="50">
        <v>30</v>
      </c>
      <c r="N38" s="50">
        <v>0</v>
      </c>
      <c r="O38" s="15">
        <f t="shared" si="0"/>
        <v>9</v>
      </c>
      <c r="P38" s="15">
        <f t="shared" si="1"/>
        <v>39</v>
      </c>
    </row>
    <row r="39" spans="2:20" ht="23.1" customHeight="1" x14ac:dyDescent="0.25">
      <c r="B39" s="24" t="s">
        <v>66</v>
      </c>
      <c r="C39" s="50">
        <v>6</v>
      </c>
      <c r="D39" s="50">
        <v>0</v>
      </c>
      <c r="E39" s="50">
        <v>1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5</v>
      </c>
      <c r="L39" s="50">
        <v>0</v>
      </c>
      <c r="M39" s="50">
        <v>42</v>
      </c>
      <c r="N39" s="50">
        <v>0</v>
      </c>
      <c r="O39" s="15">
        <f t="shared" si="0"/>
        <v>14</v>
      </c>
      <c r="P39" s="15">
        <f t="shared" si="1"/>
        <v>56</v>
      </c>
    </row>
    <row r="40" spans="2:20" ht="23.1" customHeight="1" x14ac:dyDescent="0.25">
      <c r="B40" s="24" t="s">
        <v>67</v>
      </c>
      <c r="C40" s="50">
        <v>5</v>
      </c>
      <c r="D40" s="50">
        <v>1</v>
      </c>
      <c r="E40" s="50">
        <v>1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21</v>
      </c>
      <c r="N40" s="50">
        <v>0</v>
      </c>
      <c r="O40" s="15">
        <f t="shared" si="0"/>
        <v>8</v>
      </c>
      <c r="P40" s="15">
        <f t="shared" si="1"/>
        <v>29</v>
      </c>
    </row>
    <row r="41" spans="2:20" ht="23.1" customHeight="1" x14ac:dyDescent="0.25">
      <c r="B41" s="23" t="s">
        <v>68</v>
      </c>
      <c r="C41" s="50">
        <v>7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27</v>
      </c>
      <c r="N41" s="50">
        <v>0</v>
      </c>
      <c r="O41" s="15">
        <f t="shared" si="0"/>
        <v>10</v>
      </c>
      <c r="P41" s="15">
        <f t="shared" si="1"/>
        <v>37</v>
      </c>
    </row>
    <row r="42" spans="2:20" ht="23.1" customHeight="1" x14ac:dyDescent="0.25">
      <c r="B42" s="24" t="s">
        <v>69</v>
      </c>
      <c r="C42" s="50">
        <v>7</v>
      </c>
      <c r="D42" s="50">
        <v>0</v>
      </c>
      <c r="E42" s="50">
        <v>3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29</v>
      </c>
      <c r="N42" s="50">
        <v>0</v>
      </c>
      <c r="O42" s="15">
        <f t="shared" si="0"/>
        <v>12</v>
      </c>
      <c r="P42" s="15">
        <f t="shared" si="1"/>
        <v>41</v>
      </c>
    </row>
    <row r="43" spans="2:20" ht="23.1" customHeight="1" x14ac:dyDescent="0.25">
      <c r="B43" s="23" t="s">
        <v>70</v>
      </c>
      <c r="C43" s="50">
        <v>7</v>
      </c>
      <c r="D43" s="50">
        <v>1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4</v>
      </c>
      <c r="K43" s="50">
        <v>0</v>
      </c>
      <c r="L43" s="50">
        <v>0</v>
      </c>
      <c r="M43" s="50">
        <v>50</v>
      </c>
      <c r="N43" s="50">
        <v>0</v>
      </c>
      <c r="O43" s="15">
        <f t="shared" si="0"/>
        <v>13</v>
      </c>
      <c r="P43" s="15">
        <f t="shared" si="1"/>
        <v>63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35</v>
      </c>
      <c r="N44" s="50">
        <v>0</v>
      </c>
      <c r="O44" s="15">
        <f t="shared" si="0"/>
        <v>3</v>
      </c>
      <c r="P44" s="15">
        <f t="shared" si="1"/>
        <v>38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5</v>
      </c>
      <c r="K45" s="50">
        <v>0</v>
      </c>
      <c r="L45" s="50">
        <v>0</v>
      </c>
      <c r="M45" s="50">
        <v>25</v>
      </c>
      <c r="N45" s="50">
        <v>0</v>
      </c>
      <c r="O45" s="15">
        <f t="shared" si="0"/>
        <v>9</v>
      </c>
      <c r="P45" s="15">
        <f t="shared" si="1"/>
        <v>34</v>
      </c>
    </row>
    <row r="46" spans="2:20" ht="23.1" customHeight="1" x14ac:dyDescent="0.25">
      <c r="B46" s="24" t="s">
        <v>73</v>
      </c>
      <c r="C46" s="50">
        <v>7</v>
      </c>
      <c r="D46" s="50">
        <v>1</v>
      </c>
      <c r="E46" s="50">
        <v>0</v>
      </c>
      <c r="F46" s="50">
        <v>0</v>
      </c>
      <c r="G46" s="50">
        <v>0</v>
      </c>
      <c r="H46" s="50">
        <v>0</v>
      </c>
      <c r="I46" s="50">
        <v>2</v>
      </c>
      <c r="J46" s="50">
        <v>2</v>
      </c>
      <c r="K46" s="50">
        <v>0</v>
      </c>
      <c r="L46" s="50">
        <v>0</v>
      </c>
      <c r="M46" s="50">
        <v>45</v>
      </c>
      <c r="N46" s="50">
        <v>0</v>
      </c>
      <c r="O46" s="15">
        <f t="shared" si="0"/>
        <v>12</v>
      </c>
      <c r="P46" s="15">
        <f t="shared" si="1"/>
        <v>57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1</v>
      </c>
      <c r="F47" s="50">
        <v>1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43</v>
      </c>
      <c r="N47" s="50">
        <v>0</v>
      </c>
      <c r="O47" s="15">
        <f t="shared" si="0"/>
        <v>5</v>
      </c>
      <c r="P47" s="15">
        <f t="shared" si="1"/>
        <v>48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3</v>
      </c>
      <c r="E48" s="50">
        <v>0</v>
      </c>
      <c r="F48" s="50">
        <v>1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45</v>
      </c>
      <c r="N48" s="50">
        <v>0</v>
      </c>
      <c r="O48" s="15">
        <f t="shared" si="0"/>
        <v>11</v>
      </c>
      <c r="P48" s="15">
        <f t="shared" si="1"/>
        <v>56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41</v>
      </c>
      <c r="N49" s="50">
        <v>0</v>
      </c>
      <c r="O49" s="15">
        <f t="shared" si="0"/>
        <v>6</v>
      </c>
      <c r="P49" s="15">
        <f t="shared" si="1"/>
        <v>47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1</v>
      </c>
      <c r="E50" s="50">
        <v>0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2</v>
      </c>
      <c r="L50" s="50">
        <v>0</v>
      </c>
      <c r="M50" s="50">
        <v>43</v>
      </c>
      <c r="N50" s="50">
        <v>0</v>
      </c>
      <c r="O50" s="15">
        <f t="shared" si="0"/>
        <v>12</v>
      </c>
      <c r="P50" s="15">
        <f t="shared" si="1"/>
        <v>55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0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45</v>
      </c>
      <c r="N51" s="50">
        <v>0</v>
      </c>
      <c r="O51" s="15">
        <f t="shared" si="0"/>
        <v>7</v>
      </c>
      <c r="P51" s="15">
        <f t="shared" si="1"/>
        <v>52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50</v>
      </c>
      <c r="N52" s="50">
        <v>0</v>
      </c>
      <c r="O52" s="15">
        <f t="shared" si="0"/>
        <v>3</v>
      </c>
      <c r="P52" s="15">
        <f t="shared" si="1"/>
        <v>53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3</v>
      </c>
      <c r="E53" s="50">
        <v>2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1</v>
      </c>
      <c r="L53" s="50">
        <v>0</v>
      </c>
      <c r="M53" s="50">
        <v>42</v>
      </c>
      <c r="N53" s="50">
        <v>0</v>
      </c>
      <c r="O53" s="15">
        <f t="shared" si="0"/>
        <v>9</v>
      </c>
      <c r="P53" s="15">
        <f t="shared" si="1"/>
        <v>51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3</v>
      </c>
      <c r="E54" s="50">
        <v>4</v>
      </c>
      <c r="F54" s="50">
        <v>2</v>
      </c>
      <c r="G54" s="50">
        <v>0</v>
      </c>
      <c r="H54" s="50">
        <v>1</v>
      </c>
      <c r="I54" s="50">
        <v>4</v>
      </c>
      <c r="J54" s="50">
        <v>0</v>
      </c>
      <c r="K54" s="50">
        <v>1</v>
      </c>
      <c r="L54" s="50">
        <v>0</v>
      </c>
      <c r="M54" s="50">
        <v>40</v>
      </c>
      <c r="N54" s="50">
        <v>0</v>
      </c>
      <c r="O54" s="15">
        <f t="shared" si="0"/>
        <v>20</v>
      </c>
      <c r="P54" s="15">
        <f t="shared" si="1"/>
        <v>60</v>
      </c>
      <c r="R54" s="8"/>
      <c r="T54"/>
    </row>
    <row r="55" spans="2:20" ht="23.1" customHeight="1" x14ac:dyDescent="0.25">
      <c r="B55" s="23" t="s">
        <v>82</v>
      </c>
      <c r="C55" s="50">
        <v>10</v>
      </c>
      <c r="D55" s="50">
        <v>0</v>
      </c>
      <c r="E55" s="50">
        <v>0</v>
      </c>
      <c r="F55" s="50">
        <v>0</v>
      </c>
      <c r="G55" s="50">
        <v>0</v>
      </c>
      <c r="H55" s="50">
        <v>1</v>
      </c>
      <c r="I55" s="50">
        <v>2</v>
      </c>
      <c r="J55" s="50">
        <v>1</v>
      </c>
      <c r="K55" s="50">
        <v>2</v>
      </c>
      <c r="L55" s="50">
        <v>0</v>
      </c>
      <c r="M55" s="50">
        <v>31</v>
      </c>
      <c r="N55" s="50">
        <v>0</v>
      </c>
      <c r="O55" s="15">
        <f t="shared" si="0"/>
        <v>16</v>
      </c>
      <c r="P55" s="15">
        <f t="shared" si="1"/>
        <v>47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1</v>
      </c>
      <c r="E56" s="50">
        <v>0</v>
      </c>
      <c r="F56" s="50">
        <v>3</v>
      </c>
      <c r="G56" s="50">
        <v>0</v>
      </c>
      <c r="H56" s="50">
        <v>0</v>
      </c>
      <c r="I56" s="50">
        <v>2</v>
      </c>
      <c r="J56" s="50">
        <v>0</v>
      </c>
      <c r="K56" s="50">
        <v>2</v>
      </c>
      <c r="L56" s="50">
        <v>0</v>
      </c>
      <c r="M56" s="50">
        <v>30</v>
      </c>
      <c r="N56" s="50">
        <v>0</v>
      </c>
      <c r="O56" s="15">
        <f t="shared" si="0"/>
        <v>14</v>
      </c>
      <c r="P56" s="15">
        <f t="shared" si="1"/>
        <v>44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1</v>
      </c>
      <c r="J57" s="50">
        <v>2</v>
      </c>
      <c r="K57" s="50">
        <v>0</v>
      </c>
      <c r="L57" s="50">
        <v>0</v>
      </c>
      <c r="M57" s="50">
        <v>41</v>
      </c>
      <c r="N57" s="50">
        <v>0</v>
      </c>
      <c r="O57" s="15">
        <f t="shared" si="0"/>
        <v>6</v>
      </c>
      <c r="P57" s="15">
        <f t="shared" si="1"/>
        <v>47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255</v>
      </c>
      <c r="D58" s="16">
        <f t="shared" si="21"/>
        <v>41</v>
      </c>
      <c r="E58" s="16">
        <f t="shared" si="21"/>
        <v>53</v>
      </c>
      <c r="F58" s="16">
        <f t="shared" si="21"/>
        <v>26</v>
      </c>
      <c r="G58" s="16">
        <f t="shared" si="21"/>
        <v>2</v>
      </c>
      <c r="H58" s="16">
        <f t="shared" si="21"/>
        <v>2</v>
      </c>
      <c r="I58" s="16">
        <f t="shared" si="21"/>
        <v>28</v>
      </c>
      <c r="J58" s="16">
        <f t="shared" si="21"/>
        <v>37</v>
      </c>
      <c r="K58" s="16">
        <f t="shared" si="21"/>
        <v>20</v>
      </c>
      <c r="L58" s="16">
        <f t="shared" si="21"/>
        <v>1</v>
      </c>
      <c r="M58" s="16">
        <f t="shared" si="21"/>
        <v>1553</v>
      </c>
      <c r="N58" s="16">
        <f t="shared" si="21"/>
        <v>1</v>
      </c>
      <c r="O58" s="16">
        <f t="shared" si="21"/>
        <v>466</v>
      </c>
      <c r="P58" s="16">
        <f t="shared" si="21"/>
        <v>2019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0.1263001485884101</v>
      </c>
      <c r="D59" s="43">
        <f t="shared" si="22"/>
        <v>2.0307082714214959E-2</v>
      </c>
      <c r="E59" s="43">
        <f t="shared" si="22"/>
        <v>2.6250619118375434E-2</v>
      </c>
      <c r="F59" s="43">
        <f t="shared" si="22"/>
        <v>1.2877662209014363E-2</v>
      </c>
      <c r="G59" s="43">
        <f t="shared" si="22"/>
        <v>9.9058940069341253E-4</v>
      </c>
      <c r="H59" s="43">
        <f t="shared" si="22"/>
        <v>9.9058940069341253E-4</v>
      </c>
      <c r="I59" s="43">
        <f t="shared" si="22"/>
        <v>1.3868251609707775E-2</v>
      </c>
      <c r="J59" s="43">
        <f t="shared" si="22"/>
        <v>1.8325903912828134E-2</v>
      </c>
      <c r="K59" s="43">
        <f t="shared" si="22"/>
        <v>9.9058940069341253E-3</v>
      </c>
      <c r="L59" s="43">
        <f t="shared" si="22"/>
        <v>4.9529470034670627E-4</v>
      </c>
      <c r="M59" s="43">
        <f t="shared" si="22"/>
        <v>0.76919266963843491</v>
      </c>
      <c r="N59" s="43">
        <f t="shared" si="22"/>
        <v>4.9529470034670627E-4</v>
      </c>
      <c r="R59" s="8"/>
      <c r="T59"/>
    </row>
    <row r="60" spans="2:20" ht="23.1" customHeight="1" x14ac:dyDescent="0.25">
      <c r="B60" s="42" t="s">
        <v>94</v>
      </c>
      <c r="C60" s="44">
        <f>C58/$O$58</f>
        <v>0.5472103004291845</v>
      </c>
      <c r="D60" s="44">
        <f t="shared" ref="D60:N60" si="23">D58/$O$58</f>
        <v>8.7982832618025753E-2</v>
      </c>
      <c r="E60" s="44">
        <f t="shared" si="23"/>
        <v>0.11373390557939914</v>
      </c>
      <c r="F60" s="44">
        <f t="shared" si="23"/>
        <v>5.5793991416309016E-2</v>
      </c>
      <c r="G60" s="44">
        <f t="shared" si="23"/>
        <v>4.2918454935622317E-3</v>
      </c>
      <c r="H60" s="44">
        <f t="shared" si="23"/>
        <v>4.2918454935622317E-3</v>
      </c>
      <c r="I60" s="44">
        <f t="shared" si="23"/>
        <v>6.0085836909871244E-2</v>
      </c>
      <c r="J60" s="44">
        <f t="shared" si="23"/>
        <v>7.9399141630901282E-2</v>
      </c>
      <c r="K60" s="44">
        <f t="shared" si="23"/>
        <v>4.2918454935622317E-2</v>
      </c>
      <c r="L60" s="44">
        <f t="shared" si="23"/>
        <v>2.1459227467811159E-3</v>
      </c>
      <c r="M60" s="44"/>
      <c r="N60" s="44">
        <f t="shared" si="23"/>
        <v>2.1459227467811159E-3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L25" zoomScale="60" workbookViewId="0">
      <selection activeCell="AE76" sqref="AE7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'31.10 HOIMA-KYENJOJO'!C3:G3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164</v>
      </c>
      <c r="E5" s="66"/>
      <c r="F5" s="41" t="s">
        <v>1</v>
      </c>
      <c r="G5" s="63" t="str">
        <f>'31.10 KYENJOJO-HOIMA'!G5:H5</f>
        <v>KYENJOJO</v>
      </c>
      <c r="H5" s="64"/>
      <c r="I5" s="14"/>
      <c r="J5" s="2" t="s">
        <v>5</v>
      </c>
      <c r="K5" s="63" t="str">
        <f>'31.10 KYENJOJO-HOIMA'!K5:L5</f>
        <v>STEVEN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'31.10 KYENJOJO-HOIMA'!D6:E6</f>
        <v>KYENJOJO</v>
      </c>
      <c r="E6" s="64"/>
      <c r="F6" s="2" t="s">
        <v>2</v>
      </c>
      <c r="G6" s="63" t="str">
        <f>'31.10 KYENJOJO-HOIMA'!G6:H6</f>
        <v>HOIMA</v>
      </c>
      <c r="H6" s="64"/>
      <c r="J6" s="2" t="s">
        <v>21</v>
      </c>
      <c r="K6" s="63" t="str">
        <f>'31.10 KYENJOJO-HOIMA'!K6:L6</f>
        <v>FELIX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AVERAGE('25.10 KYENJOJO-HOIMA'!C10,'27.10 KYENJOJO-HOIMA'!C10,'29.10 KYENJOJO-HOIMA'!C10,'30.10 KYENJOJO-HOIMA'!C10,'26.10 KYENJOJO-HOIMA-24h'!C10,'28.10 KYENJOJO-HOIMA-24h'!C10,'31.10 KYENJOJO-HOIMA'!C10)</f>
        <v>1.8571428571428572</v>
      </c>
      <c r="D10" s="49">
        <f>AVERAGE('25.10 KYENJOJO-HOIMA'!D10,'27.10 KYENJOJO-HOIMA'!D10,'29.10 KYENJOJO-HOIMA'!D10,'30.10 KYENJOJO-HOIMA'!D10,'26.10 KYENJOJO-HOIMA-24h'!D10,'28.10 KYENJOJO-HOIMA-24h'!D10,'31.10 KYENJOJO-HOIMA'!D10)</f>
        <v>0.2857142857142857</v>
      </c>
      <c r="E10" s="49">
        <f>AVERAGE('25.10 KYENJOJO-HOIMA'!E10,'27.10 KYENJOJO-HOIMA'!E10,'29.10 KYENJOJO-HOIMA'!E10,'30.10 KYENJOJO-HOIMA'!E10,'26.10 KYENJOJO-HOIMA-24h'!E10,'28.10 KYENJOJO-HOIMA-24h'!E10,'31.10 KYENJOJO-HOIMA'!E10)</f>
        <v>0.14285714285714285</v>
      </c>
      <c r="F10" s="49">
        <f>AVERAGE('25.10 KYENJOJO-HOIMA'!F10,'27.10 KYENJOJO-HOIMA'!F10,'29.10 KYENJOJO-HOIMA'!F10,'30.10 KYENJOJO-HOIMA'!F10,'26.10 KYENJOJO-HOIMA-24h'!F10,'28.10 KYENJOJO-HOIMA-24h'!F10,'31.10 KYENJOJO-HOIMA'!F10)</f>
        <v>0.2857142857142857</v>
      </c>
      <c r="G10" s="49">
        <f>AVERAGE('25.10 KYENJOJO-HOIMA'!G10,'27.10 KYENJOJO-HOIMA'!G10,'29.10 KYENJOJO-HOIMA'!G10,'30.10 KYENJOJO-HOIMA'!G10,'26.10 KYENJOJO-HOIMA-24h'!G10,'28.10 KYENJOJO-HOIMA-24h'!G10,'31.10 KYENJOJO-HOIMA'!G10)</f>
        <v>0</v>
      </c>
      <c r="H10" s="49">
        <f>AVERAGE('25.10 KYENJOJO-HOIMA'!H10,'27.10 KYENJOJO-HOIMA'!H10,'29.10 KYENJOJO-HOIMA'!H10,'30.10 KYENJOJO-HOIMA'!H10,'26.10 KYENJOJO-HOIMA-24h'!H10,'28.10 KYENJOJO-HOIMA-24h'!H10,'31.10 KYENJOJO-HOIMA'!H10)</f>
        <v>0</v>
      </c>
      <c r="I10" s="49">
        <f>AVERAGE('25.10 KYENJOJO-HOIMA'!I10,'27.10 KYENJOJO-HOIMA'!I10,'29.10 KYENJOJO-HOIMA'!I10,'30.10 KYENJOJO-HOIMA'!I10,'26.10 KYENJOJO-HOIMA-24h'!I10,'28.10 KYENJOJO-HOIMA-24h'!I10,'31.10 KYENJOJO-HOIMA'!I10)</f>
        <v>0.14285714285714285</v>
      </c>
      <c r="J10" s="49">
        <f>AVERAGE('25.10 KYENJOJO-HOIMA'!J10,'27.10 KYENJOJO-HOIMA'!J10,'29.10 KYENJOJO-HOIMA'!J10,'30.10 KYENJOJO-HOIMA'!J10,'26.10 KYENJOJO-HOIMA-24h'!J10,'28.10 KYENJOJO-HOIMA-24h'!J10,'31.10 KYENJOJO-HOIMA'!J10)</f>
        <v>0.7142857142857143</v>
      </c>
      <c r="K10" s="49">
        <f>AVERAGE('25.10 KYENJOJO-HOIMA'!K10,'27.10 KYENJOJO-HOIMA'!K10,'29.10 KYENJOJO-HOIMA'!K10,'30.10 KYENJOJO-HOIMA'!K10,'26.10 KYENJOJO-HOIMA-24h'!K10,'28.10 KYENJOJO-HOIMA-24h'!K10,'31.10 KYENJOJO-HOIMA'!K10)</f>
        <v>0.42857142857142855</v>
      </c>
      <c r="L10" s="49">
        <f>AVERAGE('25.10 KYENJOJO-HOIMA'!L10,'27.10 KYENJOJO-HOIMA'!L10,'29.10 KYENJOJO-HOIMA'!L10,'30.10 KYENJOJO-HOIMA'!L10,'26.10 KYENJOJO-HOIMA-24h'!L10,'28.10 KYENJOJO-HOIMA-24h'!L10,'31.10 KYENJOJO-HOIMA'!L10)</f>
        <v>0.14285714285714285</v>
      </c>
      <c r="M10" s="49">
        <f>AVERAGE('25.10 KYENJOJO-HOIMA'!M10,'27.10 KYENJOJO-HOIMA'!M10,'29.10 KYENJOJO-HOIMA'!M10,'30.10 KYENJOJO-HOIMA'!M10,'26.10 KYENJOJO-HOIMA-24h'!M10,'28.10 KYENJOJO-HOIMA-24h'!M10,'31.10 KYENJOJO-HOIMA'!M10)</f>
        <v>7.1428571428571432</v>
      </c>
      <c r="N10" s="49">
        <f>AVERAGE('25.10 KYENJOJO-HOIMA'!N10,'27.10 KYENJOJO-HOIMA'!N10,'29.10 KYENJOJO-HOIMA'!N10,'30.10 KYENJOJO-HOIMA'!N10,'26.10 KYENJOJO-HOIMA-24h'!N10,'28.10 KYENJOJO-HOIMA-24h'!N10,'31.10 KYENJOJO-HOIMA'!N10)</f>
        <v>0</v>
      </c>
      <c r="O10" s="15">
        <f t="shared" ref="O10:O73" si="0">SUM(C10:L10,N10)</f>
        <v>3.9999999999999996</v>
      </c>
      <c r="P10" s="15">
        <f t="shared" ref="P10:P73" si="1">SUM(C10:N10)</f>
        <v>11.142857142857142</v>
      </c>
      <c r="R10" s="1" t="s">
        <v>6</v>
      </c>
      <c r="S10" s="17">
        <f t="shared" ref="S10:AF10" si="2">SUM(C10:C13)</f>
        <v>9.7142857142857135</v>
      </c>
      <c r="T10" s="17">
        <f t="shared" si="2"/>
        <v>2</v>
      </c>
      <c r="U10" s="17">
        <f t="shared" si="2"/>
        <v>1.2857142857142856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2.1428571428571428</v>
      </c>
      <c r="Z10" s="17">
        <f t="shared" si="2"/>
        <v>1.8571428571428572</v>
      </c>
      <c r="AA10" s="17">
        <f t="shared" si="2"/>
        <v>0.42857142857142855</v>
      </c>
      <c r="AB10" s="17">
        <f t="shared" si="2"/>
        <v>0.85714285714285698</v>
      </c>
      <c r="AC10" s="17">
        <f t="shared" si="2"/>
        <v>62.428571428571431</v>
      </c>
      <c r="AD10" s="17">
        <f t="shared" si="2"/>
        <v>0</v>
      </c>
      <c r="AE10" s="31">
        <f t="shared" si="2"/>
        <v>21.285714285714285</v>
      </c>
      <c r="AF10" s="31">
        <f t="shared" si="2"/>
        <v>83.714285714285708</v>
      </c>
    </row>
    <row r="11" spans="2:32" s="6" customFormat="1" ht="23.1" customHeight="1" x14ac:dyDescent="0.25">
      <c r="B11" s="23" t="s">
        <v>38</v>
      </c>
      <c r="C11" s="49">
        <f>AVERAGE('25.10 KYENJOJO-HOIMA'!C11,'27.10 KYENJOJO-HOIMA'!C11,'29.10 KYENJOJO-HOIMA'!C11,'30.10 KYENJOJO-HOIMA'!C11,'26.10 KYENJOJO-HOIMA-24h'!C11,'28.10 KYENJOJO-HOIMA-24h'!C11,'31.10 KYENJOJO-HOIMA'!C11)</f>
        <v>2.1428571428571428</v>
      </c>
      <c r="D11" s="49">
        <f>AVERAGE('25.10 KYENJOJO-HOIMA'!D11,'27.10 KYENJOJO-HOIMA'!D11,'29.10 KYENJOJO-HOIMA'!D11,'30.10 KYENJOJO-HOIMA'!D11,'26.10 KYENJOJO-HOIMA-24h'!D11,'28.10 KYENJOJO-HOIMA-24h'!D11,'31.10 KYENJOJO-HOIMA'!D11)</f>
        <v>0.5714285714285714</v>
      </c>
      <c r="E11" s="49">
        <f>AVERAGE('25.10 KYENJOJO-HOIMA'!E11,'27.10 KYENJOJO-HOIMA'!E11,'29.10 KYENJOJO-HOIMA'!E11,'30.10 KYENJOJO-HOIMA'!E11,'26.10 KYENJOJO-HOIMA-24h'!E11,'28.10 KYENJOJO-HOIMA-24h'!E11,'31.10 KYENJOJO-HOIMA'!E11)</f>
        <v>0.14285714285714285</v>
      </c>
      <c r="F11" s="49">
        <f>AVERAGE('25.10 KYENJOJO-HOIMA'!F11,'27.10 KYENJOJO-HOIMA'!F11,'29.10 KYENJOJO-HOIMA'!F11,'30.10 KYENJOJO-HOIMA'!F11,'26.10 KYENJOJO-HOIMA-24h'!F11,'28.10 KYENJOJO-HOIMA-24h'!F11,'31.10 KYENJOJO-HOIMA'!F11)</f>
        <v>1.1428571428571428</v>
      </c>
      <c r="G11" s="49">
        <f>AVERAGE('25.10 KYENJOJO-HOIMA'!G11,'27.10 KYENJOJO-HOIMA'!G11,'29.10 KYENJOJO-HOIMA'!G11,'30.10 KYENJOJO-HOIMA'!G11,'26.10 KYENJOJO-HOIMA-24h'!G11,'28.10 KYENJOJO-HOIMA-24h'!G11,'31.10 KYENJOJO-HOIMA'!G11)</f>
        <v>0</v>
      </c>
      <c r="H11" s="49">
        <f>AVERAGE('25.10 KYENJOJO-HOIMA'!H11,'27.10 KYENJOJO-HOIMA'!H11,'29.10 KYENJOJO-HOIMA'!H11,'30.10 KYENJOJO-HOIMA'!H11,'26.10 KYENJOJO-HOIMA-24h'!H11,'28.10 KYENJOJO-HOIMA-24h'!H11,'31.10 KYENJOJO-HOIMA'!H11)</f>
        <v>0</v>
      </c>
      <c r="I11" s="49">
        <f>AVERAGE('25.10 KYENJOJO-HOIMA'!I11,'27.10 KYENJOJO-HOIMA'!I11,'29.10 KYENJOJO-HOIMA'!I11,'30.10 KYENJOJO-HOIMA'!I11,'26.10 KYENJOJO-HOIMA-24h'!I11,'28.10 KYENJOJO-HOIMA-24h'!I11,'31.10 KYENJOJO-HOIMA'!I11)</f>
        <v>0</v>
      </c>
      <c r="J11" s="49">
        <f>AVERAGE('25.10 KYENJOJO-HOIMA'!J11,'27.10 KYENJOJO-HOIMA'!J11,'29.10 KYENJOJO-HOIMA'!J11,'30.10 KYENJOJO-HOIMA'!J11,'26.10 KYENJOJO-HOIMA-24h'!J11,'28.10 KYENJOJO-HOIMA-24h'!J11,'31.10 KYENJOJO-HOIMA'!J11)</f>
        <v>0.7142857142857143</v>
      </c>
      <c r="K11" s="49">
        <f>AVERAGE('25.10 KYENJOJO-HOIMA'!K11,'27.10 KYENJOJO-HOIMA'!K11,'29.10 KYENJOJO-HOIMA'!K11,'30.10 KYENJOJO-HOIMA'!K11,'26.10 KYENJOJO-HOIMA-24h'!K11,'28.10 KYENJOJO-HOIMA-24h'!K11,'31.10 KYENJOJO-HOIMA'!K11)</f>
        <v>0</v>
      </c>
      <c r="L11" s="49">
        <f>AVERAGE('25.10 KYENJOJO-HOIMA'!L11,'27.10 KYENJOJO-HOIMA'!L11,'29.10 KYENJOJO-HOIMA'!L11,'30.10 KYENJOJO-HOIMA'!L11,'26.10 KYENJOJO-HOIMA-24h'!L11,'28.10 KYENJOJO-HOIMA-24h'!L11,'31.10 KYENJOJO-HOIMA'!L11)</f>
        <v>0.5714285714285714</v>
      </c>
      <c r="M11" s="49">
        <f>AVERAGE('25.10 KYENJOJO-HOIMA'!M11,'27.10 KYENJOJO-HOIMA'!M11,'29.10 KYENJOJO-HOIMA'!M11,'30.10 KYENJOJO-HOIMA'!M11,'26.10 KYENJOJO-HOIMA-24h'!M11,'28.10 KYENJOJO-HOIMA-24h'!M11,'31.10 KYENJOJO-HOIMA'!M11)</f>
        <v>19.428571428571427</v>
      </c>
      <c r="N11" s="49">
        <f>AVERAGE('25.10 KYENJOJO-HOIMA'!N11,'27.10 KYENJOJO-HOIMA'!N11,'29.10 KYENJOJO-HOIMA'!N11,'30.10 KYENJOJO-HOIMA'!N11,'26.10 KYENJOJO-HOIMA-24h'!N11,'28.10 KYENJOJO-HOIMA-24h'!N11,'31.10 KYENJOJO-HOIMA'!N11)</f>
        <v>0</v>
      </c>
      <c r="O11" s="15">
        <f t="shared" si="0"/>
        <v>5.2857142857142856</v>
      </c>
      <c r="P11" s="15">
        <f t="shared" si="1"/>
        <v>24.714285714285712</v>
      </c>
      <c r="R11" s="1" t="s">
        <v>7</v>
      </c>
      <c r="S11" s="17">
        <f t="shared" ref="S11:AF11" si="3">SUM(C14:C17)</f>
        <v>20.428571428571427</v>
      </c>
      <c r="T11" s="17">
        <f t="shared" si="3"/>
        <v>1.8571428571428572</v>
      </c>
      <c r="U11" s="17">
        <f t="shared" si="3"/>
        <v>3.5714285714285712</v>
      </c>
      <c r="V11" s="17">
        <f t="shared" si="3"/>
        <v>1.5714285714285712</v>
      </c>
      <c r="W11" s="17">
        <f t="shared" si="3"/>
        <v>0</v>
      </c>
      <c r="X11" s="17">
        <f t="shared" si="3"/>
        <v>0.2857142857142857</v>
      </c>
      <c r="Y11" s="17">
        <f t="shared" si="3"/>
        <v>3.4285714285714284</v>
      </c>
      <c r="Z11" s="17">
        <f t="shared" si="3"/>
        <v>2.1428571428571428</v>
      </c>
      <c r="AA11" s="17">
        <f t="shared" si="3"/>
        <v>0</v>
      </c>
      <c r="AB11" s="17">
        <f t="shared" si="3"/>
        <v>0.42857142857142855</v>
      </c>
      <c r="AC11" s="17">
        <f t="shared" si="3"/>
        <v>103.14285714285714</v>
      </c>
      <c r="AD11" s="17">
        <f t="shared" si="3"/>
        <v>0</v>
      </c>
      <c r="AE11" s="31">
        <f t="shared" si="3"/>
        <v>33.714285714285715</v>
      </c>
      <c r="AF11" s="31">
        <f t="shared" si="3"/>
        <v>136.85714285714286</v>
      </c>
    </row>
    <row r="12" spans="2:32" ht="23.1" customHeight="1" x14ac:dyDescent="0.25">
      <c r="B12" s="23" t="s">
        <v>39</v>
      </c>
      <c r="C12" s="49">
        <f>AVERAGE('25.10 KYENJOJO-HOIMA'!C12,'27.10 KYENJOJO-HOIMA'!C12,'29.10 KYENJOJO-HOIMA'!C12,'30.10 KYENJOJO-HOIMA'!C12,'26.10 KYENJOJO-HOIMA-24h'!C12,'28.10 KYENJOJO-HOIMA-24h'!C12,'31.10 KYENJOJO-HOIMA'!C12)</f>
        <v>2.1428571428571428</v>
      </c>
      <c r="D12" s="49">
        <f>AVERAGE('25.10 KYENJOJO-HOIMA'!D12,'27.10 KYENJOJO-HOIMA'!D12,'29.10 KYENJOJO-HOIMA'!D12,'30.10 KYENJOJO-HOIMA'!D12,'26.10 KYENJOJO-HOIMA-24h'!D12,'28.10 KYENJOJO-HOIMA-24h'!D12,'31.10 KYENJOJO-HOIMA'!D12)</f>
        <v>0.8571428571428571</v>
      </c>
      <c r="E12" s="49">
        <f>AVERAGE('25.10 KYENJOJO-HOIMA'!E12,'27.10 KYENJOJO-HOIMA'!E12,'29.10 KYENJOJO-HOIMA'!E12,'30.10 KYENJOJO-HOIMA'!E12,'26.10 KYENJOJO-HOIMA-24h'!E12,'28.10 KYENJOJO-HOIMA-24h'!E12,'31.10 KYENJOJO-HOIMA'!E12)</f>
        <v>0.14285714285714285</v>
      </c>
      <c r="F12" s="49">
        <f>AVERAGE('25.10 KYENJOJO-HOIMA'!F12,'27.10 KYENJOJO-HOIMA'!F12,'29.10 KYENJOJO-HOIMA'!F12,'30.10 KYENJOJO-HOIMA'!F12,'26.10 KYENJOJO-HOIMA-24h'!F12,'28.10 KYENJOJO-HOIMA-24h'!F12,'31.10 KYENJOJO-HOIMA'!F12)</f>
        <v>0.8571428571428571</v>
      </c>
      <c r="G12" s="49">
        <f>AVERAGE('25.10 KYENJOJO-HOIMA'!G12,'27.10 KYENJOJO-HOIMA'!G12,'29.10 KYENJOJO-HOIMA'!G12,'30.10 KYENJOJO-HOIMA'!G12,'26.10 KYENJOJO-HOIMA-24h'!G12,'28.10 KYENJOJO-HOIMA-24h'!G12,'31.10 KYENJOJO-HOIMA'!G12)</f>
        <v>0</v>
      </c>
      <c r="H12" s="49">
        <f>AVERAGE('25.10 KYENJOJO-HOIMA'!H12,'27.10 KYENJOJO-HOIMA'!H12,'29.10 KYENJOJO-HOIMA'!H12,'30.10 KYENJOJO-HOIMA'!H12,'26.10 KYENJOJO-HOIMA-24h'!H12,'28.10 KYENJOJO-HOIMA-24h'!H12,'31.10 KYENJOJO-HOIMA'!H12)</f>
        <v>0</v>
      </c>
      <c r="I12" s="49">
        <f>AVERAGE('25.10 KYENJOJO-HOIMA'!I12,'27.10 KYENJOJO-HOIMA'!I12,'29.10 KYENJOJO-HOIMA'!I12,'30.10 KYENJOJO-HOIMA'!I12,'26.10 KYENJOJO-HOIMA-24h'!I12,'28.10 KYENJOJO-HOIMA-24h'!I12,'31.10 KYENJOJO-HOIMA'!I12)</f>
        <v>0.8571428571428571</v>
      </c>
      <c r="J12" s="49">
        <f>AVERAGE('25.10 KYENJOJO-HOIMA'!J12,'27.10 KYENJOJO-HOIMA'!J12,'29.10 KYENJOJO-HOIMA'!J12,'30.10 KYENJOJO-HOIMA'!J12,'26.10 KYENJOJO-HOIMA-24h'!J12,'28.10 KYENJOJO-HOIMA-24h'!J12,'31.10 KYENJOJO-HOIMA'!J12)</f>
        <v>0.42857142857142855</v>
      </c>
      <c r="K12" s="49">
        <f>AVERAGE('25.10 KYENJOJO-HOIMA'!K12,'27.10 KYENJOJO-HOIMA'!K12,'29.10 KYENJOJO-HOIMA'!K12,'30.10 KYENJOJO-HOIMA'!K12,'26.10 KYENJOJO-HOIMA-24h'!K12,'28.10 KYENJOJO-HOIMA-24h'!K12,'31.10 KYENJOJO-HOIMA'!K12)</f>
        <v>0</v>
      </c>
      <c r="L12" s="49">
        <f>AVERAGE('25.10 KYENJOJO-HOIMA'!L12,'27.10 KYENJOJO-HOIMA'!L12,'29.10 KYENJOJO-HOIMA'!L12,'30.10 KYENJOJO-HOIMA'!L12,'26.10 KYENJOJO-HOIMA-24h'!L12,'28.10 KYENJOJO-HOIMA-24h'!L12,'31.10 KYENJOJO-HOIMA'!L12)</f>
        <v>0.14285714285714285</v>
      </c>
      <c r="M12" s="49">
        <f>AVERAGE('25.10 KYENJOJO-HOIMA'!M12,'27.10 KYENJOJO-HOIMA'!M12,'29.10 KYENJOJO-HOIMA'!M12,'30.10 KYENJOJO-HOIMA'!M12,'26.10 KYENJOJO-HOIMA-24h'!M12,'28.10 KYENJOJO-HOIMA-24h'!M12,'31.10 KYENJOJO-HOIMA'!M12)</f>
        <v>17.428571428571427</v>
      </c>
      <c r="N12" s="49">
        <f>AVERAGE('25.10 KYENJOJO-HOIMA'!N12,'27.10 KYENJOJO-HOIMA'!N12,'29.10 KYENJOJO-HOIMA'!N12,'30.10 KYENJOJO-HOIMA'!N12,'26.10 KYENJOJO-HOIMA-24h'!N12,'28.10 KYENJOJO-HOIMA-24h'!N12,'31.10 KYENJOJO-HOIMA'!N12)</f>
        <v>0</v>
      </c>
      <c r="O12" s="15">
        <f t="shared" si="0"/>
        <v>5.4285714285714288</v>
      </c>
      <c r="P12" s="15">
        <f t="shared" si="1"/>
        <v>22.857142857142854</v>
      </c>
      <c r="R12" s="1" t="s">
        <v>8</v>
      </c>
      <c r="S12" s="17">
        <f t="shared" ref="S12:AF12" si="4">SUM(C18:C21)</f>
        <v>19</v>
      </c>
      <c r="T12" s="17">
        <f t="shared" si="4"/>
        <v>1.7142857142857142</v>
      </c>
      <c r="U12" s="17">
        <f t="shared" si="4"/>
        <v>4.4285714285714288</v>
      </c>
      <c r="V12" s="17">
        <f t="shared" si="4"/>
        <v>2.1428571428571428</v>
      </c>
      <c r="W12" s="17">
        <f t="shared" si="4"/>
        <v>0</v>
      </c>
      <c r="X12" s="17">
        <f t="shared" si="4"/>
        <v>0</v>
      </c>
      <c r="Y12" s="17">
        <f t="shared" si="4"/>
        <v>2.9999999999999996</v>
      </c>
      <c r="Z12" s="17">
        <f t="shared" si="4"/>
        <v>2.2857142857142856</v>
      </c>
      <c r="AA12" s="17">
        <f t="shared" si="4"/>
        <v>0.2857142857142857</v>
      </c>
      <c r="AB12" s="17">
        <f t="shared" si="4"/>
        <v>0</v>
      </c>
      <c r="AC12" s="17">
        <f t="shared" si="4"/>
        <v>96</v>
      </c>
      <c r="AD12" s="17">
        <f t="shared" si="4"/>
        <v>0.14285714285714285</v>
      </c>
      <c r="AE12" s="31">
        <f t="shared" si="4"/>
        <v>33</v>
      </c>
      <c r="AF12" s="31">
        <f t="shared" si="4"/>
        <v>129</v>
      </c>
    </row>
    <row r="13" spans="2:32" ht="23.1" customHeight="1" x14ac:dyDescent="0.25">
      <c r="B13" s="23" t="s">
        <v>40</v>
      </c>
      <c r="C13" s="49">
        <f>AVERAGE('25.10 KYENJOJO-HOIMA'!C13,'27.10 KYENJOJO-HOIMA'!C13,'29.10 KYENJOJO-HOIMA'!C13,'30.10 KYENJOJO-HOIMA'!C13,'26.10 KYENJOJO-HOIMA-24h'!C13,'28.10 KYENJOJO-HOIMA-24h'!C13,'31.10 KYENJOJO-HOIMA'!C13)</f>
        <v>3.5714285714285716</v>
      </c>
      <c r="D13" s="49">
        <f>AVERAGE('25.10 KYENJOJO-HOIMA'!D13,'27.10 KYENJOJO-HOIMA'!D13,'29.10 KYENJOJO-HOIMA'!D13,'30.10 KYENJOJO-HOIMA'!D13,'26.10 KYENJOJO-HOIMA-24h'!D13,'28.10 KYENJOJO-HOIMA-24h'!D13,'31.10 KYENJOJO-HOIMA'!D13)</f>
        <v>0.2857142857142857</v>
      </c>
      <c r="E13" s="49">
        <f>AVERAGE('25.10 KYENJOJO-HOIMA'!E13,'27.10 KYENJOJO-HOIMA'!E13,'29.10 KYENJOJO-HOIMA'!E13,'30.10 KYENJOJO-HOIMA'!E13,'26.10 KYENJOJO-HOIMA-24h'!E13,'28.10 KYENJOJO-HOIMA-24h'!E13,'31.10 KYENJOJO-HOIMA'!E13)</f>
        <v>0.8571428571428571</v>
      </c>
      <c r="F13" s="49">
        <f>AVERAGE('25.10 KYENJOJO-HOIMA'!F13,'27.10 KYENJOJO-HOIMA'!F13,'29.10 KYENJOJO-HOIMA'!F13,'30.10 KYENJOJO-HOIMA'!F13,'26.10 KYENJOJO-HOIMA-24h'!F13,'28.10 KYENJOJO-HOIMA-24h'!F13,'31.10 KYENJOJO-HOIMA'!F13)</f>
        <v>0.7142857142857143</v>
      </c>
      <c r="G13" s="49">
        <f>AVERAGE('25.10 KYENJOJO-HOIMA'!G13,'27.10 KYENJOJO-HOIMA'!G13,'29.10 KYENJOJO-HOIMA'!G13,'30.10 KYENJOJO-HOIMA'!G13,'26.10 KYENJOJO-HOIMA-24h'!G13,'28.10 KYENJOJO-HOIMA-24h'!G13,'31.10 KYENJOJO-HOIMA'!G13)</f>
        <v>0</v>
      </c>
      <c r="H13" s="49">
        <f>AVERAGE('25.10 KYENJOJO-HOIMA'!H13,'27.10 KYENJOJO-HOIMA'!H13,'29.10 KYENJOJO-HOIMA'!H13,'30.10 KYENJOJO-HOIMA'!H13,'26.10 KYENJOJO-HOIMA-24h'!H13,'28.10 KYENJOJO-HOIMA-24h'!H13,'31.10 KYENJOJO-HOIMA'!H13)</f>
        <v>0</v>
      </c>
      <c r="I13" s="49">
        <f>AVERAGE('25.10 KYENJOJO-HOIMA'!I13,'27.10 KYENJOJO-HOIMA'!I13,'29.10 KYENJOJO-HOIMA'!I13,'30.10 KYENJOJO-HOIMA'!I13,'26.10 KYENJOJO-HOIMA-24h'!I13,'28.10 KYENJOJO-HOIMA-24h'!I13,'31.10 KYENJOJO-HOIMA'!I13)</f>
        <v>1.1428571428571428</v>
      </c>
      <c r="J13" s="49">
        <f>AVERAGE('25.10 KYENJOJO-HOIMA'!J13,'27.10 KYENJOJO-HOIMA'!J13,'29.10 KYENJOJO-HOIMA'!J13,'30.10 KYENJOJO-HOIMA'!J13,'26.10 KYENJOJO-HOIMA-24h'!J13,'28.10 KYENJOJO-HOIMA-24h'!J13,'31.10 KYENJOJO-HOIMA'!J13)</f>
        <v>0</v>
      </c>
      <c r="K13" s="49">
        <f>AVERAGE('25.10 KYENJOJO-HOIMA'!K13,'27.10 KYENJOJO-HOIMA'!K13,'29.10 KYENJOJO-HOIMA'!K13,'30.10 KYENJOJO-HOIMA'!K13,'26.10 KYENJOJO-HOIMA-24h'!K13,'28.10 KYENJOJO-HOIMA-24h'!K13,'31.10 KYENJOJO-HOIMA'!K13)</f>
        <v>0</v>
      </c>
      <c r="L13" s="49">
        <f>AVERAGE('25.10 KYENJOJO-HOIMA'!L13,'27.10 KYENJOJO-HOIMA'!L13,'29.10 KYENJOJO-HOIMA'!L13,'30.10 KYENJOJO-HOIMA'!L13,'26.10 KYENJOJO-HOIMA-24h'!L13,'28.10 KYENJOJO-HOIMA-24h'!L13,'31.10 KYENJOJO-HOIMA'!L13)</f>
        <v>0</v>
      </c>
      <c r="M13" s="49">
        <f>AVERAGE('25.10 KYENJOJO-HOIMA'!M13,'27.10 KYENJOJO-HOIMA'!M13,'29.10 KYENJOJO-HOIMA'!M13,'30.10 KYENJOJO-HOIMA'!M13,'26.10 KYENJOJO-HOIMA-24h'!M13,'28.10 KYENJOJO-HOIMA-24h'!M13,'31.10 KYENJOJO-HOIMA'!M13)</f>
        <v>18.428571428571427</v>
      </c>
      <c r="N13" s="49">
        <f>AVERAGE('25.10 KYENJOJO-HOIMA'!N13,'27.10 KYENJOJO-HOIMA'!N13,'29.10 KYENJOJO-HOIMA'!N13,'30.10 KYENJOJO-HOIMA'!N13,'26.10 KYENJOJO-HOIMA-24h'!N13,'28.10 KYENJOJO-HOIMA-24h'!N13,'31.10 KYENJOJO-HOIMA'!N13)</f>
        <v>0</v>
      </c>
      <c r="O13" s="15">
        <f t="shared" si="0"/>
        <v>6.5714285714285712</v>
      </c>
      <c r="P13" s="15">
        <f t="shared" si="1"/>
        <v>25</v>
      </c>
      <c r="R13" s="1" t="s">
        <v>9</v>
      </c>
      <c r="S13" s="17">
        <f t="shared" ref="S13:AF13" si="5">SUM(C22:C25)</f>
        <v>28.857142857142854</v>
      </c>
      <c r="T13" s="17">
        <f t="shared" si="5"/>
        <v>2.2857142857142856</v>
      </c>
      <c r="U13" s="17">
        <f t="shared" si="5"/>
        <v>7</v>
      </c>
      <c r="V13" s="17">
        <f t="shared" si="5"/>
        <v>3.2857142857142856</v>
      </c>
      <c r="W13" s="17">
        <f t="shared" si="5"/>
        <v>0</v>
      </c>
      <c r="X13" s="17">
        <f t="shared" si="5"/>
        <v>0</v>
      </c>
      <c r="Y13" s="17">
        <f t="shared" si="5"/>
        <v>3.8571428571428568</v>
      </c>
      <c r="Z13" s="17">
        <f t="shared" si="5"/>
        <v>1.5714285714285712</v>
      </c>
      <c r="AA13" s="17">
        <f t="shared" si="5"/>
        <v>0.42857142857142855</v>
      </c>
      <c r="AB13" s="17">
        <f t="shared" si="5"/>
        <v>0.42857142857142855</v>
      </c>
      <c r="AC13" s="17">
        <f t="shared" si="5"/>
        <v>143.42857142857144</v>
      </c>
      <c r="AD13" s="17">
        <f t="shared" si="5"/>
        <v>0.14285714285714285</v>
      </c>
      <c r="AE13" s="31">
        <f t="shared" si="5"/>
        <v>47.857142857142854</v>
      </c>
      <c r="AF13" s="31">
        <f t="shared" si="5"/>
        <v>191.28571428571431</v>
      </c>
    </row>
    <row r="14" spans="2:32" ht="23.1" customHeight="1" x14ac:dyDescent="0.25">
      <c r="B14" s="23" t="s">
        <v>41</v>
      </c>
      <c r="C14" s="49">
        <f>AVERAGE('25.10 KYENJOJO-HOIMA'!C14,'27.10 KYENJOJO-HOIMA'!C14,'29.10 KYENJOJO-HOIMA'!C14,'30.10 KYENJOJO-HOIMA'!C14,'26.10 KYENJOJO-HOIMA-24h'!C14,'28.10 KYENJOJO-HOIMA-24h'!C14,'31.10 KYENJOJO-HOIMA'!C14)</f>
        <v>2.8571428571428572</v>
      </c>
      <c r="D14" s="49">
        <f>AVERAGE('25.10 KYENJOJO-HOIMA'!D14,'27.10 KYENJOJO-HOIMA'!D14,'29.10 KYENJOJO-HOIMA'!D14,'30.10 KYENJOJO-HOIMA'!D14,'26.10 KYENJOJO-HOIMA-24h'!D14,'28.10 KYENJOJO-HOIMA-24h'!D14,'31.10 KYENJOJO-HOIMA'!D14)</f>
        <v>0.7142857142857143</v>
      </c>
      <c r="E14" s="49">
        <f>AVERAGE('25.10 KYENJOJO-HOIMA'!E14,'27.10 KYENJOJO-HOIMA'!E14,'29.10 KYENJOJO-HOIMA'!E14,'30.10 KYENJOJO-HOIMA'!E14,'26.10 KYENJOJO-HOIMA-24h'!E14,'28.10 KYENJOJO-HOIMA-24h'!E14,'31.10 KYENJOJO-HOIMA'!E14)</f>
        <v>0.8571428571428571</v>
      </c>
      <c r="F14" s="49">
        <f>AVERAGE('25.10 KYENJOJO-HOIMA'!F14,'27.10 KYENJOJO-HOIMA'!F14,'29.10 KYENJOJO-HOIMA'!F14,'30.10 KYENJOJO-HOIMA'!F14,'26.10 KYENJOJO-HOIMA-24h'!F14,'28.10 KYENJOJO-HOIMA-24h'!F14,'31.10 KYENJOJO-HOIMA'!F14)</f>
        <v>0.5714285714285714</v>
      </c>
      <c r="G14" s="49">
        <f>AVERAGE('25.10 KYENJOJO-HOIMA'!G14,'27.10 KYENJOJO-HOIMA'!G14,'29.10 KYENJOJO-HOIMA'!G14,'30.10 KYENJOJO-HOIMA'!G14,'26.10 KYENJOJO-HOIMA-24h'!G14,'28.10 KYENJOJO-HOIMA-24h'!G14,'31.10 KYENJOJO-HOIMA'!G14)</f>
        <v>0</v>
      </c>
      <c r="H14" s="49">
        <f>AVERAGE('25.10 KYENJOJO-HOIMA'!H14,'27.10 KYENJOJO-HOIMA'!H14,'29.10 KYENJOJO-HOIMA'!H14,'30.10 KYENJOJO-HOIMA'!H14,'26.10 KYENJOJO-HOIMA-24h'!H14,'28.10 KYENJOJO-HOIMA-24h'!H14,'31.10 KYENJOJO-HOIMA'!H14)</f>
        <v>0</v>
      </c>
      <c r="I14" s="49">
        <f>AVERAGE('25.10 KYENJOJO-HOIMA'!I14,'27.10 KYENJOJO-HOIMA'!I14,'29.10 KYENJOJO-HOIMA'!I14,'30.10 KYENJOJO-HOIMA'!I14,'26.10 KYENJOJO-HOIMA-24h'!I14,'28.10 KYENJOJO-HOIMA-24h'!I14,'31.10 KYENJOJO-HOIMA'!I14)</f>
        <v>1.1428571428571428</v>
      </c>
      <c r="J14" s="49">
        <f>AVERAGE('25.10 KYENJOJO-HOIMA'!J14,'27.10 KYENJOJO-HOIMA'!J14,'29.10 KYENJOJO-HOIMA'!J14,'30.10 KYENJOJO-HOIMA'!J14,'26.10 KYENJOJO-HOIMA-24h'!J14,'28.10 KYENJOJO-HOIMA-24h'!J14,'31.10 KYENJOJO-HOIMA'!J14)</f>
        <v>0.14285714285714285</v>
      </c>
      <c r="K14" s="49">
        <f>AVERAGE('25.10 KYENJOJO-HOIMA'!K14,'27.10 KYENJOJO-HOIMA'!K14,'29.10 KYENJOJO-HOIMA'!K14,'30.10 KYENJOJO-HOIMA'!K14,'26.10 KYENJOJO-HOIMA-24h'!K14,'28.10 KYENJOJO-HOIMA-24h'!K14,'31.10 KYENJOJO-HOIMA'!K14)</f>
        <v>0</v>
      </c>
      <c r="L14" s="49">
        <f>AVERAGE('25.10 KYENJOJO-HOIMA'!L14,'27.10 KYENJOJO-HOIMA'!L14,'29.10 KYENJOJO-HOIMA'!L14,'30.10 KYENJOJO-HOIMA'!L14,'26.10 KYENJOJO-HOIMA-24h'!L14,'28.10 KYENJOJO-HOIMA-24h'!L14,'31.10 KYENJOJO-HOIMA'!L14)</f>
        <v>0.14285714285714285</v>
      </c>
      <c r="M14" s="49">
        <f>AVERAGE('25.10 KYENJOJO-HOIMA'!M14,'27.10 KYENJOJO-HOIMA'!M14,'29.10 KYENJOJO-HOIMA'!M14,'30.10 KYENJOJO-HOIMA'!M14,'26.10 KYENJOJO-HOIMA-24h'!M14,'28.10 KYENJOJO-HOIMA-24h'!M14,'31.10 KYENJOJO-HOIMA'!M14)</f>
        <v>25.142857142857142</v>
      </c>
      <c r="N14" s="49">
        <f>AVERAGE('25.10 KYENJOJO-HOIMA'!N14,'27.10 KYENJOJO-HOIMA'!N14,'29.10 KYENJOJO-HOIMA'!N14,'30.10 KYENJOJO-HOIMA'!N14,'26.10 KYENJOJO-HOIMA-24h'!N14,'28.10 KYENJOJO-HOIMA-24h'!N14,'31.10 KYENJOJO-HOIMA'!N14)</f>
        <v>0</v>
      </c>
      <c r="O14" s="15">
        <f t="shared" si="0"/>
        <v>6.4285714285714288</v>
      </c>
      <c r="P14" s="15">
        <f t="shared" si="1"/>
        <v>31.571428571428569</v>
      </c>
      <c r="R14" s="1" t="s">
        <v>10</v>
      </c>
      <c r="S14" s="17">
        <f t="shared" ref="S14:AF14" si="6">SUM(C26:C29)</f>
        <v>23.714285714285715</v>
      </c>
      <c r="T14" s="17">
        <f t="shared" si="6"/>
        <v>1.8571428571428572</v>
      </c>
      <c r="U14" s="17">
        <f t="shared" si="6"/>
        <v>4.8571428571428577</v>
      </c>
      <c r="V14" s="17">
        <f t="shared" si="6"/>
        <v>2.1428571428571428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2.4285714285714284</v>
      </c>
      <c r="AA14" s="17">
        <f t="shared" si="6"/>
        <v>0.14285714285714285</v>
      </c>
      <c r="AB14" s="17">
        <f t="shared" si="6"/>
        <v>0.2857142857142857</v>
      </c>
      <c r="AC14" s="17">
        <f t="shared" si="6"/>
        <v>142.71428571428572</v>
      </c>
      <c r="AD14" s="17">
        <f t="shared" si="6"/>
        <v>0.14285714285714285</v>
      </c>
      <c r="AE14" s="31">
        <f t="shared" si="6"/>
        <v>38.571428571428569</v>
      </c>
      <c r="AF14" s="31">
        <f t="shared" si="6"/>
        <v>181.28571428571428</v>
      </c>
    </row>
    <row r="15" spans="2:32" ht="23.1" customHeight="1" x14ac:dyDescent="0.25">
      <c r="B15" s="23" t="s">
        <v>42</v>
      </c>
      <c r="C15" s="49">
        <f>AVERAGE('25.10 KYENJOJO-HOIMA'!C15,'27.10 KYENJOJO-HOIMA'!C15,'29.10 KYENJOJO-HOIMA'!C15,'30.10 KYENJOJO-HOIMA'!C15,'26.10 KYENJOJO-HOIMA-24h'!C15,'28.10 KYENJOJO-HOIMA-24h'!C15,'31.10 KYENJOJO-HOIMA'!C15)</f>
        <v>6.2857142857142856</v>
      </c>
      <c r="D15" s="49">
        <f>AVERAGE('25.10 KYENJOJO-HOIMA'!D15,'27.10 KYENJOJO-HOIMA'!D15,'29.10 KYENJOJO-HOIMA'!D15,'30.10 KYENJOJO-HOIMA'!D15,'26.10 KYENJOJO-HOIMA-24h'!D15,'28.10 KYENJOJO-HOIMA-24h'!D15,'31.10 KYENJOJO-HOIMA'!D15)</f>
        <v>0.7142857142857143</v>
      </c>
      <c r="E15" s="49">
        <f>AVERAGE('25.10 KYENJOJO-HOIMA'!E15,'27.10 KYENJOJO-HOIMA'!E15,'29.10 KYENJOJO-HOIMA'!E15,'30.10 KYENJOJO-HOIMA'!E15,'26.10 KYENJOJO-HOIMA-24h'!E15,'28.10 KYENJOJO-HOIMA-24h'!E15,'31.10 KYENJOJO-HOIMA'!E15)</f>
        <v>1.4285714285714286</v>
      </c>
      <c r="F15" s="49">
        <f>AVERAGE('25.10 KYENJOJO-HOIMA'!F15,'27.10 KYENJOJO-HOIMA'!F15,'29.10 KYENJOJO-HOIMA'!F15,'30.10 KYENJOJO-HOIMA'!F15,'26.10 KYENJOJO-HOIMA-24h'!F15,'28.10 KYENJOJO-HOIMA-24h'!F15,'31.10 KYENJOJO-HOIMA'!F15)</f>
        <v>0.14285714285714285</v>
      </c>
      <c r="G15" s="49">
        <f>AVERAGE('25.10 KYENJOJO-HOIMA'!G15,'27.10 KYENJOJO-HOIMA'!G15,'29.10 KYENJOJO-HOIMA'!G15,'30.10 KYENJOJO-HOIMA'!G15,'26.10 KYENJOJO-HOIMA-24h'!G15,'28.10 KYENJOJO-HOIMA-24h'!G15,'31.10 KYENJOJO-HOIMA'!G15)</f>
        <v>0</v>
      </c>
      <c r="H15" s="49">
        <f>AVERAGE('25.10 KYENJOJO-HOIMA'!H15,'27.10 KYENJOJO-HOIMA'!H15,'29.10 KYENJOJO-HOIMA'!H15,'30.10 KYENJOJO-HOIMA'!H15,'26.10 KYENJOJO-HOIMA-24h'!H15,'28.10 KYENJOJO-HOIMA-24h'!H15,'31.10 KYENJOJO-HOIMA'!H15)</f>
        <v>0.2857142857142857</v>
      </c>
      <c r="I15" s="49">
        <f>AVERAGE('25.10 KYENJOJO-HOIMA'!I15,'27.10 KYENJOJO-HOIMA'!I15,'29.10 KYENJOJO-HOIMA'!I15,'30.10 KYENJOJO-HOIMA'!I15,'26.10 KYENJOJO-HOIMA-24h'!I15,'28.10 KYENJOJO-HOIMA-24h'!I15,'31.10 KYENJOJO-HOIMA'!I15)</f>
        <v>0.5714285714285714</v>
      </c>
      <c r="J15" s="49">
        <f>AVERAGE('25.10 KYENJOJO-HOIMA'!J15,'27.10 KYENJOJO-HOIMA'!J15,'29.10 KYENJOJO-HOIMA'!J15,'30.10 KYENJOJO-HOIMA'!J15,'26.10 KYENJOJO-HOIMA-24h'!J15,'28.10 KYENJOJO-HOIMA-24h'!J15,'31.10 KYENJOJO-HOIMA'!J15)</f>
        <v>0.14285714285714285</v>
      </c>
      <c r="K15" s="49">
        <f>AVERAGE('25.10 KYENJOJO-HOIMA'!K15,'27.10 KYENJOJO-HOIMA'!K15,'29.10 KYENJOJO-HOIMA'!K15,'30.10 KYENJOJO-HOIMA'!K15,'26.10 KYENJOJO-HOIMA-24h'!K15,'28.10 KYENJOJO-HOIMA-24h'!K15,'31.10 KYENJOJO-HOIMA'!K15)</f>
        <v>0</v>
      </c>
      <c r="L15" s="49">
        <f>AVERAGE('25.10 KYENJOJO-HOIMA'!L15,'27.10 KYENJOJO-HOIMA'!L15,'29.10 KYENJOJO-HOIMA'!L15,'30.10 KYENJOJO-HOIMA'!L15,'26.10 KYENJOJO-HOIMA-24h'!L15,'28.10 KYENJOJO-HOIMA-24h'!L15,'31.10 KYENJOJO-HOIMA'!L15)</f>
        <v>0</v>
      </c>
      <c r="M15" s="49">
        <f>AVERAGE('25.10 KYENJOJO-HOIMA'!M15,'27.10 KYENJOJO-HOIMA'!M15,'29.10 KYENJOJO-HOIMA'!M15,'30.10 KYENJOJO-HOIMA'!M15,'26.10 KYENJOJO-HOIMA-24h'!M15,'28.10 KYENJOJO-HOIMA-24h'!M15,'31.10 KYENJOJO-HOIMA'!M15)</f>
        <v>26.428571428571427</v>
      </c>
      <c r="N15" s="49">
        <f>AVERAGE('25.10 KYENJOJO-HOIMA'!N15,'27.10 KYENJOJO-HOIMA'!N15,'29.10 KYENJOJO-HOIMA'!N15,'30.10 KYENJOJO-HOIMA'!N15,'26.10 KYENJOJO-HOIMA-24h'!N15,'28.10 KYENJOJO-HOIMA-24h'!N15,'31.10 KYENJOJO-HOIMA'!N15)</f>
        <v>0</v>
      </c>
      <c r="O15" s="15">
        <f t="shared" si="0"/>
        <v>9.5714285714285712</v>
      </c>
      <c r="P15" s="15">
        <f t="shared" si="1"/>
        <v>36</v>
      </c>
      <c r="R15" s="1" t="s">
        <v>11</v>
      </c>
      <c r="S15" s="17">
        <f t="shared" ref="S15:AF15" si="7">SUM(C30:C33)</f>
        <v>23.142857142857142</v>
      </c>
      <c r="T15" s="17">
        <f t="shared" si="7"/>
        <v>3.2857142857142856</v>
      </c>
      <c r="U15" s="17">
        <f t="shared" si="7"/>
        <v>5.5714285714285712</v>
      </c>
      <c r="V15" s="17">
        <f t="shared" si="7"/>
        <v>3</v>
      </c>
      <c r="W15" s="17">
        <f t="shared" si="7"/>
        <v>0.2857142857142857</v>
      </c>
      <c r="X15" s="17">
        <f t="shared" si="7"/>
        <v>0</v>
      </c>
      <c r="Y15" s="17">
        <f t="shared" si="7"/>
        <v>3.8571428571428568</v>
      </c>
      <c r="Z15" s="17">
        <f t="shared" si="7"/>
        <v>1.7142857142857142</v>
      </c>
      <c r="AA15" s="17">
        <f t="shared" si="7"/>
        <v>0</v>
      </c>
      <c r="AB15" s="17">
        <f t="shared" si="7"/>
        <v>0.5714285714285714</v>
      </c>
      <c r="AC15" s="17">
        <f t="shared" si="7"/>
        <v>143.14285714285714</v>
      </c>
      <c r="AD15" s="17">
        <f t="shared" si="7"/>
        <v>0</v>
      </c>
      <c r="AE15" s="31">
        <f t="shared" si="7"/>
        <v>41.428571428571431</v>
      </c>
      <c r="AF15" s="31">
        <f t="shared" si="7"/>
        <v>184.57142857142858</v>
      </c>
    </row>
    <row r="16" spans="2:32" ht="23.1" customHeight="1" x14ac:dyDescent="0.25">
      <c r="B16" s="23" t="s">
        <v>43</v>
      </c>
      <c r="C16" s="49">
        <f>AVERAGE('25.10 KYENJOJO-HOIMA'!C16,'27.10 KYENJOJO-HOIMA'!C16,'29.10 KYENJOJO-HOIMA'!C16,'30.10 KYENJOJO-HOIMA'!C16,'26.10 KYENJOJO-HOIMA-24h'!C16,'28.10 KYENJOJO-HOIMA-24h'!C16,'31.10 KYENJOJO-HOIMA'!C16)</f>
        <v>6</v>
      </c>
      <c r="D16" s="49">
        <f>AVERAGE('25.10 KYENJOJO-HOIMA'!D16,'27.10 KYENJOJO-HOIMA'!D16,'29.10 KYENJOJO-HOIMA'!D16,'30.10 KYENJOJO-HOIMA'!D16,'26.10 KYENJOJO-HOIMA-24h'!D16,'28.10 KYENJOJO-HOIMA-24h'!D16,'31.10 KYENJOJO-HOIMA'!D16)</f>
        <v>0.14285714285714285</v>
      </c>
      <c r="E16" s="49">
        <f>AVERAGE('25.10 KYENJOJO-HOIMA'!E16,'27.10 KYENJOJO-HOIMA'!E16,'29.10 KYENJOJO-HOIMA'!E16,'30.10 KYENJOJO-HOIMA'!E16,'26.10 KYENJOJO-HOIMA-24h'!E16,'28.10 KYENJOJO-HOIMA-24h'!E16,'31.10 KYENJOJO-HOIMA'!E16)</f>
        <v>0.7142857142857143</v>
      </c>
      <c r="F16" s="49">
        <f>AVERAGE('25.10 KYENJOJO-HOIMA'!F16,'27.10 KYENJOJO-HOIMA'!F16,'29.10 KYENJOJO-HOIMA'!F16,'30.10 KYENJOJO-HOIMA'!F16,'26.10 KYENJOJO-HOIMA-24h'!F16,'28.10 KYENJOJO-HOIMA-24h'!F16,'31.10 KYENJOJO-HOIMA'!F16)</f>
        <v>0.7142857142857143</v>
      </c>
      <c r="G16" s="49">
        <f>AVERAGE('25.10 KYENJOJO-HOIMA'!G16,'27.10 KYENJOJO-HOIMA'!G16,'29.10 KYENJOJO-HOIMA'!G16,'30.10 KYENJOJO-HOIMA'!G16,'26.10 KYENJOJO-HOIMA-24h'!G16,'28.10 KYENJOJO-HOIMA-24h'!G16,'31.10 KYENJOJO-HOIMA'!G16)</f>
        <v>0</v>
      </c>
      <c r="H16" s="49">
        <f>AVERAGE('25.10 KYENJOJO-HOIMA'!H16,'27.10 KYENJOJO-HOIMA'!H16,'29.10 KYENJOJO-HOIMA'!H16,'30.10 KYENJOJO-HOIMA'!H16,'26.10 KYENJOJO-HOIMA-24h'!H16,'28.10 KYENJOJO-HOIMA-24h'!H16,'31.10 KYENJOJO-HOIMA'!H16)</f>
        <v>0</v>
      </c>
      <c r="I16" s="49">
        <f>AVERAGE('25.10 KYENJOJO-HOIMA'!I16,'27.10 KYENJOJO-HOIMA'!I16,'29.10 KYENJOJO-HOIMA'!I16,'30.10 KYENJOJO-HOIMA'!I16,'26.10 KYENJOJO-HOIMA-24h'!I16,'28.10 KYENJOJO-HOIMA-24h'!I16,'31.10 KYENJOJO-HOIMA'!I16)</f>
        <v>0.7142857142857143</v>
      </c>
      <c r="J16" s="49">
        <f>AVERAGE('25.10 KYENJOJO-HOIMA'!J16,'27.10 KYENJOJO-HOIMA'!J16,'29.10 KYENJOJO-HOIMA'!J16,'30.10 KYENJOJO-HOIMA'!J16,'26.10 KYENJOJO-HOIMA-24h'!J16,'28.10 KYENJOJO-HOIMA-24h'!J16,'31.10 KYENJOJO-HOIMA'!J16)</f>
        <v>1</v>
      </c>
      <c r="K16" s="49">
        <f>AVERAGE('25.10 KYENJOJO-HOIMA'!K16,'27.10 KYENJOJO-HOIMA'!K16,'29.10 KYENJOJO-HOIMA'!K16,'30.10 KYENJOJO-HOIMA'!K16,'26.10 KYENJOJO-HOIMA-24h'!K16,'28.10 KYENJOJO-HOIMA-24h'!K16,'31.10 KYENJOJO-HOIMA'!K16)</f>
        <v>0</v>
      </c>
      <c r="L16" s="49">
        <f>AVERAGE('25.10 KYENJOJO-HOIMA'!L16,'27.10 KYENJOJO-HOIMA'!L16,'29.10 KYENJOJO-HOIMA'!L16,'30.10 KYENJOJO-HOIMA'!L16,'26.10 KYENJOJO-HOIMA-24h'!L16,'28.10 KYENJOJO-HOIMA-24h'!L16,'31.10 KYENJOJO-HOIMA'!L16)</f>
        <v>0.14285714285714285</v>
      </c>
      <c r="M16" s="49">
        <f>AVERAGE('25.10 KYENJOJO-HOIMA'!M16,'27.10 KYENJOJO-HOIMA'!M16,'29.10 KYENJOJO-HOIMA'!M16,'30.10 KYENJOJO-HOIMA'!M16,'26.10 KYENJOJO-HOIMA-24h'!M16,'28.10 KYENJOJO-HOIMA-24h'!M16,'31.10 KYENJOJO-HOIMA'!M16)</f>
        <v>28.142857142857142</v>
      </c>
      <c r="N16" s="49">
        <f>AVERAGE('25.10 KYENJOJO-HOIMA'!N16,'27.10 KYENJOJO-HOIMA'!N16,'29.10 KYENJOJO-HOIMA'!N16,'30.10 KYENJOJO-HOIMA'!N16,'26.10 KYENJOJO-HOIMA-24h'!N16,'28.10 KYENJOJO-HOIMA-24h'!N16,'31.10 KYENJOJO-HOIMA'!N16)</f>
        <v>0</v>
      </c>
      <c r="O16" s="15">
        <f t="shared" si="0"/>
        <v>9.4285714285714288</v>
      </c>
      <c r="P16" s="15">
        <f t="shared" si="1"/>
        <v>37.571428571428569</v>
      </c>
      <c r="R16" s="1" t="s">
        <v>12</v>
      </c>
      <c r="S16" s="17">
        <f t="shared" ref="S16:AF16" si="8">SUM(C34:C37)</f>
        <v>23.714285714285715</v>
      </c>
      <c r="T16" s="17">
        <f t="shared" si="8"/>
        <v>1.8571428571428572</v>
      </c>
      <c r="U16" s="17">
        <f t="shared" si="8"/>
        <v>4.8571428571428568</v>
      </c>
      <c r="V16" s="17">
        <f t="shared" si="8"/>
        <v>3</v>
      </c>
      <c r="W16" s="17">
        <f t="shared" si="8"/>
        <v>0.14285714285714285</v>
      </c>
      <c r="X16" s="17">
        <f t="shared" si="8"/>
        <v>0</v>
      </c>
      <c r="Y16" s="17">
        <f t="shared" si="8"/>
        <v>3.1428571428571423</v>
      </c>
      <c r="Z16" s="17">
        <f t="shared" si="8"/>
        <v>1.9999999999999998</v>
      </c>
      <c r="AA16" s="17">
        <f t="shared" si="8"/>
        <v>1</v>
      </c>
      <c r="AB16" s="17">
        <f t="shared" si="8"/>
        <v>0.71428571428571419</v>
      </c>
      <c r="AC16" s="17">
        <f t="shared" si="8"/>
        <v>145</v>
      </c>
      <c r="AD16" s="17">
        <f t="shared" si="8"/>
        <v>0</v>
      </c>
      <c r="AE16" s="31">
        <f t="shared" si="8"/>
        <v>40.428571428571431</v>
      </c>
      <c r="AF16" s="31">
        <f t="shared" si="8"/>
        <v>185.42857142857144</v>
      </c>
    </row>
    <row r="17" spans="2:32" ht="23.1" customHeight="1" x14ac:dyDescent="0.25">
      <c r="B17" s="23" t="s">
        <v>44</v>
      </c>
      <c r="C17" s="49">
        <f>AVERAGE('25.10 KYENJOJO-HOIMA'!C17,'27.10 KYENJOJO-HOIMA'!C17,'29.10 KYENJOJO-HOIMA'!C17,'30.10 KYENJOJO-HOIMA'!C17,'26.10 KYENJOJO-HOIMA-24h'!C17,'28.10 KYENJOJO-HOIMA-24h'!C17,'31.10 KYENJOJO-HOIMA'!C17)</f>
        <v>5.2857142857142856</v>
      </c>
      <c r="D17" s="49">
        <f>AVERAGE('25.10 KYENJOJO-HOIMA'!D17,'27.10 KYENJOJO-HOIMA'!D17,'29.10 KYENJOJO-HOIMA'!D17,'30.10 KYENJOJO-HOIMA'!D17,'26.10 KYENJOJO-HOIMA-24h'!D17,'28.10 KYENJOJO-HOIMA-24h'!D17,'31.10 KYENJOJO-HOIMA'!D17)</f>
        <v>0.2857142857142857</v>
      </c>
      <c r="E17" s="49">
        <f>AVERAGE('25.10 KYENJOJO-HOIMA'!E17,'27.10 KYENJOJO-HOIMA'!E17,'29.10 KYENJOJO-HOIMA'!E17,'30.10 KYENJOJO-HOIMA'!E17,'26.10 KYENJOJO-HOIMA-24h'!E17,'28.10 KYENJOJO-HOIMA-24h'!E17,'31.10 KYENJOJO-HOIMA'!E17)</f>
        <v>0.5714285714285714</v>
      </c>
      <c r="F17" s="49">
        <f>AVERAGE('25.10 KYENJOJO-HOIMA'!F17,'27.10 KYENJOJO-HOIMA'!F17,'29.10 KYENJOJO-HOIMA'!F17,'30.10 KYENJOJO-HOIMA'!F17,'26.10 KYENJOJO-HOIMA-24h'!F17,'28.10 KYENJOJO-HOIMA-24h'!F17,'31.10 KYENJOJO-HOIMA'!F17)</f>
        <v>0.14285714285714285</v>
      </c>
      <c r="G17" s="49">
        <f>AVERAGE('25.10 KYENJOJO-HOIMA'!G17,'27.10 KYENJOJO-HOIMA'!G17,'29.10 KYENJOJO-HOIMA'!G17,'30.10 KYENJOJO-HOIMA'!G17,'26.10 KYENJOJO-HOIMA-24h'!G17,'28.10 KYENJOJO-HOIMA-24h'!G17,'31.10 KYENJOJO-HOIMA'!G17)</f>
        <v>0</v>
      </c>
      <c r="H17" s="49">
        <f>AVERAGE('25.10 KYENJOJO-HOIMA'!H17,'27.10 KYENJOJO-HOIMA'!H17,'29.10 KYENJOJO-HOIMA'!H17,'30.10 KYENJOJO-HOIMA'!H17,'26.10 KYENJOJO-HOIMA-24h'!H17,'28.10 KYENJOJO-HOIMA-24h'!H17,'31.10 KYENJOJO-HOIMA'!H17)</f>
        <v>0</v>
      </c>
      <c r="I17" s="49">
        <f>AVERAGE('25.10 KYENJOJO-HOIMA'!I17,'27.10 KYENJOJO-HOIMA'!I17,'29.10 KYENJOJO-HOIMA'!I17,'30.10 KYENJOJO-HOIMA'!I17,'26.10 KYENJOJO-HOIMA-24h'!I17,'28.10 KYENJOJO-HOIMA-24h'!I17,'31.10 KYENJOJO-HOIMA'!I17)</f>
        <v>1</v>
      </c>
      <c r="J17" s="49">
        <f>AVERAGE('25.10 KYENJOJO-HOIMA'!J17,'27.10 KYENJOJO-HOIMA'!J17,'29.10 KYENJOJO-HOIMA'!J17,'30.10 KYENJOJO-HOIMA'!J17,'26.10 KYENJOJO-HOIMA-24h'!J17,'28.10 KYENJOJO-HOIMA-24h'!J17,'31.10 KYENJOJO-HOIMA'!J17)</f>
        <v>0.8571428571428571</v>
      </c>
      <c r="K17" s="49">
        <f>AVERAGE('25.10 KYENJOJO-HOIMA'!K17,'27.10 KYENJOJO-HOIMA'!K17,'29.10 KYENJOJO-HOIMA'!K17,'30.10 KYENJOJO-HOIMA'!K17,'26.10 KYENJOJO-HOIMA-24h'!K17,'28.10 KYENJOJO-HOIMA-24h'!K17,'31.10 KYENJOJO-HOIMA'!K17)</f>
        <v>0</v>
      </c>
      <c r="L17" s="49">
        <f>AVERAGE('25.10 KYENJOJO-HOIMA'!L17,'27.10 KYENJOJO-HOIMA'!L17,'29.10 KYENJOJO-HOIMA'!L17,'30.10 KYENJOJO-HOIMA'!L17,'26.10 KYENJOJO-HOIMA-24h'!L17,'28.10 KYENJOJO-HOIMA-24h'!L17,'31.10 KYENJOJO-HOIMA'!L17)</f>
        <v>0.14285714285714285</v>
      </c>
      <c r="M17" s="49">
        <f>AVERAGE('25.10 KYENJOJO-HOIMA'!M17,'27.10 KYENJOJO-HOIMA'!M17,'29.10 KYENJOJO-HOIMA'!M17,'30.10 KYENJOJO-HOIMA'!M17,'26.10 KYENJOJO-HOIMA-24h'!M17,'28.10 KYENJOJO-HOIMA-24h'!M17,'31.10 KYENJOJO-HOIMA'!M17)</f>
        <v>23.428571428571427</v>
      </c>
      <c r="N17" s="49">
        <f>AVERAGE('25.10 KYENJOJO-HOIMA'!N17,'27.10 KYENJOJO-HOIMA'!N17,'29.10 KYENJOJO-HOIMA'!N17,'30.10 KYENJOJO-HOIMA'!N17,'26.10 KYENJOJO-HOIMA-24h'!N17,'28.10 KYENJOJO-HOIMA-24h'!N17,'31.10 KYENJOJO-HOIMA'!N17)</f>
        <v>0</v>
      </c>
      <c r="O17" s="15">
        <f t="shared" si="0"/>
        <v>8.2857142857142847</v>
      </c>
      <c r="P17" s="15">
        <f t="shared" si="1"/>
        <v>31.714285714285712</v>
      </c>
      <c r="R17" s="1" t="s">
        <v>13</v>
      </c>
      <c r="S17" s="17">
        <f t="shared" ref="S17:AF17" si="9">SUM(C38:C41)</f>
        <v>18.714285714285715</v>
      </c>
      <c r="T17" s="17">
        <f t="shared" si="9"/>
        <v>0.8571428571428571</v>
      </c>
      <c r="U17" s="17">
        <f t="shared" si="9"/>
        <v>2.2857142857142856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4.4285714285714288</v>
      </c>
      <c r="Z17" s="17">
        <f t="shared" si="9"/>
        <v>2</v>
      </c>
      <c r="AA17" s="17">
        <f t="shared" si="9"/>
        <v>0</v>
      </c>
      <c r="AB17" s="17">
        <f t="shared" si="9"/>
        <v>0.42857142857142855</v>
      </c>
      <c r="AC17" s="17">
        <f t="shared" si="9"/>
        <v>138.85714285714286</v>
      </c>
      <c r="AD17" s="17">
        <f t="shared" si="9"/>
        <v>0</v>
      </c>
      <c r="AE17" s="31">
        <f t="shared" si="9"/>
        <v>31.714285714285712</v>
      </c>
      <c r="AF17" s="31">
        <f t="shared" si="9"/>
        <v>170.57142857142856</v>
      </c>
    </row>
    <row r="18" spans="2:32" ht="23.1" customHeight="1" x14ac:dyDescent="0.25">
      <c r="B18" s="23" t="s">
        <v>45</v>
      </c>
      <c r="C18" s="49">
        <f>AVERAGE('25.10 KYENJOJO-HOIMA'!C18,'27.10 KYENJOJO-HOIMA'!C18,'29.10 KYENJOJO-HOIMA'!C18,'30.10 KYENJOJO-HOIMA'!C18,'26.10 KYENJOJO-HOIMA-24h'!C18,'28.10 KYENJOJO-HOIMA-24h'!C18,'31.10 KYENJOJO-HOIMA'!C18)</f>
        <v>5.1428571428571432</v>
      </c>
      <c r="D18" s="49">
        <f>AVERAGE('25.10 KYENJOJO-HOIMA'!D18,'27.10 KYENJOJO-HOIMA'!D18,'29.10 KYENJOJO-HOIMA'!D18,'30.10 KYENJOJO-HOIMA'!D18,'26.10 KYENJOJO-HOIMA-24h'!D18,'28.10 KYENJOJO-HOIMA-24h'!D18,'31.10 KYENJOJO-HOIMA'!D18)</f>
        <v>0.42857142857142855</v>
      </c>
      <c r="E18" s="49">
        <f>AVERAGE('25.10 KYENJOJO-HOIMA'!E18,'27.10 KYENJOJO-HOIMA'!E18,'29.10 KYENJOJO-HOIMA'!E18,'30.10 KYENJOJO-HOIMA'!E18,'26.10 KYENJOJO-HOIMA-24h'!E18,'28.10 KYENJOJO-HOIMA-24h'!E18,'31.10 KYENJOJO-HOIMA'!E18)</f>
        <v>0.8571428571428571</v>
      </c>
      <c r="F18" s="49">
        <f>AVERAGE('25.10 KYENJOJO-HOIMA'!F18,'27.10 KYENJOJO-HOIMA'!F18,'29.10 KYENJOJO-HOIMA'!F18,'30.10 KYENJOJO-HOIMA'!F18,'26.10 KYENJOJO-HOIMA-24h'!F18,'28.10 KYENJOJO-HOIMA-24h'!F18,'31.10 KYENJOJO-HOIMA'!F18)</f>
        <v>1</v>
      </c>
      <c r="G18" s="49">
        <f>AVERAGE('25.10 KYENJOJO-HOIMA'!G18,'27.10 KYENJOJO-HOIMA'!G18,'29.10 KYENJOJO-HOIMA'!G18,'30.10 KYENJOJO-HOIMA'!G18,'26.10 KYENJOJO-HOIMA-24h'!G18,'28.10 KYENJOJO-HOIMA-24h'!G18,'31.10 KYENJOJO-HOIMA'!G18)</f>
        <v>0</v>
      </c>
      <c r="H18" s="49">
        <f>AVERAGE('25.10 KYENJOJO-HOIMA'!H18,'27.10 KYENJOJO-HOIMA'!H18,'29.10 KYENJOJO-HOIMA'!H18,'30.10 KYENJOJO-HOIMA'!H18,'26.10 KYENJOJO-HOIMA-24h'!H18,'28.10 KYENJOJO-HOIMA-24h'!H18,'31.10 KYENJOJO-HOIMA'!H18)</f>
        <v>0</v>
      </c>
      <c r="I18" s="49">
        <f>AVERAGE('25.10 KYENJOJO-HOIMA'!I18,'27.10 KYENJOJO-HOIMA'!I18,'29.10 KYENJOJO-HOIMA'!I18,'30.10 KYENJOJO-HOIMA'!I18,'26.10 KYENJOJO-HOIMA-24h'!I18,'28.10 KYENJOJO-HOIMA-24h'!I18,'31.10 KYENJOJO-HOIMA'!I18)</f>
        <v>0.8571428571428571</v>
      </c>
      <c r="J18" s="49">
        <f>AVERAGE('25.10 KYENJOJO-HOIMA'!J18,'27.10 KYENJOJO-HOIMA'!J18,'29.10 KYENJOJO-HOIMA'!J18,'30.10 KYENJOJO-HOIMA'!J18,'26.10 KYENJOJO-HOIMA-24h'!J18,'28.10 KYENJOJO-HOIMA-24h'!J18,'31.10 KYENJOJO-HOIMA'!J18)</f>
        <v>1</v>
      </c>
      <c r="K18" s="49">
        <f>AVERAGE('25.10 KYENJOJO-HOIMA'!K18,'27.10 KYENJOJO-HOIMA'!K18,'29.10 KYENJOJO-HOIMA'!K18,'30.10 KYENJOJO-HOIMA'!K18,'26.10 KYENJOJO-HOIMA-24h'!K18,'28.10 KYENJOJO-HOIMA-24h'!K18,'31.10 KYENJOJO-HOIMA'!K18)</f>
        <v>0</v>
      </c>
      <c r="L18" s="49">
        <f>AVERAGE('25.10 KYENJOJO-HOIMA'!L18,'27.10 KYENJOJO-HOIMA'!L18,'29.10 KYENJOJO-HOIMA'!L18,'30.10 KYENJOJO-HOIMA'!L18,'26.10 KYENJOJO-HOIMA-24h'!L18,'28.10 KYENJOJO-HOIMA-24h'!L18,'31.10 KYENJOJO-HOIMA'!L18)</f>
        <v>0</v>
      </c>
      <c r="M18" s="49">
        <f>AVERAGE('25.10 KYENJOJO-HOIMA'!M18,'27.10 KYENJOJO-HOIMA'!M18,'29.10 KYENJOJO-HOIMA'!M18,'30.10 KYENJOJO-HOIMA'!M18,'26.10 KYENJOJO-HOIMA-24h'!M18,'28.10 KYENJOJO-HOIMA-24h'!M18,'31.10 KYENJOJO-HOIMA'!M18)</f>
        <v>24.285714285714285</v>
      </c>
      <c r="N18" s="49">
        <f>AVERAGE('25.10 KYENJOJO-HOIMA'!N18,'27.10 KYENJOJO-HOIMA'!N18,'29.10 KYENJOJO-HOIMA'!N18,'30.10 KYENJOJO-HOIMA'!N18,'26.10 KYENJOJO-HOIMA-24h'!N18,'28.10 KYENJOJO-HOIMA-24h'!N18,'31.10 KYENJOJO-HOIMA'!N18)</f>
        <v>0</v>
      </c>
      <c r="O18" s="15">
        <f t="shared" si="0"/>
        <v>9.2857142857142865</v>
      </c>
      <c r="P18" s="15">
        <f t="shared" si="1"/>
        <v>33.571428571428569</v>
      </c>
      <c r="R18" s="1" t="s">
        <v>14</v>
      </c>
      <c r="S18" s="17">
        <f t="shared" ref="S18:AF18" si="10">SUM(C42:C45)</f>
        <v>22.571428571428573</v>
      </c>
      <c r="T18" s="17">
        <f t="shared" si="10"/>
        <v>1.4285714285714284</v>
      </c>
      <c r="U18" s="17">
        <f t="shared" si="10"/>
        <v>5</v>
      </c>
      <c r="V18" s="17">
        <f t="shared" si="10"/>
        <v>3.1428571428571428</v>
      </c>
      <c r="W18" s="17">
        <f t="shared" si="10"/>
        <v>0.2857142857142857</v>
      </c>
      <c r="X18" s="17">
        <f t="shared" si="10"/>
        <v>0</v>
      </c>
      <c r="Y18" s="17">
        <f t="shared" si="10"/>
        <v>3.5714285714285712</v>
      </c>
      <c r="Z18" s="17">
        <f t="shared" si="10"/>
        <v>1.4285714285714284</v>
      </c>
      <c r="AA18" s="17">
        <f t="shared" si="10"/>
        <v>0.2857142857142857</v>
      </c>
      <c r="AB18" s="17">
        <f t="shared" si="10"/>
        <v>0.2857142857142857</v>
      </c>
      <c r="AC18" s="17">
        <f t="shared" si="10"/>
        <v>132.14285714285714</v>
      </c>
      <c r="AD18" s="17">
        <f t="shared" si="10"/>
        <v>0</v>
      </c>
      <c r="AE18" s="31">
        <f t="shared" si="10"/>
        <v>38</v>
      </c>
      <c r="AF18" s="31">
        <f t="shared" si="10"/>
        <v>170.14285714285714</v>
      </c>
    </row>
    <row r="19" spans="2:32" ht="23.1" customHeight="1" x14ac:dyDescent="0.25">
      <c r="B19" s="23" t="s">
        <v>46</v>
      </c>
      <c r="C19" s="49">
        <f>AVERAGE('25.10 KYENJOJO-HOIMA'!C19,'27.10 KYENJOJO-HOIMA'!C19,'29.10 KYENJOJO-HOIMA'!C19,'30.10 KYENJOJO-HOIMA'!C19,'26.10 KYENJOJO-HOIMA-24h'!C19,'28.10 KYENJOJO-HOIMA-24h'!C19,'31.10 KYENJOJO-HOIMA'!C19)</f>
        <v>4.8571428571428568</v>
      </c>
      <c r="D19" s="49">
        <f>AVERAGE('25.10 KYENJOJO-HOIMA'!D19,'27.10 KYENJOJO-HOIMA'!D19,'29.10 KYENJOJO-HOIMA'!D19,'30.10 KYENJOJO-HOIMA'!D19,'26.10 KYENJOJO-HOIMA-24h'!D19,'28.10 KYENJOJO-HOIMA-24h'!D19,'31.10 KYENJOJO-HOIMA'!D19)</f>
        <v>0.7142857142857143</v>
      </c>
      <c r="E19" s="49">
        <f>AVERAGE('25.10 KYENJOJO-HOIMA'!E19,'27.10 KYENJOJO-HOIMA'!E19,'29.10 KYENJOJO-HOIMA'!E19,'30.10 KYENJOJO-HOIMA'!E19,'26.10 KYENJOJO-HOIMA-24h'!E19,'28.10 KYENJOJO-HOIMA-24h'!E19,'31.10 KYENJOJO-HOIMA'!E19)</f>
        <v>1.8571428571428572</v>
      </c>
      <c r="F19" s="49">
        <f>AVERAGE('25.10 KYENJOJO-HOIMA'!F19,'27.10 KYENJOJO-HOIMA'!F19,'29.10 KYENJOJO-HOIMA'!F19,'30.10 KYENJOJO-HOIMA'!F19,'26.10 KYENJOJO-HOIMA-24h'!F19,'28.10 KYENJOJO-HOIMA-24h'!F19,'31.10 KYENJOJO-HOIMA'!F19)</f>
        <v>0.14285714285714285</v>
      </c>
      <c r="G19" s="49">
        <f>AVERAGE('25.10 KYENJOJO-HOIMA'!G19,'27.10 KYENJOJO-HOIMA'!G19,'29.10 KYENJOJO-HOIMA'!G19,'30.10 KYENJOJO-HOIMA'!G19,'26.10 KYENJOJO-HOIMA-24h'!G19,'28.10 KYENJOJO-HOIMA-24h'!G19,'31.10 KYENJOJO-HOIMA'!G19)</f>
        <v>0</v>
      </c>
      <c r="H19" s="49">
        <f>AVERAGE('25.10 KYENJOJO-HOIMA'!H19,'27.10 KYENJOJO-HOIMA'!H19,'29.10 KYENJOJO-HOIMA'!H19,'30.10 KYENJOJO-HOIMA'!H19,'26.10 KYENJOJO-HOIMA-24h'!H19,'28.10 KYENJOJO-HOIMA-24h'!H19,'31.10 KYENJOJO-HOIMA'!H19)</f>
        <v>0</v>
      </c>
      <c r="I19" s="49">
        <f>AVERAGE('25.10 KYENJOJO-HOIMA'!I19,'27.10 KYENJOJO-HOIMA'!I19,'29.10 KYENJOJO-HOIMA'!I19,'30.10 KYENJOJO-HOIMA'!I19,'26.10 KYENJOJO-HOIMA-24h'!I19,'28.10 KYENJOJO-HOIMA-24h'!I19,'31.10 KYENJOJO-HOIMA'!I19)</f>
        <v>0.7142857142857143</v>
      </c>
      <c r="J19" s="49">
        <f>AVERAGE('25.10 KYENJOJO-HOIMA'!J19,'27.10 KYENJOJO-HOIMA'!J19,'29.10 KYENJOJO-HOIMA'!J19,'30.10 KYENJOJO-HOIMA'!J19,'26.10 KYENJOJO-HOIMA-24h'!J19,'28.10 KYENJOJO-HOIMA-24h'!J19,'31.10 KYENJOJO-HOIMA'!J19)</f>
        <v>0.5714285714285714</v>
      </c>
      <c r="K19" s="49">
        <f>AVERAGE('25.10 KYENJOJO-HOIMA'!K19,'27.10 KYENJOJO-HOIMA'!K19,'29.10 KYENJOJO-HOIMA'!K19,'30.10 KYENJOJO-HOIMA'!K19,'26.10 KYENJOJO-HOIMA-24h'!K19,'28.10 KYENJOJO-HOIMA-24h'!K19,'31.10 KYENJOJO-HOIMA'!K19)</f>
        <v>0.14285714285714285</v>
      </c>
      <c r="L19" s="49">
        <f>AVERAGE('25.10 KYENJOJO-HOIMA'!L19,'27.10 KYENJOJO-HOIMA'!L19,'29.10 KYENJOJO-HOIMA'!L19,'30.10 KYENJOJO-HOIMA'!L19,'26.10 KYENJOJO-HOIMA-24h'!L19,'28.10 KYENJOJO-HOIMA-24h'!L19,'31.10 KYENJOJO-HOIMA'!L19)</f>
        <v>0</v>
      </c>
      <c r="M19" s="49">
        <f>AVERAGE('25.10 KYENJOJO-HOIMA'!M19,'27.10 KYENJOJO-HOIMA'!M19,'29.10 KYENJOJO-HOIMA'!M19,'30.10 KYENJOJO-HOIMA'!M19,'26.10 KYENJOJO-HOIMA-24h'!M19,'28.10 KYENJOJO-HOIMA-24h'!M19,'31.10 KYENJOJO-HOIMA'!M19)</f>
        <v>20.714285714285715</v>
      </c>
      <c r="N19" s="49">
        <f>AVERAGE('25.10 KYENJOJO-HOIMA'!N19,'27.10 KYENJOJO-HOIMA'!N19,'29.10 KYENJOJO-HOIMA'!N19,'30.10 KYENJOJO-HOIMA'!N19,'26.10 KYENJOJO-HOIMA-24h'!N19,'28.10 KYENJOJO-HOIMA-24h'!N19,'31.10 KYENJOJO-HOIMA'!N19)</f>
        <v>0</v>
      </c>
      <c r="O19" s="15">
        <f t="shared" si="0"/>
        <v>9</v>
      </c>
      <c r="P19" s="15">
        <f t="shared" si="1"/>
        <v>29.714285714285715</v>
      </c>
      <c r="R19" s="1" t="s">
        <v>15</v>
      </c>
      <c r="S19" s="17">
        <f t="shared" ref="S19:AF19" si="11">SUM(C46:C49)</f>
        <v>28.285714285714285</v>
      </c>
      <c r="T19" s="17">
        <f t="shared" si="11"/>
        <v>2</v>
      </c>
      <c r="U19" s="17">
        <f t="shared" si="11"/>
        <v>4.2857142857142865</v>
      </c>
      <c r="V19" s="17">
        <f t="shared" si="11"/>
        <v>4.4285714285714288</v>
      </c>
      <c r="W19" s="17">
        <f t="shared" si="11"/>
        <v>0.71428571428571419</v>
      </c>
      <c r="X19" s="17">
        <f t="shared" si="11"/>
        <v>0</v>
      </c>
      <c r="Y19" s="17">
        <f t="shared" si="11"/>
        <v>3.285714285714286</v>
      </c>
      <c r="Z19" s="17">
        <f t="shared" si="11"/>
        <v>2.1428571428571423</v>
      </c>
      <c r="AA19" s="17">
        <f t="shared" si="11"/>
        <v>0.71428571428571419</v>
      </c>
      <c r="AB19" s="17">
        <f t="shared" si="11"/>
        <v>0.85714285714285698</v>
      </c>
      <c r="AC19" s="17">
        <f t="shared" si="11"/>
        <v>143.85714285714286</v>
      </c>
      <c r="AD19" s="17">
        <f t="shared" si="11"/>
        <v>0</v>
      </c>
      <c r="AE19" s="31">
        <f t="shared" si="11"/>
        <v>46.714285714285715</v>
      </c>
      <c r="AF19" s="31">
        <f t="shared" si="11"/>
        <v>190.57142857142858</v>
      </c>
    </row>
    <row r="20" spans="2:32" ht="23.1" customHeight="1" x14ac:dyDescent="0.25">
      <c r="B20" s="23" t="s">
        <v>47</v>
      </c>
      <c r="C20" s="49">
        <f>AVERAGE('25.10 KYENJOJO-HOIMA'!C20,'27.10 KYENJOJO-HOIMA'!C20,'29.10 KYENJOJO-HOIMA'!C20,'30.10 KYENJOJO-HOIMA'!C20,'26.10 KYENJOJO-HOIMA-24h'!C20,'28.10 KYENJOJO-HOIMA-24h'!C20,'31.10 KYENJOJO-HOIMA'!C20)</f>
        <v>4</v>
      </c>
      <c r="D20" s="49">
        <f>AVERAGE('25.10 KYENJOJO-HOIMA'!D20,'27.10 KYENJOJO-HOIMA'!D20,'29.10 KYENJOJO-HOIMA'!D20,'30.10 KYENJOJO-HOIMA'!D20,'26.10 KYENJOJO-HOIMA-24h'!D20,'28.10 KYENJOJO-HOIMA-24h'!D20,'31.10 KYENJOJO-HOIMA'!D20)</f>
        <v>0.14285714285714285</v>
      </c>
      <c r="E20" s="49">
        <f>AVERAGE('25.10 KYENJOJO-HOIMA'!E20,'27.10 KYENJOJO-HOIMA'!E20,'29.10 KYENJOJO-HOIMA'!E20,'30.10 KYENJOJO-HOIMA'!E20,'26.10 KYENJOJO-HOIMA-24h'!E20,'28.10 KYENJOJO-HOIMA-24h'!E20,'31.10 KYENJOJO-HOIMA'!E20)</f>
        <v>0.8571428571428571</v>
      </c>
      <c r="F20" s="49">
        <f>AVERAGE('25.10 KYENJOJO-HOIMA'!F20,'27.10 KYENJOJO-HOIMA'!F20,'29.10 KYENJOJO-HOIMA'!F20,'30.10 KYENJOJO-HOIMA'!F20,'26.10 KYENJOJO-HOIMA-24h'!F20,'28.10 KYENJOJO-HOIMA-24h'!F20,'31.10 KYENJOJO-HOIMA'!F20)</f>
        <v>0.7142857142857143</v>
      </c>
      <c r="G20" s="49">
        <f>AVERAGE('25.10 KYENJOJO-HOIMA'!G20,'27.10 KYENJOJO-HOIMA'!G20,'29.10 KYENJOJO-HOIMA'!G20,'30.10 KYENJOJO-HOIMA'!G20,'26.10 KYENJOJO-HOIMA-24h'!G20,'28.10 KYENJOJO-HOIMA-24h'!G20,'31.10 KYENJOJO-HOIMA'!G20)</f>
        <v>0</v>
      </c>
      <c r="H20" s="49">
        <f>AVERAGE('25.10 KYENJOJO-HOIMA'!H20,'27.10 KYENJOJO-HOIMA'!H20,'29.10 KYENJOJO-HOIMA'!H20,'30.10 KYENJOJO-HOIMA'!H20,'26.10 KYENJOJO-HOIMA-24h'!H20,'28.10 KYENJOJO-HOIMA-24h'!H20,'31.10 KYENJOJO-HOIMA'!H20)</f>
        <v>0</v>
      </c>
      <c r="I20" s="49">
        <f>AVERAGE('25.10 KYENJOJO-HOIMA'!I20,'27.10 KYENJOJO-HOIMA'!I20,'29.10 KYENJOJO-HOIMA'!I20,'30.10 KYENJOJO-HOIMA'!I20,'26.10 KYENJOJO-HOIMA-24h'!I20,'28.10 KYENJOJO-HOIMA-24h'!I20,'31.10 KYENJOJO-HOIMA'!I20)</f>
        <v>1</v>
      </c>
      <c r="J20" s="49">
        <f>AVERAGE('25.10 KYENJOJO-HOIMA'!J20,'27.10 KYENJOJO-HOIMA'!J20,'29.10 KYENJOJO-HOIMA'!J20,'30.10 KYENJOJO-HOIMA'!J20,'26.10 KYENJOJO-HOIMA-24h'!J20,'28.10 KYENJOJO-HOIMA-24h'!J20,'31.10 KYENJOJO-HOIMA'!J20)</f>
        <v>0</v>
      </c>
      <c r="K20" s="49">
        <f>AVERAGE('25.10 KYENJOJO-HOIMA'!K20,'27.10 KYENJOJO-HOIMA'!K20,'29.10 KYENJOJO-HOIMA'!K20,'30.10 KYENJOJO-HOIMA'!K20,'26.10 KYENJOJO-HOIMA-24h'!K20,'28.10 KYENJOJO-HOIMA-24h'!K20,'31.10 KYENJOJO-HOIMA'!K20)</f>
        <v>0.14285714285714285</v>
      </c>
      <c r="L20" s="49">
        <f>AVERAGE('25.10 KYENJOJO-HOIMA'!L20,'27.10 KYENJOJO-HOIMA'!L20,'29.10 KYENJOJO-HOIMA'!L20,'30.10 KYENJOJO-HOIMA'!L20,'26.10 KYENJOJO-HOIMA-24h'!L20,'28.10 KYENJOJO-HOIMA-24h'!L20,'31.10 KYENJOJO-HOIMA'!L20)</f>
        <v>0</v>
      </c>
      <c r="M20" s="49">
        <f>AVERAGE('25.10 KYENJOJO-HOIMA'!M20,'27.10 KYENJOJO-HOIMA'!M20,'29.10 KYENJOJO-HOIMA'!M20,'30.10 KYENJOJO-HOIMA'!M20,'26.10 KYENJOJO-HOIMA-24h'!M20,'28.10 KYENJOJO-HOIMA-24h'!M20,'31.10 KYENJOJO-HOIMA'!M20)</f>
        <v>27.571428571428573</v>
      </c>
      <c r="N20" s="49">
        <f>AVERAGE('25.10 KYENJOJO-HOIMA'!N20,'27.10 KYENJOJO-HOIMA'!N20,'29.10 KYENJOJO-HOIMA'!N20,'30.10 KYENJOJO-HOIMA'!N20,'26.10 KYENJOJO-HOIMA-24h'!N20,'28.10 KYENJOJO-HOIMA-24h'!N20,'31.10 KYENJOJO-HOIMA'!N20)</f>
        <v>0.14285714285714285</v>
      </c>
      <c r="O20" s="15">
        <f t="shared" si="0"/>
        <v>7.0000000000000009</v>
      </c>
      <c r="P20" s="15">
        <f t="shared" si="1"/>
        <v>34.571428571428577</v>
      </c>
      <c r="R20" s="1" t="s">
        <v>16</v>
      </c>
      <c r="S20" s="17">
        <f t="shared" ref="S20:AF20" si="12">SUM(C50:C53)</f>
        <v>30.571428571428569</v>
      </c>
      <c r="T20" s="17">
        <f t="shared" si="12"/>
        <v>3.2857142857142856</v>
      </c>
      <c r="U20" s="17">
        <f t="shared" si="12"/>
        <v>7</v>
      </c>
      <c r="V20" s="17">
        <f t="shared" si="12"/>
        <v>1.4285714285714284</v>
      </c>
      <c r="W20" s="17">
        <f t="shared" si="12"/>
        <v>0.14285714285714285</v>
      </c>
      <c r="X20" s="17">
        <f t="shared" si="12"/>
        <v>0.14285714285714285</v>
      </c>
      <c r="Y20" s="17">
        <f t="shared" si="12"/>
        <v>4.1428571428571423</v>
      </c>
      <c r="Z20" s="17">
        <f t="shared" si="12"/>
        <v>3.2857142857142856</v>
      </c>
      <c r="AA20" s="17">
        <f t="shared" si="12"/>
        <v>0.71428571428571419</v>
      </c>
      <c r="AB20" s="17">
        <f t="shared" si="12"/>
        <v>0.8571428571428571</v>
      </c>
      <c r="AC20" s="17">
        <f t="shared" si="12"/>
        <v>147.14285714285714</v>
      </c>
      <c r="AD20" s="17">
        <f t="shared" si="12"/>
        <v>0</v>
      </c>
      <c r="AE20" s="31">
        <f t="shared" si="12"/>
        <v>51.571428571428569</v>
      </c>
      <c r="AF20" s="31">
        <f t="shared" si="12"/>
        <v>198.71428571428572</v>
      </c>
    </row>
    <row r="21" spans="2:32" ht="23.1" customHeight="1" x14ac:dyDescent="0.25">
      <c r="B21" s="23" t="s">
        <v>48</v>
      </c>
      <c r="C21" s="49">
        <f>AVERAGE('25.10 KYENJOJO-HOIMA'!C21,'27.10 KYENJOJO-HOIMA'!C21,'29.10 KYENJOJO-HOIMA'!C21,'30.10 KYENJOJO-HOIMA'!C21,'26.10 KYENJOJO-HOIMA-24h'!C21,'28.10 KYENJOJO-HOIMA-24h'!C21,'31.10 KYENJOJO-HOIMA'!C21)</f>
        <v>5</v>
      </c>
      <c r="D21" s="49">
        <f>AVERAGE('25.10 KYENJOJO-HOIMA'!D21,'27.10 KYENJOJO-HOIMA'!D21,'29.10 KYENJOJO-HOIMA'!D21,'30.10 KYENJOJO-HOIMA'!D21,'26.10 KYENJOJO-HOIMA-24h'!D21,'28.10 KYENJOJO-HOIMA-24h'!D21,'31.10 KYENJOJO-HOIMA'!D21)</f>
        <v>0.42857142857142855</v>
      </c>
      <c r="E21" s="49">
        <f>AVERAGE('25.10 KYENJOJO-HOIMA'!E21,'27.10 KYENJOJO-HOIMA'!E21,'29.10 KYENJOJO-HOIMA'!E21,'30.10 KYENJOJO-HOIMA'!E21,'26.10 KYENJOJO-HOIMA-24h'!E21,'28.10 KYENJOJO-HOIMA-24h'!E21,'31.10 KYENJOJO-HOIMA'!E21)</f>
        <v>0.8571428571428571</v>
      </c>
      <c r="F21" s="49">
        <f>AVERAGE('25.10 KYENJOJO-HOIMA'!F21,'27.10 KYENJOJO-HOIMA'!F21,'29.10 KYENJOJO-HOIMA'!F21,'30.10 KYENJOJO-HOIMA'!F21,'26.10 KYENJOJO-HOIMA-24h'!F21,'28.10 KYENJOJO-HOIMA-24h'!F21,'31.10 KYENJOJO-HOIMA'!F21)</f>
        <v>0.2857142857142857</v>
      </c>
      <c r="G21" s="49">
        <f>AVERAGE('25.10 KYENJOJO-HOIMA'!G21,'27.10 KYENJOJO-HOIMA'!G21,'29.10 KYENJOJO-HOIMA'!G21,'30.10 KYENJOJO-HOIMA'!G21,'26.10 KYENJOJO-HOIMA-24h'!G21,'28.10 KYENJOJO-HOIMA-24h'!G21,'31.10 KYENJOJO-HOIMA'!G21)</f>
        <v>0</v>
      </c>
      <c r="H21" s="49">
        <f>AVERAGE('25.10 KYENJOJO-HOIMA'!H21,'27.10 KYENJOJO-HOIMA'!H21,'29.10 KYENJOJO-HOIMA'!H21,'30.10 KYENJOJO-HOIMA'!H21,'26.10 KYENJOJO-HOIMA-24h'!H21,'28.10 KYENJOJO-HOIMA-24h'!H21,'31.10 KYENJOJO-HOIMA'!H21)</f>
        <v>0</v>
      </c>
      <c r="I21" s="49">
        <f>AVERAGE('25.10 KYENJOJO-HOIMA'!I21,'27.10 KYENJOJO-HOIMA'!I21,'29.10 KYENJOJO-HOIMA'!I21,'30.10 KYENJOJO-HOIMA'!I21,'26.10 KYENJOJO-HOIMA-24h'!I21,'28.10 KYENJOJO-HOIMA-24h'!I21,'31.10 KYENJOJO-HOIMA'!I21)</f>
        <v>0.42857142857142855</v>
      </c>
      <c r="J21" s="49">
        <f>AVERAGE('25.10 KYENJOJO-HOIMA'!J21,'27.10 KYENJOJO-HOIMA'!J21,'29.10 KYENJOJO-HOIMA'!J21,'30.10 KYENJOJO-HOIMA'!J21,'26.10 KYENJOJO-HOIMA-24h'!J21,'28.10 KYENJOJO-HOIMA-24h'!J21,'31.10 KYENJOJO-HOIMA'!J21)</f>
        <v>0.7142857142857143</v>
      </c>
      <c r="K21" s="49">
        <f>AVERAGE('25.10 KYENJOJO-HOIMA'!K21,'27.10 KYENJOJO-HOIMA'!K21,'29.10 KYENJOJO-HOIMA'!K21,'30.10 KYENJOJO-HOIMA'!K21,'26.10 KYENJOJO-HOIMA-24h'!K21,'28.10 KYENJOJO-HOIMA-24h'!K21,'31.10 KYENJOJO-HOIMA'!K21)</f>
        <v>0</v>
      </c>
      <c r="L21" s="49">
        <f>AVERAGE('25.10 KYENJOJO-HOIMA'!L21,'27.10 KYENJOJO-HOIMA'!L21,'29.10 KYENJOJO-HOIMA'!L21,'30.10 KYENJOJO-HOIMA'!L21,'26.10 KYENJOJO-HOIMA-24h'!L21,'28.10 KYENJOJO-HOIMA-24h'!L21,'31.10 KYENJOJO-HOIMA'!L21)</f>
        <v>0</v>
      </c>
      <c r="M21" s="49">
        <f>AVERAGE('25.10 KYENJOJO-HOIMA'!M21,'27.10 KYENJOJO-HOIMA'!M21,'29.10 KYENJOJO-HOIMA'!M21,'30.10 KYENJOJO-HOIMA'!M21,'26.10 KYENJOJO-HOIMA-24h'!M21,'28.10 KYENJOJO-HOIMA-24h'!M21,'31.10 KYENJOJO-HOIMA'!M21)</f>
        <v>23.428571428571427</v>
      </c>
      <c r="N21" s="49">
        <f>AVERAGE('25.10 KYENJOJO-HOIMA'!N21,'27.10 KYENJOJO-HOIMA'!N21,'29.10 KYENJOJO-HOIMA'!N21,'30.10 KYENJOJO-HOIMA'!N21,'26.10 KYENJOJO-HOIMA-24h'!N21,'28.10 KYENJOJO-HOIMA-24h'!N21,'31.10 KYENJOJO-HOIMA'!N21)</f>
        <v>0</v>
      </c>
      <c r="O21" s="15">
        <f t="shared" si="0"/>
        <v>7.7142857142857144</v>
      </c>
      <c r="P21" s="15">
        <f t="shared" si="1"/>
        <v>31.142857142857142</v>
      </c>
      <c r="R21" s="36" t="s">
        <v>20</v>
      </c>
      <c r="S21" s="34">
        <f t="shared" ref="S21:AF21" si="13">SUM(C54:C57)</f>
        <v>25.857142857142854</v>
      </c>
      <c r="T21" s="17">
        <f t="shared" si="13"/>
        <v>1.8571428571428572</v>
      </c>
      <c r="U21" s="17">
        <f t="shared" si="13"/>
        <v>3.1428571428571423</v>
      </c>
      <c r="V21" s="17">
        <f t="shared" si="13"/>
        <v>2.1428571428571428</v>
      </c>
      <c r="W21" s="17">
        <f t="shared" si="13"/>
        <v>0</v>
      </c>
      <c r="X21" s="17">
        <f t="shared" si="13"/>
        <v>0</v>
      </c>
      <c r="Y21" s="17">
        <f t="shared" si="13"/>
        <v>1.8571428571428572</v>
      </c>
      <c r="Z21" s="17">
        <f t="shared" si="13"/>
        <v>1.4285714285714284</v>
      </c>
      <c r="AA21" s="17">
        <f t="shared" si="13"/>
        <v>0</v>
      </c>
      <c r="AB21" s="17">
        <f t="shared" si="13"/>
        <v>0.42857142857142855</v>
      </c>
      <c r="AC21" s="17">
        <f t="shared" si="13"/>
        <v>156.42857142857142</v>
      </c>
      <c r="AD21" s="17">
        <f t="shared" si="13"/>
        <v>0</v>
      </c>
      <c r="AE21" s="31">
        <f t="shared" si="13"/>
        <v>36.714285714285715</v>
      </c>
      <c r="AF21" s="31">
        <f t="shared" si="13"/>
        <v>193.14285714285717</v>
      </c>
    </row>
    <row r="22" spans="2:32" ht="23.1" customHeight="1" x14ac:dyDescent="0.25">
      <c r="B22" s="23" t="s">
        <v>49</v>
      </c>
      <c r="C22" s="49">
        <f>AVERAGE('25.10 KYENJOJO-HOIMA'!C22,'27.10 KYENJOJO-HOIMA'!C22,'29.10 KYENJOJO-HOIMA'!C22,'30.10 KYENJOJO-HOIMA'!C22,'26.10 KYENJOJO-HOIMA-24h'!C22,'28.10 KYENJOJO-HOIMA-24h'!C22,'31.10 KYENJOJO-HOIMA'!C22)</f>
        <v>5.5714285714285712</v>
      </c>
      <c r="D22" s="49">
        <f>AVERAGE('25.10 KYENJOJO-HOIMA'!D22,'27.10 KYENJOJO-HOIMA'!D22,'29.10 KYENJOJO-HOIMA'!D22,'30.10 KYENJOJO-HOIMA'!D22,'26.10 KYENJOJO-HOIMA-24h'!D22,'28.10 KYENJOJO-HOIMA-24h'!D22,'31.10 KYENJOJO-HOIMA'!D22)</f>
        <v>0.8571428571428571</v>
      </c>
      <c r="E22" s="49">
        <f>AVERAGE('25.10 KYENJOJO-HOIMA'!E22,'27.10 KYENJOJO-HOIMA'!E22,'29.10 KYENJOJO-HOIMA'!E22,'30.10 KYENJOJO-HOIMA'!E22,'26.10 KYENJOJO-HOIMA-24h'!E22,'28.10 KYENJOJO-HOIMA-24h'!E22,'31.10 KYENJOJO-HOIMA'!E22)</f>
        <v>1.5714285714285714</v>
      </c>
      <c r="F22" s="49">
        <f>AVERAGE('25.10 KYENJOJO-HOIMA'!F22,'27.10 KYENJOJO-HOIMA'!F22,'29.10 KYENJOJO-HOIMA'!F22,'30.10 KYENJOJO-HOIMA'!F22,'26.10 KYENJOJO-HOIMA-24h'!F22,'28.10 KYENJOJO-HOIMA-24h'!F22,'31.10 KYENJOJO-HOIMA'!F22)</f>
        <v>0.7142857142857143</v>
      </c>
      <c r="G22" s="49">
        <f>AVERAGE('25.10 KYENJOJO-HOIMA'!G22,'27.10 KYENJOJO-HOIMA'!G22,'29.10 KYENJOJO-HOIMA'!G22,'30.10 KYENJOJO-HOIMA'!G22,'26.10 KYENJOJO-HOIMA-24h'!G22,'28.10 KYENJOJO-HOIMA-24h'!G22,'31.10 KYENJOJO-HOIMA'!G22)</f>
        <v>0</v>
      </c>
      <c r="H22" s="49">
        <f>AVERAGE('25.10 KYENJOJO-HOIMA'!H22,'27.10 KYENJOJO-HOIMA'!H22,'29.10 KYENJOJO-HOIMA'!H22,'30.10 KYENJOJO-HOIMA'!H22,'26.10 KYENJOJO-HOIMA-24h'!H22,'28.10 KYENJOJO-HOIMA-24h'!H22,'31.10 KYENJOJO-HOIMA'!H22)</f>
        <v>0</v>
      </c>
      <c r="I22" s="49">
        <f>AVERAGE('25.10 KYENJOJO-HOIMA'!I22,'27.10 KYENJOJO-HOIMA'!I22,'29.10 KYENJOJO-HOIMA'!I22,'30.10 KYENJOJO-HOIMA'!I22,'26.10 KYENJOJO-HOIMA-24h'!I22,'28.10 KYENJOJO-HOIMA-24h'!I22,'31.10 KYENJOJO-HOIMA'!I22)</f>
        <v>0.42857142857142855</v>
      </c>
      <c r="J22" s="49">
        <f>AVERAGE('25.10 KYENJOJO-HOIMA'!J22,'27.10 KYENJOJO-HOIMA'!J22,'29.10 KYENJOJO-HOIMA'!J22,'30.10 KYENJOJO-HOIMA'!J22,'26.10 KYENJOJO-HOIMA-24h'!J22,'28.10 KYENJOJO-HOIMA-24h'!J22,'31.10 KYENJOJO-HOIMA'!J22)</f>
        <v>0.5714285714285714</v>
      </c>
      <c r="K22" s="49">
        <f>AVERAGE('25.10 KYENJOJO-HOIMA'!K22,'27.10 KYENJOJO-HOIMA'!K22,'29.10 KYENJOJO-HOIMA'!K22,'30.10 KYENJOJO-HOIMA'!K22,'26.10 KYENJOJO-HOIMA-24h'!K22,'28.10 KYENJOJO-HOIMA-24h'!K22,'31.10 KYENJOJO-HOIMA'!K22)</f>
        <v>0.2857142857142857</v>
      </c>
      <c r="L22" s="49">
        <f>AVERAGE('25.10 KYENJOJO-HOIMA'!L22,'27.10 KYENJOJO-HOIMA'!L22,'29.10 KYENJOJO-HOIMA'!L22,'30.10 KYENJOJO-HOIMA'!L22,'26.10 KYENJOJO-HOIMA-24h'!L22,'28.10 KYENJOJO-HOIMA-24h'!L22,'31.10 KYENJOJO-HOIMA'!L22)</f>
        <v>0.14285714285714285</v>
      </c>
      <c r="M22" s="49">
        <f>AVERAGE('25.10 KYENJOJO-HOIMA'!M22,'27.10 KYENJOJO-HOIMA'!M22,'29.10 KYENJOJO-HOIMA'!M22,'30.10 KYENJOJO-HOIMA'!M22,'26.10 KYENJOJO-HOIMA-24h'!M22,'28.10 KYENJOJO-HOIMA-24h'!M22,'31.10 KYENJOJO-HOIMA'!M22)</f>
        <v>31.571428571428573</v>
      </c>
      <c r="N22" s="49">
        <f>AVERAGE('25.10 KYENJOJO-HOIMA'!N22,'27.10 KYENJOJO-HOIMA'!N22,'29.10 KYENJOJO-HOIMA'!N22,'30.10 KYENJOJO-HOIMA'!N22,'26.10 KYENJOJO-HOIMA-24h'!N22,'28.10 KYENJOJO-HOIMA-24h'!N22,'31.10 KYENJOJO-HOIMA'!N22)</f>
        <v>0</v>
      </c>
      <c r="O22" s="15">
        <f t="shared" si="0"/>
        <v>10.142857142857142</v>
      </c>
      <c r="P22" s="15">
        <f t="shared" si="1"/>
        <v>41.714285714285715</v>
      </c>
      <c r="R22" s="1" t="s">
        <v>146</v>
      </c>
      <c r="S22" s="34">
        <f>SUM(C58:C61)</f>
        <v>28.5</v>
      </c>
      <c r="T22" s="34">
        <f t="shared" ref="T22:AF22" si="14">SUM(D58:D61)</f>
        <v>5</v>
      </c>
      <c r="U22" s="34">
        <f t="shared" si="14"/>
        <v>3</v>
      </c>
      <c r="V22" s="34">
        <f t="shared" si="14"/>
        <v>6.5</v>
      </c>
      <c r="W22" s="34">
        <f t="shared" si="14"/>
        <v>0</v>
      </c>
      <c r="X22" s="34">
        <f t="shared" si="14"/>
        <v>1</v>
      </c>
      <c r="Y22" s="34">
        <f t="shared" si="14"/>
        <v>7.5</v>
      </c>
      <c r="Z22" s="34">
        <f t="shared" si="14"/>
        <v>2.5</v>
      </c>
      <c r="AA22" s="34">
        <f t="shared" si="14"/>
        <v>4</v>
      </c>
      <c r="AB22" s="34">
        <f t="shared" si="14"/>
        <v>0.5</v>
      </c>
      <c r="AC22" s="34">
        <f t="shared" si="14"/>
        <v>132</v>
      </c>
      <c r="AD22" s="34">
        <f t="shared" si="14"/>
        <v>0</v>
      </c>
      <c r="AE22" s="31">
        <f t="shared" si="14"/>
        <v>58.5</v>
      </c>
      <c r="AF22" s="31">
        <f t="shared" si="14"/>
        <v>190.5</v>
      </c>
    </row>
    <row r="23" spans="2:32" ht="23.1" customHeight="1" x14ac:dyDescent="0.25">
      <c r="B23" s="23" t="s">
        <v>50</v>
      </c>
      <c r="C23" s="49">
        <f>AVERAGE('25.10 KYENJOJO-HOIMA'!C23,'27.10 KYENJOJO-HOIMA'!C23,'29.10 KYENJOJO-HOIMA'!C23,'30.10 KYENJOJO-HOIMA'!C23,'26.10 KYENJOJO-HOIMA-24h'!C23,'28.10 KYENJOJO-HOIMA-24h'!C23,'31.10 KYENJOJO-HOIMA'!C23)</f>
        <v>7</v>
      </c>
      <c r="D23" s="49">
        <f>AVERAGE('25.10 KYENJOJO-HOIMA'!D23,'27.10 KYENJOJO-HOIMA'!D23,'29.10 KYENJOJO-HOIMA'!D23,'30.10 KYENJOJO-HOIMA'!D23,'26.10 KYENJOJO-HOIMA-24h'!D23,'28.10 KYENJOJO-HOIMA-24h'!D23,'31.10 KYENJOJO-HOIMA'!D23)</f>
        <v>0.2857142857142857</v>
      </c>
      <c r="E23" s="49">
        <f>AVERAGE('25.10 KYENJOJO-HOIMA'!E23,'27.10 KYENJOJO-HOIMA'!E23,'29.10 KYENJOJO-HOIMA'!E23,'30.10 KYENJOJO-HOIMA'!E23,'26.10 KYENJOJO-HOIMA-24h'!E23,'28.10 KYENJOJO-HOIMA-24h'!E23,'31.10 KYENJOJO-HOIMA'!E23)</f>
        <v>2.1428571428571428</v>
      </c>
      <c r="F23" s="49">
        <f>AVERAGE('25.10 KYENJOJO-HOIMA'!F23,'27.10 KYENJOJO-HOIMA'!F23,'29.10 KYENJOJO-HOIMA'!F23,'30.10 KYENJOJO-HOIMA'!F23,'26.10 KYENJOJO-HOIMA-24h'!F23,'28.10 KYENJOJO-HOIMA-24h'!F23,'31.10 KYENJOJO-HOIMA'!F23)</f>
        <v>1.1428571428571428</v>
      </c>
      <c r="G23" s="49">
        <f>AVERAGE('25.10 KYENJOJO-HOIMA'!G23,'27.10 KYENJOJO-HOIMA'!G23,'29.10 KYENJOJO-HOIMA'!G23,'30.10 KYENJOJO-HOIMA'!G23,'26.10 KYENJOJO-HOIMA-24h'!G23,'28.10 KYENJOJO-HOIMA-24h'!G23,'31.10 KYENJOJO-HOIMA'!G23)</f>
        <v>0</v>
      </c>
      <c r="H23" s="49">
        <f>AVERAGE('25.10 KYENJOJO-HOIMA'!H23,'27.10 KYENJOJO-HOIMA'!H23,'29.10 KYENJOJO-HOIMA'!H23,'30.10 KYENJOJO-HOIMA'!H23,'26.10 KYENJOJO-HOIMA-24h'!H23,'28.10 KYENJOJO-HOIMA-24h'!H23,'31.10 KYENJOJO-HOIMA'!H23)</f>
        <v>0</v>
      </c>
      <c r="I23" s="49">
        <f>AVERAGE('25.10 KYENJOJO-HOIMA'!I23,'27.10 KYENJOJO-HOIMA'!I23,'29.10 KYENJOJO-HOIMA'!I23,'30.10 KYENJOJO-HOIMA'!I23,'26.10 KYENJOJO-HOIMA-24h'!I23,'28.10 KYENJOJO-HOIMA-24h'!I23,'31.10 KYENJOJO-HOIMA'!I23)</f>
        <v>1.1428571428571428</v>
      </c>
      <c r="J23" s="49">
        <f>AVERAGE('25.10 KYENJOJO-HOIMA'!J23,'27.10 KYENJOJO-HOIMA'!J23,'29.10 KYENJOJO-HOIMA'!J23,'30.10 KYENJOJO-HOIMA'!J23,'26.10 KYENJOJO-HOIMA-24h'!J23,'28.10 KYENJOJO-HOIMA-24h'!J23,'31.10 KYENJOJO-HOIMA'!J23)</f>
        <v>0.2857142857142857</v>
      </c>
      <c r="K23" s="49">
        <f>AVERAGE('25.10 KYENJOJO-HOIMA'!K23,'27.10 KYENJOJO-HOIMA'!K23,'29.10 KYENJOJO-HOIMA'!K23,'30.10 KYENJOJO-HOIMA'!K23,'26.10 KYENJOJO-HOIMA-24h'!K23,'28.10 KYENJOJO-HOIMA-24h'!K23,'31.10 KYENJOJO-HOIMA'!K23)</f>
        <v>0</v>
      </c>
      <c r="L23" s="49">
        <f>AVERAGE('25.10 KYENJOJO-HOIMA'!L23,'27.10 KYENJOJO-HOIMA'!L23,'29.10 KYENJOJO-HOIMA'!L23,'30.10 KYENJOJO-HOIMA'!L23,'26.10 KYENJOJO-HOIMA-24h'!L23,'28.10 KYENJOJO-HOIMA-24h'!L23,'31.10 KYENJOJO-HOIMA'!L23)</f>
        <v>0</v>
      </c>
      <c r="M23" s="49">
        <f>AVERAGE('25.10 KYENJOJO-HOIMA'!M23,'27.10 KYENJOJO-HOIMA'!M23,'29.10 KYENJOJO-HOIMA'!M23,'30.10 KYENJOJO-HOIMA'!M23,'26.10 KYENJOJO-HOIMA-24h'!M23,'28.10 KYENJOJO-HOIMA-24h'!M23,'31.10 KYENJOJO-HOIMA'!M23)</f>
        <v>36.142857142857146</v>
      </c>
      <c r="N23" s="49">
        <f>AVERAGE('25.10 KYENJOJO-HOIMA'!N23,'27.10 KYENJOJO-HOIMA'!N23,'29.10 KYENJOJO-HOIMA'!N23,'30.10 KYENJOJO-HOIMA'!N23,'26.10 KYENJOJO-HOIMA-24h'!N23,'28.10 KYENJOJO-HOIMA-24h'!N23,'31.10 KYENJOJO-HOIMA'!N23)</f>
        <v>0</v>
      </c>
      <c r="O23" s="15">
        <f t="shared" si="0"/>
        <v>12</v>
      </c>
      <c r="P23" s="15">
        <f t="shared" si="1"/>
        <v>48.142857142857146</v>
      </c>
      <c r="R23" s="1" t="s">
        <v>147</v>
      </c>
      <c r="S23" s="34">
        <f>SUM(C62:C65)</f>
        <v>15.5</v>
      </c>
      <c r="T23" s="34">
        <f t="shared" ref="T23:AF23" si="15">SUM(D62:D65)</f>
        <v>6.5</v>
      </c>
      <c r="U23" s="34">
        <f t="shared" si="15"/>
        <v>6</v>
      </c>
      <c r="V23" s="34">
        <f t="shared" si="15"/>
        <v>3</v>
      </c>
      <c r="W23" s="34">
        <f t="shared" si="15"/>
        <v>1</v>
      </c>
      <c r="X23" s="34">
        <f t="shared" si="15"/>
        <v>0</v>
      </c>
      <c r="Y23" s="34">
        <f t="shared" si="15"/>
        <v>4.5</v>
      </c>
      <c r="Z23" s="34">
        <f t="shared" si="15"/>
        <v>4</v>
      </c>
      <c r="AA23" s="34">
        <f t="shared" si="15"/>
        <v>1</v>
      </c>
      <c r="AB23" s="34">
        <f t="shared" si="15"/>
        <v>0</v>
      </c>
      <c r="AC23" s="34">
        <f t="shared" si="15"/>
        <v>70.5</v>
      </c>
      <c r="AD23" s="34">
        <f t="shared" si="15"/>
        <v>0</v>
      </c>
      <c r="AE23" s="31">
        <f t="shared" si="15"/>
        <v>41.5</v>
      </c>
      <c r="AF23" s="31">
        <f t="shared" si="15"/>
        <v>112</v>
      </c>
    </row>
    <row r="24" spans="2:32" ht="23.1" customHeight="1" x14ac:dyDescent="0.25">
      <c r="B24" s="23" t="s">
        <v>51</v>
      </c>
      <c r="C24" s="49">
        <f>AVERAGE('25.10 KYENJOJO-HOIMA'!C24,'27.10 KYENJOJO-HOIMA'!C24,'29.10 KYENJOJO-HOIMA'!C24,'30.10 KYENJOJO-HOIMA'!C24,'26.10 KYENJOJO-HOIMA-24h'!C24,'28.10 KYENJOJO-HOIMA-24h'!C24,'31.10 KYENJOJO-HOIMA'!C24)</f>
        <v>8.7142857142857135</v>
      </c>
      <c r="D24" s="49">
        <f>AVERAGE('25.10 KYENJOJO-HOIMA'!D24,'27.10 KYENJOJO-HOIMA'!D24,'29.10 KYENJOJO-HOIMA'!D24,'30.10 KYENJOJO-HOIMA'!D24,'26.10 KYENJOJO-HOIMA-24h'!D24,'28.10 KYENJOJO-HOIMA-24h'!D24,'31.10 KYENJOJO-HOIMA'!D24)</f>
        <v>0.8571428571428571</v>
      </c>
      <c r="E24" s="49">
        <f>AVERAGE('25.10 KYENJOJO-HOIMA'!E24,'27.10 KYENJOJO-HOIMA'!E24,'29.10 KYENJOJO-HOIMA'!E24,'30.10 KYENJOJO-HOIMA'!E24,'26.10 KYENJOJO-HOIMA-24h'!E24,'28.10 KYENJOJO-HOIMA-24h'!E24,'31.10 KYENJOJO-HOIMA'!E24)</f>
        <v>1.4285714285714286</v>
      </c>
      <c r="F24" s="49">
        <f>AVERAGE('25.10 KYENJOJO-HOIMA'!F24,'27.10 KYENJOJO-HOIMA'!F24,'29.10 KYENJOJO-HOIMA'!F24,'30.10 KYENJOJO-HOIMA'!F24,'26.10 KYENJOJO-HOIMA-24h'!F24,'28.10 KYENJOJO-HOIMA-24h'!F24,'31.10 KYENJOJO-HOIMA'!F24)</f>
        <v>0.42857142857142855</v>
      </c>
      <c r="G24" s="49">
        <f>AVERAGE('25.10 KYENJOJO-HOIMA'!G24,'27.10 KYENJOJO-HOIMA'!G24,'29.10 KYENJOJO-HOIMA'!G24,'30.10 KYENJOJO-HOIMA'!G24,'26.10 KYENJOJO-HOIMA-24h'!G24,'28.10 KYENJOJO-HOIMA-24h'!G24,'31.10 KYENJOJO-HOIMA'!G24)</f>
        <v>0</v>
      </c>
      <c r="H24" s="49">
        <f>AVERAGE('25.10 KYENJOJO-HOIMA'!H24,'27.10 KYENJOJO-HOIMA'!H24,'29.10 KYENJOJO-HOIMA'!H24,'30.10 KYENJOJO-HOIMA'!H24,'26.10 KYENJOJO-HOIMA-24h'!H24,'28.10 KYENJOJO-HOIMA-24h'!H24,'31.10 KYENJOJO-HOIMA'!H24)</f>
        <v>0</v>
      </c>
      <c r="I24" s="49">
        <f>AVERAGE('25.10 KYENJOJO-HOIMA'!I24,'27.10 KYENJOJO-HOIMA'!I24,'29.10 KYENJOJO-HOIMA'!I24,'30.10 KYENJOJO-HOIMA'!I24,'26.10 KYENJOJO-HOIMA-24h'!I24,'28.10 KYENJOJO-HOIMA-24h'!I24,'31.10 KYENJOJO-HOIMA'!I24)</f>
        <v>1</v>
      </c>
      <c r="J24" s="49">
        <f>AVERAGE('25.10 KYENJOJO-HOIMA'!J24,'27.10 KYENJOJO-HOIMA'!J24,'29.10 KYENJOJO-HOIMA'!J24,'30.10 KYENJOJO-HOIMA'!J24,'26.10 KYENJOJO-HOIMA-24h'!J24,'28.10 KYENJOJO-HOIMA-24h'!J24,'31.10 KYENJOJO-HOIMA'!J24)</f>
        <v>0.5714285714285714</v>
      </c>
      <c r="K24" s="49">
        <f>AVERAGE('25.10 KYENJOJO-HOIMA'!K24,'27.10 KYENJOJO-HOIMA'!K24,'29.10 KYENJOJO-HOIMA'!K24,'30.10 KYENJOJO-HOIMA'!K24,'26.10 KYENJOJO-HOIMA-24h'!K24,'28.10 KYENJOJO-HOIMA-24h'!K24,'31.10 KYENJOJO-HOIMA'!K24)</f>
        <v>0.14285714285714285</v>
      </c>
      <c r="L24" s="49">
        <f>AVERAGE('25.10 KYENJOJO-HOIMA'!L24,'27.10 KYENJOJO-HOIMA'!L24,'29.10 KYENJOJO-HOIMA'!L24,'30.10 KYENJOJO-HOIMA'!L24,'26.10 KYENJOJO-HOIMA-24h'!L24,'28.10 KYENJOJO-HOIMA-24h'!L24,'31.10 KYENJOJO-HOIMA'!L24)</f>
        <v>0.2857142857142857</v>
      </c>
      <c r="M24" s="49">
        <f>AVERAGE('25.10 KYENJOJO-HOIMA'!M24,'27.10 KYENJOJO-HOIMA'!M24,'29.10 KYENJOJO-HOIMA'!M24,'30.10 KYENJOJO-HOIMA'!M24,'26.10 KYENJOJO-HOIMA-24h'!M24,'28.10 KYENJOJO-HOIMA-24h'!M24,'31.10 KYENJOJO-HOIMA'!M24)</f>
        <v>39.428571428571431</v>
      </c>
      <c r="N24" s="49">
        <f>AVERAGE('25.10 KYENJOJO-HOIMA'!N24,'27.10 KYENJOJO-HOIMA'!N24,'29.10 KYENJOJO-HOIMA'!N24,'30.10 KYENJOJO-HOIMA'!N24,'26.10 KYENJOJO-HOIMA-24h'!N24,'28.10 KYENJOJO-HOIMA-24h'!N24,'31.10 KYENJOJO-HOIMA'!N24)</f>
        <v>0</v>
      </c>
      <c r="O24" s="15">
        <f t="shared" si="0"/>
        <v>13.428571428571429</v>
      </c>
      <c r="P24" s="15">
        <f t="shared" si="1"/>
        <v>52.857142857142861</v>
      </c>
      <c r="R24" s="1" t="s">
        <v>148</v>
      </c>
      <c r="S24" s="34">
        <f>SUM(C66:C69)</f>
        <v>13.5</v>
      </c>
      <c r="T24" s="34">
        <f t="shared" ref="T24:AF24" si="16">SUM(D66:D69)</f>
        <v>3.5</v>
      </c>
      <c r="U24" s="34">
        <f t="shared" si="16"/>
        <v>3.5</v>
      </c>
      <c r="V24" s="34">
        <f t="shared" si="16"/>
        <v>2</v>
      </c>
      <c r="W24" s="34">
        <f t="shared" si="16"/>
        <v>1.5</v>
      </c>
      <c r="X24" s="34">
        <f t="shared" si="16"/>
        <v>0</v>
      </c>
      <c r="Y24" s="34">
        <f t="shared" si="16"/>
        <v>2.5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68.5</v>
      </c>
      <c r="AD24" s="34">
        <f t="shared" si="16"/>
        <v>0</v>
      </c>
      <c r="AE24" s="31">
        <f t="shared" si="16"/>
        <v>27.5</v>
      </c>
      <c r="AF24" s="31">
        <f t="shared" si="16"/>
        <v>96</v>
      </c>
    </row>
    <row r="25" spans="2:32" ht="23.1" customHeight="1" x14ac:dyDescent="0.25">
      <c r="B25" s="23" t="s">
        <v>52</v>
      </c>
      <c r="C25" s="49">
        <f>AVERAGE('25.10 KYENJOJO-HOIMA'!C25,'27.10 KYENJOJO-HOIMA'!C25,'29.10 KYENJOJO-HOIMA'!C25,'30.10 KYENJOJO-HOIMA'!C25,'26.10 KYENJOJO-HOIMA-24h'!C25,'28.10 KYENJOJO-HOIMA-24h'!C25,'31.10 KYENJOJO-HOIMA'!C25)</f>
        <v>7.5714285714285712</v>
      </c>
      <c r="D25" s="49">
        <f>AVERAGE('25.10 KYENJOJO-HOIMA'!D25,'27.10 KYENJOJO-HOIMA'!D25,'29.10 KYENJOJO-HOIMA'!D25,'30.10 KYENJOJO-HOIMA'!D25,'26.10 KYENJOJO-HOIMA-24h'!D25,'28.10 KYENJOJO-HOIMA-24h'!D25,'31.10 KYENJOJO-HOIMA'!D25)</f>
        <v>0.2857142857142857</v>
      </c>
      <c r="E25" s="49">
        <f>AVERAGE('25.10 KYENJOJO-HOIMA'!E25,'27.10 KYENJOJO-HOIMA'!E25,'29.10 KYENJOJO-HOIMA'!E25,'30.10 KYENJOJO-HOIMA'!E25,'26.10 KYENJOJO-HOIMA-24h'!E25,'28.10 KYENJOJO-HOIMA-24h'!E25,'31.10 KYENJOJO-HOIMA'!E25)</f>
        <v>1.8571428571428572</v>
      </c>
      <c r="F25" s="49">
        <f>AVERAGE('25.10 KYENJOJO-HOIMA'!F25,'27.10 KYENJOJO-HOIMA'!F25,'29.10 KYENJOJO-HOIMA'!F25,'30.10 KYENJOJO-HOIMA'!F25,'26.10 KYENJOJO-HOIMA-24h'!F25,'28.10 KYENJOJO-HOIMA-24h'!F25,'31.10 KYENJOJO-HOIMA'!F25)</f>
        <v>1</v>
      </c>
      <c r="G25" s="49">
        <f>AVERAGE('25.10 KYENJOJO-HOIMA'!G25,'27.10 KYENJOJO-HOIMA'!G25,'29.10 KYENJOJO-HOIMA'!G25,'30.10 KYENJOJO-HOIMA'!G25,'26.10 KYENJOJO-HOIMA-24h'!G25,'28.10 KYENJOJO-HOIMA-24h'!G25,'31.10 KYENJOJO-HOIMA'!G25)</f>
        <v>0</v>
      </c>
      <c r="H25" s="49">
        <f>AVERAGE('25.10 KYENJOJO-HOIMA'!H25,'27.10 KYENJOJO-HOIMA'!H25,'29.10 KYENJOJO-HOIMA'!H25,'30.10 KYENJOJO-HOIMA'!H25,'26.10 KYENJOJO-HOIMA-24h'!H25,'28.10 KYENJOJO-HOIMA-24h'!H25,'31.10 KYENJOJO-HOIMA'!H25)</f>
        <v>0</v>
      </c>
      <c r="I25" s="49">
        <f>AVERAGE('25.10 KYENJOJO-HOIMA'!I25,'27.10 KYENJOJO-HOIMA'!I25,'29.10 KYENJOJO-HOIMA'!I25,'30.10 KYENJOJO-HOIMA'!I25,'26.10 KYENJOJO-HOIMA-24h'!I25,'28.10 KYENJOJO-HOIMA-24h'!I25,'31.10 KYENJOJO-HOIMA'!I25)</f>
        <v>1.2857142857142858</v>
      </c>
      <c r="J25" s="49">
        <f>AVERAGE('25.10 KYENJOJO-HOIMA'!J25,'27.10 KYENJOJO-HOIMA'!J25,'29.10 KYENJOJO-HOIMA'!J25,'30.10 KYENJOJO-HOIMA'!J25,'26.10 KYENJOJO-HOIMA-24h'!J25,'28.10 KYENJOJO-HOIMA-24h'!J25,'31.10 KYENJOJO-HOIMA'!J25)</f>
        <v>0.14285714285714285</v>
      </c>
      <c r="K25" s="49">
        <f>AVERAGE('25.10 KYENJOJO-HOIMA'!K25,'27.10 KYENJOJO-HOIMA'!K25,'29.10 KYENJOJO-HOIMA'!K25,'30.10 KYENJOJO-HOIMA'!K25,'26.10 KYENJOJO-HOIMA-24h'!K25,'28.10 KYENJOJO-HOIMA-24h'!K25,'31.10 KYENJOJO-HOIMA'!K25)</f>
        <v>0</v>
      </c>
      <c r="L25" s="49">
        <f>AVERAGE('25.10 KYENJOJO-HOIMA'!L25,'27.10 KYENJOJO-HOIMA'!L25,'29.10 KYENJOJO-HOIMA'!L25,'30.10 KYENJOJO-HOIMA'!L25,'26.10 KYENJOJO-HOIMA-24h'!L25,'28.10 KYENJOJO-HOIMA-24h'!L25,'31.10 KYENJOJO-HOIMA'!L25)</f>
        <v>0</v>
      </c>
      <c r="M25" s="49">
        <f>AVERAGE('25.10 KYENJOJO-HOIMA'!M25,'27.10 KYENJOJO-HOIMA'!M25,'29.10 KYENJOJO-HOIMA'!M25,'30.10 KYENJOJO-HOIMA'!M25,'26.10 KYENJOJO-HOIMA-24h'!M25,'28.10 KYENJOJO-HOIMA-24h'!M25,'31.10 KYENJOJO-HOIMA'!M25)</f>
        <v>36.285714285714285</v>
      </c>
      <c r="N25" s="49">
        <f>AVERAGE('25.10 KYENJOJO-HOIMA'!N25,'27.10 KYENJOJO-HOIMA'!N25,'29.10 KYENJOJO-HOIMA'!N25,'30.10 KYENJOJO-HOIMA'!N25,'26.10 KYENJOJO-HOIMA-24h'!N25,'28.10 KYENJOJO-HOIMA-24h'!N25,'31.10 KYENJOJO-HOIMA'!N25)</f>
        <v>0.14285714285714285</v>
      </c>
      <c r="O25" s="15">
        <f t="shared" si="0"/>
        <v>12.285714285714285</v>
      </c>
      <c r="P25" s="15">
        <f t="shared" si="1"/>
        <v>48.571428571428577</v>
      </c>
      <c r="R25" s="1" t="s">
        <v>149</v>
      </c>
      <c r="S25" s="34">
        <f>SUM(C70:C73)</f>
        <v>8.5</v>
      </c>
      <c r="T25" s="34">
        <f t="shared" ref="T25:AF25" si="17">SUM(D70:D73)</f>
        <v>2.5</v>
      </c>
      <c r="U25" s="34">
        <f t="shared" si="17"/>
        <v>2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1.5</v>
      </c>
      <c r="Z25" s="34">
        <f t="shared" si="17"/>
        <v>0.5</v>
      </c>
      <c r="AA25" s="34">
        <f t="shared" si="17"/>
        <v>1</v>
      </c>
      <c r="AB25" s="34">
        <f t="shared" si="17"/>
        <v>0</v>
      </c>
      <c r="AC25" s="34">
        <f t="shared" si="17"/>
        <v>29.5</v>
      </c>
      <c r="AD25" s="34">
        <f t="shared" si="17"/>
        <v>0</v>
      </c>
      <c r="AE25" s="31">
        <f t="shared" si="17"/>
        <v>17</v>
      </c>
      <c r="AF25" s="31">
        <f t="shared" si="17"/>
        <v>46.5</v>
      </c>
    </row>
    <row r="26" spans="2:32" ht="23.1" customHeight="1" x14ac:dyDescent="0.25">
      <c r="B26" s="23" t="s">
        <v>53</v>
      </c>
      <c r="C26" s="49">
        <f>AVERAGE('25.10 KYENJOJO-HOIMA'!C26,'27.10 KYENJOJO-HOIMA'!C26,'29.10 KYENJOJO-HOIMA'!C26,'30.10 KYENJOJO-HOIMA'!C26,'26.10 KYENJOJO-HOIMA-24h'!C26,'28.10 KYENJOJO-HOIMA-24h'!C26,'31.10 KYENJOJO-HOIMA'!C26)</f>
        <v>7.1428571428571432</v>
      </c>
      <c r="D26" s="49">
        <f>AVERAGE('25.10 KYENJOJO-HOIMA'!D26,'27.10 KYENJOJO-HOIMA'!D26,'29.10 KYENJOJO-HOIMA'!D26,'30.10 KYENJOJO-HOIMA'!D26,'26.10 KYENJOJO-HOIMA-24h'!D26,'28.10 KYENJOJO-HOIMA-24h'!D26,'31.10 KYENJOJO-HOIMA'!D26)</f>
        <v>0.2857142857142857</v>
      </c>
      <c r="E26" s="49">
        <f>AVERAGE('25.10 KYENJOJO-HOIMA'!E26,'27.10 KYENJOJO-HOIMA'!E26,'29.10 KYENJOJO-HOIMA'!E26,'30.10 KYENJOJO-HOIMA'!E26,'26.10 KYENJOJO-HOIMA-24h'!E26,'28.10 KYENJOJO-HOIMA-24h'!E26,'31.10 KYENJOJO-HOIMA'!E26)</f>
        <v>1.2857142857142858</v>
      </c>
      <c r="F26" s="49">
        <f>AVERAGE('25.10 KYENJOJO-HOIMA'!F26,'27.10 KYENJOJO-HOIMA'!F26,'29.10 KYENJOJO-HOIMA'!F26,'30.10 KYENJOJO-HOIMA'!F26,'26.10 KYENJOJO-HOIMA-24h'!F26,'28.10 KYENJOJO-HOIMA-24h'!F26,'31.10 KYENJOJO-HOIMA'!F26)</f>
        <v>1</v>
      </c>
      <c r="G26" s="49">
        <f>AVERAGE('25.10 KYENJOJO-HOIMA'!G26,'27.10 KYENJOJO-HOIMA'!G26,'29.10 KYENJOJO-HOIMA'!G26,'30.10 KYENJOJO-HOIMA'!G26,'26.10 KYENJOJO-HOIMA-24h'!G26,'28.10 KYENJOJO-HOIMA-24h'!G26,'31.10 KYENJOJO-HOIMA'!G26)</f>
        <v>0</v>
      </c>
      <c r="H26" s="49">
        <f>AVERAGE('25.10 KYENJOJO-HOIMA'!H26,'27.10 KYENJOJO-HOIMA'!H26,'29.10 KYENJOJO-HOIMA'!H26,'30.10 KYENJOJO-HOIMA'!H26,'26.10 KYENJOJO-HOIMA-24h'!H26,'28.10 KYENJOJO-HOIMA-24h'!H26,'31.10 KYENJOJO-HOIMA'!H26)</f>
        <v>0</v>
      </c>
      <c r="I26" s="49">
        <f>AVERAGE('25.10 KYENJOJO-HOIMA'!I26,'27.10 KYENJOJO-HOIMA'!I26,'29.10 KYENJOJO-HOIMA'!I26,'30.10 KYENJOJO-HOIMA'!I26,'26.10 KYENJOJO-HOIMA-24h'!I26,'28.10 KYENJOJO-HOIMA-24h'!I26,'31.10 KYENJOJO-HOIMA'!I26)</f>
        <v>0.8571428571428571</v>
      </c>
      <c r="J26" s="49">
        <f>AVERAGE('25.10 KYENJOJO-HOIMA'!J26,'27.10 KYENJOJO-HOIMA'!J26,'29.10 KYENJOJO-HOIMA'!J26,'30.10 KYENJOJO-HOIMA'!J26,'26.10 KYENJOJO-HOIMA-24h'!J26,'28.10 KYENJOJO-HOIMA-24h'!J26,'31.10 KYENJOJO-HOIMA'!J26)</f>
        <v>0.7142857142857143</v>
      </c>
      <c r="K26" s="49">
        <f>AVERAGE('25.10 KYENJOJO-HOIMA'!K26,'27.10 KYENJOJO-HOIMA'!K26,'29.10 KYENJOJO-HOIMA'!K26,'30.10 KYENJOJO-HOIMA'!K26,'26.10 KYENJOJO-HOIMA-24h'!K26,'28.10 KYENJOJO-HOIMA-24h'!K26,'31.10 KYENJOJO-HOIMA'!K26)</f>
        <v>0</v>
      </c>
      <c r="L26" s="49">
        <f>AVERAGE('25.10 KYENJOJO-HOIMA'!L26,'27.10 KYENJOJO-HOIMA'!L26,'29.10 KYENJOJO-HOIMA'!L26,'30.10 KYENJOJO-HOIMA'!L26,'26.10 KYENJOJO-HOIMA-24h'!L26,'28.10 KYENJOJO-HOIMA-24h'!L26,'31.10 KYENJOJO-HOIMA'!L26)</f>
        <v>0</v>
      </c>
      <c r="M26" s="49">
        <f>AVERAGE('25.10 KYENJOJO-HOIMA'!M26,'27.10 KYENJOJO-HOIMA'!M26,'29.10 KYENJOJO-HOIMA'!M26,'30.10 KYENJOJO-HOIMA'!M26,'26.10 KYENJOJO-HOIMA-24h'!M26,'28.10 KYENJOJO-HOIMA-24h'!M26,'31.10 KYENJOJO-HOIMA'!M26)</f>
        <v>36.571428571428569</v>
      </c>
      <c r="N26" s="49">
        <f>AVERAGE('25.10 KYENJOJO-HOIMA'!N26,'27.10 KYENJOJO-HOIMA'!N26,'29.10 KYENJOJO-HOIMA'!N26,'30.10 KYENJOJO-HOIMA'!N26,'26.10 KYENJOJO-HOIMA-24h'!N26,'28.10 KYENJOJO-HOIMA-24h'!N26,'31.10 KYENJOJO-HOIMA'!N26)</f>
        <v>0.14285714285714285</v>
      </c>
      <c r="O26" s="15">
        <f t="shared" si="0"/>
        <v>11.428571428571429</v>
      </c>
      <c r="P26" s="15">
        <f t="shared" si="1"/>
        <v>48</v>
      </c>
      <c r="R26" s="1" t="s">
        <v>150</v>
      </c>
      <c r="S26" s="34">
        <f>SUM(C74:C77)</f>
        <v>5.5</v>
      </c>
      <c r="T26" s="34">
        <f t="shared" ref="T26:AF26" si="18">SUM(D74:D77)</f>
        <v>1</v>
      </c>
      <c r="U26" s="34">
        <f t="shared" si="18"/>
        <v>1</v>
      </c>
      <c r="V26" s="34">
        <f t="shared" si="18"/>
        <v>1.5</v>
      </c>
      <c r="W26" s="34">
        <f t="shared" si="18"/>
        <v>0</v>
      </c>
      <c r="X26" s="34">
        <f t="shared" si="18"/>
        <v>0</v>
      </c>
      <c r="Y26" s="34">
        <f t="shared" si="18"/>
        <v>0.5</v>
      </c>
      <c r="Z26" s="34">
        <f t="shared" si="18"/>
        <v>0</v>
      </c>
      <c r="AA26" s="34">
        <f t="shared" si="18"/>
        <v>0.5</v>
      </c>
      <c r="AB26" s="34">
        <f t="shared" si="18"/>
        <v>0</v>
      </c>
      <c r="AC26" s="34">
        <f t="shared" si="18"/>
        <v>16</v>
      </c>
      <c r="AD26" s="34">
        <f t="shared" si="18"/>
        <v>0</v>
      </c>
      <c r="AE26" s="31">
        <f t="shared" si="18"/>
        <v>10</v>
      </c>
      <c r="AF26" s="31">
        <f t="shared" si="18"/>
        <v>26</v>
      </c>
    </row>
    <row r="27" spans="2:32" ht="23.1" customHeight="1" x14ac:dyDescent="0.25">
      <c r="B27" s="23" t="s">
        <v>54</v>
      </c>
      <c r="C27" s="49">
        <f>AVERAGE('25.10 KYENJOJO-HOIMA'!C27,'27.10 KYENJOJO-HOIMA'!C27,'29.10 KYENJOJO-HOIMA'!C27,'30.10 KYENJOJO-HOIMA'!C27,'26.10 KYENJOJO-HOIMA-24h'!C27,'28.10 KYENJOJO-HOIMA-24h'!C27,'31.10 KYENJOJO-HOIMA'!C27)</f>
        <v>5.5714285714285712</v>
      </c>
      <c r="D27" s="49">
        <f>AVERAGE('25.10 KYENJOJO-HOIMA'!D27,'27.10 KYENJOJO-HOIMA'!D27,'29.10 KYENJOJO-HOIMA'!D27,'30.10 KYENJOJO-HOIMA'!D27,'26.10 KYENJOJO-HOIMA-24h'!D27,'28.10 KYENJOJO-HOIMA-24h'!D27,'31.10 KYENJOJO-HOIMA'!D27)</f>
        <v>0.14285714285714285</v>
      </c>
      <c r="E27" s="49">
        <f>AVERAGE('25.10 KYENJOJO-HOIMA'!E27,'27.10 KYENJOJO-HOIMA'!E27,'29.10 KYENJOJO-HOIMA'!E27,'30.10 KYENJOJO-HOIMA'!E27,'26.10 KYENJOJO-HOIMA-24h'!E27,'28.10 KYENJOJO-HOIMA-24h'!E27,'31.10 KYENJOJO-HOIMA'!E27)</f>
        <v>0.8571428571428571</v>
      </c>
      <c r="F27" s="49">
        <f>AVERAGE('25.10 KYENJOJO-HOIMA'!F27,'27.10 KYENJOJO-HOIMA'!F27,'29.10 KYENJOJO-HOIMA'!F27,'30.10 KYENJOJO-HOIMA'!F27,'26.10 KYENJOJO-HOIMA-24h'!F27,'28.10 KYENJOJO-HOIMA-24h'!F27,'31.10 KYENJOJO-HOIMA'!F27)</f>
        <v>0.7142857142857143</v>
      </c>
      <c r="G27" s="49">
        <f>AVERAGE('25.10 KYENJOJO-HOIMA'!G27,'27.10 KYENJOJO-HOIMA'!G27,'29.10 KYENJOJO-HOIMA'!G27,'30.10 KYENJOJO-HOIMA'!G27,'26.10 KYENJOJO-HOIMA-24h'!G27,'28.10 KYENJOJO-HOIMA-24h'!G27,'31.10 KYENJOJO-HOIMA'!G27)</f>
        <v>0</v>
      </c>
      <c r="H27" s="49">
        <f>AVERAGE('25.10 KYENJOJO-HOIMA'!H27,'27.10 KYENJOJO-HOIMA'!H27,'29.10 KYENJOJO-HOIMA'!H27,'30.10 KYENJOJO-HOIMA'!H27,'26.10 KYENJOJO-HOIMA-24h'!H27,'28.10 KYENJOJO-HOIMA-24h'!H27,'31.10 KYENJOJO-HOIMA'!H27)</f>
        <v>0</v>
      </c>
      <c r="I27" s="49">
        <f>AVERAGE('25.10 KYENJOJO-HOIMA'!I27,'27.10 KYENJOJO-HOIMA'!I27,'29.10 KYENJOJO-HOIMA'!I27,'30.10 KYENJOJO-HOIMA'!I27,'26.10 KYENJOJO-HOIMA-24h'!I27,'28.10 KYENJOJO-HOIMA-24h'!I27,'31.10 KYENJOJO-HOIMA'!I27)</f>
        <v>0.42857142857142855</v>
      </c>
      <c r="J27" s="49">
        <f>AVERAGE('25.10 KYENJOJO-HOIMA'!J27,'27.10 KYENJOJO-HOIMA'!J27,'29.10 KYENJOJO-HOIMA'!J27,'30.10 KYENJOJO-HOIMA'!J27,'26.10 KYENJOJO-HOIMA-24h'!J27,'28.10 KYENJOJO-HOIMA-24h'!J27,'31.10 KYENJOJO-HOIMA'!J27)</f>
        <v>0.5714285714285714</v>
      </c>
      <c r="K27" s="49">
        <f>AVERAGE('25.10 KYENJOJO-HOIMA'!K27,'27.10 KYENJOJO-HOIMA'!K27,'29.10 KYENJOJO-HOIMA'!K27,'30.10 KYENJOJO-HOIMA'!K27,'26.10 KYENJOJO-HOIMA-24h'!K27,'28.10 KYENJOJO-HOIMA-24h'!K27,'31.10 KYENJOJO-HOIMA'!K27)</f>
        <v>0</v>
      </c>
      <c r="L27" s="49">
        <f>AVERAGE('25.10 KYENJOJO-HOIMA'!L27,'27.10 KYENJOJO-HOIMA'!L27,'29.10 KYENJOJO-HOIMA'!L27,'30.10 KYENJOJO-HOIMA'!L27,'26.10 KYENJOJO-HOIMA-24h'!L27,'28.10 KYENJOJO-HOIMA-24h'!L27,'31.10 KYENJOJO-HOIMA'!L27)</f>
        <v>0</v>
      </c>
      <c r="M27" s="49">
        <f>AVERAGE('25.10 KYENJOJO-HOIMA'!M27,'27.10 KYENJOJO-HOIMA'!M27,'29.10 KYENJOJO-HOIMA'!M27,'30.10 KYENJOJO-HOIMA'!M27,'26.10 KYENJOJO-HOIMA-24h'!M27,'28.10 KYENJOJO-HOIMA-24h'!M27,'31.10 KYENJOJO-HOIMA'!M27)</f>
        <v>34.714285714285715</v>
      </c>
      <c r="N27" s="49">
        <f>AVERAGE('25.10 KYENJOJO-HOIMA'!N27,'27.10 KYENJOJO-HOIMA'!N27,'29.10 KYENJOJO-HOIMA'!N27,'30.10 KYENJOJO-HOIMA'!N27,'26.10 KYENJOJO-HOIMA-24h'!N27,'28.10 KYENJOJO-HOIMA-24h'!N27,'31.10 KYENJOJO-HOIMA'!N27)</f>
        <v>0</v>
      </c>
      <c r="O27" s="15">
        <f t="shared" si="0"/>
        <v>8.2857142857142865</v>
      </c>
      <c r="P27" s="15">
        <f t="shared" si="1"/>
        <v>43</v>
      </c>
      <c r="R27" s="1" t="s">
        <v>151</v>
      </c>
      <c r="S27" s="34">
        <f>SUM(C78:C81)</f>
        <v>2.5</v>
      </c>
      <c r="T27" s="34">
        <f t="shared" ref="T27:AF27" si="19">SUM(D78:D81)</f>
        <v>0.5</v>
      </c>
      <c r="U27" s="34">
        <f t="shared" si="19"/>
        <v>0</v>
      </c>
      <c r="V27" s="34">
        <f t="shared" si="19"/>
        <v>0.5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12</v>
      </c>
      <c r="AD27" s="34">
        <f t="shared" si="19"/>
        <v>0</v>
      </c>
      <c r="AE27" s="31">
        <f t="shared" si="19"/>
        <v>3.5</v>
      </c>
      <c r="AF27" s="31">
        <f t="shared" si="19"/>
        <v>15.5</v>
      </c>
    </row>
    <row r="28" spans="2:32" ht="23.1" customHeight="1" x14ac:dyDescent="0.25">
      <c r="B28" s="23" t="s">
        <v>55</v>
      </c>
      <c r="C28" s="49">
        <f>AVERAGE('25.10 KYENJOJO-HOIMA'!C28,'27.10 KYENJOJO-HOIMA'!C28,'29.10 KYENJOJO-HOIMA'!C28,'30.10 KYENJOJO-HOIMA'!C28,'26.10 KYENJOJO-HOIMA-24h'!C28,'28.10 KYENJOJO-HOIMA-24h'!C28,'31.10 KYENJOJO-HOIMA'!C28)</f>
        <v>6.4285714285714288</v>
      </c>
      <c r="D28" s="49">
        <f>AVERAGE('25.10 KYENJOJO-HOIMA'!D28,'27.10 KYENJOJO-HOIMA'!D28,'29.10 KYENJOJO-HOIMA'!D28,'30.10 KYENJOJO-HOIMA'!D28,'26.10 KYENJOJO-HOIMA-24h'!D28,'28.10 KYENJOJO-HOIMA-24h'!D28,'31.10 KYENJOJO-HOIMA'!D28)</f>
        <v>1.1428571428571428</v>
      </c>
      <c r="E28" s="49">
        <f>AVERAGE('25.10 KYENJOJO-HOIMA'!E28,'27.10 KYENJOJO-HOIMA'!E28,'29.10 KYENJOJO-HOIMA'!E28,'30.10 KYENJOJO-HOIMA'!E28,'26.10 KYENJOJO-HOIMA-24h'!E28,'28.10 KYENJOJO-HOIMA-24h'!E28,'31.10 KYENJOJO-HOIMA'!E28)</f>
        <v>0.8571428571428571</v>
      </c>
      <c r="F28" s="49">
        <f>AVERAGE('25.10 KYENJOJO-HOIMA'!F28,'27.10 KYENJOJO-HOIMA'!F28,'29.10 KYENJOJO-HOIMA'!F28,'30.10 KYENJOJO-HOIMA'!F28,'26.10 KYENJOJO-HOIMA-24h'!F28,'28.10 KYENJOJO-HOIMA-24h'!F28,'31.10 KYENJOJO-HOIMA'!F28)</f>
        <v>0.14285714285714285</v>
      </c>
      <c r="G28" s="49">
        <f>AVERAGE('25.10 KYENJOJO-HOIMA'!G28,'27.10 KYENJOJO-HOIMA'!G28,'29.10 KYENJOJO-HOIMA'!G28,'30.10 KYENJOJO-HOIMA'!G28,'26.10 KYENJOJO-HOIMA-24h'!G28,'28.10 KYENJOJO-HOIMA-24h'!G28,'31.10 KYENJOJO-HOIMA'!G28)</f>
        <v>0</v>
      </c>
      <c r="H28" s="49">
        <f>AVERAGE('25.10 KYENJOJO-HOIMA'!H28,'27.10 KYENJOJO-HOIMA'!H28,'29.10 KYENJOJO-HOIMA'!H28,'30.10 KYENJOJO-HOIMA'!H28,'26.10 KYENJOJO-HOIMA-24h'!H28,'28.10 KYENJOJO-HOIMA-24h'!H28,'31.10 KYENJOJO-HOIMA'!H28)</f>
        <v>0</v>
      </c>
      <c r="I28" s="49">
        <f>AVERAGE('25.10 KYENJOJO-HOIMA'!I28,'27.10 KYENJOJO-HOIMA'!I28,'29.10 KYENJOJO-HOIMA'!I28,'30.10 KYENJOJO-HOIMA'!I28,'26.10 KYENJOJO-HOIMA-24h'!I28,'28.10 KYENJOJO-HOIMA-24h'!I28,'31.10 KYENJOJO-HOIMA'!I28)</f>
        <v>0.7142857142857143</v>
      </c>
      <c r="J28" s="49">
        <f>AVERAGE('25.10 KYENJOJO-HOIMA'!J28,'27.10 KYENJOJO-HOIMA'!J28,'29.10 KYENJOJO-HOIMA'!J28,'30.10 KYENJOJO-HOIMA'!J28,'26.10 KYENJOJO-HOIMA-24h'!J28,'28.10 KYENJOJO-HOIMA-24h'!J28,'31.10 KYENJOJO-HOIMA'!J28)</f>
        <v>0.7142857142857143</v>
      </c>
      <c r="K28" s="49">
        <f>AVERAGE('25.10 KYENJOJO-HOIMA'!K28,'27.10 KYENJOJO-HOIMA'!K28,'29.10 KYENJOJO-HOIMA'!K28,'30.10 KYENJOJO-HOIMA'!K28,'26.10 KYENJOJO-HOIMA-24h'!K28,'28.10 KYENJOJO-HOIMA-24h'!K28,'31.10 KYENJOJO-HOIMA'!K28)</f>
        <v>0</v>
      </c>
      <c r="L28" s="49">
        <f>AVERAGE('25.10 KYENJOJO-HOIMA'!L28,'27.10 KYENJOJO-HOIMA'!L28,'29.10 KYENJOJO-HOIMA'!L28,'30.10 KYENJOJO-HOIMA'!L28,'26.10 KYENJOJO-HOIMA-24h'!L28,'28.10 KYENJOJO-HOIMA-24h'!L28,'31.10 KYENJOJO-HOIMA'!L28)</f>
        <v>0</v>
      </c>
      <c r="M28" s="49">
        <f>AVERAGE('25.10 KYENJOJO-HOIMA'!M28,'27.10 KYENJOJO-HOIMA'!M28,'29.10 KYENJOJO-HOIMA'!M28,'30.10 KYENJOJO-HOIMA'!M28,'26.10 KYENJOJO-HOIMA-24h'!M28,'28.10 KYENJOJO-HOIMA-24h'!M28,'31.10 KYENJOJO-HOIMA'!M28)</f>
        <v>36.714285714285715</v>
      </c>
      <c r="N28" s="49">
        <f>AVERAGE('25.10 KYENJOJO-HOIMA'!N28,'27.10 KYENJOJO-HOIMA'!N28,'29.10 KYENJOJO-HOIMA'!N28,'30.10 KYENJOJO-HOIMA'!N28,'26.10 KYENJOJO-HOIMA-24h'!N28,'28.10 KYENJOJO-HOIMA-24h'!N28,'31.10 KYENJOJO-HOIMA'!N28)</f>
        <v>0</v>
      </c>
      <c r="O28" s="15">
        <f t="shared" si="0"/>
        <v>9.9999999999999982</v>
      </c>
      <c r="P28" s="15">
        <f t="shared" si="1"/>
        <v>46.714285714285715</v>
      </c>
      <c r="R28" s="1" t="s">
        <v>152</v>
      </c>
      <c r="S28" s="34">
        <f>SUM(C82:C85)</f>
        <v>2</v>
      </c>
      <c r="T28" s="34">
        <f t="shared" ref="T28:AF28" si="20">SUM(D82:D85)</f>
        <v>1</v>
      </c>
      <c r="U28" s="34">
        <f t="shared" si="20"/>
        <v>0</v>
      </c>
      <c r="V28" s="34">
        <f t="shared" si="20"/>
        <v>1.5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6.5</v>
      </c>
      <c r="AD28" s="34">
        <f t="shared" si="20"/>
        <v>0</v>
      </c>
      <c r="AE28" s="31">
        <f t="shared" si="20"/>
        <v>5</v>
      </c>
      <c r="AF28" s="31">
        <f t="shared" si="20"/>
        <v>11.5</v>
      </c>
    </row>
    <row r="29" spans="2:32" ht="23.1" customHeight="1" x14ac:dyDescent="0.25">
      <c r="B29" s="23" t="s">
        <v>56</v>
      </c>
      <c r="C29" s="49">
        <f>AVERAGE('25.10 KYENJOJO-HOIMA'!C29,'27.10 KYENJOJO-HOIMA'!C29,'29.10 KYENJOJO-HOIMA'!C29,'30.10 KYENJOJO-HOIMA'!C29,'26.10 KYENJOJO-HOIMA-24h'!C29,'28.10 KYENJOJO-HOIMA-24h'!C29,'31.10 KYENJOJO-HOIMA'!C29)</f>
        <v>4.5714285714285712</v>
      </c>
      <c r="D29" s="49">
        <f>AVERAGE('25.10 KYENJOJO-HOIMA'!D29,'27.10 KYENJOJO-HOIMA'!D29,'29.10 KYENJOJO-HOIMA'!D29,'30.10 KYENJOJO-HOIMA'!D29,'26.10 KYENJOJO-HOIMA-24h'!D29,'28.10 KYENJOJO-HOIMA-24h'!D29,'31.10 KYENJOJO-HOIMA'!D29)</f>
        <v>0.2857142857142857</v>
      </c>
      <c r="E29" s="49">
        <f>AVERAGE('25.10 KYENJOJO-HOIMA'!E29,'27.10 KYENJOJO-HOIMA'!E29,'29.10 KYENJOJO-HOIMA'!E29,'30.10 KYENJOJO-HOIMA'!E29,'26.10 KYENJOJO-HOIMA-24h'!E29,'28.10 KYENJOJO-HOIMA-24h'!E29,'31.10 KYENJOJO-HOIMA'!E29)</f>
        <v>1.8571428571428572</v>
      </c>
      <c r="F29" s="49">
        <f>AVERAGE('25.10 KYENJOJO-HOIMA'!F29,'27.10 KYENJOJO-HOIMA'!F29,'29.10 KYENJOJO-HOIMA'!F29,'30.10 KYENJOJO-HOIMA'!F29,'26.10 KYENJOJO-HOIMA-24h'!F29,'28.10 KYENJOJO-HOIMA-24h'!F29,'31.10 KYENJOJO-HOIMA'!F29)</f>
        <v>0.2857142857142857</v>
      </c>
      <c r="G29" s="49">
        <f>AVERAGE('25.10 KYENJOJO-HOIMA'!G29,'27.10 KYENJOJO-HOIMA'!G29,'29.10 KYENJOJO-HOIMA'!G29,'30.10 KYENJOJO-HOIMA'!G29,'26.10 KYENJOJO-HOIMA-24h'!G29,'28.10 KYENJOJO-HOIMA-24h'!G29,'31.10 KYENJOJO-HOIMA'!G29)</f>
        <v>0</v>
      </c>
      <c r="H29" s="49">
        <f>AVERAGE('25.10 KYENJOJO-HOIMA'!H29,'27.10 KYENJOJO-HOIMA'!H29,'29.10 KYENJOJO-HOIMA'!H29,'30.10 KYENJOJO-HOIMA'!H29,'26.10 KYENJOJO-HOIMA-24h'!H29,'28.10 KYENJOJO-HOIMA-24h'!H29,'31.10 KYENJOJO-HOIMA'!H29)</f>
        <v>0</v>
      </c>
      <c r="I29" s="49">
        <f>AVERAGE('25.10 KYENJOJO-HOIMA'!I29,'27.10 KYENJOJO-HOIMA'!I29,'29.10 KYENJOJO-HOIMA'!I29,'30.10 KYENJOJO-HOIMA'!I29,'26.10 KYENJOJO-HOIMA-24h'!I29,'28.10 KYENJOJO-HOIMA-24h'!I29,'31.10 KYENJOJO-HOIMA'!I29)</f>
        <v>1</v>
      </c>
      <c r="J29" s="49">
        <f>AVERAGE('25.10 KYENJOJO-HOIMA'!J29,'27.10 KYENJOJO-HOIMA'!J29,'29.10 KYENJOJO-HOIMA'!J29,'30.10 KYENJOJO-HOIMA'!J29,'26.10 KYENJOJO-HOIMA-24h'!J29,'28.10 KYENJOJO-HOIMA-24h'!J29,'31.10 KYENJOJO-HOIMA'!J29)</f>
        <v>0.42857142857142855</v>
      </c>
      <c r="K29" s="49">
        <f>AVERAGE('25.10 KYENJOJO-HOIMA'!K29,'27.10 KYENJOJO-HOIMA'!K29,'29.10 KYENJOJO-HOIMA'!K29,'30.10 KYENJOJO-HOIMA'!K29,'26.10 KYENJOJO-HOIMA-24h'!K29,'28.10 KYENJOJO-HOIMA-24h'!K29,'31.10 KYENJOJO-HOIMA'!K29)</f>
        <v>0.14285714285714285</v>
      </c>
      <c r="L29" s="49">
        <f>AVERAGE('25.10 KYENJOJO-HOIMA'!L29,'27.10 KYENJOJO-HOIMA'!L29,'29.10 KYENJOJO-HOIMA'!L29,'30.10 KYENJOJO-HOIMA'!L29,'26.10 KYENJOJO-HOIMA-24h'!L29,'28.10 KYENJOJO-HOIMA-24h'!L29,'31.10 KYENJOJO-HOIMA'!L29)</f>
        <v>0.2857142857142857</v>
      </c>
      <c r="M29" s="49">
        <f>AVERAGE('25.10 KYENJOJO-HOIMA'!M29,'27.10 KYENJOJO-HOIMA'!M29,'29.10 KYENJOJO-HOIMA'!M29,'30.10 KYENJOJO-HOIMA'!M29,'26.10 KYENJOJO-HOIMA-24h'!M29,'28.10 KYENJOJO-HOIMA-24h'!M29,'31.10 KYENJOJO-HOIMA'!M29)</f>
        <v>34.714285714285715</v>
      </c>
      <c r="N29" s="49">
        <f>AVERAGE('25.10 KYENJOJO-HOIMA'!N29,'27.10 KYENJOJO-HOIMA'!N29,'29.10 KYENJOJO-HOIMA'!N29,'30.10 KYENJOJO-HOIMA'!N29,'26.10 KYENJOJO-HOIMA-24h'!N29,'28.10 KYENJOJO-HOIMA-24h'!N29,'31.10 KYENJOJO-HOIMA'!N29)</f>
        <v>0</v>
      </c>
      <c r="O29" s="15">
        <f t="shared" si="0"/>
        <v>8.8571428571428559</v>
      </c>
      <c r="P29" s="15">
        <f t="shared" si="1"/>
        <v>43.571428571428569</v>
      </c>
      <c r="R29" s="1" t="s">
        <v>153</v>
      </c>
      <c r="S29" s="34">
        <f>SUM(C86:C89)</f>
        <v>1.5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2</v>
      </c>
      <c r="AD29" s="34">
        <f t="shared" si="21"/>
        <v>0</v>
      </c>
      <c r="AE29" s="31">
        <f t="shared" si="21"/>
        <v>2.5</v>
      </c>
      <c r="AF29" s="31">
        <f t="shared" si="21"/>
        <v>4.5</v>
      </c>
    </row>
    <row r="30" spans="2:32" ht="23.1" customHeight="1" x14ac:dyDescent="0.25">
      <c r="B30" s="23" t="s">
        <v>57</v>
      </c>
      <c r="C30" s="49">
        <f>AVERAGE('25.10 KYENJOJO-HOIMA'!C30,'27.10 KYENJOJO-HOIMA'!C30,'29.10 KYENJOJO-HOIMA'!C30,'30.10 KYENJOJO-HOIMA'!C30,'26.10 KYENJOJO-HOIMA-24h'!C30,'28.10 KYENJOJO-HOIMA-24h'!C30,'31.10 KYENJOJO-HOIMA'!C30)</f>
        <v>5.4285714285714288</v>
      </c>
      <c r="D30" s="49">
        <f>AVERAGE('25.10 KYENJOJO-HOIMA'!D30,'27.10 KYENJOJO-HOIMA'!D30,'29.10 KYENJOJO-HOIMA'!D30,'30.10 KYENJOJO-HOIMA'!D30,'26.10 KYENJOJO-HOIMA-24h'!D30,'28.10 KYENJOJO-HOIMA-24h'!D30,'31.10 KYENJOJO-HOIMA'!D30)</f>
        <v>1.1428571428571428</v>
      </c>
      <c r="E30" s="49">
        <f>AVERAGE('25.10 KYENJOJO-HOIMA'!E30,'27.10 KYENJOJO-HOIMA'!E30,'29.10 KYENJOJO-HOIMA'!E30,'30.10 KYENJOJO-HOIMA'!E30,'26.10 KYENJOJO-HOIMA-24h'!E30,'28.10 KYENJOJO-HOIMA-24h'!E30,'31.10 KYENJOJO-HOIMA'!E30)</f>
        <v>1.1428571428571428</v>
      </c>
      <c r="F30" s="49">
        <f>AVERAGE('25.10 KYENJOJO-HOIMA'!F30,'27.10 KYENJOJO-HOIMA'!F30,'29.10 KYENJOJO-HOIMA'!F30,'30.10 KYENJOJO-HOIMA'!F30,'26.10 KYENJOJO-HOIMA-24h'!F30,'28.10 KYENJOJO-HOIMA-24h'!F30,'31.10 KYENJOJO-HOIMA'!F30)</f>
        <v>0.8571428571428571</v>
      </c>
      <c r="G30" s="49">
        <f>AVERAGE('25.10 KYENJOJO-HOIMA'!G30,'27.10 KYENJOJO-HOIMA'!G30,'29.10 KYENJOJO-HOIMA'!G30,'30.10 KYENJOJO-HOIMA'!G30,'26.10 KYENJOJO-HOIMA-24h'!G30,'28.10 KYENJOJO-HOIMA-24h'!G30,'31.10 KYENJOJO-HOIMA'!G30)</f>
        <v>0</v>
      </c>
      <c r="H30" s="49">
        <f>AVERAGE('25.10 KYENJOJO-HOIMA'!H30,'27.10 KYENJOJO-HOIMA'!H30,'29.10 KYENJOJO-HOIMA'!H30,'30.10 KYENJOJO-HOIMA'!H30,'26.10 KYENJOJO-HOIMA-24h'!H30,'28.10 KYENJOJO-HOIMA-24h'!H30,'31.10 KYENJOJO-HOIMA'!H30)</f>
        <v>0</v>
      </c>
      <c r="I30" s="49">
        <f>AVERAGE('25.10 KYENJOJO-HOIMA'!I30,'27.10 KYENJOJO-HOIMA'!I30,'29.10 KYENJOJO-HOIMA'!I30,'30.10 KYENJOJO-HOIMA'!I30,'26.10 KYENJOJO-HOIMA-24h'!I30,'28.10 KYENJOJO-HOIMA-24h'!I30,'31.10 KYENJOJO-HOIMA'!I30)</f>
        <v>0.8571428571428571</v>
      </c>
      <c r="J30" s="49">
        <f>AVERAGE('25.10 KYENJOJO-HOIMA'!J30,'27.10 KYENJOJO-HOIMA'!J30,'29.10 KYENJOJO-HOIMA'!J30,'30.10 KYENJOJO-HOIMA'!J30,'26.10 KYENJOJO-HOIMA-24h'!J30,'28.10 KYENJOJO-HOIMA-24h'!J30,'31.10 KYENJOJO-HOIMA'!J30)</f>
        <v>0.2857142857142857</v>
      </c>
      <c r="K30" s="49">
        <f>AVERAGE('25.10 KYENJOJO-HOIMA'!K30,'27.10 KYENJOJO-HOIMA'!K30,'29.10 KYENJOJO-HOIMA'!K30,'30.10 KYENJOJO-HOIMA'!K30,'26.10 KYENJOJO-HOIMA-24h'!K30,'28.10 KYENJOJO-HOIMA-24h'!K30,'31.10 KYENJOJO-HOIMA'!K30)</f>
        <v>0</v>
      </c>
      <c r="L30" s="49">
        <f>AVERAGE('25.10 KYENJOJO-HOIMA'!L30,'27.10 KYENJOJO-HOIMA'!L30,'29.10 KYENJOJO-HOIMA'!L30,'30.10 KYENJOJO-HOIMA'!L30,'26.10 KYENJOJO-HOIMA-24h'!L30,'28.10 KYENJOJO-HOIMA-24h'!L30,'31.10 KYENJOJO-HOIMA'!L30)</f>
        <v>0.2857142857142857</v>
      </c>
      <c r="M30" s="49">
        <f>AVERAGE('25.10 KYENJOJO-HOIMA'!M30,'27.10 KYENJOJO-HOIMA'!M30,'29.10 KYENJOJO-HOIMA'!M30,'30.10 KYENJOJO-HOIMA'!M30,'26.10 KYENJOJO-HOIMA-24h'!M30,'28.10 KYENJOJO-HOIMA-24h'!M30,'31.10 KYENJOJO-HOIMA'!M30)</f>
        <v>38</v>
      </c>
      <c r="N30" s="49">
        <f>AVERAGE('25.10 KYENJOJO-HOIMA'!N30,'27.10 KYENJOJO-HOIMA'!N30,'29.10 KYENJOJO-HOIMA'!N30,'30.10 KYENJOJO-HOIMA'!N30,'26.10 KYENJOJO-HOIMA-24h'!N30,'28.10 KYENJOJO-HOIMA-24h'!N30,'31.10 KYENJOJO-HOIMA'!N30)</f>
        <v>0</v>
      </c>
      <c r="O30" s="15">
        <f t="shared" si="0"/>
        <v>10.000000000000002</v>
      </c>
      <c r="P30" s="15">
        <f t="shared" si="1"/>
        <v>48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0</v>
      </c>
      <c r="W30" s="34">
        <f t="shared" si="22"/>
        <v>0.5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1.5</v>
      </c>
      <c r="AD30" s="34">
        <f t="shared" si="22"/>
        <v>0</v>
      </c>
      <c r="AE30" s="31">
        <f t="shared" si="22"/>
        <v>1</v>
      </c>
      <c r="AF30" s="31">
        <f t="shared" si="22"/>
        <v>2.5</v>
      </c>
    </row>
    <row r="31" spans="2:32" ht="23.1" customHeight="1" x14ac:dyDescent="0.25">
      <c r="B31" s="24" t="s">
        <v>58</v>
      </c>
      <c r="C31" s="49">
        <f>AVERAGE('25.10 KYENJOJO-HOIMA'!C31,'27.10 KYENJOJO-HOIMA'!C31,'29.10 KYENJOJO-HOIMA'!C31,'30.10 KYENJOJO-HOIMA'!C31,'26.10 KYENJOJO-HOIMA-24h'!C31,'28.10 KYENJOJO-HOIMA-24h'!C31,'31.10 KYENJOJO-HOIMA'!C31)</f>
        <v>6.1428571428571432</v>
      </c>
      <c r="D31" s="49">
        <f>AVERAGE('25.10 KYENJOJO-HOIMA'!D31,'27.10 KYENJOJO-HOIMA'!D31,'29.10 KYENJOJO-HOIMA'!D31,'30.10 KYENJOJO-HOIMA'!D31,'26.10 KYENJOJO-HOIMA-24h'!D31,'28.10 KYENJOJO-HOIMA-24h'!D31,'31.10 KYENJOJO-HOIMA'!D31)</f>
        <v>0.5714285714285714</v>
      </c>
      <c r="E31" s="49">
        <f>AVERAGE('25.10 KYENJOJO-HOIMA'!E31,'27.10 KYENJOJO-HOIMA'!E31,'29.10 KYENJOJO-HOIMA'!E31,'30.10 KYENJOJO-HOIMA'!E31,'26.10 KYENJOJO-HOIMA-24h'!E31,'28.10 KYENJOJO-HOIMA-24h'!E31,'31.10 KYENJOJO-HOIMA'!E31)</f>
        <v>0.7142857142857143</v>
      </c>
      <c r="F31" s="49">
        <f>AVERAGE('25.10 KYENJOJO-HOIMA'!F31,'27.10 KYENJOJO-HOIMA'!F31,'29.10 KYENJOJO-HOIMA'!F31,'30.10 KYENJOJO-HOIMA'!F31,'26.10 KYENJOJO-HOIMA-24h'!F31,'28.10 KYENJOJO-HOIMA-24h'!F31,'31.10 KYENJOJO-HOIMA'!F31)</f>
        <v>1.2857142857142858</v>
      </c>
      <c r="G31" s="49">
        <f>AVERAGE('25.10 KYENJOJO-HOIMA'!G31,'27.10 KYENJOJO-HOIMA'!G31,'29.10 KYENJOJO-HOIMA'!G31,'30.10 KYENJOJO-HOIMA'!G31,'26.10 KYENJOJO-HOIMA-24h'!G31,'28.10 KYENJOJO-HOIMA-24h'!G31,'31.10 KYENJOJO-HOIMA'!G31)</f>
        <v>0</v>
      </c>
      <c r="H31" s="49">
        <f>AVERAGE('25.10 KYENJOJO-HOIMA'!H31,'27.10 KYENJOJO-HOIMA'!H31,'29.10 KYENJOJO-HOIMA'!H31,'30.10 KYENJOJO-HOIMA'!H31,'26.10 KYENJOJO-HOIMA-24h'!H31,'28.10 KYENJOJO-HOIMA-24h'!H31,'31.10 KYENJOJO-HOIMA'!H31)</f>
        <v>0</v>
      </c>
      <c r="I31" s="49">
        <f>AVERAGE('25.10 KYENJOJO-HOIMA'!I31,'27.10 KYENJOJO-HOIMA'!I31,'29.10 KYENJOJO-HOIMA'!I31,'30.10 KYENJOJO-HOIMA'!I31,'26.10 KYENJOJO-HOIMA-24h'!I31,'28.10 KYENJOJO-HOIMA-24h'!I31,'31.10 KYENJOJO-HOIMA'!I31)</f>
        <v>0.14285714285714285</v>
      </c>
      <c r="J31" s="49">
        <f>AVERAGE('25.10 KYENJOJO-HOIMA'!J31,'27.10 KYENJOJO-HOIMA'!J31,'29.10 KYENJOJO-HOIMA'!J31,'30.10 KYENJOJO-HOIMA'!J31,'26.10 KYENJOJO-HOIMA-24h'!J31,'28.10 KYENJOJO-HOIMA-24h'!J31,'31.10 KYENJOJO-HOIMA'!J31)</f>
        <v>0.14285714285714285</v>
      </c>
      <c r="K31" s="49">
        <f>AVERAGE('25.10 KYENJOJO-HOIMA'!K31,'27.10 KYENJOJO-HOIMA'!K31,'29.10 KYENJOJO-HOIMA'!K31,'30.10 KYENJOJO-HOIMA'!K31,'26.10 KYENJOJO-HOIMA-24h'!K31,'28.10 KYENJOJO-HOIMA-24h'!K31,'31.10 KYENJOJO-HOIMA'!K31)</f>
        <v>0</v>
      </c>
      <c r="L31" s="49">
        <f>AVERAGE('25.10 KYENJOJO-HOIMA'!L31,'27.10 KYENJOJO-HOIMA'!L31,'29.10 KYENJOJO-HOIMA'!L31,'30.10 KYENJOJO-HOIMA'!L31,'26.10 KYENJOJO-HOIMA-24h'!L31,'28.10 KYENJOJO-HOIMA-24h'!L31,'31.10 KYENJOJO-HOIMA'!L31)</f>
        <v>0</v>
      </c>
      <c r="M31" s="49">
        <f>AVERAGE('25.10 KYENJOJO-HOIMA'!M31,'27.10 KYENJOJO-HOIMA'!M31,'29.10 KYENJOJO-HOIMA'!M31,'30.10 KYENJOJO-HOIMA'!M31,'26.10 KYENJOJO-HOIMA-24h'!M31,'28.10 KYENJOJO-HOIMA-24h'!M31,'31.10 KYENJOJO-HOIMA'!M31)</f>
        <v>32</v>
      </c>
      <c r="N31" s="49">
        <f>AVERAGE('25.10 KYENJOJO-HOIMA'!N31,'27.10 KYENJOJO-HOIMA'!N31,'29.10 KYENJOJO-HOIMA'!N31,'30.10 KYENJOJO-HOIMA'!N31,'26.10 KYENJOJO-HOIMA-24h'!N31,'28.10 KYENJOJO-HOIMA-24h'!N31,'31.10 KYENJOJO-HOIMA'!N31)</f>
        <v>0</v>
      </c>
      <c r="O31" s="15">
        <f t="shared" si="0"/>
        <v>9</v>
      </c>
      <c r="P31" s="15">
        <f t="shared" si="1"/>
        <v>41</v>
      </c>
      <c r="R31" s="1" t="s">
        <v>155</v>
      </c>
      <c r="S31" s="34">
        <f>SUM(C94:C97)</f>
        <v>3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0.5</v>
      </c>
      <c r="W31" s="34">
        <f t="shared" si="23"/>
        <v>0</v>
      </c>
      <c r="X31" s="34">
        <f t="shared" si="23"/>
        <v>0</v>
      </c>
      <c r="Y31" s="34">
        <f t="shared" si="23"/>
        <v>1.5</v>
      </c>
      <c r="Z31" s="34">
        <f t="shared" si="23"/>
        <v>0</v>
      </c>
      <c r="AA31" s="34">
        <f t="shared" si="23"/>
        <v>0.5</v>
      </c>
      <c r="AB31" s="34">
        <f t="shared" si="23"/>
        <v>0</v>
      </c>
      <c r="AC31" s="34">
        <f t="shared" si="23"/>
        <v>7</v>
      </c>
      <c r="AD31" s="34">
        <f t="shared" si="23"/>
        <v>0</v>
      </c>
      <c r="AE31" s="31">
        <f t="shared" si="23"/>
        <v>5.5</v>
      </c>
      <c r="AF31" s="31">
        <f t="shared" si="23"/>
        <v>12.5</v>
      </c>
    </row>
    <row r="32" spans="2:32" ht="23.1" customHeight="1" x14ac:dyDescent="0.25">
      <c r="B32" s="24" t="s">
        <v>59</v>
      </c>
      <c r="C32" s="49">
        <f>AVERAGE('25.10 KYENJOJO-HOIMA'!C32,'27.10 KYENJOJO-HOIMA'!C32,'29.10 KYENJOJO-HOIMA'!C32,'30.10 KYENJOJO-HOIMA'!C32,'26.10 KYENJOJO-HOIMA-24h'!C32,'28.10 KYENJOJO-HOIMA-24h'!C32,'31.10 KYENJOJO-HOIMA'!C32)</f>
        <v>5.4285714285714288</v>
      </c>
      <c r="D32" s="49">
        <f>AVERAGE('25.10 KYENJOJO-HOIMA'!D32,'27.10 KYENJOJO-HOIMA'!D32,'29.10 KYENJOJO-HOIMA'!D32,'30.10 KYENJOJO-HOIMA'!D32,'26.10 KYENJOJO-HOIMA-24h'!D32,'28.10 KYENJOJO-HOIMA-24h'!D32,'31.10 KYENJOJO-HOIMA'!D32)</f>
        <v>0.42857142857142855</v>
      </c>
      <c r="E32" s="49">
        <f>AVERAGE('25.10 KYENJOJO-HOIMA'!E32,'27.10 KYENJOJO-HOIMA'!E32,'29.10 KYENJOJO-HOIMA'!E32,'30.10 KYENJOJO-HOIMA'!E32,'26.10 KYENJOJO-HOIMA-24h'!E32,'28.10 KYENJOJO-HOIMA-24h'!E32,'31.10 KYENJOJO-HOIMA'!E32)</f>
        <v>2.1428571428571428</v>
      </c>
      <c r="F32" s="49">
        <f>AVERAGE('25.10 KYENJOJO-HOIMA'!F32,'27.10 KYENJOJO-HOIMA'!F32,'29.10 KYENJOJO-HOIMA'!F32,'30.10 KYENJOJO-HOIMA'!F32,'26.10 KYENJOJO-HOIMA-24h'!F32,'28.10 KYENJOJO-HOIMA-24h'!F32,'31.10 KYENJOJO-HOIMA'!F32)</f>
        <v>0.2857142857142857</v>
      </c>
      <c r="G32" s="49">
        <f>AVERAGE('25.10 KYENJOJO-HOIMA'!G32,'27.10 KYENJOJO-HOIMA'!G32,'29.10 KYENJOJO-HOIMA'!G32,'30.10 KYENJOJO-HOIMA'!G32,'26.10 KYENJOJO-HOIMA-24h'!G32,'28.10 KYENJOJO-HOIMA-24h'!G32,'31.10 KYENJOJO-HOIMA'!G32)</f>
        <v>0.14285714285714285</v>
      </c>
      <c r="H32" s="49">
        <f>AVERAGE('25.10 KYENJOJO-HOIMA'!H32,'27.10 KYENJOJO-HOIMA'!H32,'29.10 KYENJOJO-HOIMA'!H32,'30.10 KYENJOJO-HOIMA'!H32,'26.10 KYENJOJO-HOIMA-24h'!H32,'28.10 KYENJOJO-HOIMA-24h'!H32,'31.10 KYENJOJO-HOIMA'!H32)</f>
        <v>0</v>
      </c>
      <c r="I32" s="49">
        <f>AVERAGE('25.10 KYENJOJO-HOIMA'!I32,'27.10 KYENJOJO-HOIMA'!I32,'29.10 KYENJOJO-HOIMA'!I32,'30.10 KYENJOJO-HOIMA'!I32,'26.10 KYENJOJO-HOIMA-24h'!I32,'28.10 KYENJOJO-HOIMA-24h'!I32,'31.10 KYENJOJO-HOIMA'!I32)</f>
        <v>1.2857142857142858</v>
      </c>
      <c r="J32" s="49">
        <f>AVERAGE('25.10 KYENJOJO-HOIMA'!J32,'27.10 KYENJOJO-HOIMA'!J32,'29.10 KYENJOJO-HOIMA'!J32,'30.10 KYENJOJO-HOIMA'!J32,'26.10 KYENJOJO-HOIMA-24h'!J32,'28.10 KYENJOJO-HOIMA-24h'!J32,'31.10 KYENJOJO-HOIMA'!J32)</f>
        <v>0.2857142857142857</v>
      </c>
      <c r="K32" s="49">
        <f>AVERAGE('25.10 KYENJOJO-HOIMA'!K32,'27.10 KYENJOJO-HOIMA'!K32,'29.10 KYENJOJO-HOIMA'!K32,'30.10 KYENJOJO-HOIMA'!K32,'26.10 KYENJOJO-HOIMA-24h'!K32,'28.10 KYENJOJO-HOIMA-24h'!K32,'31.10 KYENJOJO-HOIMA'!K32)</f>
        <v>0</v>
      </c>
      <c r="L32" s="49">
        <f>AVERAGE('25.10 KYENJOJO-HOIMA'!L32,'27.10 KYENJOJO-HOIMA'!L32,'29.10 KYENJOJO-HOIMA'!L32,'30.10 KYENJOJO-HOIMA'!L32,'26.10 KYENJOJO-HOIMA-24h'!L32,'28.10 KYENJOJO-HOIMA-24h'!L32,'31.10 KYENJOJO-HOIMA'!L32)</f>
        <v>0</v>
      </c>
      <c r="M32" s="49">
        <f>AVERAGE('25.10 KYENJOJO-HOIMA'!M32,'27.10 KYENJOJO-HOIMA'!M32,'29.10 KYENJOJO-HOIMA'!M32,'30.10 KYENJOJO-HOIMA'!M32,'26.10 KYENJOJO-HOIMA-24h'!M32,'28.10 KYENJOJO-HOIMA-24h'!M32,'31.10 KYENJOJO-HOIMA'!M32)</f>
        <v>40.428571428571431</v>
      </c>
      <c r="N32" s="49">
        <f>AVERAGE('25.10 KYENJOJO-HOIMA'!N32,'27.10 KYENJOJO-HOIMA'!N32,'29.10 KYENJOJO-HOIMA'!N32,'30.10 KYENJOJO-HOIMA'!N32,'26.10 KYENJOJO-HOIMA-24h'!N32,'28.10 KYENJOJO-HOIMA-24h'!N32,'31.10 KYENJOJO-HOIMA'!N32)</f>
        <v>0</v>
      </c>
      <c r="O32" s="15">
        <f t="shared" si="0"/>
        <v>10.000000000000002</v>
      </c>
      <c r="P32" s="15">
        <f t="shared" si="1"/>
        <v>50.428571428571431</v>
      </c>
      <c r="R32" s="1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2</v>
      </c>
      <c r="V32" s="34">
        <f t="shared" si="24"/>
        <v>0.5</v>
      </c>
      <c r="W32" s="34">
        <f t="shared" si="24"/>
        <v>0</v>
      </c>
      <c r="X32" s="34">
        <f t="shared" si="24"/>
        <v>0</v>
      </c>
      <c r="Y32" s="34">
        <f t="shared" si="24"/>
        <v>2.5</v>
      </c>
      <c r="Z32" s="34">
        <f t="shared" si="24"/>
        <v>0</v>
      </c>
      <c r="AA32" s="34">
        <f t="shared" si="24"/>
        <v>1</v>
      </c>
      <c r="AB32" s="34">
        <f t="shared" si="24"/>
        <v>1</v>
      </c>
      <c r="AC32" s="34">
        <f t="shared" si="24"/>
        <v>7</v>
      </c>
      <c r="AD32" s="34">
        <f t="shared" si="24"/>
        <v>0</v>
      </c>
      <c r="AE32" s="31">
        <f t="shared" si="24"/>
        <v>9</v>
      </c>
      <c r="AF32" s="31">
        <f t="shared" si="24"/>
        <v>16</v>
      </c>
    </row>
    <row r="33" spans="2:32" ht="23.1" customHeight="1" x14ac:dyDescent="0.25">
      <c r="B33" s="23" t="s">
        <v>60</v>
      </c>
      <c r="C33" s="49">
        <f>AVERAGE('25.10 KYENJOJO-HOIMA'!C33,'27.10 KYENJOJO-HOIMA'!C33,'29.10 KYENJOJO-HOIMA'!C33,'30.10 KYENJOJO-HOIMA'!C33,'26.10 KYENJOJO-HOIMA-24h'!C33,'28.10 KYENJOJO-HOIMA-24h'!C33,'31.10 KYENJOJO-HOIMA'!C33)</f>
        <v>6.1428571428571432</v>
      </c>
      <c r="D33" s="49">
        <f>AVERAGE('25.10 KYENJOJO-HOIMA'!D33,'27.10 KYENJOJO-HOIMA'!D33,'29.10 KYENJOJO-HOIMA'!D33,'30.10 KYENJOJO-HOIMA'!D33,'26.10 KYENJOJO-HOIMA-24h'!D33,'28.10 KYENJOJO-HOIMA-24h'!D33,'31.10 KYENJOJO-HOIMA'!D33)</f>
        <v>1.1428571428571428</v>
      </c>
      <c r="E33" s="49">
        <f>AVERAGE('25.10 KYENJOJO-HOIMA'!E33,'27.10 KYENJOJO-HOIMA'!E33,'29.10 KYENJOJO-HOIMA'!E33,'30.10 KYENJOJO-HOIMA'!E33,'26.10 KYENJOJO-HOIMA-24h'!E33,'28.10 KYENJOJO-HOIMA-24h'!E33,'31.10 KYENJOJO-HOIMA'!E33)</f>
        <v>1.5714285714285714</v>
      </c>
      <c r="F33" s="49">
        <f>AVERAGE('25.10 KYENJOJO-HOIMA'!F33,'27.10 KYENJOJO-HOIMA'!F33,'29.10 KYENJOJO-HOIMA'!F33,'30.10 KYENJOJO-HOIMA'!F33,'26.10 KYENJOJO-HOIMA-24h'!F33,'28.10 KYENJOJO-HOIMA-24h'!F33,'31.10 KYENJOJO-HOIMA'!F33)</f>
        <v>0.5714285714285714</v>
      </c>
      <c r="G33" s="49">
        <f>AVERAGE('25.10 KYENJOJO-HOIMA'!G33,'27.10 KYENJOJO-HOIMA'!G33,'29.10 KYENJOJO-HOIMA'!G33,'30.10 KYENJOJO-HOIMA'!G33,'26.10 KYENJOJO-HOIMA-24h'!G33,'28.10 KYENJOJO-HOIMA-24h'!G33,'31.10 KYENJOJO-HOIMA'!G33)</f>
        <v>0.14285714285714285</v>
      </c>
      <c r="H33" s="49">
        <f>AVERAGE('25.10 KYENJOJO-HOIMA'!H33,'27.10 KYENJOJO-HOIMA'!H33,'29.10 KYENJOJO-HOIMA'!H33,'30.10 KYENJOJO-HOIMA'!H33,'26.10 KYENJOJO-HOIMA-24h'!H33,'28.10 KYENJOJO-HOIMA-24h'!H33,'31.10 KYENJOJO-HOIMA'!H33)</f>
        <v>0</v>
      </c>
      <c r="I33" s="49">
        <f>AVERAGE('25.10 KYENJOJO-HOIMA'!I33,'27.10 KYENJOJO-HOIMA'!I33,'29.10 KYENJOJO-HOIMA'!I33,'30.10 KYENJOJO-HOIMA'!I33,'26.10 KYENJOJO-HOIMA-24h'!I33,'28.10 KYENJOJO-HOIMA-24h'!I33,'31.10 KYENJOJO-HOIMA'!I33)</f>
        <v>1.5714285714285714</v>
      </c>
      <c r="J33" s="49">
        <f>AVERAGE('25.10 KYENJOJO-HOIMA'!J33,'27.10 KYENJOJO-HOIMA'!J33,'29.10 KYENJOJO-HOIMA'!J33,'30.10 KYENJOJO-HOIMA'!J33,'26.10 KYENJOJO-HOIMA-24h'!J33,'28.10 KYENJOJO-HOIMA-24h'!J33,'31.10 KYENJOJO-HOIMA'!J33)</f>
        <v>1</v>
      </c>
      <c r="K33" s="49">
        <f>AVERAGE('25.10 KYENJOJO-HOIMA'!K33,'27.10 KYENJOJO-HOIMA'!K33,'29.10 KYENJOJO-HOIMA'!K33,'30.10 KYENJOJO-HOIMA'!K33,'26.10 KYENJOJO-HOIMA-24h'!K33,'28.10 KYENJOJO-HOIMA-24h'!K33,'31.10 KYENJOJO-HOIMA'!K33)</f>
        <v>0</v>
      </c>
      <c r="L33" s="49">
        <f>AVERAGE('25.10 KYENJOJO-HOIMA'!L33,'27.10 KYENJOJO-HOIMA'!L33,'29.10 KYENJOJO-HOIMA'!L33,'30.10 KYENJOJO-HOIMA'!L33,'26.10 KYENJOJO-HOIMA-24h'!L33,'28.10 KYENJOJO-HOIMA-24h'!L33,'31.10 KYENJOJO-HOIMA'!L33)</f>
        <v>0.2857142857142857</v>
      </c>
      <c r="M33" s="49">
        <f>AVERAGE('25.10 KYENJOJO-HOIMA'!M33,'27.10 KYENJOJO-HOIMA'!M33,'29.10 KYENJOJO-HOIMA'!M33,'30.10 KYENJOJO-HOIMA'!M33,'26.10 KYENJOJO-HOIMA-24h'!M33,'28.10 KYENJOJO-HOIMA-24h'!M33,'31.10 KYENJOJO-HOIMA'!M33)</f>
        <v>32.714285714285715</v>
      </c>
      <c r="N33" s="49">
        <f>AVERAGE('25.10 KYENJOJO-HOIMA'!N33,'27.10 KYENJOJO-HOIMA'!N33,'29.10 KYENJOJO-HOIMA'!N33,'30.10 KYENJOJO-HOIMA'!N33,'26.10 KYENJOJO-HOIMA-24h'!N33,'28.10 KYENJOJO-HOIMA-24h'!N33,'31.10 KYENJOJO-HOIMA'!N33)</f>
        <v>0</v>
      </c>
      <c r="O33" s="15">
        <f t="shared" si="0"/>
        <v>12.428571428571429</v>
      </c>
      <c r="P33" s="15">
        <f t="shared" si="1"/>
        <v>45.142857142857146</v>
      </c>
      <c r="R33" s="1" t="s">
        <v>157</v>
      </c>
      <c r="S33" s="34">
        <f>SUM(C102:C105)</f>
        <v>2</v>
      </c>
      <c r="T33" s="34">
        <f t="shared" ref="T33:AF33" si="25">SUM(D102:D105)</f>
        <v>0</v>
      </c>
      <c r="U33" s="34">
        <f t="shared" si="25"/>
        <v>2</v>
      </c>
      <c r="V33" s="34">
        <f t="shared" si="25"/>
        <v>2</v>
      </c>
      <c r="W33" s="34">
        <f t="shared" si="25"/>
        <v>0</v>
      </c>
      <c r="X33" s="34">
        <f t="shared" si="25"/>
        <v>0.5</v>
      </c>
      <c r="Y33" s="34">
        <f t="shared" si="25"/>
        <v>1.5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12.5</v>
      </c>
      <c r="AD33" s="34">
        <f t="shared" si="25"/>
        <v>0</v>
      </c>
      <c r="AE33" s="31">
        <f t="shared" si="25"/>
        <v>8.5</v>
      </c>
      <c r="AF33" s="31">
        <f t="shared" si="25"/>
        <v>21</v>
      </c>
    </row>
    <row r="34" spans="2:32" ht="23.1" customHeight="1" x14ac:dyDescent="0.25">
      <c r="B34" s="24" t="s">
        <v>61</v>
      </c>
      <c r="C34" s="49">
        <f>AVERAGE('25.10 KYENJOJO-HOIMA'!C34,'27.10 KYENJOJO-HOIMA'!C34,'29.10 KYENJOJO-HOIMA'!C34,'30.10 KYENJOJO-HOIMA'!C34,'26.10 KYENJOJO-HOIMA-24h'!C34,'28.10 KYENJOJO-HOIMA-24h'!C34,'31.10 KYENJOJO-HOIMA'!C34)</f>
        <v>5.1428571428571432</v>
      </c>
      <c r="D34" s="49">
        <f>AVERAGE('25.10 KYENJOJO-HOIMA'!D34,'27.10 KYENJOJO-HOIMA'!D34,'29.10 KYENJOJO-HOIMA'!D34,'30.10 KYENJOJO-HOIMA'!D34,'26.10 KYENJOJO-HOIMA-24h'!D34,'28.10 KYENJOJO-HOIMA-24h'!D34,'31.10 KYENJOJO-HOIMA'!D34)</f>
        <v>0.42857142857142855</v>
      </c>
      <c r="E34" s="49">
        <f>AVERAGE('25.10 KYENJOJO-HOIMA'!E34,'27.10 KYENJOJO-HOIMA'!E34,'29.10 KYENJOJO-HOIMA'!E34,'30.10 KYENJOJO-HOIMA'!E34,'26.10 KYENJOJO-HOIMA-24h'!E34,'28.10 KYENJOJO-HOIMA-24h'!E34,'31.10 KYENJOJO-HOIMA'!E34)</f>
        <v>1.1428571428571428</v>
      </c>
      <c r="F34" s="49">
        <f>AVERAGE('25.10 KYENJOJO-HOIMA'!F34,'27.10 KYENJOJO-HOIMA'!F34,'29.10 KYENJOJO-HOIMA'!F34,'30.10 KYENJOJO-HOIMA'!F34,'26.10 KYENJOJO-HOIMA-24h'!F34,'28.10 KYENJOJO-HOIMA-24h'!F34,'31.10 KYENJOJO-HOIMA'!F34)</f>
        <v>0.42857142857142855</v>
      </c>
      <c r="G34" s="49">
        <f>AVERAGE('25.10 KYENJOJO-HOIMA'!G34,'27.10 KYENJOJO-HOIMA'!G34,'29.10 KYENJOJO-HOIMA'!G34,'30.10 KYENJOJO-HOIMA'!G34,'26.10 KYENJOJO-HOIMA-24h'!G34,'28.10 KYENJOJO-HOIMA-24h'!G34,'31.10 KYENJOJO-HOIMA'!G34)</f>
        <v>0.14285714285714285</v>
      </c>
      <c r="H34" s="49">
        <f>AVERAGE('25.10 KYENJOJO-HOIMA'!H34,'27.10 KYENJOJO-HOIMA'!H34,'29.10 KYENJOJO-HOIMA'!H34,'30.10 KYENJOJO-HOIMA'!H34,'26.10 KYENJOJO-HOIMA-24h'!H34,'28.10 KYENJOJO-HOIMA-24h'!H34,'31.10 KYENJOJO-HOIMA'!H34)</f>
        <v>0</v>
      </c>
      <c r="I34" s="49">
        <f>AVERAGE('25.10 KYENJOJO-HOIMA'!I34,'27.10 KYENJOJO-HOIMA'!I34,'29.10 KYENJOJO-HOIMA'!I34,'30.10 KYENJOJO-HOIMA'!I34,'26.10 KYENJOJO-HOIMA-24h'!I34,'28.10 KYENJOJO-HOIMA-24h'!I34,'31.10 KYENJOJO-HOIMA'!I34)</f>
        <v>0.42857142857142855</v>
      </c>
      <c r="J34" s="49">
        <f>AVERAGE('25.10 KYENJOJO-HOIMA'!J34,'27.10 KYENJOJO-HOIMA'!J34,'29.10 KYENJOJO-HOIMA'!J34,'30.10 KYENJOJO-HOIMA'!J34,'26.10 KYENJOJO-HOIMA-24h'!J34,'28.10 KYENJOJO-HOIMA-24h'!J34,'31.10 KYENJOJO-HOIMA'!J34)</f>
        <v>0.5714285714285714</v>
      </c>
      <c r="K34" s="49">
        <f>AVERAGE('25.10 KYENJOJO-HOIMA'!K34,'27.10 KYENJOJO-HOIMA'!K34,'29.10 KYENJOJO-HOIMA'!K34,'30.10 KYENJOJO-HOIMA'!K34,'26.10 KYENJOJO-HOIMA-24h'!K34,'28.10 KYENJOJO-HOIMA-24h'!K34,'31.10 KYENJOJO-HOIMA'!K34)</f>
        <v>0.5714285714285714</v>
      </c>
      <c r="L34" s="49">
        <f>AVERAGE('25.10 KYENJOJO-HOIMA'!L34,'27.10 KYENJOJO-HOIMA'!L34,'29.10 KYENJOJO-HOIMA'!L34,'30.10 KYENJOJO-HOIMA'!L34,'26.10 KYENJOJO-HOIMA-24h'!L34,'28.10 KYENJOJO-HOIMA-24h'!L34,'31.10 KYENJOJO-HOIMA'!L34)</f>
        <v>0</v>
      </c>
      <c r="M34" s="49">
        <f>AVERAGE('25.10 KYENJOJO-HOIMA'!M34,'27.10 KYENJOJO-HOIMA'!M34,'29.10 KYENJOJO-HOIMA'!M34,'30.10 KYENJOJO-HOIMA'!M34,'26.10 KYENJOJO-HOIMA-24h'!M34,'28.10 KYENJOJO-HOIMA-24h'!M34,'31.10 KYENJOJO-HOIMA'!M34)</f>
        <v>35.428571428571431</v>
      </c>
      <c r="N34" s="49">
        <f>AVERAGE('25.10 KYENJOJO-HOIMA'!N34,'27.10 KYENJOJO-HOIMA'!N34,'29.10 KYENJOJO-HOIMA'!N34,'30.10 KYENJOJO-HOIMA'!N34,'26.10 KYENJOJO-HOIMA-24h'!N34,'28.10 KYENJOJO-HOIMA-24h'!N34,'31.10 KYENJOJO-HOIMA'!N34)</f>
        <v>0</v>
      </c>
      <c r="O34" s="15">
        <f t="shared" si="0"/>
        <v>8.8571428571428594</v>
      </c>
      <c r="P34" s="15">
        <f t="shared" si="1"/>
        <v>44.285714285714292</v>
      </c>
      <c r="R34" s="38" t="s">
        <v>90</v>
      </c>
      <c r="S34" s="39">
        <f t="shared" ref="S34:AF34" si="26">MAX(S10:S12)</f>
        <v>20.428571428571427</v>
      </c>
      <c r="T34" s="39">
        <f t="shared" si="26"/>
        <v>2</v>
      </c>
      <c r="U34" s="39">
        <f t="shared" si="26"/>
        <v>4.4285714285714288</v>
      </c>
      <c r="V34" s="39">
        <f t="shared" si="26"/>
        <v>3</v>
      </c>
      <c r="W34" s="39">
        <f t="shared" si="26"/>
        <v>0</v>
      </c>
      <c r="X34" s="39">
        <f t="shared" si="26"/>
        <v>0.2857142857142857</v>
      </c>
      <c r="Y34" s="39">
        <f t="shared" si="26"/>
        <v>3.4285714285714284</v>
      </c>
      <c r="Z34" s="39">
        <f t="shared" si="26"/>
        <v>2.2857142857142856</v>
      </c>
      <c r="AA34" s="39">
        <f t="shared" si="26"/>
        <v>0.42857142857142855</v>
      </c>
      <c r="AB34" s="39">
        <f t="shared" si="26"/>
        <v>0.85714285714285698</v>
      </c>
      <c r="AC34" s="39">
        <f t="shared" si="26"/>
        <v>103.14285714285714</v>
      </c>
      <c r="AD34" s="39">
        <f t="shared" si="26"/>
        <v>0.14285714285714285</v>
      </c>
      <c r="AE34" s="40">
        <f t="shared" si="26"/>
        <v>33.714285714285715</v>
      </c>
      <c r="AF34" s="40">
        <f t="shared" si="26"/>
        <v>136.85714285714286</v>
      </c>
    </row>
    <row r="35" spans="2:32" ht="23.1" customHeight="1" x14ac:dyDescent="0.25">
      <c r="B35" s="24" t="s">
        <v>62</v>
      </c>
      <c r="C35" s="49">
        <f>AVERAGE('25.10 KYENJOJO-HOIMA'!C35,'27.10 KYENJOJO-HOIMA'!C35,'29.10 KYENJOJO-HOIMA'!C35,'30.10 KYENJOJO-HOIMA'!C35,'26.10 KYENJOJO-HOIMA-24h'!C35,'28.10 KYENJOJO-HOIMA-24h'!C35,'31.10 KYENJOJO-HOIMA'!C35)</f>
        <v>5</v>
      </c>
      <c r="D35" s="49">
        <f>AVERAGE('25.10 KYENJOJO-HOIMA'!D35,'27.10 KYENJOJO-HOIMA'!D35,'29.10 KYENJOJO-HOIMA'!D35,'30.10 KYENJOJO-HOIMA'!D35,'26.10 KYENJOJO-HOIMA-24h'!D35,'28.10 KYENJOJO-HOIMA-24h'!D35,'31.10 KYENJOJO-HOIMA'!D35)</f>
        <v>0.7142857142857143</v>
      </c>
      <c r="E35" s="49">
        <f>AVERAGE('25.10 KYENJOJO-HOIMA'!E35,'27.10 KYENJOJO-HOIMA'!E35,'29.10 KYENJOJO-HOIMA'!E35,'30.10 KYENJOJO-HOIMA'!E35,'26.10 KYENJOJO-HOIMA-24h'!E35,'28.10 KYENJOJO-HOIMA-24h'!E35,'31.10 KYENJOJO-HOIMA'!E35)</f>
        <v>0.42857142857142855</v>
      </c>
      <c r="F35" s="49">
        <f>AVERAGE('25.10 KYENJOJO-HOIMA'!F35,'27.10 KYENJOJO-HOIMA'!F35,'29.10 KYENJOJO-HOIMA'!F35,'30.10 KYENJOJO-HOIMA'!F35,'26.10 KYENJOJO-HOIMA-24h'!F35,'28.10 KYENJOJO-HOIMA-24h'!F35,'31.10 KYENJOJO-HOIMA'!F35)</f>
        <v>1.1428571428571428</v>
      </c>
      <c r="G35" s="49">
        <f>AVERAGE('25.10 KYENJOJO-HOIMA'!G35,'27.10 KYENJOJO-HOIMA'!G35,'29.10 KYENJOJO-HOIMA'!G35,'30.10 KYENJOJO-HOIMA'!G35,'26.10 KYENJOJO-HOIMA-24h'!G35,'28.10 KYENJOJO-HOIMA-24h'!G35,'31.10 KYENJOJO-HOIMA'!G35)</f>
        <v>0</v>
      </c>
      <c r="H35" s="49">
        <f>AVERAGE('25.10 KYENJOJO-HOIMA'!H35,'27.10 KYENJOJO-HOIMA'!H35,'29.10 KYENJOJO-HOIMA'!H35,'30.10 KYENJOJO-HOIMA'!H35,'26.10 KYENJOJO-HOIMA-24h'!H35,'28.10 KYENJOJO-HOIMA-24h'!H35,'31.10 KYENJOJO-HOIMA'!H35)</f>
        <v>0</v>
      </c>
      <c r="I35" s="49">
        <f>AVERAGE('25.10 KYENJOJO-HOIMA'!I35,'27.10 KYENJOJO-HOIMA'!I35,'29.10 KYENJOJO-HOIMA'!I35,'30.10 KYENJOJO-HOIMA'!I35,'26.10 KYENJOJO-HOIMA-24h'!I35,'28.10 KYENJOJO-HOIMA-24h'!I35,'31.10 KYENJOJO-HOIMA'!I35)</f>
        <v>0.14285714285714285</v>
      </c>
      <c r="J35" s="49">
        <f>AVERAGE('25.10 KYENJOJO-HOIMA'!J35,'27.10 KYENJOJO-HOIMA'!J35,'29.10 KYENJOJO-HOIMA'!J35,'30.10 KYENJOJO-HOIMA'!J35,'26.10 KYENJOJO-HOIMA-24h'!J35,'28.10 KYENJOJO-HOIMA-24h'!J35,'31.10 KYENJOJO-HOIMA'!J35)</f>
        <v>0.5714285714285714</v>
      </c>
      <c r="K35" s="49">
        <f>AVERAGE('25.10 KYENJOJO-HOIMA'!K35,'27.10 KYENJOJO-HOIMA'!K35,'29.10 KYENJOJO-HOIMA'!K35,'30.10 KYENJOJO-HOIMA'!K35,'26.10 KYENJOJO-HOIMA-24h'!K35,'28.10 KYENJOJO-HOIMA-24h'!K35,'31.10 KYENJOJO-HOIMA'!K35)</f>
        <v>0.42857142857142855</v>
      </c>
      <c r="L35" s="49">
        <f>AVERAGE('25.10 KYENJOJO-HOIMA'!L35,'27.10 KYENJOJO-HOIMA'!L35,'29.10 KYENJOJO-HOIMA'!L35,'30.10 KYENJOJO-HOIMA'!L35,'26.10 KYENJOJO-HOIMA-24h'!L35,'28.10 KYENJOJO-HOIMA-24h'!L35,'31.10 KYENJOJO-HOIMA'!L35)</f>
        <v>0</v>
      </c>
      <c r="M35" s="49">
        <f>AVERAGE('25.10 KYENJOJO-HOIMA'!M35,'27.10 KYENJOJO-HOIMA'!M35,'29.10 KYENJOJO-HOIMA'!M35,'30.10 KYENJOJO-HOIMA'!M35,'26.10 KYENJOJO-HOIMA-24h'!M35,'28.10 KYENJOJO-HOIMA-24h'!M35,'31.10 KYENJOJO-HOIMA'!M35)</f>
        <v>34.714285714285715</v>
      </c>
      <c r="N35" s="49">
        <f>AVERAGE('25.10 KYENJOJO-HOIMA'!N35,'27.10 KYENJOJO-HOIMA'!N35,'29.10 KYENJOJO-HOIMA'!N35,'30.10 KYENJOJO-HOIMA'!N35,'26.10 KYENJOJO-HOIMA-24h'!N35,'28.10 KYENJOJO-HOIMA-24h'!N35,'31.10 KYENJOJO-HOIMA'!N35)</f>
        <v>0</v>
      </c>
      <c r="O35" s="15">
        <f t="shared" si="0"/>
        <v>8.4285714285714306</v>
      </c>
      <c r="P35" s="15">
        <f t="shared" si="1"/>
        <v>43.142857142857146</v>
      </c>
      <c r="R35" s="38" t="s">
        <v>91</v>
      </c>
      <c r="S35" s="39">
        <f t="shared" ref="S35:AF35" si="27">MAX(S13:S18)</f>
        <v>28.857142857142854</v>
      </c>
      <c r="T35" s="39">
        <f t="shared" si="27"/>
        <v>3.2857142857142856</v>
      </c>
      <c r="U35" s="39">
        <f t="shared" si="27"/>
        <v>7</v>
      </c>
      <c r="V35" s="39">
        <f t="shared" si="27"/>
        <v>3.2857142857142856</v>
      </c>
      <c r="W35" s="39">
        <f t="shared" si="27"/>
        <v>0.2857142857142857</v>
      </c>
      <c r="X35" s="39">
        <f t="shared" si="27"/>
        <v>0</v>
      </c>
      <c r="Y35" s="39">
        <f t="shared" si="27"/>
        <v>4.4285714285714288</v>
      </c>
      <c r="Z35" s="39">
        <f t="shared" si="27"/>
        <v>2.4285714285714284</v>
      </c>
      <c r="AA35" s="39">
        <f t="shared" si="27"/>
        <v>1</v>
      </c>
      <c r="AB35" s="39">
        <f t="shared" si="27"/>
        <v>0.71428571428571419</v>
      </c>
      <c r="AC35" s="39">
        <f t="shared" si="27"/>
        <v>145</v>
      </c>
      <c r="AD35" s="39">
        <f t="shared" si="27"/>
        <v>0.14285714285714285</v>
      </c>
      <c r="AE35" s="40">
        <f t="shared" si="27"/>
        <v>47.857142857142854</v>
      </c>
      <c r="AF35" s="40">
        <f t="shared" si="27"/>
        <v>191.28571428571431</v>
      </c>
    </row>
    <row r="36" spans="2:32" ht="23.1" customHeight="1" x14ac:dyDescent="0.25">
      <c r="B36" s="24" t="s">
        <v>63</v>
      </c>
      <c r="C36" s="49">
        <f>AVERAGE('25.10 KYENJOJO-HOIMA'!C36,'27.10 KYENJOJO-HOIMA'!C36,'29.10 KYENJOJO-HOIMA'!C36,'30.10 KYENJOJO-HOIMA'!C36,'26.10 KYENJOJO-HOIMA-24h'!C36,'28.10 KYENJOJO-HOIMA-24h'!C36,'31.10 KYENJOJO-HOIMA'!C36)</f>
        <v>6</v>
      </c>
      <c r="D36" s="49">
        <f>AVERAGE('25.10 KYENJOJO-HOIMA'!D36,'27.10 KYENJOJO-HOIMA'!D36,'29.10 KYENJOJO-HOIMA'!D36,'30.10 KYENJOJO-HOIMA'!D36,'26.10 KYENJOJO-HOIMA-24h'!D36,'28.10 KYENJOJO-HOIMA-24h'!D36,'31.10 KYENJOJO-HOIMA'!D36)</f>
        <v>0.42857142857142855</v>
      </c>
      <c r="E36" s="49">
        <f>AVERAGE('25.10 KYENJOJO-HOIMA'!E36,'27.10 KYENJOJO-HOIMA'!E36,'29.10 KYENJOJO-HOIMA'!E36,'30.10 KYENJOJO-HOIMA'!E36,'26.10 KYENJOJO-HOIMA-24h'!E36,'28.10 KYENJOJO-HOIMA-24h'!E36,'31.10 KYENJOJO-HOIMA'!E36)</f>
        <v>2.2857142857142856</v>
      </c>
      <c r="F36" s="49">
        <f>AVERAGE('25.10 KYENJOJO-HOIMA'!F36,'27.10 KYENJOJO-HOIMA'!F36,'29.10 KYENJOJO-HOIMA'!F36,'30.10 KYENJOJO-HOIMA'!F36,'26.10 KYENJOJO-HOIMA-24h'!F36,'28.10 KYENJOJO-HOIMA-24h'!F36,'31.10 KYENJOJO-HOIMA'!F36)</f>
        <v>0.7142857142857143</v>
      </c>
      <c r="G36" s="49">
        <f>AVERAGE('25.10 KYENJOJO-HOIMA'!G36,'27.10 KYENJOJO-HOIMA'!G36,'29.10 KYENJOJO-HOIMA'!G36,'30.10 KYENJOJO-HOIMA'!G36,'26.10 KYENJOJO-HOIMA-24h'!G36,'28.10 KYENJOJO-HOIMA-24h'!G36,'31.10 KYENJOJO-HOIMA'!G36)</f>
        <v>0</v>
      </c>
      <c r="H36" s="49">
        <f>AVERAGE('25.10 KYENJOJO-HOIMA'!H36,'27.10 KYENJOJO-HOIMA'!H36,'29.10 KYENJOJO-HOIMA'!H36,'30.10 KYENJOJO-HOIMA'!H36,'26.10 KYENJOJO-HOIMA-24h'!H36,'28.10 KYENJOJO-HOIMA-24h'!H36,'31.10 KYENJOJO-HOIMA'!H36)</f>
        <v>0</v>
      </c>
      <c r="I36" s="49">
        <f>AVERAGE('25.10 KYENJOJO-HOIMA'!I36,'27.10 KYENJOJO-HOIMA'!I36,'29.10 KYENJOJO-HOIMA'!I36,'30.10 KYENJOJO-HOIMA'!I36,'26.10 KYENJOJO-HOIMA-24h'!I36,'28.10 KYENJOJO-HOIMA-24h'!I36,'31.10 KYENJOJO-HOIMA'!I36)</f>
        <v>0.8571428571428571</v>
      </c>
      <c r="J36" s="49">
        <f>AVERAGE('25.10 KYENJOJO-HOIMA'!J36,'27.10 KYENJOJO-HOIMA'!J36,'29.10 KYENJOJO-HOIMA'!J36,'30.10 KYENJOJO-HOIMA'!J36,'26.10 KYENJOJO-HOIMA-24h'!J36,'28.10 KYENJOJO-HOIMA-24h'!J36,'31.10 KYENJOJO-HOIMA'!J36)</f>
        <v>0.2857142857142857</v>
      </c>
      <c r="K36" s="49">
        <f>AVERAGE('25.10 KYENJOJO-HOIMA'!K36,'27.10 KYENJOJO-HOIMA'!K36,'29.10 KYENJOJO-HOIMA'!K36,'30.10 KYENJOJO-HOIMA'!K36,'26.10 KYENJOJO-HOIMA-24h'!K36,'28.10 KYENJOJO-HOIMA-24h'!K36,'31.10 KYENJOJO-HOIMA'!K36)</f>
        <v>0</v>
      </c>
      <c r="L36" s="49">
        <f>AVERAGE('25.10 KYENJOJO-HOIMA'!L36,'27.10 KYENJOJO-HOIMA'!L36,'29.10 KYENJOJO-HOIMA'!L36,'30.10 KYENJOJO-HOIMA'!L36,'26.10 KYENJOJO-HOIMA-24h'!L36,'28.10 KYENJOJO-HOIMA-24h'!L36,'31.10 KYENJOJO-HOIMA'!L36)</f>
        <v>0.14285714285714285</v>
      </c>
      <c r="M36" s="49">
        <f>AVERAGE('25.10 KYENJOJO-HOIMA'!M36,'27.10 KYENJOJO-HOIMA'!M36,'29.10 KYENJOJO-HOIMA'!M36,'30.10 KYENJOJO-HOIMA'!M36,'26.10 KYENJOJO-HOIMA-24h'!M36,'28.10 KYENJOJO-HOIMA-24h'!M36,'31.10 KYENJOJO-HOIMA'!M36)</f>
        <v>35.285714285714285</v>
      </c>
      <c r="N36" s="49">
        <f>AVERAGE('25.10 KYENJOJO-HOIMA'!N36,'27.10 KYENJOJO-HOIMA'!N36,'29.10 KYENJOJO-HOIMA'!N36,'30.10 KYENJOJO-HOIMA'!N36,'26.10 KYENJOJO-HOIMA-24h'!N36,'28.10 KYENJOJO-HOIMA-24h'!N36,'31.10 KYENJOJO-HOIMA'!N36)</f>
        <v>0</v>
      </c>
      <c r="O36" s="15">
        <f t="shared" si="0"/>
        <v>10.714285714285715</v>
      </c>
      <c r="P36" s="15">
        <f t="shared" si="1"/>
        <v>46</v>
      </c>
      <c r="R36" s="38" t="s">
        <v>92</v>
      </c>
      <c r="S36" s="39">
        <f t="shared" ref="S36:AF36" si="28">MAX(S19:S21)</f>
        <v>30.571428571428569</v>
      </c>
      <c r="T36" s="39">
        <f t="shared" si="28"/>
        <v>3.2857142857142856</v>
      </c>
      <c r="U36" s="39">
        <f t="shared" si="28"/>
        <v>7</v>
      </c>
      <c r="V36" s="39">
        <f t="shared" si="28"/>
        <v>4.4285714285714288</v>
      </c>
      <c r="W36" s="39">
        <f t="shared" si="28"/>
        <v>0.71428571428571419</v>
      </c>
      <c r="X36" s="39">
        <f t="shared" si="28"/>
        <v>0.14285714285714285</v>
      </c>
      <c r="Y36" s="39">
        <f t="shared" si="28"/>
        <v>4.1428571428571423</v>
      </c>
      <c r="Z36" s="39">
        <f t="shared" si="28"/>
        <v>3.2857142857142856</v>
      </c>
      <c r="AA36" s="39">
        <f t="shared" si="28"/>
        <v>0.71428571428571419</v>
      </c>
      <c r="AB36" s="39">
        <f t="shared" si="28"/>
        <v>0.8571428571428571</v>
      </c>
      <c r="AC36" s="39">
        <f t="shared" si="28"/>
        <v>156.42857142857142</v>
      </c>
      <c r="AD36" s="39">
        <f t="shared" si="28"/>
        <v>0</v>
      </c>
      <c r="AE36" s="40">
        <f t="shared" si="28"/>
        <v>51.571428571428569</v>
      </c>
      <c r="AF36" s="40">
        <f t="shared" si="28"/>
        <v>198.71428571428572</v>
      </c>
    </row>
    <row r="37" spans="2:32" ht="23.1" customHeight="1" x14ac:dyDescent="0.25">
      <c r="B37" s="23" t="s">
        <v>64</v>
      </c>
      <c r="C37" s="49">
        <f>AVERAGE('25.10 KYENJOJO-HOIMA'!C37,'27.10 KYENJOJO-HOIMA'!C37,'29.10 KYENJOJO-HOIMA'!C37,'30.10 KYENJOJO-HOIMA'!C37,'26.10 KYENJOJO-HOIMA-24h'!C37,'28.10 KYENJOJO-HOIMA-24h'!C37,'31.10 KYENJOJO-HOIMA'!C37)</f>
        <v>7.5714285714285712</v>
      </c>
      <c r="D37" s="49">
        <f>AVERAGE('25.10 KYENJOJO-HOIMA'!D37,'27.10 KYENJOJO-HOIMA'!D37,'29.10 KYENJOJO-HOIMA'!D37,'30.10 KYENJOJO-HOIMA'!D37,'26.10 KYENJOJO-HOIMA-24h'!D37,'28.10 KYENJOJO-HOIMA-24h'!D37,'31.10 KYENJOJO-HOIMA'!D37)</f>
        <v>0.2857142857142857</v>
      </c>
      <c r="E37" s="49">
        <f>AVERAGE('25.10 KYENJOJO-HOIMA'!E37,'27.10 KYENJOJO-HOIMA'!E37,'29.10 KYENJOJO-HOIMA'!E37,'30.10 KYENJOJO-HOIMA'!E37,'26.10 KYENJOJO-HOIMA-24h'!E37,'28.10 KYENJOJO-HOIMA-24h'!E37,'31.10 KYENJOJO-HOIMA'!E37)</f>
        <v>1</v>
      </c>
      <c r="F37" s="49">
        <f>AVERAGE('25.10 KYENJOJO-HOIMA'!F37,'27.10 KYENJOJO-HOIMA'!F37,'29.10 KYENJOJO-HOIMA'!F37,'30.10 KYENJOJO-HOIMA'!F37,'26.10 KYENJOJO-HOIMA-24h'!F37,'28.10 KYENJOJO-HOIMA-24h'!F37,'31.10 KYENJOJO-HOIMA'!F37)</f>
        <v>0.7142857142857143</v>
      </c>
      <c r="G37" s="49">
        <f>AVERAGE('25.10 KYENJOJO-HOIMA'!G37,'27.10 KYENJOJO-HOIMA'!G37,'29.10 KYENJOJO-HOIMA'!G37,'30.10 KYENJOJO-HOIMA'!G37,'26.10 KYENJOJO-HOIMA-24h'!G37,'28.10 KYENJOJO-HOIMA-24h'!G37,'31.10 KYENJOJO-HOIMA'!G37)</f>
        <v>0</v>
      </c>
      <c r="H37" s="49">
        <f>AVERAGE('25.10 KYENJOJO-HOIMA'!H37,'27.10 KYENJOJO-HOIMA'!H37,'29.10 KYENJOJO-HOIMA'!H37,'30.10 KYENJOJO-HOIMA'!H37,'26.10 KYENJOJO-HOIMA-24h'!H37,'28.10 KYENJOJO-HOIMA-24h'!H37,'31.10 KYENJOJO-HOIMA'!H37)</f>
        <v>0</v>
      </c>
      <c r="I37" s="49">
        <f>AVERAGE('25.10 KYENJOJO-HOIMA'!I37,'27.10 KYENJOJO-HOIMA'!I37,'29.10 KYENJOJO-HOIMA'!I37,'30.10 KYENJOJO-HOIMA'!I37,'26.10 KYENJOJO-HOIMA-24h'!I37,'28.10 KYENJOJO-HOIMA-24h'!I37,'31.10 KYENJOJO-HOIMA'!I37)</f>
        <v>1.7142857142857142</v>
      </c>
      <c r="J37" s="49">
        <f>AVERAGE('25.10 KYENJOJO-HOIMA'!J37,'27.10 KYENJOJO-HOIMA'!J37,'29.10 KYENJOJO-HOIMA'!J37,'30.10 KYENJOJO-HOIMA'!J37,'26.10 KYENJOJO-HOIMA-24h'!J37,'28.10 KYENJOJO-HOIMA-24h'!J37,'31.10 KYENJOJO-HOIMA'!J37)</f>
        <v>0.5714285714285714</v>
      </c>
      <c r="K37" s="49">
        <f>AVERAGE('25.10 KYENJOJO-HOIMA'!K37,'27.10 KYENJOJO-HOIMA'!K37,'29.10 KYENJOJO-HOIMA'!K37,'30.10 KYENJOJO-HOIMA'!K37,'26.10 KYENJOJO-HOIMA-24h'!K37,'28.10 KYENJOJO-HOIMA-24h'!K37,'31.10 KYENJOJO-HOIMA'!K37)</f>
        <v>0</v>
      </c>
      <c r="L37" s="49">
        <f>AVERAGE('25.10 KYENJOJO-HOIMA'!L37,'27.10 KYENJOJO-HOIMA'!L37,'29.10 KYENJOJO-HOIMA'!L37,'30.10 KYENJOJO-HOIMA'!L37,'26.10 KYENJOJO-HOIMA-24h'!L37,'28.10 KYENJOJO-HOIMA-24h'!L37,'31.10 KYENJOJO-HOIMA'!L37)</f>
        <v>0.5714285714285714</v>
      </c>
      <c r="M37" s="49">
        <f>AVERAGE('25.10 KYENJOJO-HOIMA'!M37,'27.10 KYENJOJO-HOIMA'!M37,'29.10 KYENJOJO-HOIMA'!M37,'30.10 KYENJOJO-HOIMA'!M37,'26.10 KYENJOJO-HOIMA-24h'!M37,'28.10 KYENJOJO-HOIMA-24h'!M37,'31.10 KYENJOJO-HOIMA'!M37)</f>
        <v>39.571428571428569</v>
      </c>
      <c r="N37" s="49">
        <f>AVERAGE('25.10 KYENJOJO-HOIMA'!N37,'27.10 KYENJOJO-HOIMA'!N37,'29.10 KYENJOJO-HOIMA'!N37,'30.10 KYENJOJO-HOIMA'!N37,'26.10 KYENJOJO-HOIMA-24h'!N37,'28.10 KYENJOJO-HOIMA-24h'!N37,'31.10 KYENJOJO-HOIMA'!N37)</f>
        <v>0</v>
      </c>
      <c r="O37" s="15">
        <f t="shared" si="0"/>
        <v>12.428571428571427</v>
      </c>
      <c r="P37" s="15">
        <f t="shared" si="1"/>
        <v>52</v>
      </c>
      <c r="R37" s="37" t="s">
        <v>85</v>
      </c>
      <c r="S37" s="35">
        <f t="shared" ref="S37:AF37" si="29">SUM(S10:S12)</f>
        <v>49.142857142857139</v>
      </c>
      <c r="T37" s="16">
        <f t="shared" si="29"/>
        <v>5.5714285714285712</v>
      </c>
      <c r="U37" s="16">
        <f t="shared" si="29"/>
        <v>9.2857142857142847</v>
      </c>
      <c r="V37" s="16">
        <f t="shared" si="29"/>
        <v>6.7142857142857135</v>
      </c>
      <c r="W37" s="16">
        <f t="shared" si="29"/>
        <v>0</v>
      </c>
      <c r="X37" s="16">
        <f t="shared" si="29"/>
        <v>0.2857142857142857</v>
      </c>
      <c r="Y37" s="16">
        <f t="shared" si="29"/>
        <v>8.5714285714285712</v>
      </c>
      <c r="Z37" s="16">
        <f t="shared" si="29"/>
        <v>6.2857142857142856</v>
      </c>
      <c r="AA37" s="16">
        <f t="shared" si="29"/>
        <v>0.71428571428571419</v>
      </c>
      <c r="AB37" s="16">
        <f t="shared" si="29"/>
        <v>1.2857142857142856</v>
      </c>
      <c r="AC37" s="16">
        <f t="shared" si="29"/>
        <v>261.57142857142856</v>
      </c>
      <c r="AD37" s="16">
        <f t="shared" si="29"/>
        <v>0.14285714285714285</v>
      </c>
      <c r="AE37" s="32">
        <f t="shared" si="29"/>
        <v>88</v>
      </c>
      <c r="AF37" s="32">
        <f t="shared" si="29"/>
        <v>349.57142857142856</v>
      </c>
    </row>
    <row r="38" spans="2:32" ht="23.1" customHeight="1" x14ac:dyDescent="0.25">
      <c r="B38" s="24" t="s">
        <v>65</v>
      </c>
      <c r="C38" s="49">
        <f>AVERAGE('25.10 KYENJOJO-HOIMA'!C38,'27.10 KYENJOJO-HOIMA'!C38,'29.10 KYENJOJO-HOIMA'!C38,'30.10 KYENJOJO-HOIMA'!C38,'26.10 KYENJOJO-HOIMA-24h'!C38,'28.10 KYENJOJO-HOIMA-24h'!C38,'31.10 KYENJOJO-HOIMA'!C38)</f>
        <v>5</v>
      </c>
      <c r="D38" s="49">
        <f>AVERAGE('25.10 KYENJOJO-HOIMA'!D38,'27.10 KYENJOJO-HOIMA'!D38,'29.10 KYENJOJO-HOIMA'!D38,'30.10 KYENJOJO-HOIMA'!D38,'26.10 KYENJOJO-HOIMA-24h'!D38,'28.10 KYENJOJO-HOIMA-24h'!D38,'31.10 KYENJOJO-HOIMA'!D38)</f>
        <v>0.14285714285714285</v>
      </c>
      <c r="E38" s="49">
        <f>AVERAGE('25.10 KYENJOJO-HOIMA'!E38,'27.10 KYENJOJO-HOIMA'!E38,'29.10 KYENJOJO-HOIMA'!E38,'30.10 KYENJOJO-HOIMA'!E38,'26.10 KYENJOJO-HOIMA-24h'!E38,'28.10 KYENJOJO-HOIMA-24h'!E38,'31.10 KYENJOJO-HOIMA'!E38)</f>
        <v>0.42857142857142855</v>
      </c>
      <c r="F38" s="49">
        <f>AVERAGE('25.10 KYENJOJO-HOIMA'!F38,'27.10 KYENJOJO-HOIMA'!F38,'29.10 KYENJOJO-HOIMA'!F38,'30.10 KYENJOJO-HOIMA'!F38,'26.10 KYENJOJO-HOIMA-24h'!F38,'28.10 KYENJOJO-HOIMA-24h'!F38,'31.10 KYENJOJO-HOIMA'!F38)</f>
        <v>1</v>
      </c>
      <c r="G38" s="49">
        <f>AVERAGE('25.10 KYENJOJO-HOIMA'!G38,'27.10 KYENJOJO-HOIMA'!G38,'29.10 KYENJOJO-HOIMA'!G38,'30.10 KYENJOJO-HOIMA'!G38,'26.10 KYENJOJO-HOIMA-24h'!G38,'28.10 KYENJOJO-HOIMA-24h'!G38,'31.10 KYENJOJO-HOIMA'!G38)</f>
        <v>0</v>
      </c>
      <c r="H38" s="49">
        <f>AVERAGE('25.10 KYENJOJO-HOIMA'!H38,'27.10 KYENJOJO-HOIMA'!H38,'29.10 KYENJOJO-HOIMA'!H38,'30.10 KYENJOJO-HOIMA'!H38,'26.10 KYENJOJO-HOIMA-24h'!H38,'28.10 KYENJOJO-HOIMA-24h'!H38,'31.10 KYENJOJO-HOIMA'!H38)</f>
        <v>0</v>
      </c>
      <c r="I38" s="49">
        <f>AVERAGE('25.10 KYENJOJO-HOIMA'!I38,'27.10 KYENJOJO-HOIMA'!I38,'29.10 KYENJOJO-HOIMA'!I38,'30.10 KYENJOJO-HOIMA'!I38,'26.10 KYENJOJO-HOIMA-24h'!I38,'28.10 KYENJOJO-HOIMA-24h'!I38,'31.10 KYENJOJO-HOIMA'!I38)</f>
        <v>1.4285714285714286</v>
      </c>
      <c r="J38" s="49">
        <f>AVERAGE('25.10 KYENJOJO-HOIMA'!J38,'27.10 KYENJOJO-HOIMA'!J38,'29.10 KYENJOJO-HOIMA'!J38,'30.10 KYENJOJO-HOIMA'!J38,'26.10 KYENJOJO-HOIMA-24h'!J38,'28.10 KYENJOJO-HOIMA-24h'!J38,'31.10 KYENJOJO-HOIMA'!J38)</f>
        <v>0.5714285714285714</v>
      </c>
      <c r="K38" s="49">
        <f>AVERAGE('25.10 KYENJOJO-HOIMA'!K38,'27.10 KYENJOJO-HOIMA'!K38,'29.10 KYENJOJO-HOIMA'!K38,'30.10 KYENJOJO-HOIMA'!K38,'26.10 KYENJOJO-HOIMA-24h'!K38,'28.10 KYENJOJO-HOIMA-24h'!K38,'31.10 KYENJOJO-HOIMA'!K38)</f>
        <v>0</v>
      </c>
      <c r="L38" s="49">
        <f>AVERAGE('25.10 KYENJOJO-HOIMA'!L38,'27.10 KYENJOJO-HOIMA'!L38,'29.10 KYENJOJO-HOIMA'!L38,'30.10 KYENJOJO-HOIMA'!L38,'26.10 KYENJOJO-HOIMA-24h'!L38,'28.10 KYENJOJO-HOIMA-24h'!L38,'31.10 KYENJOJO-HOIMA'!L38)</f>
        <v>0</v>
      </c>
      <c r="M38" s="49">
        <f>AVERAGE('25.10 KYENJOJO-HOIMA'!M38,'27.10 KYENJOJO-HOIMA'!M38,'29.10 KYENJOJO-HOIMA'!M38,'30.10 KYENJOJO-HOIMA'!M38,'26.10 KYENJOJO-HOIMA-24h'!M38,'28.10 KYENJOJO-HOIMA-24h'!M38,'31.10 KYENJOJO-HOIMA'!M38)</f>
        <v>33.571428571428569</v>
      </c>
      <c r="N38" s="49">
        <f>AVERAGE('25.10 KYENJOJO-HOIMA'!N38,'27.10 KYENJOJO-HOIMA'!N38,'29.10 KYENJOJO-HOIMA'!N38,'30.10 KYENJOJO-HOIMA'!N38,'26.10 KYENJOJO-HOIMA-24h'!N38,'28.10 KYENJOJO-HOIMA-24h'!N38,'31.10 KYENJOJO-HOIMA'!N38)</f>
        <v>0</v>
      </c>
      <c r="O38" s="15">
        <f t="shared" si="0"/>
        <v>8.5714285714285712</v>
      </c>
      <c r="P38" s="15">
        <f t="shared" si="1"/>
        <v>42.142857142857139</v>
      </c>
      <c r="R38" s="28" t="s">
        <v>86</v>
      </c>
      <c r="S38" s="16">
        <f t="shared" ref="S38:AF38" si="30">SUM(S13:S18)</f>
        <v>140.71428571428572</v>
      </c>
      <c r="T38" s="16">
        <f t="shared" si="30"/>
        <v>11.571428571428571</v>
      </c>
      <c r="U38" s="16">
        <f t="shared" si="30"/>
        <v>29.571428571428573</v>
      </c>
      <c r="V38" s="16">
        <f t="shared" si="30"/>
        <v>17.571428571428573</v>
      </c>
      <c r="W38" s="16">
        <f t="shared" si="30"/>
        <v>0.71428571428571419</v>
      </c>
      <c r="X38" s="16">
        <f t="shared" si="30"/>
        <v>0</v>
      </c>
      <c r="Y38" s="16">
        <f t="shared" si="30"/>
        <v>21.857142857142854</v>
      </c>
      <c r="Z38" s="16">
        <f t="shared" si="30"/>
        <v>11.142857142857142</v>
      </c>
      <c r="AA38" s="16">
        <f t="shared" si="30"/>
        <v>1.8571428571428572</v>
      </c>
      <c r="AB38" s="16">
        <f t="shared" si="30"/>
        <v>2.714285714285714</v>
      </c>
      <c r="AC38" s="16">
        <f t="shared" si="30"/>
        <v>845.28571428571433</v>
      </c>
      <c r="AD38" s="16">
        <f t="shared" si="30"/>
        <v>0.2857142857142857</v>
      </c>
      <c r="AE38" s="32">
        <f t="shared" si="30"/>
        <v>238</v>
      </c>
      <c r="AF38" s="32">
        <f t="shared" si="30"/>
        <v>1083.2857142857142</v>
      </c>
    </row>
    <row r="39" spans="2:32" ht="23.1" customHeight="1" x14ac:dyDescent="0.25">
      <c r="B39" s="24" t="s">
        <v>66</v>
      </c>
      <c r="C39" s="49">
        <f>AVERAGE('25.10 KYENJOJO-HOIMA'!C39,'27.10 KYENJOJO-HOIMA'!C39,'29.10 KYENJOJO-HOIMA'!C39,'30.10 KYENJOJO-HOIMA'!C39,'26.10 KYENJOJO-HOIMA-24h'!C39,'28.10 KYENJOJO-HOIMA-24h'!C39,'31.10 KYENJOJO-HOIMA'!C39)</f>
        <v>4.8571428571428568</v>
      </c>
      <c r="D39" s="49">
        <f>AVERAGE('25.10 KYENJOJO-HOIMA'!D39,'27.10 KYENJOJO-HOIMA'!D39,'29.10 KYENJOJO-HOIMA'!D39,'30.10 KYENJOJO-HOIMA'!D39,'26.10 KYENJOJO-HOIMA-24h'!D39,'28.10 KYENJOJO-HOIMA-24h'!D39,'31.10 KYENJOJO-HOIMA'!D39)</f>
        <v>0.14285714285714285</v>
      </c>
      <c r="E39" s="49">
        <f>AVERAGE('25.10 KYENJOJO-HOIMA'!E39,'27.10 KYENJOJO-HOIMA'!E39,'29.10 KYENJOJO-HOIMA'!E39,'30.10 KYENJOJO-HOIMA'!E39,'26.10 KYENJOJO-HOIMA-24h'!E39,'28.10 KYENJOJO-HOIMA-24h'!E39,'31.10 KYENJOJO-HOIMA'!E39)</f>
        <v>1</v>
      </c>
      <c r="F39" s="49">
        <f>AVERAGE('25.10 KYENJOJO-HOIMA'!F39,'27.10 KYENJOJO-HOIMA'!F39,'29.10 KYENJOJO-HOIMA'!F39,'30.10 KYENJOJO-HOIMA'!F39,'26.10 KYENJOJO-HOIMA-24h'!F39,'28.10 KYENJOJO-HOIMA-24h'!F39,'31.10 KYENJOJO-HOIMA'!F39)</f>
        <v>0.8571428571428571</v>
      </c>
      <c r="G39" s="49">
        <f>AVERAGE('25.10 KYENJOJO-HOIMA'!G39,'27.10 KYENJOJO-HOIMA'!G39,'29.10 KYENJOJO-HOIMA'!G39,'30.10 KYENJOJO-HOIMA'!G39,'26.10 KYENJOJO-HOIMA-24h'!G39,'28.10 KYENJOJO-HOIMA-24h'!G39,'31.10 KYENJOJO-HOIMA'!G39)</f>
        <v>0</v>
      </c>
      <c r="H39" s="49">
        <f>AVERAGE('25.10 KYENJOJO-HOIMA'!H39,'27.10 KYENJOJO-HOIMA'!H39,'29.10 KYENJOJO-HOIMA'!H39,'30.10 KYENJOJO-HOIMA'!H39,'26.10 KYENJOJO-HOIMA-24h'!H39,'28.10 KYENJOJO-HOIMA-24h'!H39,'31.10 KYENJOJO-HOIMA'!H39)</f>
        <v>0</v>
      </c>
      <c r="I39" s="49">
        <f>AVERAGE('25.10 KYENJOJO-HOIMA'!I39,'27.10 KYENJOJO-HOIMA'!I39,'29.10 KYENJOJO-HOIMA'!I39,'30.10 KYENJOJO-HOIMA'!I39,'26.10 KYENJOJO-HOIMA-24h'!I39,'28.10 KYENJOJO-HOIMA-24h'!I39,'31.10 KYENJOJO-HOIMA'!I39)</f>
        <v>0.7142857142857143</v>
      </c>
      <c r="J39" s="49">
        <f>AVERAGE('25.10 KYENJOJO-HOIMA'!J39,'27.10 KYENJOJO-HOIMA'!J39,'29.10 KYENJOJO-HOIMA'!J39,'30.10 KYENJOJO-HOIMA'!J39,'26.10 KYENJOJO-HOIMA-24h'!J39,'28.10 KYENJOJO-HOIMA-24h'!J39,'31.10 KYENJOJO-HOIMA'!J39)</f>
        <v>0.2857142857142857</v>
      </c>
      <c r="K39" s="49">
        <f>AVERAGE('25.10 KYENJOJO-HOIMA'!K39,'27.10 KYENJOJO-HOIMA'!K39,'29.10 KYENJOJO-HOIMA'!K39,'30.10 KYENJOJO-HOIMA'!K39,'26.10 KYENJOJO-HOIMA-24h'!K39,'28.10 KYENJOJO-HOIMA-24h'!K39,'31.10 KYENJOJO-HOIMA'!K39)</f>
        <v>0</v>
      </c>
      <c r="L39" s="49">
        <f>AVERAGE('25.10 KYENJOJO-HOIMA'!L39,'27.10 KYENJOJO-HOIMA'!L39,'29.10 KYENJOJO-HOIMA'!L39,'30.10 KYENJOJO-HOIMA'!L39,'26.10 KYENJOJO-HOIMA-24h'!L39,'28.10 KYENJOJO-HOIMA-24h'!L39,'31.10 KYENJOJO-HOIMA'!L39)</f>
        <v>0.42857142857142855</v>
      </c>
      <c r="M39" s="49">
        <f>AVERAGE('25.10 KYENJOJO-HOIMA'!M39,'27.10 KYENJOJO-HOIMA'!M39,'29.10 KYENJOJO-HOIMA'!M39,'30.10 KYENJOJO-HOIMA'!M39,'26.10 KYENJOJO-HOIMA-24h'!M39,'28.10 KYENJOJO-HOIMA-24h'!M39,'31.10 KYENJOJO-HOIMA'!M39)</f>
        <v>35.285714285714285</v>
      </c>
      <c r="N39" s="49">
        <f>AVERAGE('25.10 KYENJOJO-HOIMA'!N39,'27.10 KYENJOJO-HOIMA'!N39,'29.10 KYENJOJO-HOIMA'!N39,'30.10 KYENJOJO-HOIMA'!N39,'26.10 KYENJOJO-HOIMA-24h'!N39,'28.10 KYENJOJO-HOIMA-24h'!N39,'31.10 KYENJOJO-HOIMA'!N39)</f>
        <v>0</v>
      </c>
      <c r="O39" s="15">
        <f t="shared" si="0"/>
        <v>8.2857142857142847</v>
      </c>
      <c r="P39" s="15">
        <f t="shared" si="1"/>
        <v>43.571428571428569</v>
      </c>
      <c r="R39" s="29" t="s">
        <v>87</v>
      </c>
      <c r="S39" s="16">
        <f t="shared" ref="S39:AF39" si="31">SUM(S19:S21)</f>
        <v>84.714285714285708</v>
      </c>
      <c r="T39" s="16">
        <f t="shared" si="31"/>
        <v>7.1428571428571423</v>
      </c>
      <c r="U39" s="16">
        <f t="shared" si="31"/>
        <v>14.428571428571429</v>
      </c>
      <c r="V39" s="16">
        <f t="shared" si="31"/>
        <v>8</v>
      </c>
      <c r="W39" s="16">
        <f t="shared" si="31"/>
        <v>0.85714285714285698</v>
      </c>
      <c r="X39" s="16">
        <f t="shared" si="31"/>
        <v>0.14285714285714285</v>
      </c>
      <c r="Y39" s="16">
        <f t="shared" si="31"/>
        <v>9.2857142857142865</v>
      </c>
      <c r="Z39" s="16">
        <f t="shared" si="31"/>
        <v>6.8571428571428559</v>
      </c>
      <c r="AA39" s="16">
        <f t="shared" si="31"/>
        <v>1.4285714285714284</v>
      </c>
      <c r="AB39" s="16">
        <f t="shared" si="31"/>
        <v>2.1428571428571423</v>
      </c>
      <c r="AC39" s="16">
        <f t="shared" si="31"/>
        <v>447.42857142857144</v>
      </c>
      <c r="AD39" s="16">
        <f t="shared" si="31"/>
        <v>0</v>
      </c>
      <c r="AE39" s="32">
        <f t="shared" si="31"/>
        <v>135</v>
      </c>
      <c r="AF39" s="32">
        <f t="shared" si="31"/>
        <v>582.42857142857156</v>
      </c>
    </row>
    <row r="40" spans="2:32" ht="23.1" customHeight="1" x14ac:dyDescent="0.25">
      <c r="B40" s="24" t="s">
        <v>67</v>
      </c>
      <c r="C40" s="49">
        <f>AVERAGE('25.10 KYENJOJO-HOIMA'!C40,'27.10 KYENJOJO-HOIMA'!C40,'29.10 KYENJOJO-HOIMA'!C40,'30.10 KYENJOJO-HOIMA'!C40,'26.10 KYENJOJO-HOIMA-24h'!C40,'28.10 KYENJOJO-HOIMA-24h'!C40,'31.10 KYENJOJO-HOIMA'!C40)</f>
        <v>4.1428571428571432</v>
      </c>
      <c r="D40" s="49">
        <f>AVERAGE('25.10 KYENJOJO-HOIMA'!D40,'27.10 KYENJOJO-HOIMA'!D40,'29.10 KYENJOJO-HOIMA'!D40,'30.10 KYENJOJO-HOIMA'!D40,'26.10 KYENJOJO-HOIMA-24h'!D40,'28.10 KYENJOJO-HOIMA-24h'!D40,'31.10 KYENJOJO-HOIMA'!D40)</f>
        <v>0.14285714285714285</v>
      </c>
      <c r="E40" s="49">
        <f>AVERAGE('25.10 KYENJOJO-HOIMA'!E40,'27.10 KYENJOJO-HOIMA'!E40,'29.10 KYENJOJO-HOIMA'!E40,'30.10 KYENJOJO-HOIMA'!E40,'26.10 KYENJOJO-HOIMA-24h'!E40,'28.10 KYENJOJO-HOIMA-24h'!E40,'31.10 KYENJOJO-HOIMA'!E40)</f>
        <v>0.2857142857142857</v>
      </c>
      <c r="F40" s="49">
        <f>AVERAGE('25.10 KYENJOJO-HOIMA'!F40,'27.10 KYENJOJO-HOIMA'!F40,'29.10 KYENJOJO-HOIMA'!F40,'30.10 KYENJOJO-HOIMA'!F40,'26.10 KYENJOJO-HOIMA-24h'!F40,'28.10 KYENJOJO-HOIMA-24h'!F40,'31.10 KYENJOJO-HOIMA'!F40)</f>
        <v>0.42857142857142855</v>
      </c>
      <c r="G40" s="49">
        <f>AVERAGE('25.10 KYENJOJO-HOIMA'!G40,'27.10 KYENJOJO-HOIMA'!G40,'29.10 KYENJOJO-HOIMA'!G40,'30.10 KYENJOJO-HOIMA'!G40,'26.10 KYENJOJO-HOIMA-24h'!G40,'28.10 KYENJOJO-HOIMA-24h'!G40,'31.10 KYENJOJO-HOIMA'!G40)</f>
        <v>0</v>
      </c>
      <c r="H40" s="49">
        <f>AVERAGE('25.10 KYENJOJO-HOIMA'!H40,'27.10 KYENJOJO-HOIMA'!H40,'29.10 KYENJOJO-HOIMA'!H40,'30.10 KYENJOJO-HOIMA'!H40,'26.10 KYENJOJO-HOIMA-24h'!H40,'28.10 KYENJOJO-HOIMA-24h'!H40,'31.10 KYENJOJO-HOIMA'!H40)</f>
        <v>0</v>
      </c>
      <c r="I40" s="49">
        <f>AVERAGE('25.10 KYENJOJO-HOIMA'!I40,'27.10 KYENJOJO-HOIMA'!I40,'29.10 KYENJOJO-HOIMA'!I40,'30.10 KYENJOJO-HOIMA'!I40,'26.10 KYENJOJO-HOIMA-24h'!I40,'28.10 KYENJOJO-HOIMA-24h'!I40,'31.10 KYENJOJO-HOIMA'!I40)</f>
        <v>1</v>
      </c>
      <c r="J40" s="49">
        <f>AVERAGE('25.10 KYENJOJO-HOIMA'!J40,'27.10 KYENJOJO-HOIMA'!J40,'29.10 KYENJOJO-HOIMA'!J40,'30.10 KYENJOJO-HOIMA'!J40,'26.10 KYENJOJO-HOIMA-24h'!J40,'28.10 KYENJOJO-HOIMA-24h'!J40,'31.10 KYENJOJO-HOIMA'!J40)</f>
        <v>0.7142857142857143</v>
      </c>
      <c r="K40" s="49">
        <f>AVERAGE('25.10 KYENJOJO-HOIMA'!K40,'27.10 KYENJOJO-HOIMA'!K40,'29.10 KYENJOJO-HOIMA'!K40,'30.10 KYENJOJO-HOIMA'!K40,'26.10 KYENJOJO-HOIMA-24h'!K40,'28.10 KYENJOJO-HOIMA-24h'!K40,'31.10 KYENJOJO-HOIMA'!K40)</f>
        <v>0</v>
      </c>
      <c r="L40" s="49">
        <f>AVERAGE('25.10 KYENJOJO-HOIMA'!L40,'27.10 KYENJOJO-HOIMA'!L40,'29.10 KYENJOJO-HOIMA'!L40,'30.10 KYENJOJO-HOIMA'!L40,'26.10 KYENJOJO-HOIMA-24h'!L40,'28.10 KYENJOJO-HOIMA-24h'!L40,'31.10 KYENJOJO-HOIMA'!L40)</f>
        <v>0</v>
      </c>
      <c r="M40" s="49">
        <f>AVERAGE('25.10 KYENJOJO-HOIMA'!M40,'27.10 KYENJOJO-HOIMA'!M40,'29.10 KYENJOJO-HOIMA'!M40,'30.10 KYENJOJO-HOIMA'!M40,'26.10 KYENJOJO-HOIMA-24h'!M40,'28.10 KYENJOJO-HOIMA-24h'!M40,'31.10 KYENJOJO-HOIMA'!M40)</f>
        <v>34</v>
      </c>
      <c r="N40" s="49">
        <f>AVERAGE('25.10 KYENJOJO-HOIMA'!N40,'27.10 KYENJOJO-HOIMA'!N40,'29.10 KYENJOJO-HOIMA'!N40,'30.10 KYENJOJO-HOIMA'!N40,'26.10 KYENJOJO-HOIMA-24h'!N40,'28.10 KYENJOJO-HOIMA-24h'!N40,'31.10 KYENJOJO-HOIMA'!N40)</f>
        <v>0</v>
      </c>
      <c r="O40" s="15">
        <f t="shared" si="0"/>
        <v>6.7142857142857153</v>
      </c>
      <c r="P40" s="15">
        <f t="shared" si="1"/>
        <v>40.714285714285715</v>
      </c>
      <c r="R40" s="5" t="s">
        <v>17</v>
      </c>
      <c r="S40" s="16">
        <f t="shared" ref="S40:AF40" si="32">SUM(S10:S21)</f>
        <v>274.57142857142856</v>
      </c>
      <c r="T40" s="16">
        <f t="shared" si="32"/>
        <v>24.285714285714285</v>
      </c>
      <c r="U40" s="16">
        <f t="shared" si="32"/>
        <v>53.285714285714292</v>
      </c>
      <c r="V40" s="16">
        <f t="shared" si="32"/>
        <v>32.285714285714285</v>
      </c>
      <c r="W40" s="16">
        <f t="shared" si="32"/>
        <v>1.5714285714285712</v>
      </c>
      <c r="X40" s="16">
        <f t="shared" si="32"/>
        <v>0.42857142857142855</v>
      </c>
      <c r="Y40" s="16">
        <f t="shared" si="32"/>
        <v>39.714285714285701</v>
      </c>
      <c r="Z40" s="16">
        <f t="shared" si="32"/>
        <v>24.285714285714281</v>
      </c>
      <c r="AA40" s="16">
        <f t="shared" si="32"/>
        <v>4</v>
      </c>
      <c r="AB40" s="16">
        <f t="shared" si="32"/>
        <v>6.1428571428571423</v>
      </c>
      <c r="AC40" s="16">
        <f t="shared" si="32"/>
        <v>1554.2857142857142</v>
      </c>
      <c r="AD40" s="16">
        <f t="shared" si="32"/>
        <v>0.42857142857142855</v>
      </c>
      <c r="AE40" s="32">
        <f t="shared" si="32"/>
        <v>461.00000000000006</v>
      </c>
      <c r="AF40" s="32">
        <f t="shared" si="32"/>
        <v>2015.2857142857144</v>
      </c>
    </row>
    <row r="41" spans="2:32" ht="23.1" customHeight="1" x14ac:dyDescent="0.25">
      <c r="B41" s="23" t="s">
        <v>68</v>
      </c>
      <c r="C41" s="49">
        <f>AVERAGE('25.10 KYENJOJO-HOIMA'!C41,'27.10 KYENJOJO-HOIMA'!C41,'29.10 KYENJOJO-HOIMA'!C41,'30.10 KYENJOJO-HOIMA'!C41,'26.10 KYENJOJO-HOIMA-24h'!C41,'28.10 KYENJOJO-HOIMA-24h'!C41,'31.10 KYENJOJO-HOIMA'!C41)</f>
        <v>4.7142857142857144</v>
      </c>
      <c r="D41" s="49">
        <f>AVERAGE('25.10 KYENJOJO-HOIMA'!D41,'27.10 KYENJOJO-HOIMA'!D41,'29.10 KYENJOJO-HOIMA'!D41,'30.10 KYENJOJO-HOIMA'!D41,'26.10 KYENJOJO-HOIMA-24h'!D41,'28.10 KYENJOJO-HOIMA-24h'!D41,'31.10 KYENJOJO-HOIMA'!D41)</f>
        <v>0.42857142857142855</v>
      </c>
      <c r="E41" s="49">
        <f>AVERAGE('25.10 KYENJOJO-HOIMA'!E41,'27.10 KYENJOJO-HOIMA'!E41,'29.10 KYENJOJO-HOIMA'!E41,'30.10 KYENJOJO-HOIMA'!E41,'26.10 KYENJOJO-HOIMA-24h'!E41,'28.10 KYENJOJO-HOIMA-24h'!E41,'31.10 KYENJOJO-HOIMA'!E41)</f>
        <v>0.5714285714285714</v>
      </c>
      <c r="F41" s="49">
        <f>AVERAGE('25.10 KYENJOJO-HOIMA'!F41,'27.10 KYENJOJO-HOIMA'!F41,'29.10 KYENJOJO-HOIMA'!F41,'30.10 KYENJOJO-HOIMA'!F41,'26.10 KYENJOJO-HOIMA-24h'!F41,'28.10 KYENJOJO-HOIMA-24h'!F41,'31.10 KYENJOJO-HOIMA'!F41)</f>
        <v>0.7142857142857143</v>
      </c>
      <c r="G41" s="49">
        <f>AVERAGE('25.10 KYENJOJO-HOIMA'!G41,'27.10 KYENJOJO-HOIMA'!G41,'29.10 KYENJOJO-HOIMA'!G41,'30.10 KYENJOJO-HOIMA'!G41,'26.10 KYENJOJO-HOIMA-24h'!G41,'28.10 KYENJOJO-HOIMA-24h'!G41,'31.10 KYENJOJO-HOIMA'!G41)</f>
        <v>0</v>
      </c>
      <c r="H41" s="49">
        <f>AVERAGE('25.10 KYENJOJO-HOIMA'!H41,'27.10 KYENJOJO-HOIMA'!H41,'29.10 KYENJOJO-HOIMA'!H41,'30.10 KYENJOJO-HOIMA'!H41,'26.10 KYENJOJO-HOIMA-24h'!H41,'28.10 KYENJOJO-HOIMA-24h'!H41,'31.10 KYENJOJO-HOIMA'!H41)</f>
        <v>0</v>
      </c>
      <c r="I41" s="49">
        <f>AVERAGE('25.10 KYENJOJO-HOIMA'!I41,'27.10 KYENJOJO-HOIMA'!I41,'29.10 KYENJOJO-HOIMA'!I41,'30.10 KYENJOJO-HOIMA'!I41,'26.10 KYENJOJO-HOIMA-24h'!I41,'28.10 KYENJOJO-HOIMA-24h'!I41,'31.10 KYENJOJO-HOIMA'!I41)</f>
        <v>1.2857142857142858</v>
      </c>
      <c r="J41" s="49">
        <f>AVERAGE('25.10 KYENJOJO-HOIMA'!J41,'27.10 KYENJOJO-HOIMA'!J41,'29.10 KYENJOJO-HOIMA'!J41,'30.10 KYENJOJO-HOIMA'!J41,'26.10 KYENJOJO-HOIMA-24h'!J41,'28.10 KYENJOJO-HOIMA-24h'!J41,'31.10 KYENJOJO-HOIMA'!J41)</f>
        <v>0.42857142857142855</v>
      </c>
      <c r="K41" s="49">
        <f>AVERAGE('25.10 KYENJOJO-HOIMA'!K41,'27.10 KYENJOJO-HOIMA'!K41,'29.10 KYENJOJO-HOIMA'!K41,'30.10 KYENJOJO-HOIMA'!K41,'26.10 KYENJOJO-HOIMA-24h'!K41,'28.10 KYENJOJO-HOIMA-24h'!K41,'31.10 KYENJOJO-HOIMA'!K41)</f>
        <v>0</v>
      </c>
      <c r="L41" s="49">
        <f>AVERAGE('25.10 KYENJOJO-HOIMA'!L41,'27.10 KYENJOJO-HOIMA'!L41,'29.10 KYENJOJO-HOIMA'!L41,'30.10 KYENJOJO-HOIMA'!L41,'26.10 KYENJOJO-HOIMA-24h'!L41,'28.10 KYENJOJO-HOIMA-24h'!L41,'31.10 KYENJOJO-HOIMA'!L41)</f>
        <v>0</v>
      </c>
      <c r="M41" s="49">
        <f>AVERAGE('25.10 KYENJOJO-HOIMA'!M41,'27.10 KYENJOJO-HOIMA'!M41,'29.10 KYENJOJO-HOIMA'!M41,'30.10 KYENJOJO-HOIMA'!M41,'26.10 KYENJOJO-HOIMA-24h'!M41,'28.10 KYENJOJO-HOIMA-24h'!M41,'31.10 KYENJOJO-HOIMA'!M41)</f>
        <v>36</v>
      </c>
      <c r="N41" s="49">
        <f>AVERAGE('25.10 KYENJOJO-HOIMA'!N41,'27.10 KYENJOJO-HOIMA'!N41,'29.10 KYENJOJO-HOIMA'!N41,'30.10 KYENJOJO-HOIMA'!N41,'26.10 KYENJOJO-HOIMA-24h'!N41,'28.10 KYENJOJO-HOIMA-24h'!N41,'31.10 KYENJOJO-HOIMA'!N41)</f>
        <v>0</v>
      </c>
      <c r="O41" s="15">
        <f t="shared" si="0"/>
        <v>8.1428571428571423</v>
      </c>
      <c r="P41" s="15">
        <f t="shared" si="1"/>
        <v>44.142857142857139</v>
      </c>
      <c r="R41" s="5" t="s">
        <v>179</v>
      </c>
      <c r="S41" s="16">
        <f>SUM(S10:S33)</f>
        <v>359.07142857142856</v>
      </c>
      <c r="T41" s="16">
        <f t="shared" ref="T41:AD41" si="33">SUM(T10:T33)</f>
        <v>44.285714285714285</v>
      </c>
      <c r="U41" s="16">
        <f t="shared" si="33"/>
        <v>73.285714285714292</v>
      </c>
      <c r="V41" s="16">
        <f t="shared" si="33"/>
        <v>51.285714285714285</v>
      </c>
      <c r="W41" s="16">
        <f t="shared" si="33"/>
        <v>4.5714285714285712</v>
      </c>
      <c r="X41" s="16">
        <f t="shared" si="33"/>
        <v>1.9285714285714286</v>
      </c>
      <c r="Y41" s="16">
        <f t="shared" si="33"/>
        <v>61.714285714285701</v>
      </c>
      <c r="Z41" s="16">
        <f t="shared" si="33"/>
        <v>34.285714285714278</v>
      </c>
      <c r="AA41" s="16">
        <f t="shared" si="33"/>
        <v>12</v>
      </c>
      <c r="AB41" s="16">
        <f t="shared" si="33"/>
        <v>7.6428571428571423</v>
      </c>
      <c r="AC41" s="16">
        <f t="shared" si="33"/>
        <v>1919.2857142857142</v>
      </c>
      <c r="AD41" s="16">
        <f t="shared" si="33"/>
        <v>0.42857142857142855</v>
      </c>
      <c r="AE41" s="32">
        <f>SUM(AE10:AE33)</f>
        <v>650.5</v>
      </c>
      <c r="AF41" s="32">
        <f>SUM(AF10:AF33)</f>
        <v>2569.7857142857147</v>
      </c>
    </row>
    <row r="42" spans="2:32" ht="23.1" customHeight="1" x14ac:dyDescent="0.25">
      <c r="B42" s="24" t="s">
        <v>69</v>
      </c>
      <c r="C42" s="49">
        <f>AVERAGE('25.10 KYENJOJO-HOIMA'!C42,'27.10 KYENJOJO-HOIMA'!C42,'29.10 KYENJOJO-HOIMA'!C42,'30.10 KYENJOJO-HOIMA'!C42,'26.10 KYENJOJO-HOIMA-24h'!C42,'28.10 KYENJOJO-HOIMA-24h'!C42,'31.10 KYENJOJO-HOIMA'!C42)</f>
        <v>7.4285714285714288</v>
      </c>
      <c r="D42" s="49">
        <f>AVERAGE('25.10 KYENJOJO-HOIMA'!D42,'27.10 KYENJOJO-HOIMA'!D42,'29.10 KYENJOJO-HOIMA'!D42,'30.10 KYENJOJO-HOIMA'!D42,'26.10 KYENJOJO-HOIMA-24h'!D42,'28.10 KYENJOJO-HOIMA-24h'!D42,'31.10 KYENJOJO-HOIMA'!D42)</f>
        <v>0.5714285714285714</v>
      </c>
      <c r="E42" s="49">
        <f>AVERAGE('25.10 KYENJOJO-HOIMA'!E42,'27.10 KYENJOJO-HOIMA'!E42,'29.10 KYENJOJO-HOIMA'!E42,'30.10 KYENJOJO-HOIMA'!E42,'26.10 KYENJOJO-HOIMA-24h'!E42,'28.10 KYENJOJO-HOIMA-24h'!E42,'31.10 KYENJOJO-HOIMA'!E42)</f>
        <v>0.8571428571428571</v>
      </c>
      <c r="F42" s="49">
        <f>AVERAGE('25.10 KYENJOJO-HOIMA'!F42,'27.10 KYENJOJO-HOIMA'!F42,'29.10 KYENJOJO-HOIMA'!F42,'30.10 KYENJOJO-HOIMA'!F42,'26.10 KYENJOJO-HOIMA-24h'!F42,'28.10 KYENJOJO-HOIMA-24h'!F42,'31.10 KYENJOJO-HOIMA'!F42)</f>
        <v>0.7142857142857143</v>
      </c>
      <c r="G42" s="49">
        <f>AVERAGE('25.10 KYENJOJO-HOIMA'!G42,'27.10 KYENJOJO-HOIMA'!G42,'29.10 KYENJOJO-HOIMA'!G42,'30.10 KYENJOJO-HOIMA'!G42,'26.10 KYENJOJO-HOIMA-24h'!G42,'28.10 KYENJOJO-HOIMA-24h'!G42,'31.10 KYENJOJO-HOIMA'!G42)</f>
        <v>0</v>
      </c>
      <c r="H42" s="49">
        <f>AVERAGE('25.10 KYENJOJO-HOIMA'!H42,'27.10 KYENJOJO-HOIMA'!H42,'29.10 KYENJOJO-HOIMA'!H42,'30.10 KYENJOJO-HOIMA'!H42,'26.10 KYENJOJO-HOIMA-24h'!H42,'28.10 KYENJOJO-HOIMA-24h'!H42,'31.10 KYENJOJO-HOIMA'!H42)</f>
        <v>0</v>
      </c>
      <c r="I42" s="49">
        <f>AVERAGE('25.10 KYENJOJO-HOIMA'!I42,'27.10 KYENJOJO-HOIMA'!I42,'29.10 KYENJOJO-HOIMA'!I42,'30.10 KYENJOJO-HOIMA'!I42,'26.10 KYENJOJO-HOIMA-24h'!I42,'28.10 KYENJOJO-HOIMA-24h'!I42,'31.10 KYENJOJO-HOIMA'!I42)</f>
        <v>1.1428571428571428</v>
      </c>
      <c r="J42" s="49">
        <f>AVERAGE('25.10 KYENJOJO-HOIMA'!J42,'27.10 KYENJOJO-HOIMA'!J42,'29.10 KYENJOJO-HOIMA'!J42,'30.10 KYENJOJO-HOIMA'!J42,'26.10 KYENJOJO-HOIMA-24h'!J42,'28.10 KYENJOJO-HOIMA-24h'!J42,'31.10 KYENJOJO-HOIMA'!J42)</f>
        <v>0.42857142857142855</v>
      </c>
      <c r="K42" s="49">
        <f>AVERAGE('25.10 KYENJOJO-HOIMA'!K42,'27.10 KYENJOJO-HOIMA'!K42,'29.10 KYENJOJO-HOIMA'!K42,'30.10 KYENJOJO-HOIMA'!K42,'26.10 KYENJOJO-HOIMA-24h'!K42,'28.10 KYENJOJO-HOIMA-24h'!K42,'31.10 KYENJOJO-HOIMA'!K42)</f>
        <v>0.14285714285714285</v>
      </c>
      <c r="L42" s="49">
        <f>AVERAGE('25.10 KYENJOJO-HOIMA'!L42,'27.10 KYENJOJO-HOIMA'!L42,'29.10 KYENJOJO-HOIMA'!L42,'30.10 KYENJOJO-HOIMA'!L42,'26.10 KYENJOJO-HOIMA-24h'!L42,'28.10 KYENJOJO-HOIMA-24h'!L42,'31.10 KYENJOJO-HOIMA'!L42)</f>
        <v>0.14285714285714285</v>
      </c>
      <c r="M42" s="49">
        <f>AVERAGE('25.10 KYENJOJO-HOIMA'!M42,'27.10 KYENJOJO-HOIMA'!M42,'29.10 KYENJOJO-HOIMA'!M42,'30.10 KYENJOJO-HOIMA'!M42,'26.10 KYENJOJO-HOIMA-24h'!M42,'28.10 KYENJOJO-HOIMA-24h'!M42,'31.10 KYENJOJO-HOIMA'!M42)</f>
        <v>34.857142857142854</v>
      </c>
      <c r="N42" s="49">
        <f>AVERAGE('25.10 KYENJOJO-HOIMA'!N42,'27.10 KYENJOJO-HOIMA'!N42,'29.10 KYENJOJO-HOIMA'!N42,'30.10 KYENJOJO-HOIMA'!N42,'26.10 KYENJOJO-HOIMA-24h'!N42,'28.10 KYENJOJO-HOIMA-24h'!N42,'31.10 KYENJOJO-HOIMA'!N42)</f>
        <v>0</v>
      </c>
      <c r="O42" s="15">
        <f t="shared" si="0"/>
        <v>11.428571428571427</v>
      </c>
      <c r="P42" s="15">
        <f t="shared" si="1"/>
        <v>46.285714285714278</v>
      </c>
      <c r="R42" s="5" t="s">
        <v>160</v>
      </c>
      <c r="S42" s="48">
        <f>S41/S40</f>
        <v>1.3077523413111343</v>
      </c>
      <c r="T42" s="48">
        <f t="shared" ref="T42:AF42" si="34">T41/T40</f>
        <v>1.8235294117647058</v>
      </c>
      <c r="U42" s="48">
        <f t="shared" si="34"/>
        <v>1.3753351206434317</v>
      </c>
      <c r="V42" s="48">
        <f t="shared" si="34"/>
        <v>1.5884955752212389</v>
      </c>
      <c r="W42" s="48">
        <f t="shared" si="34"/>
        <v>2.9090909090909096</v>
      </c>
      <c r="X42" s="48">
        <f t="shared" si="34"/>
        <v>4.5</v>
      </c>
      <c r="Y42" s="48">
        <f t="shared" si="34"/>
        <v>1.5539568345323742</v>
      </c>
      <c r="Z42" s="48">
        <f t="shared" si="34"/>
        <v>1.4117647058823528</v>
      </c>
      <c r="AA42" s="48">
        <f t="shared" si="34"/>
        <v>3</v>
      </c>
      <c r="AB42" s="48">
        <f t="shared" si="34"/>
        <v>1.2441860465116279</v>
      </c>
      <c r="AC42" s="48">
        <f t="shared" si="34"/>
        <v>1.2348345588235294</v>
      </c>
      <c r="AD42" s="48">
        <f t="shared" si="34"/>
        <v>1</v>
      </c>
      <c r="AE42" s="51">
        <f t="shared" si="34"/>
        <v>1.4110629067245117</v>
      </c>
      <c r="AF42" s="51">
        <f t="shared" si="34"/>
        <v>1.2751470900971149</v>
      </c>
    </row>
    <row r="43" spans="2:32" ht="23.1" customHeight="1" x14ac:dyDescent="0.25">
      <c r="B43" s="23" t="s">
        <v>70</v>
      </c>
      <c r="C43" s="49">
        <f>AVERAGE('25.10 KYENJOJO-HOIMA'!C43,'27.10 KYENJOJO-HOIMA'!C43,'29.10 KYENJOJO-HOIMA'!C43,'30.10 KYENJOJO-HOIMA'!C43,'26.10 KYENJOJO-HOIMA-24h'!C43,'28.10 KYENJOJO-HOIMA-24h'!C43,'31.10 KYENJOJO-HOIMA'!C43)</f>
        <v>4.2857142857142856</v>
      </c>
      <c r="D43" s="49">
        <f>AVERAGE('25.10 KYENJOJO-HOIMA'!D43,'27.10 KYENJOJO-HOIMA'!D43,'29.10 KYENJOJO-HOIMA'!D43,'30.10 KYENJOJO-HOIMA'!D43,'26.10 KYENJOJO-HOIMA-24h'!D43,'28.10 KYENJOJO-HOIMA-24h'!D43,'31.10 KYENJOJO-HOIMA'!D43)</f>
        <v>0.14285714285714285</v>
      </c>
      <c r="E43" s="49">
        <f>AVERAGE('25.10 KYENJOJO-HOIMA'!E43,'27.10 KYENJOJO-HOIMA'!E43,'29.10 KYENJOJO-HOIMA'!E43,'30.10 KYENJOJO-HOIMA'!E43,'26.10 KYENJOJO-HOIMA-24h'!E43,'28.10 KYENJOJO-HOIMA-24h'!E43,'31.10 KYENJOJO-HOIMA'!E43)</f>
        <v>1.2857142857142858</v>
      </c>
      <c r="F43" s="49">
        <f>AVERAGE('25.10 KYENJOJO-HOIMA'!F43,'27.10 KYENJOJO-HOIMA'!F43,'29.10 KYENJOJO-HOIMA'!F43,'30.10 KYENJOJO-HOIMA'!F43,'26.10 KYENJOJO-HOIMA-24h'!F43,'28.10 KYENJOJO-HOIMA-24h'!F43,'31.10 KYENJOJO-HOIMA'!F43)</f>
        <v>0.5714285714285714</v>
      </c>
      <c r="G43" s="49">
        <f>AVERAGE('25.10 KYENJOJO-HOIMA'!G43,'27.10 KYENJOJO-HOIMA'!G43,'29.10 KYENJOJO-HOIMA'!G43,'30.10 KYENJOJO-HOIMA'!G43,'26.10 KYENJOJO-HOIMA-24h'!G43,'28.10 KYENJOJO-HOIMA-24h'!G43,'31.10 KYENJOJO-HOIMA'!G43)</f>
        <v>0.14285714285714285</v>
      </c>
      <c r="H43" s="49">
        <f>AVERAGE('25.10 KYENJOJO-HOIMA'!H43,'27.10 KYENJOJO-HOIMA'!H43,'29.10 KYENJOJO-HOIMA'!H43,'30.10 KYENJOJO-HOIMA'!H43,'26.10 KYENJOJO-HOIMA-24h'!H43,'28.10 KYENJOJO-HOIMA-24h'!H43,'31.10 KYENJOJO-HOIMA'!H43)</f>
        <v>0</v>
      </c>
      <c r="I43" s="49">
        <f>AVERAGE('25.10 KYENJOJO-HOIMA'!I43,'27.10 KYENJOJO-HOIMA'!I43,'29.10 KYENJOJO-HOIMA'!I43,'30.10 KYENJOJO-HOIMA'!I43,'26.10 KYENJOJO-HOIMA-24h'!I43,'28.10 KYENJOJO-HOIMA-24h'!I43,'31.10 KYENJOJO-HOIMA'!I43)</f>
        <v>1</v>
      </c>
      <c r="J43" s="49">
        <f>AVERAGE('25.10 KYENJOJO-HOIMA'!J43,'27.10 KYENJOJO-HOIMA'!J43,'29.10 KYENJOJO-HOIMA'!J43,'30.10 KYENJOJO-HOIMA'!J43,'26.10 KYENJOJO-HOIMA-24h'!J43,'28.10 KYENJOJO-HOIMA-24h'!J43,'31.10 KYENJOJO-HOIMA'!J43)</f>
        <v>0.2857142857142857</v>
      </c>
      <c r="K43" s="49">
        <f>AVERAGE('25.10 KYENJOJO-HOIMA'!K43,'27.10 KYENJOJO-HOIMA'!K43,'29.10 KYENJOJO-HOIMA'!K43,'30.10 KYENJOJO-HOIMA'!K43,'26.10 KYENJOJO-HOIMA-24h'!K43,'28.10 KYENJOJO-HOIMA-24h'!K43,'31.10 KYENJOJO-HOIMA'!K43)</f>
        <v>0</v>
      </c>
      <c r="L43" s="49">
        <f>AVERAGE('25.10 KYENJOJO-HOIMA'!L43,'27.10 KYENJOJO-HOIMA'!L43,'29.10 KYENJOJO-HOIMA'!L43,'30.10 KYENJOJO-HOIMA'!L43,'26.10 KYENJOJO-HOIMA-24h'!L43,'28.10 KYENJOJO-HOIMA-24h'!L43,'31.10 KYENJOJO-HOIMA'!L43)</f>
        <v>0.14285714285714285</v>
      </c>
      <c r="M43" s="49">
        <f>AVERAGE('25.10 KYENJOJO-HOIMA'!M43,'27.10 KYENJOJO-HOIMA'!M43,'29.10 KYENJOJO-HOIMA'!M43,'30.10 KYENJOJO-HOIMA'!M43,'26.10 KYENJOJO-HOIMA-24h'!M43,'28.10 KYENJOJO-HOIMA-24h'!M43,'31.10 KYENJOJO-HOIMA'!M43)</f>
        <v>27.571428571428573</v>
      </c>
      <c r="N43" s="49">
        <f>AVERAGE('25.10 KYENJOJO-HOIMA'!N43,'27.10 KYENJOJO-HOIMA'!N43,'29.10 KYENJOJO-HOIMA'!N43,'30.10 KYENJOJO-HOIMA'!N43,'26.10 KYENJOJO-HOIMA-24h'!N43,'28.10 KYENJOJO-HOIMA-24h'!N43,'31.10 KYENJOJO-HOIMA'!N43)</f>
        <v>0</v>
      </c>
      <c r="O43" s="15">
        <f t="shared" si="0"/>
        <v>7.8571428571428577</v>
      </c>
      <c r="P43" s="15">
        <f t="shared" si="1"/>
        <v>35.428571428571431</v>
      </c>
    </row>
    <row r="44" spans="2:32" ht="23.1" customHeight="1" x14ac:dyDescent="0.25">
      <c r="B44" s="25" t="s">
        <v>71</v>
      </c>
      <c r="C44" s="49">
        <f>AVERAGE('25.10 KYENJOJO-HOIMA'!C44,'27.10 KYENJOJO-HOIMA'!C44,'29.10 KYENJOJO-HOIMA'!C44,'30.10 KYENJOJO-HOIMA'!C44,'26.10 KYENJOJO-HOIMA-24h'!C44,'28.10 KYENJOJO-HOIMA-24h'!C44,'31.10 KYENJOJO-HOIMA'!C44)</f>
        <v>5.1428571428571432</v>
      </c>
      <c r="D44" s="49">
        <f>AVERAGE('25.10 KYENJOJO-HOIMA'!D44,'27.10 KYENJOJO-HOIMA'!D44,'29.10 KYENJOJO-HOIMA'!D44,'30.10 KYENJOJO-HOIMA'!D44,'26.10 KYENJOJO-HOIMA-24h'!D44,'28.10 KYENJOJO-HOIMA-24h'!D44,'31.10 KYENJOJO-HOIMA'!D44)</f>
        <v>0.42857142857142855</v>
      </c>
      <c r="E44" s="49">
        <f>AVERAGE('25.10 KYENJOJO-HOIMA'!E44,'27.10 KYENJOJO-HOIMA'!E44,'29.10 KYENJOJO-HOIMA'!E44,'30.10 KYENJOJO-HOIMA'!E44,'26.10 KYENJOJO-HOIMA-24h'!E44,'28.10 KYENJOJO-HOIMA-24h'!E44,'31.10 KYENJOJO-HOIMA'!E44)</f>
        <v>1.4285714285714286</v>
      </c>
      <c r="F44" s="49">
        <f>AVERAGE('25.10 KYENJOJO-HOIMA'!F44,'27.10 KYENJOJO-HOIMA'!F44,'29.10 KYENJOJO-HOIMA'!F44,'30.10 KYENJOJO-HOIMA'!F44,'26.10 KYENJOJO-HOIMA-24h'!F44,'28.10 KYENJOJO-HOIMA-24h'!F44,'31.10 KYENJOJO-HOIMA'!F44)</f>
        <v>0.8571428571428571</v>
      </c>
      <c r="G44" s="49">
        <f>AVERAGE('25.10 KYENJOJO-HOIMA'!G44,'27.10 KYENJOJO-HOIMA'!G44,'29.10 KYENJOJO-HOIMA'!G44,'30.10 KYENJOJO-HOIMA'!G44,'26.10 KYENJOJO-HOIMA-24h'!G44,'28.10 KYENJOJO-HOIMA-24h'!G44,'31.10 KYENJOJO-HOIMA'!G44)</f>
        <v>0</v>
      </c>
      <c r="H44" s="49">
        <f>AVERAGE('25.10 KYENJOJO-HOIMA'!H44,'27.10 KYENJOJO-HOIMA'!H44,'29.10 KYENJOJO-HOIMA'!H44,'30.10 KYENJOJO-HOIMA'!H44,'26.10 KYENJOJO-HOIMA-24h'!H44,'28.10 KYENJOJO-HOIMA-24h'!H44,'31.10 KYENJOJO-HOIMA'!H44)</f>
        <v>0</v>
      </c>
      <c r="I44" s="49">
        <f>AVERAGE('25.10 KYENJOJO-HOIMA'!I44,'27.10 KYENJOJO-HOIMA'!I44,'29.10 KYENJOJO-HOIMA'!I44,'30.10 KYENJOJO-HOIMA'!I44,'26.10 KYENJOJO-HOIMA-24h'!I44,'28.10 KYENJOJO-HOIMA-24h'!I44,'31.10 KYENJOJO-HOIMA'!I44)</f>
        <v>0.8571428571428571</v>
      </c>
      <c r="J44" s="49">
        <f>AVERAGE('25.10 KYENJOJO-HOIMA'!J44,'27.10 KYENJOJO-HOIMA'!J44,'29.10 KYENJOJO-HOIMA'!J44,'30.10 KYENJOJO-HOIMA'!J44,'26.10 KYENJOJO-HOIMA-24h'!J44,'28.10 KYENJOJO-HOIMA-24h'!J44,'31.10 KYENJOJO-HOIMA'!J44)</f>
        <v>0.2857142857142857</v>
      </c>
      <c r="K44" s="49">
        <f>AVERAGE('25.10 KYENJOJO-HOIMA'!K44,'27.10 KYENJOJO-HOIMA'!K44,'29.10 KYENJOJO-HOIMA'!K44,'30.10 KYENJOJO-HOIMA'!K44,'26.10 KYENJOJO-HOIMA-24h'!K44,'28.10 KYENJOJO-HOIMA-24h'!K44,'31.10 KYENJOJO-HOIMA'!K44)</f>
        <v>0.14285714285714285</v>
      </c>
      <c r="L44" s="49">
        <f>AVERAGE('25.10 KYENJOJO-HOIMA'!L44,'27.10 KYENJOJO-HOIMA'!L44,'29.10 KYENJOJO-HOIMA'!L44,'30.10 KYENJOJO-HOIMA'!L44,'26.10 KYENJOJO-HOIMA-24h'!L44,'28.10 KYENJOJO-HOIMA-24h'!L44,'31.10 KYENJOJO-HOIMA'!L44)</f>
        <v>0</v>
      </c>
      <c r="M44" s="49">
        <f>AVERAGE('25.10 KYENJOJO-HOIMA'!M44,'27.10 KYENJOJO-HOIMA'!M44,'29.10 KYENJOJO-HOIMA'!M44,'30.10 KYENJOJO-HOIMA'!M44,'26.10 KYENJOJO-HOIMA-24h'!M44,'28.10 KYENJOJO-HOIMA-24h'!M44,'31.10 KYENJOJO-HOIMA'!M44)</f>
        <v>31.428571428571427</v>
      </c>
      <c r="N44" s="49">
        <f>AVERAGE('25.10 KYENJOJO-HOIMA'!N44,'27.10 KYENJOJO-HOIMA'!N44,'29.10 KYENJOJO-HOIMA'!N44,'30.10 KYENJOJO-HOIMA'!N44,'26.10 KYENJOJO-HOIMA-24h'!N44,'28.10 KYENJOJO-HOIMA-24h'!N44,'31.10 KYENJOJO-HOIMA'!N44)</f>
        <v>0</v>
      </c>
      <c r="O44" s="15">
        <f t="shared" si="0"/>
        <v>9.1428571428571441</v>
      </c>
      <c r="P44" s="15">
        <f t="shared" si="1"/>
        <v>40.571428571428569</v>
      </c>
    </row>
    <row r="45" spans="2:32" ht="23.1" customHeight="1" x14ac:dyDescent="0.25">
      <c r="B45" s="23" t="s">
        <v>72</v>
      </c>
      <c r="C45" s="49">
        <f>AVERAGE('25.10 KYENJOJO-HOIMA'!C45,'27.10 KYENJOJO-HOIMA'!C45,'29.10 KYENJOJO-HOIMA'!C45,'30.10 KYENJOJO-HOIMA'!C45,'26.10 KYENJOJO-HOIMA-24h'!C45,'28.10 KYENJOJO-HOIMA-24h'!C45,'31.10 KYENJOJO-HOIMA'!C45)</f>
        <v>5.7142857142857144</v>
      </c>
      <c r="D45" s="49">
        <f>AVERAGE('25.10 KYENJOJO-HOIMA'!D45,'27.10 KYENJOJO-HOIMA'!D45,'29.10 KYENJOJO-HOIMA'!D45,'30.10 KYENJOJO-HOIMA'!D45,'26.10 KYENJOJO-HOIMA-24h'!D45,'28.10 KYENJOJO-HOIMA-24h'!D45,'31.10 KYENJOJO-HOIMA'!D45)</f>
        <v>0.2857142857142857</v>
      </c>
      <c r="E45" s="49">
        <f>AVERAGE('25.10 KYENJOJO-HOIMA'!E45,'27.10 KYENJOJO-HOIMA'!E45,'29.10 KYENJOJO-HOIMA'!E45,'30.10 KYENJOJO-HOIMA'!E45,'26.10 KYENJOJO-HOIMA-24h'!E45,'28.10 KYENJOJO-HOIMA-24h'!E45,'31.10 KYENJOJO-HOIMA'!E45)</f>
        <v>1.4285714285714286</v>
      </c>
      <c r="F45" s="49">
        <f>AVERAGE('25.10 KYENJOJO-HOIMA'!F45,'27.10 KYENJOJO-HOIMA'!F45,'29.10 KYENJOJO-HOIMA'!F45,'30.10 KYENJOJO-HOIMA'!F45,'26.10 KYENJOJO-HOIMA-24h'!F45,'28.10 KYENJOJO-HOIMA-24h'!F45,'31.10 KYENJOJO-HOIMA'!F45)</f>
        <v>1</v>
      </c>
      <c r="G45" s="49">
        <f>AVERAGE('25.10 KYENJOJO-HOIMA'!G45,'27.10 KYENJOJO-HOIMA'!G45,'29.10 KYENJOJO-HOIMA'!G45,'30.10 KYENJOJO-HOIMA'!G45,'26.10 KYENJOJO-HOIMA-24h'!G45,'28.10 KYENJOJO-HOIMA-24h'!G45,'31.10 KYENJOJO-HOIMA'!G45)</f>
        <v>0.14285714285714285</v>
      </c>
      <c r="H45" s="49">
        <f>AVERAGE('25.10 KYENJOJO-HOIMA'!H45,'27.10 KYENJOJO-HOIMA'!H45,'29.10 KYENJOJO-HOIMA'!H45,'30.10 KYENJOJO-HOIMA'!H45,'26.10 KYENJOJO-HOIMA-24h'!H45,'28.10 KYENJOJO-HOIMA-24h'!H45,'31.10 KYENJOJO-HOIMA'!H45)</f>
        <v>0</v>
      </c>
      <c r="I45" s="49">
        <f>AVERAGE('25.10 KYENJOJO-HOIMA'!I45,'27.10 KYENJOJO-HOIMA'!I45,'29.10 KYENJOJO-HOIMA'!I45,'30.10 KYENJOJO-HOIMA'!I45,'26.10 KYENJOJO-HOIMA-24h'!I45,'28.10 KYENJOJO-HOIMA-24h'!I45,'31.10 KYENJOJO-HOIMA'!I45)</f>
        <v>0.5714285714285714</v>
      </c>
      <c r="J45" s="49">
        <f>AVERAGE('25.10 KYENJOJO-HOIMA'!J45,'27.10 KYENJOJO-HOIMA'!J45,'29.10 KYENJOJO-HOIMA'!J45,'30.10 KYENJOJO-HOIMA'!J45,'26.10 KYENJOJO-HOIMA-24h'!J45,'28.10 KYENJOJO-HOIMA-24h'!J45,'31.10 KYENJOJO-HOIMA'!J45)</f>
        <v>0.42857142857142855</v>
      </c>
      <c r="K45" s="49">
        <f>AVERAGE('25.10 KYENJOJO-HOIMA'!K45,'27.10 KYENJOJO-HOIMA'!K45,'29.10 KYENJOJO-HOIMA'!K45,'30.10 KYENJOJO-HOIMA'!K45,'26.10 KYENJOJO-HOIMA-24h'!K45,'28.10 KYENJOJO-HOIMA-24h'!K45,'31.10 KYENJOJO-HOIMA'!K45)</f>
        <v>0</v>
      </c>
      <c r="L45" s="49">
        <f>AVERAGE('25.10 KYENJOJO-HOIMA'!L45,'27.10 KYENJOJO-HOIMA'!L45,'29.10 KYENJOJO-HOIMA'!L45,'30.10 KYENJOJO-HOIMA'!L45,'26.10 KYENJOJO-HOIMA-24h'!L45,'28.10 KYENJOJO-HOIMA-24h'!L45,'31.10 KYENJOJO-HOIMA'!L45)</f>
        <v>0</v>
      </c>
      <c r="M45" s="49">
        <f>AVERAGE('25.10 KYENJOJO-HOIMA'!M45,'27.10 KYENJOJO-HOIMA'!M45,'29.10 KYENJOJO-HOIMA'!M45,'30.10 KYENJOJO-HOIMA'!M45,'26.10 KYENJOJO-HOIMA-24h'!M45,'28.10 KYENJOJO-HOIMA-24h'!M45,'31.10 KYENJOJO-HOIMA'!M45)</f>
        <v>38.285714285714285</v>
      </c>
      <c r="N45" s="49">
        <f>AVERAGE('25.10 KYENJOJO-HOIMA'!N45,'27.10 KYENJOJO-HOIMA'!N45,'29.10 KYENJOJO-HOIMA'!N45,'30.10 KYENJOJO-HOIMA'!N45,'26.10 KYENJOJO-HOIMA-24h'!N45,'28.10 KYENJOJO-HOIMA-24h'!N45,'31.10 KYENJOJO-HOIMA'!N45)</f>
        <v>0</v>
      </c>
      <c r="O45" s="15">
        <f t="shared" si="0"/>
        <v>9.5714285714285712</v>
      </c>
      <c r="P45" s="15">
        <f t="shared" si="1"/>
        <v>47.857142857142854</v>
      </c>
    </row>
    <row r="46" spans="2:32" ht="23.1" customHeight="1" x14ac:dyDescent="0.25">
      <c r="B46" s="24" t="s">
        <v>73</v>
      </c>
      <c r="C46" s="49">
        <f>AVERAGE('25.10 KYENJOJO-HOIMA'!C46,'27.10 KYENJOJO-HOIMA'!C46,'29.10 KYENJOJO-HOIMA'!C46,'30.10 KYENJOJO-HOIMA'!C46,'26.10 KYENJOJO-HOIMA-24h'!C46,'28.10 KYENJOJO-HOIMA-24h'!C46,'31.10 KYENJOJO-HOIMA'!C46)</f>
        <v>7.8571428571428568</v>
      </c>
      <c r="D46" s="49">
        <f>AVERAGE('25.10 KYENJOJO-HOIMA'!D46,'27.10 KYENJOJO-HOIMA'!D46,'29.10 KYENJOJO-HOIMA'!D46,'30.10 KYENJOJO-HOIMA'!D46,'26.10 KYENJOJO-HOIMA-24h'!D46,'28.10 KYENJOJO-HOIMA-24h'!D46,'31.10 KYENJOJO-HOIMA'!D46)</f>
        <v>0.14285714285714285</v>
      </c>
      <c r="E46" s="49">
        <f>AVERAGE('25.10 KYENJOJO-HOIMA'!E46,'27.10 KYENJOJO-HOIMA'!E46,'29.10 KYENJOJO-HOIMA'!E46,'30.10 KYENJOJO-HOIMA'!E46,'26.10 KYENJOJO-HOIMA-24h'!E46,'28.10 KYENJOJO-HOIMA-24h'!E46,'31.10 KYENJOJO-HOIMA'!E46)</f>
        <v>1</v>
      </c>
      <c r="F46" s="49">
        <f>AVERAGE('25.10 KYENJOJO-HOIMA'!F46,'27.10 KYENJOJO-HOIMA'!F46,'29.10 KYENJOJO-HOIMA'!F46,'30.10 KYENJOJO-HOIMA'!F46,'26.10 KYENJOJO-HOIMA-24h'!F46,'28.10 KYENJOJO-HOIMA-24h'!F46,'31.10 KYENJOJO-HOIMA'!F46)</f>
        <v>1.8571428571428572</v>
      </c>
      <c r="G46" s="49">
        <f>AVERAGE('25.10 KYENJOJO-HOIMA'!G46,'27.10 KYENJOJO-HOIMA'!G46,'29.10 KYENJOJO-HOIMA'!G46,'30.10 KYENJOJO-HOIMA'!G46,'26.10 KYENJOJO-HOIMA-24h'!G46,'28.10 KYENJOJO-HOIMA-24h'!G46,'31.10 KYENJOJO-HOIMA'!G46)</f>
        <v>0.14285714285714285</v>
      </c>
      <c r="H46" s="49">
        <f>AVERAGE('25.10 KYENJOJO-HOIMA'!H46,'27.10 KYENJOJO-HOIMA'!H46,'29.10 KYENJOJO-HOIMA'!H46,'30.10 KYENJOJO-HOIMA'!H46,'26.10 KYENJOJO-HOIMA-24h'!H46,'28.10 KYENJOJO-HOIMA-24h'!H46,'31.10 KYENJOJO-HOIMA'!H46)</f>
        <v>0</v>
      </c>
      <c r="I46" s="49">
        <f>AVERAGE('25.10 KYENJOJO-HOIMA'!I46,'27.10 KYENJOJO-HOIMA'!I46,'29.10 KYENJOJO-HOIMA'!I46,'30.10 KYENJOJO-HOIMA'!I46,'26.10 KYENJOJO-HOIMA-24h'!I46,'28.10 KYENJOJO-HOIMA-24h'!I46,'31.10 KYENJOJO-HOIMA'!I46)</f>
        <v>1</v>
      </c>
      <c r="J46" s="49">
        <f>AVERAGE('25.10 KYENJOJO-HOIMA'!J46,'27.10 KYENJOJO-HOIMA'!J46,'29.10 KYENJOJO-HOIMA'!J46,'30.10 KYENJOJO-HOIMA'!J46,'26.10 KYENJOJO-HOIMA-24h'!J46,'28.10 KYENJOJO-HOIMA-24h'!J46,'31.10 KYENJOJO-HOIMA'!J46)</f>
        <v>1.1428571428571428</v>
      </c>
      <c r="K46" s="49">
        <f>AVERAGE('25.10 KYENJOJO-HOIMA'!K46,'27.10 KYENJOJO-HOIMA'!K46,'29.10 KYENJOJO-HOIMA'!K46,'30.10 KYENJOJO-HOIMA'!K46,'26.10 KYENJOJO-HOIMA-24h'!K46,'28.10 KYENJOJO-HOIMA-24h'!K46,'31.10 KYENJOJO-HOIMA'!K46)</f>
        <v>0.14285714285714285</v>
      </c>
      <c r="L46" s="49">
        <f>AVERAGE('25.10 KYENJOJO-HOIMA'!L46,'27.10 KYENJOJO-HOIMA'!L46,'29.10 KYENJOJO-HOIMA'!L46,'30.10 KYENJOJO-HOIMA'!L46,'26.10 KYENJOJO-HOIMA-24h'!L46,'28.10 KYENJOJO-HOIMA-24h'!L46,'31.10 KYENJOJO-HOIMA'!L46)</f>
        <v>0.42857142857142855</v>
      </c>
      <c r="M46" s="49">
        <f>AVERAGE('25.10 KYENJOJO-HOIMA'!M46,'27.10 KYENJOJO-HOIMA'!M46,'29.10 KYENJOJO-HOIMA'!M46,'30.10 KYENJOJO-HOIMA'!M46,'26.10 KYENJOJO-HOIMA-24h'!M46,'28.10 KYENJOJO-HOIMA-24h'!M46,'31.10 KYENJOJO-HOIMA'!M46)</f>
        <v>32.857142857142854</v>
      </c>
      <c r="N46" s="49">
        <f>AVERAGE('25.10 KYENJOJO-HOIMA'!N46,'27.10 KYENJOJO-HOIMA'!N46,'29.10 KYENJOJO-HOIMA'!N46,'30.10 KYENJOJO-HOIMA'!N46,'26.10 KYENJOJO-HOIMA-24h'!N46,'28.10 KYENJOJO-HOIMA-24h'!N46,'31.10 KYENJOJO-HOIMA'!N46)</f>
        <v>0</v>
      </c>
      <c r="O46" s="15">
        <f t="shared" si="0"/>
        <v>13.714285714285714</v>
      </c>
      <c r="P46" s="15">
        <f t="shared" si="1"/>
        <v>46.571428571428569</v>
      </c>
      <c r="R46" s="8"/>
      <c r="T46"/>
    </row>
    <row r="47" spans="2:32" ht="23.1" customHeight="1" x14ac:dyDescent="0.25">
      <c r="B47" s="24" t="s">
        <v>74</v>
      </c>
      <c r="C47" s="49">
        <f>AVERAGE('25.10 KYENJOJO-HOIMA'!C47,'27.10 KYENJOJO-HOIMA'!C47,'29.10 KYENJOJO-HOIMA'!C47,'30.10 KYENJOJO-HOIMA'!C47,'26.10 KYENJOJO-HOIMA-24h'!C47,'28.10 KYENJOJO-HOIMA-24h'!C47,'31.10 KYENJOJO-HOIMA'!C47)</f>
        <v>7</v>
      </c>
      <c r="D47" s="49">
        <f>AVERAGE('25.10 KYENJOJO-HOIMA'!D47,'27.10 KYENJOJO-HOIMA'!D47,'29.10 KYENJOJO-HOIMA'!D47,'30.10 KYENJOJO-HOIMA'!D47,'26.10 KYENJOJO-HOIMA-24h'!D47,'28.10 KYENJOJO-HOIMA-24h'!D47,'31.10 KYENJOJO-HOIMA'!D47)</f>
        <v>1.1428571428571428</v>
      </c>
      <c r="E47" s="49">
        <f>AVERAGE('25.10 KYENJOJO-HOIMA'!E47,'27.10 KYENJOJO-HOIMA'!E47,'29.10 KYENJOJO-HOIMA'!E47,'30.10 KYENJOJO-HOIMA'!E47,'26.10 KYENJOJO-HOIMA-24h'!E47,'28.10 KYENJOJO-HOIMA-24h'!E47,'31.10 KYENJOJO-HOIMA'!E47)</f>
        <v>0.8571428571428571</v>
      </c>
      <c r="F47" s="49">
        <f>AVERAGE('25.10 KYENJOJO-HOIMA'!F47,'27.10 KYENJOJO-HOIMA'!F47,'29.10 KYENJOJO-HOIMA'!F47,'30.10 KYENJOJO-HOIMA'!F47,'26.10 KYENJOJO-HOIMA-24h'!F47,'28.10 KYENJOJO-HOIMA-24h'!F47,'31.10 KYENJOJO-HOIMA'!F47)</f>
        <v>0.5714285714285714</v>
      </c>
      <c r="G47" s="49">
        <f>AVERAGE('25.10 KYENJOJO-HOIMA'!G47,'27.10 KYENJOJO-HOIMA'!G47,'29.10 KYENJOJO-HOIMA'!G47,'30.10 KYENJOJO-HOIMA'!G47,'26.10 KYENJOJO-HOIMA-24h'!G47,'28.10 KYENJOJO-HOIMA-24h'!G47,'31.10 KYENJOJO-HOIMA'!G47)</f>
        <v>0.2857142857142857</v>
      </c>
      <c r="H47" s="49">
        <f>AVERAGE('25.10 KYENJOJO-HOIMA'!H47,'27.10 KYENJOJO-HOIMA'!H47,'29.10 KYENJOJO-HOIMA'!H47,'30.10 KYENJOJO-HOIMA'!H47,'26.10 KYENJOJO-HOIMA-24h'!H47,'28.10 KYENJOJO-HOIMA-24h'!H47,'31.10 KYENJOJO-HOIMA'!H47)</f>
        <v>0</v>
      </c>
      <c r="I47" s="49">
        <f>AVERAGE('25.10 KYENJOJO-HOIMA'!I47,'27.10 KYENJOJO-HOIMA'!I47,'29.10 KYENJOJO-HOIMA'!I47,'30.10 KYENJOJO-HOIMA'!I47,'26.10 KYENJOJO-HOIMA-24h'!I47,'28.10 KYENJOJO-HOIMA-24h'!I47,'31.10 KYENJOJO-HOIMA'!I47)</f>
        <v>0.7142857142857143</v>
      </c>
      <c r="J47" s="49">
        <f>AVERAGE('25.10 KYENJOJO-HOIMA'!J47,'27.10 KYENJOJO-HOIMA'!J47,'29.10 KYENJOJO-HOIMA'!J47,'30.10 KYENJOJO-HOIMA'!J47,'26.10 KYENJOJO-HOIMA-24h'!J47,'28.10 KYENJOJO-HOIMA-24h'!J47,'31.10 KYENJOJO-HOIMA'!J47)</f>
        <v>0.2857142857142857</v>
      </c>
      <c r="K47" s="49">
        <f>AVERAGE('25.10 KYENJOJO-HOIMA'!K47,'27.10 KYENJOJO-HOIMA'!K47,'29.10 KYENJOJO-HOIMA'!K47,'30.10 KYENJOJO-HOIMA'!K47,'26.10 KYENJOJO-HOIMA-24h'!K47,'28.10 KYENJOJO-HOIMA-24h'!K47,'31.10 KYENJOJO-HOIMA'!K47)</f>
        <v>0.14285714285714285</v>
      </c>
      <c r="L47" s="49">
        <f>AVERAGE('25.10 KYENJOJO-HOIMA'!L47,'27.10 KYENJOJO-HOIMA'!L47,'29.10 KYENJOJO-HOIMA'!L47,'30.10 KYENJOJO-HOIMA'!L47,'26.10 KYENJOJO-HOIMA-24h'!L47,'28.10 KYENJOJO-HOIMA-24h'!L47,'31.10 KYENJOJO-HOIMA'!L47)</f>
        <v>0.2857142857142857</v>
      </c>
      <c r="M47" s="49">
        <f>AVERAGE('25.10 KYENJOJO-HOIMA'!M47,'27.10 KYENJOJO-HOIMA'!M47,'29.10 KYENJOJO-HOIMA'!M47,'30.10 KYENJOJO-HOIMA'!M47,'26.10 KYENJOJO-HOIMA-24h'!M47,'28.10 KYENJOJO-HOIMA-24h'!M47,'31.10 KYENJOJO-HOIMA'!M47)</f>
        <v>36.285714285714285</v>
      </c>
      <c r="N47" s="49">
        <f>AVERAGE('25.10 KYENJOJO-HOIMA'!N47,'27.10 KYENJOJO-HOIMA'!N47,'29.10 KYENJOJO-HOIMA'!N47,'30.10 KYENJOJO-HOIMA'!N47,'26.10 KYENJOJO-HOIMA-24h'!N47,'28.10 KYENJOJO-HOIMA-24h'!N47,'31.10 KYENJOJO-HOIMA'!N47)</f>
        <v>0</v>
      </c>
      <c r="O47" s="15">
        <f t="shared" si="0"/>
        <v>11.285714285714286</v>
      </c>
      <c r="P47" s="15">
        <f t="shared" si="1"/>
        <v>47.571428571428569</v>
      </c>
      <c r="R47" s="8"/>
      <c r="T47"/>
    </row>
    <row r="48" spans="2:32" ht="23.1" customHeight="1" x14ac:dyDescent="0.25">
      <c r="B48" s="24" t="s">
        <v>75</v>
      </c>
      <c r="C48" s="49">
        <f>AVERAGE('25.10 KYENJOJO-HOIMA'!C48,'27.10 KYENJOJO-HOIMA'!C48,'29.10 KYENJOJO-HOIMA'!C48,'30.10 KYENJOJO-HOIMA'!C48,'26.10 KYENJOJO-HOIMA-24h'!C48,'28.10 KYENJOJO-HOIMA-24h'!C48,'31.10 KYENJOJO-HOIMA'!C48)</f>
        <v>5.2857142857142856</v>
      </c>
      <c r="D48" s="49">
        <f>AVERAGE('25.10 KYENJOJO-HOIMA'!D48,'27.10 KYENJOJO-HOIMA'!D48,'29.10 KYENJOJO-HOIMA'!D48,'30.10 KYENJOJO-HOIMA'!D48,'26.10 KYENJOJO-HOIMA-24h'!D48,'28.10 KYENJOJO-HOIMA-24h'!D48,'31.10 KYENJOJO-HOIMA'!D48)</f>
        <v>0.42857142857142855</v>
      </c>
      <c r="E48" s="49">
        <f>AVERAGE('25.10 KYENJOJO-HOIMA'!E48,'27.10 KYENJOJO-HOIMA'!E48,'29.10 KYENJOJO-HOIMA'!E48,'30.10 KYENJOJO-HOIMA'!E48,'26.10 KYENJOJO-HOIMA-24h'!E48,'28.10 KYENJOJO-HOIMA-24h'!E48,'31.10 KYENJOJO-HOIMA'!E48)</f>
        <v>1.2857142857142858</v>
      </c>
      <c r="F48" s="49">
        <f>AVERAGE('25.10 KYENJOJO-HOIMA'!F48,'27.10 KYENJOJO-HOIMA'!F48,'29.10 KYENJOJO-HOIMA'!F48,'30.10 KYENJOJO-HOIMA'!F48,'26.10 KYENJOJO-HOIMA-24h'!F48,'28.10 KYENJOJO-HOIMA-24h'!F48,'31.10 KYENJOJO-HOIMA'!F48)</f>
        <v>0.5714285714285714</v>
      </c>
      <c r="G48" s="49">
        <f>AVERAGE('25.10 KYENJOJO-HOIMA'!G48,'27.10 KYENJOJO-HOIMA'!G48,'29.10 KYENJOJO-HOIMA'!G48,'30.10 KYENJOJO-HOIMA'!G48,'26.10 KYENJOJO-HOIMA-24h'!G48,'28.10 KYENJOJO-HOIMA-24h'!G48,'31.10 KYENJOJO-HOIMA'!G48)</f>
        <v>0</v>
      </c>
      <c r="H48" s="49">
        <f>AVERAGE('25.10 KYENJOJO-HOIMA'!H48,'27.10 KYENJOJO-HOIMA'!H48,'29.10 KYENJOJO-HOIMA'!H48,'30.10 KYENJOJO-HOIMA'!H48,'26.10 KYENJOJO-HOIMA-24h'!H48,'28.10 KYENJOJO-HOIMA-24h'!H48,'31.10 KYENJOJO-HOIMA'!H48)</f>
        <v>0</v>
      </c>
      <c r="I48" s="49">
        <f>AVERAGE('25.10 KYENJOJO-HOIMA'!I48,'27.10 KYENJOJO-HOIMA'!I48,'29.10 KYENJOJO-HOIMA'!I48,'30.10 KYENJOJO-HOIMA'!I48,'26.10 KYENJOJO-HOIMA-24h'!I48,'28.10 KYENJOJO-HOIMA-24h'!I48,'31.10 KYENJOJO-HOIMA'!I48)</f>
        <v>0.8571428571428571</v>
      </c>
      <c r="J48" s="49">
        <f>AVERAGE('25.10 KYENJOJO-HOIMA'!J48,'27.10 KYENJOJO-HOIMA'!J48,'29.10 KYENJOJO-HOIMA'!J48,'30.10 KYENJOJO-HOIMA'!J48,'26.10 KYENJOJO-HOIMA-24h'!J48,'28.10 KYENJOJO-HOIMA-24h'!J48,'31.10 KYENJOJO-HOIMA'!J48)</f>
        <v>0.14285714285714285</v>
      </c>
      <c r="K48" s="49">
        <f>AVERAGE('25.10 KYENJOJO-HOIMA'!K48,'27.10 KYENJOJO-HOIMA'!K48,'29.10 KYENJOJO-HOIMA'!K48,'30.10 KYENJOJO-HOIMA'!K48,'26.10 KYENJOJO-HOIMA-24h'!K48,'28.10 KYENJOJO-HOIMA-24h'!K48,'31.10 KYENJOJO-HOIMA'!K48)</f>
        <v>0.42857142857142855</v>
      </c>
      <c r="L48" s="49">
        <f>AVERAGE('25.10 KYENJOJO-HOIMA'!L48,'27.10 KYENJOJO-HOIMA'!L48,'29.10 KYENJOJO-HOIMA'!L48,'30.10 KYENJOJO-HOIMA'!L48,'26.10 KYENJOJO-HOIMA-24h'!L48,'28.10 KYENJOJO-HOIMA-24h'!L48,'31.10 KYENJOJO-HOIMA'!L48)</f>
        <v>0</v>
      </c>
      <c r="M48" s="49">
        <f>AVERAGE('25.10 KYENJOJO-HOIMA'!M48,'27.10 KYENJOJO-HOIMA'!M48,'29.10 KYENJOJO-HOIMA'!M48,'30.10 KYENJOJO-HOIMA'!M48,'26.10 KYENJOJO-HOIMA-24h'!M48,'28.10 KYENJOJO-HOIMA-24h'!M48,'31.10 KYENJOJO-HOIMA'!M48)</f>
        <v>35.714285714285715</v>
      </c>
      <c r="N48" s="49">
        <f>AVERAGE('25.10 KYENJOJO-HOIMA'!N48,'27.10 KYENJOJO-HOIMA'!N48,'29.10 KYENJOJO-HOIMA'!N48,'30.10 KYENJOJO-HOIMA'!N48,'26.10 KYENJOJO-HOIMA-24h'!N48,'28.10 KYENJOJO-HOIMA-24h'!N48,'31.10 KYENJOJO-HOIMA'!N48)</f>
        <v>0</v>
      </c>
      <c r="O48" s="15">
        <f t="shared" si="0"/>
        <v>9</v>
      </c>
      <c r="P48" s="15">
        <f t="shared" si="1"/>
        <v>44.714285714285715</v>
      </c>
      <c r="R48" s="8"/>
      <c r="T48"/>
    </row>
    <row r="49" spans="2:20" ht="23.1" customHeight="1" x14ac:dyDescent="0.25">
      <c r="B49" s="23" t="s">
        <v>76</v>
      </c>
      <c r="C49" s="49">
        <f>AVERAGE('25.10 KYENJOJO-HOIMA'!C49,'27.10 KYENJOJO-HOIMA'!C49,'29.10 KYENJOJO-HOIMA'!C49,'30.10 KYENJOJO-HOIMA'!C49,'26.10 KYENJOJO-HOIMA-24h'!C49,'28.10 KYENJOJO-HOIMA-24h'!C49,'31.10 KYENJOJO-HOIMA'!C49)</f>
        <v>8.1428571428571423</v>
      </c>
      <c r="D49" s="49">
        <f>AVERAGE('25.10 KYENJOJO-HOIMA'!D49,'27.10 KYENJOJO-HOIMA'!D49,'29.10 KYENJOJO-HOIMA'!D49,'30.10 KYENJOJO-HOIMA'!D49,'26.10 KYENJOJO-HOIMA-24h'!D49,'28.10 KYENJOJO-HOIMA-24h'!D49,'31.10 KYENJOJO-HOIMA'!D49)</f>
        <v>0.2857142857142857</v>
      </c>
      <c r="E49" s="49">
        <f>AVERAGE('25.10 KYENJOJO-HOIMA'!E49,'27.10 KYENJOJO-HOIMA'!E49,'29.10 KYENJOJO-HOIMA'!E49,'30.10 KYENJOJO-HOIMA'!E49,'26.10 KYENJOJO-HOIMA-24h'!E49,'28.10 KYENJOJO-HOIMA-24h'!E49,'31.10 KYENJOJO-HOIMA'!E49)</f>
        <v>1.1428571428571428</v>
      </c>
      <c r="F49" s="49">
        <f>AVERAGE('25.10 KYENJOJO-HOIMA'!F49,'27.10 KYENJOJO-HOIMA'!F49,'29.10 KYENJOJO-HOIMA'!F49,'30.10 KYENJOJO-HOIMA'!F49,'26.10 KYENJOJO-HOIMA-24h'!F49,'28.10 KYENJOJO-HOIMA-24h'!F49,'31.10 KYENJOJO-HOIMA'!F49)</f>
        <v>1.4285714285714286</v>
      </c>
      <c r="G49" s="49">
        <f>AVERAGE('25.10 KYENJOJO-HOIMA'!G49,'27.10 KYENJOJO-HOIMA'!G49,'29.10 KYENJOJO-HOIMA'!G49,'30.10 KYENJOJO-HOIMA'!G49,'26.10 KYENJOJO-HOIMA-24h'!G49,'28.10 KYENJOJO-HOIMA-24h'!G49,'31.10 KYENJOJO-HOIMA'!G49)</f>
        <v>0.2857142857142857</v>
      </c>
      <c r="H49" s="49">
        <f>AVERAGE('25.10 KYENJOJO-HOIMA'!H49,'27.10 KYENJOJO-HOIMA'!H49,'29.10 KYENJOJO-HOIMA'!H49,'30.10 KYENJOJO-HOIMA'!H49,'26.10 KYENJOJO-HOIMA-24h'!H49,'28.10 KYENJOJO-HOIMA-24h'!H49,'31.10 KYENJOJO-HOIMA'!H49)</f>
        <v>0</v>
      </c>
      <c r="I49" s="49">
        <f>AVERAGE('25.10 KYENJOJO-HOIMA'!I49,'27.10 KYENJOJO-HOIMA'!I49,'29.10 KYENJOJO-HOIMA'!I49,'30.10 KYENJOJO-HOIMA'!I49,'26.10 KYENJOJO-HOIMA-24h'!I49,'28.10 KYENJOJO-HOIMA-24h'!I49,'31.10 KYENJOJO-HOIMA'!I49)</f>
        <v>0.7142857142857143</v>
      </c>
      <c r="J49" s="49">
        <f>AVERAGE('25.10 KYENJOJO-HOIMA'!J49,'27.10 KYENJOJO-HOIMA'!J49,'29.10 KYENJOJO-HOIMA'!J49,'30.10 KYENJOJO-HOIMA'!J49,'26.10 KYENJOJO-HOIMA-24h'!J49,'28.10 KYENJOJO-HOIMA-24h'!J49,'31.10 KYENJOJO-HOIMA'!J49)</f>
        <v>0.5714285714285714</v>
      </c>
      <c r="K49" s="49">
        <f>AVERAGE('25.10 KYENJOJO-HOIMA'!K49,'27.10 KYENJOJO-HOIMA'!K49,'29.10 KYENJOJO-HOIMA'!K49,'30.10 KYENJOJO-HOIMA'!K49,'26.10 KYENJOJO-HOIMA-24h'!K49,'28.10 KYENJOJO-HOIMA-24h'!K49,'31.10 KYENJOJO-HOIMA'!K49)</f>
        <v>0</v>
      </c>
      <c r="L49" s="49">
        <f>AVERAGE('25.10 KYENJOJO-HOIMA'!L49,'27.10 KYENJOJO-HOIMA'!L49,'29.10 KYENJOJO-HOIMA'!L49,'30.10 KYENJOJO-HOIMA'!L49,'26.10 KYENJOJO-HOIMA-24h'!L49,'28.10 KYENJOJO-HOIMA-24h'!L49,'31.10 KYENJOJO-HOIMA'!L49)</f>
        <v>0.14285714285714285</v>
      </c>
      <c r="M49" s="49">
        <f>AVERAGE('25.10 KYENJOJO-HOIMA'!M49,'27.10 KYENJOJO-HOIMA'!M49,'29.10 KYENJOJO-HOIMA'!M49,'30.10 KYENJOJO-HOIMA'!M49,'26.10 KYENJOJO-HOIMA-24h'!M49,'28.10 KYENJOJO-HOIMA-24h'!M49,'31.10 KYENJOJO-HOIMA'!M49)</f>
        <v>39</v>
      </c>
      <c r="N49" s="49">
        <f>AVERAGE('25.10 KYENJOJO-HOIMA'!N49,'27.10 KYENJOJO-HOIMA'!N49,'29.10 KYENJOJO-HOIMA'!N49,'30.10 KYENJOJO-HOIMA'!N49,'26.10 KYENJOJO-HOIMA-24h'!N49,'28.10 KYENJOJO-HOIMA-24h'!N49,'31.10 KYENJOJO-HOIMA'!N49)</f>
        <v>0</v>
      </c>
      <c r="O49" s="15">
        <f t="shared" si="0"/>
        <v>12.714285714285714</v>
      </c>
      <c r="P49" s="15">
        <f t="shared" si="1"/>
        <v>51.714285714285715</v>
      </c>
      <c r="R49" s="8"/>
      <c r="T49"/>
    </row>
    <row r="50" spans="2:20" ht="23.1" customHeight="1" x14ac:dyDescent="0.25">
      <c r="B50" s="24" t="s">
        <v>77</v>
      </c>
      <c r="C50" s="49">
        <f>AVERAGE('25.10 KYENJOJO-HOIMA'!C50,'27.10 KYENJOJO-HOIMA'!C50,'29.10 KYENJOJO-HOIMA'!C50,'30.10 KYENJOJO-HOIMA'!C50,'26.10 KYENJOJO-HOIMA-24h'!C50,'28.10 KYENJOJO-HOIMA-24h'!C50,'31.10 KYENJOJO-HOIMA'!C50)</f>
        <v>7.1428571428571432</v>
      </c>
      <c r="D50" s="49">
        <f>AVERAGE('25.10 KYENJOJO-HOIMA'!D50,'27.10 KYENJOJO-HOIMA'!D50,'29.10 KYENJOJO-HOIMA'!D50,'30.10 KYENJOJO-HOIMA'!D50,'26.10 KYENJOJO-HOIMA-24h'!D50,'28.10 KYENJOJO-HOIMA-24h'!D50,'31.10 KYENJOJO-HOIMA'!D50)</f>
        <v>0.8571428571428571</v>
      </c>
      <c r="E50" s="49">
        <f>AVERAGE('25.10 KYENJOJO-HOIMA'!E50,'27.10 KYENJOJO-HOIMA'!E50,'29.10 KYENJOJO-HOIMA'!E50,'30.10 KYENJOJO-HOIMA'!E50,'26.10 KYENJOJO-HOIMA-24h'!E50,'28.10 KYENJOJO-HOIMA-24h'!E50,'31.10 KYENJOJO-HOIMA'!E50)</f>
        <v>0.2857142857142857</v>
      </c>
      <c r="F50" s="49">
        <f>AVERAGE('25.10 KYENJOJO-HOIMA'!F50,'27.10 KYENJOJO-HOIMA'!F50,'29.10 KYENJOJO-HOIMA'!F50,'30.10 KYENJOJO-HOIMA'!F50,'26.10 KYENJOJO-HOIMA-24h'!F50,'28.10 KYENJOJO-HOIMA-24h'!F50,'31.10 KYENJOJO-HOIMA'!F50)</f>
        <v>0.42857142857142855</v>
      </c>
      <c r="G50" s="49">
        <f>AVERAGE('25.10 KYENJOJO-HOIMA'!G50,'27.10 KYENJOJO-HOIMA'!G50,'29.10 KYENJOJO-HOIMA'!G50,'30.10 KYENJOJO-HOIMA'!G50,'26.10 KYENJOJO-HOIMA-24h'!G50,'28.10 KYENJOJO-HOIMA-24h'!G50,'31.10 KYENJOJO-HOIMA'!G50)</f>
        <v>0</v>
      </c>
      <c r="H50" s="49">
        <f>AVERAGE('25.10 KYENJOJO-HOIMA'!H50,'27.10 KYENJOJO-HOIMA'!H50,'29.10 KYENJOJO-HOIMA'!H50,'30.10 KYENJOJO-HOIMA'!H50,'26.10 KYENJOJO-HOIMA-24h'!H50,'28.10 KYENJOJO-HOIMA-24h'!H50,'31.10 KYENJOJO-HOIMA'!H50)</f>
        <v>0.14285714285714285</v>
      </c>
      <c r="I50" s="49">
        <f>AVERAGE('25.10 KYENJOJO-HOIMA'!I50,'27.10 KYENJOJO-HOIMA'!I50,'29.10 KYENJOJO-HOIMA'!I50,'30.10 KYENJOJO-HOIMA'!I50,'26.10 KYENJOJO-HOIMA-24h'!I50,'28.10 KYENJOJO-HOIMA-24h'!I50,'31.10 KYENJOJO-HOIMA'!I50)</f>
        <v>1.1428571428571428</v>
      </c>
      <c r="J50" s="49">
        <f>AVERAGE('25.10 KYENJOJO-HOIMA'!J50,'27.10 KYENJOJO-HOIMA'!J50,'29.10 KYENJOJO-HOIMA'!J50,'30.10 KYENJOJO-HOIMA'!J50,'26.10 KYENJOJO-HOIMA-24h'!J50,'28.10 KYENJOJO-HOIMA-24h'!J50,'31.10 KYENJOJO-HOIMA'!J50)</f>
        <v>0.5714285714285714</v>
      </c>
      <c r="K50" s="49">
        <f>AVERAGE('25.10 KYENJOJO-HOIMA'!K50,'27.10 KYENJOJO-HOIMA'!K50,'29.10 KYENJOJO-HOIMA'!K50,'30.10 KYENJOJO-HOIMA'!K50,'26.10 KYENJOJO-HOIMA-24h'!K50,'28.10 KYENJOJO-HOIMA-24h'!K50,'31.10 KYENJOJO-HOIMA'!K50)</f>
        <v>0.14285714285714285</v>
      </c>
      <c r="L50" s="49">
        <f>AVERAGE('25.10 KYENJOJO-HOIMA'!L50,'27.10 KYENJOJO-HOIMA'!L50,'29.10 KYENJOJO-HOIMA'!L50,'30.10 KYENJOJO-HOIMA'!L50,'26.10 KYENJOJO-HOIMA-24h'!L50,'28.10 KYENJOJO-HOIMA-24h'!L50,'31.10 KYENJOJO-HOIMA'!L50)</f>
        <v>0.14285714285714285</v>
      </c>
      <c r="M50" s="49">
        <f>AVERAGE('25.10 KYENJOJO-HOIMA'!M50,'27.10 KYENJOJO-HOIMA'!M50,'29.10 KYENJOJO-HOIMA'!M50,'30.10 KYENJOJO-HOIMA'!M50,'26.10 KYENJOJO-HOIMA-24h'!M50,'28.10 KYENJOJO-HOIMA-24h'!M50,'31.10 KYENJOJO-HOIMA'!M50)</f>
        <v>36.428571428571431</v>
      </c>
      <c r="N50" s="49">
        <f>AVERAGE('25.10 KYENJOJO-HOIMA'!N50,'27.10 KYENJOJO-HOIMA'!N50,'29.10 KYENJOJO-HOIMA'!N50,'30.10 KYENJOJO-HOIMA'!N50,'26.10 KYENJOJO-HOIMA-24h'!N50,'28.10 KYENJOJO-HOIMA-24h'!N50,'31.10 KYENJOJO-HOIMA'!N50)</f>
        <v>0</v>
      </c>
      <c r="O50" s="15">
        <f t="shared" si="0"/>
        <v>10.857142857142856</v>
      </c>
      <c r="P50" s="15">
        <f t="shared" si="1"/>
        <v>47.285714285714285</v>
      </c>
      <c r="R50" s="8"/>
      <c r="T50"/>
    </row>
    <row r="51" spans="2:20" ht="23.1" customHeight="1" x14ac:dyDescent="0.25">
      <c r="B51" s="24" t="s">
        <v>78</v>
      </c>
      <c r="C51" s="49">
        <f>AVERAGE('25.10 KYENJOJO-HOIMA'!C51,'27.10 KYENJOJO-HOIMA'!C51,'29.10 KYENJOJO-HOIMA'!C51,'30.10 KYENJOJO-HOIMA'!C51,'26.10 KYENJOJO-HOIMA-24h'!C51,'28.10 KYENJOJO-HOIMA-24h'!C51,'31.10 KYENJOJO-HOIMA'!C51)</f>
        <v>6</v>
      </c>
      <c r="D51" s="49">
        <f>AVERAGE('25.10 KYENJOJO-HOIMA'!D51,'27.10 KYENJOJO-HOIMA'!D51,'29.10 KYENJOJO-HOIMA'!D51,'30.10 KYENJOJO-HOIMA'!D51,'26.10 KYENJOJO-HOIMA-24h'!D51,'28.10 KYENJOJO-HOIMA-24h'!D51,'31.10 KYENJOJO-HOIMA'!D51)</f>
        <v>1.2857142857142858</v>
      </c>
      <c r="E51" s="49">
        <f>AVERAGE('25.10 KYENJOJO-HOIMA'!E51,'27.10 KYENJOJO-HOIMA'!E51,'29.10 KYENJOJO-HOIMA'!E51,'30.10 KYENJOJO-HOIMA'!E51,'26.10 KYENJOJO-HOIMA-24h'!E51,'28.10 KYENJOJO-HOIMA-24h'!E51,'31.10 KYENJOJO-HOIMA'!E51)</f>
        <v>2.5714285714285716</v>
      </c>
      <c r="F51" s="49">
        <f>AVERAGE('25.10 KYENJOJO-HOIMA'!F51,'27.10 KYENJOJO-HOIMA'!F51,'29.10 KYENJOJO-HOIMA'!F51,'30.10 KYENJOJO-HOIMA'!F51,'26.10 KYENJOJO-HOIMA-24h'!F51,'28.10 KYENJOJO-HOIMA-24h'!F51,'31.10 KYENJOJO-HOIMA'!F51)</f>
        <v>0.7142857142857143</v>
      </c>
      <c r="G51" s="49">
        <f>AVERAGE('25.10 KYENJOJO-HOIMA'!G51,'27.10 KYENJOJO-HOIMA'!G51,'29.10 KYENJOJO-HOIMA'!G51,'30.10 KYENJOJO-HOIMA'!G51,'26.10 KYENJOJO-HOIMA-24h'!G51,'28.10 KYENJOJO-HOIMA-24h'!G51,'31.10 KYENJOJO-HOIMA'!G51)</f>
        <v>0</v>
      </c>
      <c r="H51" s="49">
        <f>AVERAGE('25.10 KYENJOJO-HOIMA'!H51,'27.10 KYENJOJO-HOIMA'!H51,'29.10 KYENJOJO-HOIMA'!H51,'30.10 KYENJOJO-HOIMA'!H51,'26.10 KYENJOJO-HOIMA-24h'!H51,'28.10 KYENJOJO-HOIMA-24h'!H51,'31.10 KYENJOJO-HOIMA'!H51)</f>
        <v>0</v>
      </c>
      <c r="I51" s="49">
        <f>AVERAGE('25.10 KYENJOJO-HOIMA'!I51,'27.10 KYENJOJO-HOIMA'!I51,'29.10 KYENJOJO-HOIMA'!I51,'30.10 KYENJOJO-HOIMA'!I51,'26.10 KYENJOJO-HOIMA-24h'!I51,'28.10 KYENJOJO-HOIMA-24h'!I51,'31.10 KYENJOJO-HOIMA'!I51)</f>
        <v>1</v>
      </c>
      <c r="J51" s="49">
        <f>AVERAGE('25.10 KYENJOJO-HOIMA'!J51,'27.10 KYENJOJO-HOIMA'!J51,'29.10 KYENJOJO-HOIMA'!J51,'30.10 KYENJOJO-HOIMA'!J51,'26.10 KYENJOJO-HOIMA-24h'!J51,'28.10 KYENJOJO-HOIMA-24h'!J51,'31.10 KYENJOJO-HOIMA'!J51)</f>
        <v>0.7142857142857143</v>
      </c>
      <c r="K51" s="49">
        <f>AVERAGE('25.10 KYENJOJO-HOIMA'!K51,'27.10 KYENJOJO-HOIMA'!K51,'29.10 KYENJOJO-HOIMA'!K51,'30.10 KYENJOJO-HOIMA'!K51,'26.10 KYENJOJO-HOIMA-24h'!K51,'28.10 KYENJOJO-HOIMA-24h'!K51,'31.10 KYENJOJO-HOIMA'!K51)</f>
        <v>0.42857142857142855</v>
      </c>
      <c r="L51" s="49">
        <f>AVERAGE('25.10 KYENJOJO-HOIMA'!L51,'27.10 KYENJOJO-HOIMA'!L51,'29.10 KYENJOJO-HOIMA'!L51,'30.10 KYENJOJO-HOIMA'!L51,'26.10 KYENJOJO-HOIMA-24h'!L51,'28.10 KYENJOJO-HOIMA-24h'!L51,'31.10 KYENJOJO-HOIMA'!L51)</f>
        <v>0.14285714285714285</v>
      </c>
      <c r="M51" s="49">
        <f>AVERAGE('25.10 KYENJOJO-HOIMA'!M51,'27.10 KYENJOJO-HOIMA'!M51,'29.10 KYENJOJO-HOIMA'!M51,'30.10 KYENJOJO-HOIMA'!M51,'26.10 KYENJOJO-HOIMA-24h'!M51,'28.10 KYENJOJO-HOIMA-24h'!M51,'31.10 KYENJOJO-HOIMA'!M51)</f>
        <v>38.857142857142854</v>
      </c>
      <c r="N51" s="49">
        <f>AVERAGE('25.10 KYENJOJO-HOIMA'!N51,'27.10 KYENJOJO-HOIMA'!N51,'29.10 KYENJOJO-HOIMA'!N51,'30.10 KYENJOJO-HOIMA'!N51,'26.10 KYENJOJO-HOIMA-24h'!N51,'28.10 KYENJOJO-HOIMA-24h'!N51,'31.10 KYENJOJO-HOIMA'!N51)</f>
        <v>0</v>
      </c>
      <c r="O51" s="15">
        <f t="shared" si="0"/>
        <v>12.857142857142856</v>
      </c>
      <c r="P51" s="15">
        <f t="shared" si="1"/>
        <v>51.714285714285708</v>
      </c>
      <c r="R51" s="8"/>
      <c r="T51"/>
    </row>
    <row r="52" spans="2:20" ht="23.1" customHeight="1" x14ac:dyDescent="0.25">
      <c r="B52" s="24" t="s">
        <v>79</v>
      </c>
      <c r="C52" s="49">
        <f>AVERAGE('25.10 KYENJOJO-HOIMA'!C52,'27.10 KYENJOJO-HOIMA'!C52,'29.10 KYENJOJO-HOIMA'!C52,'30.10 KYENJOJO-HOIMA'!C52,'26.10 KYENJOJO-HOIMA-24h'!C52,'28.10 KYENJOJO-HOIMA-24h'!C52,'31.10 KYENJOJO-HOIMA'!C52)</f>
        <v>8.4285714285714288</v>
      </c>
      <c r="D52" s="49">
        <f>AVERAGE('25.10 KYENJOJO-HOIMA'!D52,'27.10 KYENJOJO-HOIMA'!D52,'29.10 KYENJOJO-HOIMA'!D52,'30.10 KYENJOJO-HOIMA'!D52,'26.10 KYENJOJO-HOIMA-24h'!D52,'28.10 KYENJOJO-HOIMA-24h'!D52,'31.10 KYENJOJO-HOIMA'!D52)</f>
        <v>0.42857142857142855</v>
      </c>
      <c r="E52" s="49">
        <f>AVERAGE('25.10 KYENJOJO-HOIMA'!E52,'27.10 KYENJOJO-HOIMA'!E52,'29.10 KYENJOJO-HOIMA'!E52,'30.10 KYENJOJO-HOIMA'!E52,'26.10 KYENJOJO-HOIMA-24h'!E52,'28.10 KYENJOJO-HOIMA-24h'!E52,'31.10 KYENJOJO-HOIMA'!E52)</f>
        <v>1.8571428571428572</v>
      </c>
      <c r="F52" s="49">
        <f>AVERAGE('25.10 KYENJOJO-HOIMA'!F52,'27.10 KYENJOJO-HOIMA'!F52,'29.10 KYENJOJO-HOIMA'!F52,'30.10 KYENJOJO-HOIMA'!F52,'26.10 KYENJOJO-HOIMA-24h'!F52,'28.10 KYENJOJO-HOIMA-24h'!F52,'31.10 KYENJOJO-HOIMA'!F52)</f>
        <v>0</v>
      </c>
      <c r="G52" s="49">
        <f>AVERAGE('25.10 KYENJOJO-HOIMA'!G52,'27.10 KYENJOJO-HOIMA'!G52,'29.10 KYENJOJO-HOIMA'!G52,'30.10 KYENJOJO-HOIMA'!G52,'26.10 KYENJOJO-HOIMA-24h'!G52,'28.10 KYENJOJO-HOIMA-24h'!G52,'31.10 KYENJOJO-HOIMA'!G52)</f>
        <v>0.14285714285714285</v>
      </c>
      <c r="H52" s="49">
        <f>AVERAGE('25.10 KYENJOJO-HOIMA'!H52,'27.10 KYENJOJO-HOIMA'!H52,'29.10 KYENJOJO-HOIMA'!H52,'30.10 KYENJOJO-HOIMA'!H52,'26.10 KYENJOJO-HOIMA-24h'!H52,'28.10 KYENJOJO-HOIMA-24h'!H52,'31.10 KYENJOJO-HOIMA'!H52)</f>
        <v>0</v>
      </c>
      <c r="I52" s="49">
        <f>AVERAGE('25.10 KYENJOJO-HOIMA'!I52,'27.10 KYENJOJO-HOIMA'!I52,'29.10 KYENJOJO-HOIMA'!I52,'30.10 KYENJOJO-HOIMA'!I52,'26.10 KYENJOJO-HOIMA-24h'!I52,'28.10 KYENJOJO-HOIMA-24h'!I52,'31.10 KYENJOJO-HOIMA'!I52)</f>
        <v>0.42857142857142855</v>
      </c>
      <c r="J52" s="49">
        <f>AVERAGE('25.10 KYENJOJO-HOIMA'!J52,'27.10 KYENJOJO-HOIMA'!J52,'29.10 KYENJOJO-HOIMA'!J52,'30.10 KYENJOJO-HOIMA'!J52,'26.10 KYENJOJO-HOIMA-24h'!J52,'28.10 KYENJOJO-HOIMA-24h'!J52,'31.10 KYENJOJO-HOIMA'!J52)</f>
        <v>1</v>
      </c>
      <c r="K52" s="49">
        <f>AVERAGE('25.10 KYENJOJO-HOIMA'!K52,'27.10 KYENJOJO-HOIMA'!K52,'29.10 KYENJOJO-HOIMA'!K52,'30.10 KYENJOJO-HOIMA'!K52,'26.10 KYENJOJO-HOIMA-24h'!K52,'28.10 KYENJOJO-HOIMA-24h'!K52,'31.10 KYENJOJO-HOIMA'!K52)</f>
        <v>0</v>
      </c>
      <c r="L52" s="49">
        <f>AVERAGE('25.10 KYENJOJO-HOIMA'!L52,'27.10 KYENJOJO-HOIMA'!L52,'29.10 KYENJOJO-HOIMA'!L52,'30.10 KYENJOJO-HOIMA'!L52,'26.10 KYENJOJO-HOIMA-24h'!L52,'28.10 KYENJOJO-HOIMA-24h'!L52,'31.10 KYENJOJO-HOIMA'!L52)</f>
        <v>0.14285714285714285</v>
      </c>
      <c r="M52" s="49">
        <f>AVERAGE('25.10 KYENJOJO-HOIMA'!M52,'27.10 KYENJOJO-HOIMA'!M52,'29.10 KYENJOJO-HOIMA'!M52,'30.10 KYENJOJO-HOIMA'!M52,'26.10 KYENJOJO-HOIMA-24h'!M52,'28.10 KYENJOJO-HOIMA-24h'!M52,'31.10 KYENJOJO-HOIMA'!M52)</f>
        <v>36.428571428571431</v>
      </c>
      <c r="N52" s="49">
        <f>AVERAGE('25.10 KYENJOJO-HOIMA'!N52,'27.10 KYENJOJO-HOIMA'!N52,'29.10 KYENJOJO-HOIMA'!N52,'30.10 KYENJOJO-HOIMA'!N52,'26.10 KYENJOJO-HOIMA-24h'!N52,'28.10 KYENJOJO-HOIMA-24h'!N52,'31.10 KYENJOJO-HOIMA'!N52)</f>
        <v>0</v>
      </c>
      <c r="O52" s="15">
        <f t="shared" si="0"/>
        <v>12.428571428571429</v>
      </c>
      <c r="P52" s="15">
        <f t="shared" si="1"/>
        <v>48.857142857142861</v>
      </c>
      <c r="R52" s="8"/>
      <c r="T52"/>
    </row>
    <row r="53" spans="2:20" ht="23.1" customHeight="1" x14ac:dyDescent="0.25">
      <c r="B53" s="23" t="s">
        <v>80</v>
      </c>
      <c r="C53" s="49">
        <f>AVERAGE('25.10 KYENJOJO-HOIMA'!C53,'27.10 KYENJOJO-HOIMA'!C53,'29.10 KYENJOJO-HOIMA'!C53,'30.10 KYENJOJO-HOIMA'!C53,'26.10 KYENJOJO-HOIMA-24h'!C53,'28.10 KYENJOJO-HOIMA-24h'!C53,'31.10 KYENJOJO-HOIMA'!C53)</f>
        <v>9</v>
      </c>
      <c r="D53" s="49">
        <f>AVERAGE('25.10 KYENJOJO-HOIMA'!D53,'27.10 KYENJOJO-HOIMA'!D53,'29.10 KYENJOJO-HOIMA'!D53,'30.10 KYENJOJO-HOIMA'!D53,'26.10 KYENJOJO-HOIMA-24h'!D53,'28.10 KYENJOJO-HOIMA-24h'!D53,'31.10 KYENJOJO-HOIMA'!D53)</f>
        <v>0.7142857142857143</v>
      </c>
      <c r="E53" s="49">
        <f>AVERAGE('25.10 KYENJOJO-HOIMA'!E53,'27.10 KYENJOJO-HOIMA'!E53,'29.10 KYENJOJO-HOIMA'!E53,'30.10 KYENJOJO-HOIMA'!E53,'26.10 KYENJOJO-HOIMA-24h'!E53,'28.10 KYENJOJO-HOIMA-24h'!E53,'31.10 KYENJOJO-HOIMA'!E53)</f>
        <v>2.2857142857142856</v>
      </c>
      <c r="F53" s="49">
        <f>AVERAGE('25.10 KYENJOJO-HOIMA'!F53,'27.10 KYENJOJO-HOIMA'!F53,'29.10 KYENJOJO-HOIMA'!F53,'30.10 KYENJOJO-HOIMA'!F53,'26.10 KYENJOJO-HOIMA-24h'!F53,'28.10 KYENJOJO-HOIMA-24h'!F53,'31.10 KYENJOJO-HOIMA'!F53)</f>
        <v>0.2857142857142857</v>
      </c>
      <c r="G53" s="49">
        <f>AVERAGE('25.10 KYENJOJO-HOIMA'!G53,'27.10 KYENJOJO-HOIMA'!G53,'29.10 KYENJOJO-HOIMA'!G53,'30.10 KYENJOJO-HOIMA'!G53,'26.10 KYENJOJO-HOIMA-24h'!G53,'28.10 KYENJOJO-HOIMA-24h'!G53,'31.10 KYENJOJO-HOIMA'!G53)</f>
        <v>0</v>
      </c>
      <c r="H53" s="49">
        <f>AVERAGE('25.10 KYENJOJO-HOIMA'!H53,'27.10 KYENJOJO-HOIMA'!H53,'29.10 KYENJOJO-HOIMA'!H53,'30.10 KYENJOJO-HOIMA'!H53,'26.10 KYENJOJO-HOIMA-24h'!H53,'28.10 KYENJOJO-HOIMA-24h'!H53,'31.10 KYENJOJO-HOIMA'!H53)</f>
        <v>0</v>
      </c>
      <c r="I53" s="49">
        <f>AVERAGE('25.10 KYENJOJO-HOIMA'!I53,'27.10 KYENJOJO-HOIMA'!I53,'29.10 KYENJOJO-HOIMA'!I53,'30.10 KYENJOJO-HOIMA'!I53,'26.10 KYENJOJO-HOIMA-24h'!I53,'28.10 KYENJOJO-HOIMA-24h'!I53,'31.10 KYENJOJO-HOIMA'!I53)</f>
        <v>1.5714285714285714</v>
      </c>
      <c r="J53" s="49">
        <f>AVERAGE('25.10 KYENJOJO-HOIMA'!J53,'27.10 KYENJOJO-HOIMA'!J53,'29.10 KYENJOJO-HOIMA'!J53,'30.10 KYENJOJO-HOIMA'!J53,'26.10 KYENJOJO-HOIMA-24h'!J53,'28.10 KYENJOJO-HOIMA-24h'!J53,'31.10 KYENJOJO-HOIMA'!J53)</f>
        <v>1</v>
      </c>
      <c r="K53" s="49">
        <f>AVERAGE('25.10 KYENJOJO-HOIMA'!K53,'27.10 KYENJOJO-HOIMA'!K53,'29.10 KYENJOJO-HOIMA'!K53,'30.10 KYENJOJO-HOIMA'!K53,'26.10 KYENJOJO-HOIMA-24h'!K53,'28.10 KYENJOJO-HOIMA-24h'!K53,'31.10 KYENJOJO-HOIMA'!K53)</f>
        <v>0.14285714285714285</v>
      </c>
      <c r="L53" s="49">
        <f>AVERAGE('25.10 KYENJOJO-HOIMA'!L53,'27.10 KYENJOJO-HOIMA'!L53,'29.10 KYENJOJO-HOIMA'!L53,'30.10 KYENJOJO-HOIMA'!L53,'26.10 KYENJOJO-HOIMA-24h'!L53,'28.10 KYENJOJO-HOIMA-24h'!L53,'31.10 KYENJOJO-HOIMA'!L53)</f>
        <v>0.42857142857142855</v>
      </c>
      <c r="M53" s="49">
        <f>AVERAGE('25.10 KYENJOJO-HOIMA'!M53,'27.10 KYENJOJO-HOIMA'!M53,'29.10 KYENJOJO-HOIMA'!M53,'30.10 KYENJOJO-HOIMA'!M53,'26.10 KYENJOJO-HOIMA-24h'!M53,'28.10 KYENJOJO-HOIMA-24h'!M53,'31.10 KYENJOJO-HOIMA'!M53)</f>
        <v>35.428571428571431</v>
      </c>
      <c r="N53" s="49">
        <f>AVERAGE('25.10 KYENJOJO-HOIMA'!N53,'27.10 KYENJOJO-HOIMA'!N53,'29.10 KYENJOJO-HOIMA'!N53,'30.10 KYENJOJO-HOIMA'!N53,'26.10 KYENJOJO-HOIMA-24h'!N53,'28.10 KYENJOJO-HOIMA-24h'!N53,'31.10 KYENJOJO-HOIMA'!N53)</f>
        <v>0</v>
      </c>
      <c r="O53" s="15">
        <f t="shared" si="0"/>
        <v>15.428571428571429</v>
      </c>
      <c r="P53" s="15">
        <f t="shared" si="1"/>
        <v>50.857142857142861</v>
      </c>
      <c r="R53" s="8"/>
      <c r="T53"/>
    </row>
    <row r="54" spans="2:20" ht="23.1" customHeight="1" x14ac:dyDescent="0.25">
      <c r="B54" s="23" t="s">
        <v>81</v>
      </c>
      <c r="C54" s="49">
        <f>AVERAGE('25.10 KYENJOJO-HOIMA'!C54,'27.10 KYENJOJO-HOIMA'!C54,'29.10 KYENJOJO-HOIMA'!C54,'30.10 KYENJOJO-HOIMA'!C54,'26.10 KYENJOJO-HOIMA-24h'!C54,'28.10 KYENJOJO-HOIMA-24h'!C54,'31.10 KYENJOJO-HOIMA'!C54)</f>
        <v>7</v>
      </c>
      <c r="D54" s="49">
        <f>AVERAGE('25.10 KYENJOJO-HOIMA'!D54,'27.10 KYENJOJO-HOIMA'!D54,'29.10 KYENJOJO-HOIMA'!D54,'30.10 KYENJOJO-HOIMA'!D54,'26.10 KYENJOJO-HOIMA-24h'!D54,'28.10 KYENJOJO-HOIMA-24h'!D54,'31.10 KYENJOJO-HOIMA'!D54)</f>
        <v>0.2857142857142857</v>
      </c>
      <c r="E54" s="49">
        <f>AVERAGE('25.10 KYENJOJO-HOIMA'!E54,'27.10 KYENJOJO-HOIMA'!E54,'29.10 KYENJOJO-HOIMA'!E54,'30.10 KYENJOJO-HOIMA'!E54,'26.10 KYENJOJO-HOIMA-24h'!E54,'28.10 KYENJOJO-HOIMA-24h'!E54,'31.10 KYENJOJO-HOIMA'!E54)</f>
        <v>0.8571428571428571</v>
      </c>
      <c r="F54" s="49">
        <f>AVERAGE('25.10 KYENJOJO-HOIMA'!F54,'27.10 KYENJOJO-HOIMA'!F54,'29.10 KYENJOJO-HOIMA'!F54,'30.10 KYENJOJO-HOIMA'!F54,'26.10 KYENJOJO-HOIMA-24h'!F54,'28.10 KYENJOJO-HOIMA-24h'!F54,'31.10 KYENJOJO-HOIMA'!F54)</f>
        <v>1.4285714285714286</v>
      </c>
      <c r="G54" s="49">
        <f>AVERAGE('25.10 KYENJOJO-HOIMA'!G54,'27.10 KYENJOJO-HOIMA'!G54,'29.10 KYENJOJO-HOIMA'!G54,'30.10 KYENJOJO-HOIMA'!G54,'26.10 KYENJOJO-HOIMA-24h'!G54,'28.10 KYENJOJO-HOIMA-24h'!G54,'31.10 KYENJOJO-HOIMA'!G54)</f>
        <v>0</v>
      </c>
      <c r="H54" s="49">
        <f>AVERAGE('25.10 KYENJOJO-HOIMA'!H54,'27.10 KYENJOJO-HOIMA'!H54,'29.10 KYENJOJO-HOIMA'!H54,'30.10 KYENJOJO-HOIMA'!H54,'26.10 KYENJOJO-HOIMA-24h'!H54,'28.10 KYENJOJO-HOIMA-24h'!H54,'31.10 KYENJOJO-HOIMA'!H54)</f>
        <v>0</v>
      </c>
      <c r="I54" s="49">
        <f>AVERAGE('25.10 KYENJOJO-HOIMA'!I54,'27.10 KYENJOJO-HOIMA'!I54,'29.10 KYENJOJO-HOIMA'!I54,'30.10 KYENJOJO-HOIMA'!I54,'26.10 KYENJOJO-HOIMA-24h'!I54,'28.10 KYENJOJO-HOIMA-24h'!I54,'31.10 KYENJOJO-HOIMA'!I54)</f>
        <v>0.5714285714285714</v>
      </c>
      <c r="J54" s="49">
        <f>AVERAGE('25.10 KYENJOJO-HOIMA'!J54,'27.10 KYENJOJO-HOIMA'!J54,'29.10 KYENJOJO-HOIMA'!J54,'30.10 KYENJOJO-HOIMA'!J54,'26.10 KYENJOJO-HOIMA-24h'!J54,'28.10 KYENJOJO-HOIMA-24h'!J54,'31.10 KYENJOJO-HOIMA'!J54)</f>
        <v>0.5714285714285714</v>
      </c>
      <c r="K54" s="49">
        <f>AVERAGE('25.10 KYENJOJO-HOIMA'!K54,'27.10 KYENJOJO-HOIMA'!K54,'29.10 KYENJOJO-HOIMA'!K54,'30.10 KYENJOJO-HOIMA'!K54,'26.10 KYENJOJO-HOIMA-24h'!K54,'28.10 KYENJOJO-HOIMA-24h'!K54,'31.10 KYENJOJO-HOIMA'!K54)</f>
        <v>0</v>
      </c>
      <c r="L54" s="49">
        <f>AVERAGE('25.10 KYENJOJO-HOIMA'!L54,'27.10 KYENJOJO-HOIMA'!L54,'29.10 KYENJOJO-HOIMA'!L54,'30.10 KYENJOJO-HOIMA'!L54,'26.10 KYENJOJO-HOIMA-24h'!L54,'28.10 KYENJOJO-HOIMA-24h'!L54,'31.10 KYENJOJO-HOIMA'!L54)</f>
        <v>0</v>
      </c>
      <c r="M54" s="49">
        <f>AVERAGE('25.10 KYENJOJO-HOIMA'!M54,'27.10 KYENJOJO-HOIMA'!M54,'29.10 KYENJOJO-HOIMA'!M54,'30.10 KYENJOJO-HOIMA'!M54,'26.10 KYENJOJO-HOIMA-24h'!M54,'28.10 KYENJOJO-HOIMA-24h'!M54,'31.10 KYENJOJO-HOIMA'!M54)</f>
        <v>37.428571428571431</v>
      </c>
      <c r="N54" s="49">
        <f>AVERAGE('25.10 KYENJOJO-HOIMA'!N54,'27.10 KYENJOJO-HOIMA'!N54,'29.10 KYENJOJO-HOIMA'!N54,'30.10 KYENJOJO-HOIMA'!N54,'26.10 KYENJOJO-HOIMA-24h'!N54,'28.10 KYENJOJO-HOIMA-24h'!N54,'31.10 KYENJOJO-HOIMA'!N54)</f>
        <v>0</v>
      </c>
      <c r="O54" s="15">
        <f t="shared" si="0"/>
        <v>10.714285714285714</v>
      </c>
      <c r="P54" s="15">
        <f t="shared" si="1"/>
        <v>48.142857142857146</v>
      </c>
      <c r="R54" s="8"/>
      <c r="T54"/>
    </row>
    <row r="55" spans="2:20" ht="23.1" customHeight="1" x14ac:dyDescent="0.25">
      <c r="B55" s="23" t="s">
        <v>82</v>
      </c>
      <c r="C55" s="49">
        <f>AVERAGE('25.10 KYENJOJO-HOIMA'!C55,'27.10 KYENJOJO-HOIMA'!C55,'29.10 KYENJOJO-HOIMA'!C55,'30.10 KYENJOJO-HOIMA'!C55,'26.10 KYENJOJO-HOIMA-24h'!C55,'28.10 KYENJOJO-HOIMA-24h'!C55,'31.10 KYENJOJO-HOIMA'!C55)</f>
        <v>6</v>
      </c>
      <c r="D55" s="49">
        <f>AVERAGE('25.10 KYENJOJO-HOIMA'!D55,'27.10 KYENJOJO-HOIMA'!D55,'29.10 KYENJOJO-HOIMA'!D55,'30.10 KYENJOJO-HOIMA'!D55,'26.10 KYENJOJO-HOIMA-24h'!D55,'28.10 KYENJOJO-HOIMA-24h'!D55,'31.10 KYENJOJO-HOIMA'!D55)</f>
        <v>0.42857142857142855</v>
      </c>
      <c r="E55" s="49">
        <f>AVERAGE('25.10 KYENJOJO-HOIMA'!E55,'27.10 KYENJOJO-HOIMA'!E55,'29.10 KYENJOJO-HOIMA'!E55,'30.10 KYENJOJO-HOIMA'!E55,'26.10 KYENJOJO-HOIMA-24h'!E55,'28.10 KYENJOJO-HOIMA-24h'!E55,'31.10 KYENJOJO-HOIMA'!E55)</f>
        <v>0.8571428571428571</v>
      </c>
      <c r="F55" s="49">
        <f>AVERAGE('25.10 KYENJOJO-HOIMA'!F55,'27.10 KYENJOJO-HOIMA'!F55,'29.10 KYENJOJO-HOIMA'!F55,'30.10 KYENJOJO-HOIMA'!F55,'26.10 KYENJOJO-HOIMA-24h'!F55,'28.10 KYENJOJO-HOIMA-24h'!F55,'31.10 KYENJOJO-HOIMA'!F55)</f>
        <v>0.42857142857142855</v>
      </c>
      <c r="G55" s="49">
        <f>AVERAGE('25.10 KYENJOJO-HOIMA'!G55,'27.10 KYENJOJO-HOIMA'!G55,'29.10 KYENJOJO-HOIMA'!G55,'30.10 KYENJOJO-HOIMA'!G55,'26.10 KYENJOJO-HOIMA-24h'!G55,'28.10 KYENJOJO-HOIMA-24h'!G55,'31.10 KYENJOJO-HOIMA'!G55)</f>
        <v>0</v>
      </c>
      <c r="H55" s="49">
        <f>AVERAGE('25.10 KYENJOJO-HOIMA'!H55,'27.10 KYENJOJO-HOIMA'!H55,'29.10 KYENJOJO-HOIMA'!H55,'30.10 KYENJOJO-HOIMA'!H55,'26.10 KYENJOJO-HOIMA-24h'!H55,'28.10 KYENJOJO-HOIMA-24h'!H55,'31.10 KYENJOJO-HOIMA'!H55)</f>
        <v>0</v>
      </c>
      <c r="I55" s="49">
        <f>AVERAGE('25.10 KYENJOJO-HOIMA'!I55,'27.10 KYENJOJO-HOIMA'!I55,'29.10 KYENJOJO-HOIMA'!I55,'30.10 KYENJOJO-HOIMA'!I55,'26.10 KYENJOJO-HOIMA-24h'!I55,'28.10 KYENJOJO-HOIMA-24h'!I55,'31.10 KYENJOJO-HOIMA'!I55)</f>
        <v>0.5714285714285714</v>
      </c>
      <c r="J55" s="49">
        <f>AVERAGE('25.10 KYENJOJO-HOIMA'!J55,'27.10 KYENJOJO-HOIMA'!J55,'29.10 KYENJOJO-HOIMA'!J55,'30.10 KYENJOJO-HOIMA'!J55,'26.10 KYENJOJO-HOIMA-24h'!J55,'28.10 KYENJOJO-HOIMA-24h'!J55,'31.10 KYENJOJO-HOIMA'!J55)</f>
        <v>0.5714285714285714</v>
      </c>
      <c r="K55" s="49">
        <f>AVERAGE('25.10 KYENJOJO-HOIMA'!K55,'27.10 KYENJOJO-HOIMA'!K55,'29.10 KYENJOJO-HOIMA'!K55,'30.10 KYENJOJO-HOIMA'!K55,'26.10 KYENJOJO-HOIMA-24h'!K55,'28.10 KYENJOJO-HOIMA-24h'!K55,'31.10 KYENJOJO-HOIMA'!K55)</f>
        <v>0</v>
      </c>
      <c r="L55" s="49">
        <f>AVERAGE('25.10 KYENJOJO-HOIMA'!L55,'27.10 KYENJOJO-HOIMA'!L55,'29.10 KYENJOJO-HOIMA'!L55,'30.10 KYENJOJO-HOIMA'!L55,'26.10 KYENJOJO-HOIMA-24h'!L55,'28.10 KYENJOJO-HOIMA-24h'!L55,'31.10 KYENJOJO-HOIMA'!L55)</f>
        <v>0.2857142857142857</v>
      </c>
      <c r="M55" s="49">
        <f>AVERAGE('25.10 KYENJOJO-HOIMA'!M55,'27.10 KYENJOJO-HOIMA'!M55,'29.10 KYENJOJO-HOIMA'!M55,'30.10 KYENJOJO-HOIMA'!M55,'26.10 KYENJOJO-HOIMA-24h'!M55,'28.10 KYENJOJO-HOIMA-24h'!M55,'31.10 KYENJOJO-HOIMA'!M55)</f>
        <v>36.857142857142854</v>
      </c>
      <c r="N55" s="49">
        <f>AVERAGE('25.10 KYENJOJO-HOIMA'!N55,'27.10 KYENJOJO-HOIMA'!N55,'29.10 KYENJOJO-HOIMA'!N55,'30.10 KYENJOJO-HOIMA'!N55,'26.10 KYENJOJO-HOIMA-24h'!N55,'28.10 KYENJOJO-HOIMA-24h'!N55,'31.10 KYENJOJO-HOIMA'!N55)</f>
        <v>0</v>
      </c>
      <c r="O55" s="15">
        <f t="shared" si="0"/>
        <v>9.1428571428571441</v>
      </c>
      <c r="P55" s="15">
        <f t="shared" si="1"/>
        <v>46</v>
      </c>
      <c r="R55" s="8"/>
      <c r="T55"/>
    </row>
    <row r="56" spans="2:20" ht="23.1" customHeight="1" x14ac:dyDescent="0.25">
      <c r="B56" s="23" t="s">
        <v>83</v>
      </c>
      <c r="C56" s="49">
        <f>AVERAGE('25.10 KYENJOJO-HOIMA'!C56,'27.10 KYENJOJO-HOIMA'!C56,'29.10 KYENJOJO-HOIMA'!C56,'30.10 KYENJOJO-HOIMA'!C56,'26.10 KYENJOJO-HOIMA-24h'!C56,'28.10 KYENJOJO-HOIMA-24h'!C56,'31.10 KYENJOJO-HOIMA'!C56)</f>
        <v>7.5714285714285712</v>
      </c>
      <c r="D56" s="49">
        <f>AVERAGE('25.10 KYENJOJO-HOIMA'!D56,'27.10 KYENJOJO-HOIMA'!D56,'29.10 KYENJOJO-HOIMA'!D56,'30.10 KYENJOJO-HOIMA'!D56,'26.10 KYENJOJO-HOIMA-24h'!D56,'28.10 KYENJOJO-HOIMA-24h'!D56,'31.10 KYENJOJO-HOIMA'!D56)</f>
        <v>0.42857142857142855</v>
      </c>
      <c r="E56" s="49">
        <f>AVERAGE('25.10 KYENJOJO-HOIMA'!E56,'27.10 KYENJOJO-HOIMA'!E56,'29.10 KYENJOJO-HOIMA'!E56,'30.10 KYENJOJO-HOIMA'!E56,'26.10 KYENJOJO-HOIMA-24h'!E56,'28.10 KYENJOJO-HOIMA-24h'!E56,'31.10 KYENJOJO-HOIMA'!E56)</f>
        <v>0.8571428571428571</v>
      </c>
      <c r="F56" s="49">
        <f>AVERAGE('25.10 KYENJOJO-HOIMA'!F56,'27.10 KYENJOJO-HOIMA'!F56,'29.10 KYENJOJO-HOIMA'!F56,'30.10 KYENJOJO-HOIMA'!F56,'26.10 KYENJOJO-HOIMA-24h'!F56,'28.10 KYENJOJO-HOIMA-24h'!F56,'31.10 KYENJOJO-HOIMA'!F56)</f>
        <v>0.14285714285714285</v>
      </c>
      <c r="G56" s="49">
        <f>AVERAGE('25.10 KYENJOJO-HOIMA'!G56,'27.10 KYENJOJO-HOIMA'!G56,'29.10 KYENJOJO-HOIMA'!G56,'30.10 KYENJOJO-HOIMA'!G56,'26.10 KYENJOJO-HOIMA-24h'!G56,'28.10 KYENJOJO-HOIMA-24h'!G56,'31.10 KYENJOJO-HOIMA'!G56)</f>
        <v>0</v>
      </c>
      <c r="H56" s="49">
        <f>AVERAGE('25.10 KYENJOJO-HOIMA'!H56,'27.10 KYENJOJO-HOIMA'!H56,'29.10 KYENJOJO-HOIMA'!H56,'30.10 KYENJOJO-HOIMA'!H56,'26.10 KYENJOJO-HOIMA-24h'!H56,'28.10 KYENJOJO-HOIMA-24h'!H56,'31.10 KYENJOJO-HOIMA'!H56)</f>
        <v>0</v>
      </c>
      <c r="I56" s="49">
        <f>AVERAGE('25.10 KYENJOJO-HOIMA'!I56,'27.10 KYENJOJO-HOIMA'!I56,'29.10 KYENJOJO-HOIMA'!I56,'30.10 KYENJOJO-HOIMA'!I56,'26.10 KYENJOJO-HOIMA-24h'!I56,'28.10 KYENJOJO-HOIMA-24h'!I56,'31.10 KYENJOJO-HOIMA'!I56)</f>
        <v>0.42857142857142855</v>
      </c>
      <c r="J56" s="49">
        <f>AVERAGE('25.10 KYENJOJO-HOIMA'!J56,'27.10 KYENJOJO-HOIMA'!J56,'29.10 KYENJOJO-HOIMA'!J56,'30.10 KYENJOJO-HOIMA'!J56,'26.10 KYENJOJO-HOIMA-24h'!J56,'28.10 KYENJOJO-HOIMA-24h'!J56,'31.10 KYENJOJO-HOIMA'!J56)</f>
        <v>0</v>
      </c>
      <c r="K56" s="49">
        <f>AVERAGE('25.10 KYENJOJO-HOIMA'!K56,'27.10 KYENJOJO-HOIMA'!K56,'29.10 KYENJOJO-HOIMA'!K56,'30.10 KYENJOJO-HOIMA'!K56,'26.10 KYENJOJO-HOIMA-24h'!K56,'28.10 KYENJOJO-HOIMA-24h'!K56,'31.10 KYENJOJO-HOIMA'!K56)</f>
        <v>0</v>
      </c>
      <c r="L56" s="49">
        <f>AVERAGE('25.10 KYENJOJO-HOIMA'!L56,'27.10 KYENJOJO-HOIMA'!L56,'29.10 KYENJOJO-HOIMA'!L56,'30.10 KYENJOJO-HOIMA'!L56,'26.10 KYENJOJO-HOIMA-24h'!L56,'28.10 KYENJOJO-HOIMA-24h'!L56,'31.10 KYENJOJO-HOIMA'!L56)</f>
        <v>0.14285714285714285</v>
      </c>
      <c r="M56" s="49">
        <f>AVERAGE('25.10 KYENJOJO-HOIMA'!M56,'27.10 KYENJOJO-HOIMA'!M56,'29.10 KYENJOJO-HOIMA'!M56,'30.10 KYENJOJO-HOIMA'!M56,'26.10 KYENJOJO-HOIMA-24h'!M56,'28.10 KYENJOJO-HOIMA-24h'!M56,'31.10 KYENJOJO-HOIMA'!M56)</f>
        <v>40</v>
      </c>
      <c r="N56" s="49">
        <f>AVERAGE('25.10 KYENJOJO-HOIMA'!N56,'27.10 KYENJOJO-HOIMA'!N56,'29.10 KYENJOJO-HOIMA'!N56,'30.10 KYENJOJO-HOIMA'!N56,'26.10 KYENJOJO-HOIMA-24h'!N56,'28.10 KYENJOJO-HOIMA-24h'!N56,'31.10 KYENJOJO-HOIMA'!N56)</f>
        <v>0</v>
      </c>
      <c r="O56" s="15">
        <f t="shared" si="0"/>
        <v>9.5714285714285712</v>
      </c>
      <c r="P56" s="15">
        <f t="shared" si="1"/>
        <v>49.571428571428569</v>
      </c>
      <c r="R56" s="8"/>
      <c r="T56"/>
    </row>
    <row r="57" spans="2:20" ht="23.1" customHeight="1" x14ac:dyDescent="0.25">
      <c r="B57" s="23" t="s">
        <v>84</v>
      </c>
      <c r="C57" s="49">
        <f>AVERAGE('25.10 KYENJOJO-HOIMA'!C57,'27.10 KYENJOJO-HOIMA'!C57,'29.10 KYENJOJO-HOIMA'!C57,'30.10 KYENJOJO-HOIMA'!C57,'26.10 KYENJOJO-HOIMA-24h'!C57,'28.10 KYENJOJO-HOIMA-24h'!C57,'31.10 KYENJOJO-HOIMA'!C57)</f>
        <v>5.2857142857142856</v>
      </c>
      <c r="D57" s="49">
        <f>AVERAGE('25.10 KYENJOJO-HOIMA'!D57,'27.10 KYENJOJO-HOIMA'!D57,'29.10 KYENJOJO-HOIMA'!D57,'30.10 KYENJOJO-HOIMA'!D57,'26.10 KYENJOJO-HOIMA-24h'!D57,'28.10 KYENJOJO-HOIMA-24h'!D57,'31.10 KYENJOJO-HOIMA'!D57)</f>
        <v>0.7142857142857143</v>
      </c>
      <c r="E57" s="49">
        <f>AVERAGE('25.10 KYENJOJO-HOIMA'!E57,'27.10 KYENJOJO-HOIMA'!E57,'29.10 KYENJOJO-HOIMA'!E57,'30.10 KYENJOJO-HOIMA'!E57,'26.10 KYENJOJO-HOIMA-24h'!E57,'28.10 KYENJOJO-HOIMA-24h'!E57,'31.10 KYENJOJO-HOIMA'!E57)</f>
        <v>0.5714285714285714</v>
      </c>
      <c r="F57" s="49">
        <f>AVERAGE('25.10 KYENJOJO-HOIMA'!F57,'27.10 KYENJOJO-HOIMA'!F57,'29.10 KYENJOJO-HOIMA'!F57,'30.10 KYENJOJO-HOIMA'!F57,'26.10 KYENJOJO-HOIMA-24h'!F57,'28.10 KYENJOJO-HOIMA-24h'!F57,'31.10 KYENJOJO-HOIMA'!F57)</f>
        <v>0.14285714285714285</v>
      </c>
      <c r="G57" s="49">
        <f>AVERAGE('25.10 KYENJOJO-HOIMA'!G57,'27.10 KYENJOJO-HOIMA'!G57,'29.10 KYENJOJO-HOIMA'!G57,'30.10 KYENJOJO-HOIMA'!G57,'26.10 KYENJOJO-HOIMA-24h'!G57,'28.10 KYENJOJO-HOIMA-24h'!G57,'31.10 KYENJOJO-HOIMA'!G57)</f>
        <v>0</v>
      </c>
      <c r="H57" s="49">
        <f>AVERAGE('25.10 KYENJOJO-HOIMA'!H57,'27.10 KYENJOJO-HOIMA'!H57,'29.10 KYENJOJO-HOIMA'!H57,'30.10 KYENJOJO-HOIMA'!H57,'26.10 KYENJOJO-HOIMA-24h'!H57,'28.10 KYENJOJO-HOIMA-24h'!H57,'31.10 KYENJOJO-HOIMA'!H57)</f>
        <v>0</v>
      </c>
      <c r="I57" s="49">
        <f>AVERAGE('25.10 KYENJOJO-HOIMA'!I57,'27.10 KYENJOJO-HOIMA'!I57,'29.10 KYENJOJO-HOIMA'!I57,'30.10 KYENJOJO-HOIMA'!I57,'26.10 KYENJOJO-HOIMA-24h'!I57,'28.10 KYENJOJO-HOIMA-24h'!I57,'31.10 KYENJOJO-HOIMA'!I57)</f>
        <v>0.2857142857142857</v>
      </c>
      <c r="J57" s="49">
        <f>AVERAGE('25.10 KYENJOJO-HOIMA'!J57,'27.10 KYENJOJO-HOIMA'!J57,'29.10 KYENJOJO-HOIMA'!J57,'30.10 KYENJOJO-HOIMA'!J57,'26.10 KYENJOJO-HOIMA-24h'!J57,'28.10 KYENJOJO-HOIMA-24h'!J57,'31.10 KYENJOJO-HOIMA'!J57)</f>
        <v>0.2857142857142857</v>
      </c>
      <c r="K57" s="49">
        <f>AVERAGE('25.10 KYENJOJO-HOIMA'!K57,'27.10 KYENJOJO-HOIMA'!K57,'29.10 KYENJOJO-HOIMA'!K57,'30.10 KYENJOJO-HOIMA'!K57,'26.10 KYENJOJO-HOIMA-24h'!K57,'28.10 KYENJOJO-HOIMA-24h'!K57,'31.10 KYENJOJO-HOIMA'!K57)</f>
        <v>0</v>
      </c>
      <c r="L57" s="49">
        <f>AVERAGE('25.10 KYENJOJO-HOIMA'!L57,'27.10 KYENJOJO-HOIMA'!L57,'29.10 KYENJOJO-HOIMA'!L57,'30.10 KYENJOJO-HOIMA'!L57,'26.10 KYENJOJO-HOIMA-24h'!L57,'28.10 KYENJOJO-HOIMA-24h'!L57,'31.10 KYENJOJO-HOIMA'!L57)</f>
        <v>0</v>
      </c>
      <c r="M57" s="49">
        <f>AVERAGE('25.10 KYENJOJO-HOIMA'!M57,'27.10 KYENJOJO-HOIMA'!M57,'29.10 KYENJOJO-HOIMA'!M57,'30.10 KYENJOJO-HOIMA'!M57,'26.10 KYENJOJO-HOIMA-24h'!M57,'28.10 KYENJOJO-HOIMA-24h'!M57,'31.10 KYENJOJO-HOIMA'!M57)</f>
        <v>42.142857142857146</v>
      </c>
      <c r="N57" s="49">
        <f>AVERAGE('25.10 KYENJOJO-HOIMA'!N57,'27.10 KYENJOJO-HOIMA'!N57,'29.10 KYENJOJO-HOIMA'!N57,'30.10 KYENJOJO-HOIMA'!N57,'26.10 KYENJOJO-HOIMA-24h'!N57,'28.10 KYENJOJO-HOIMA-24h'!N57,'31.10 KYENJOJO-HOIMA'!N57)</f>
        <v>0</v>
      </c>
      <c r="O57" s="15">
        <f t="shared" si="0"/>
        <v>7.2857142857142856</v>
      </c>
      <c r="P57" s="15">
        <f t="shared" si="1"/>
        <v>49.428571428571431</v>
      </c>
      <c r="R57" s="8"/>
      <c r="T57"/>
    </row>
    <row r="58" spans="2:20" ht="23.1" customHeight="1" x14ac:dyDescent="0.25">
      <c r="B58" s="23" t="s">
        <v>99</v>
      </c>
      <c r="C58" s="49">
        <f>AVERAGE('26.10 KYENJOJO-HOIMA-24h'!C58,'28.10 KYENJOJO-HOIMA-24h'!C58)</f>
        <v>6</v>
      </c>
      <c r="D58" s="49">
        <f>AVERAGE('26.10 KYENJOJO-HOIMA-24h'!D58,'28.10 KYENJOJO-HOIMA-24h'!D58)</f>
        <v>2.5</v>
      </c>
      <c r="E58" s="49">
        <f>AVERAGE('26.10 KYENJOJO-HOIMA-24h'!E58,'28.10 KYENJOJO-HOIMA-24h'!E58)</f>
        <v>1</v>
      </c>
      <c r="F58" s="49">
        <f>AVERAGE('26.10 KYENJOJO-HOIMA-24h'!F58,'28.10 KYENJOJO-HOIMA-24h'!F58)</f>
        <v>0.5</v>
      </c>
      <c r="G58" s="49">
        <f>AVERAGE('26.10 KYENJOJO-HOIMA-24h'!G58,'28.10 KYENJOJO-HOIMA-24h'!G58)</f>
        <v>0</v>
      </c>
      <c r="H58" s="49">
        <f>AVERAGE('26.10 KYENJOJO-HOIMA-24h'!H58,'28.10 KYENJOJO-HOIMA-24h'!H58)</f>
        <v>0</v>
      </c>
      <c r="I58" s="49">
        <f>AVERAGE('26.10 KYENJOJO-HOIMA-24h'!I58,'28.10 KYENJOJO-HOIMA-24h'!I58)</f>
        <v>2.5</v>
      </c>
      <c r="J58" s="49">
        <f>AVERAGE('26.10 KYENJOJO-HOIMA-24h'!J58,'28.10 KYENJOJO-HOIMA-24h'!J58)</f>
        <v>0</v>
      </c>
      <c r="K58" s="49">
        <f>AVERAGE('26.10 KYENJOJO-HOIMA-24h'!K58,'28.10 KYENJOJO-HOIMA-24h'!K58)</f>
        <v>0</v>
      </c>
      <c r="L58" s="49">
        <f>AVERAGE('26.10 KYENJOJO-HOIMA-24h'!L58,'28.10 KYENJOJO-HOIMA-24h'!L58)</f>
        <v>0.5</v>
      </c>
      <c r="M58" s="49">
        <f>AVERAGE('26.10 KYENJOJO-HOIMA-24h'!M58,'28.10 KYENJOJO-HOIMA-24h'!M58)</f>
        <v>41.5</v>
      </c>
      <c r="N58" s="49">
        <f>AVERAGE('26.10 KYENJOJO-HOIMA-24h'!N58,'28.10 KYENJOJO-HOIMA-24h'!N58)</f>
        <v>0</v>
      </c>
      <c r="O58" s="15">
        <f t="shared" si="0"/>
        <v>13</v>
      </c>
      <c r="P58" s="15">
        <f t="shared" si="1"/>
        <v>54.5</v>
      </c>
      <c r="R58" s="8"/>
      <c r="T58"/>
    </row>
    <row r="59" spans="2:20" ht="23.1" customHeight="1" x14ac:dyDescent="0.25">
      <c r="B59" s="23" t="s">
        <v>100</v>
      </c>
      <c r="C59" s="49">
        <f>AVERAGE('26.10 KYENJOJO-HOIMA-24h'!C59,'28.10 KYENJOJO-HOIMA-24h'!C59)</f>
        <v>8</v>
      </c>
      <c r="D59" s="49">
        <f>AVERAGE('26.10 KYENJOJO-HOIMA-24h'!D59,'28.10 KYENJOJO-HOIMA-24h'!D59)</f>
        <v>0</v>
      </c>
      <c r="E59" s="49">
        <f>AVERAGE('26.10 KYENJOJO-HOIMA-24h'!E59,'28.10 KYENJOJO-HOIMA-24h'!E59)</f>
        <v>1</v>
      </c>
      <c r="F59" s="49">
        <f>AVERAGE('26.10 KYENJOJO-HOIMA-24h'!F59,'28.10 KYENJOJO-HOIMA-24h'!F59)</f>
        <v>1</v>
      </c>
      <c r="G59" s="49">
        <f>AVERAGE('26.10 KYENJOJO-HOIMA-24h'!G59,'28.10 KYENJOJO-HOIMA-24h'!G59)</f>
        <v>0</v>
      </c>
      <c r="H59" s="49">
        <f>AVERAGE('26.10 KYENJOJO-HOIMA-24h'!H59,'28.10 KYENJOJO-HOIMA-24h'!H59)</f>
        <v>0</v>
      </c>
      <c r="I59" s="49">
        <f>AVERAGE('26.10 KYENJOJO-HOIMA-24h'!I59,'28.10 KYENJOJO-HOIMA-24h'!I59)</f>
        <v>1</v>
      </c>
      <c r="J59" s="49">
        <f>AVERAGE('26.10 KYENJOJO-HOIMA-24h'!J59,'28.10 KYENJOJO-HOIMA-24h'!J59)</f>
        <v>0</v>
      </c>
      <c r="K59" s="49">
        <f>AVERAGE('26.10 KYENJOJO-HOIMA-24h'!K59,'28.10 KYENJOJO-HOIMA-24h'!K59)</f>
        <v>0</v>
      </c>
      <c r="L59" s="49">
        <f>AVERAGE('26.10 KYENJOJO-HOIMA-24h'!L59,'28.10 KYENJOJO-HOIMA-24h'!L59)</f>
        <v>0</v>
      </c>
      <c r="M59" s="49">
        <f>AVERAGE('26.10 KYENJOJO-HOIMA-24h'!M59,'28.10 KYENJOJO-HOIMA-24h'!M59)</f>
        <v>39</v>
      </c>
      <c r="N59" s="49">
        <f>AVERAGE('26.10 KYENJOJO-HOIMA-24h'!N59,'28.10 KYENJOJO-HOIMA-24h'!N59)</f>
        <v>0</v>
      </c>
      <c r="O59" s="15">
        <f t="shared" si="0"/>
        <v>11</v>
      </c>
      <c r="P59" s="15">
        <f t="shared" si="1"/>
        <v>50</v>
      </c>
      <c r="R59" s="8"/>
      <c r="T59"/>
    </row>
    <row r="60" spans="2:20" ht="23.1" customHeight="1" x14ac:dyDescent="0.25">
      <c r="B60" s="23" t="s">
        <v>101</v>
      </c>
      <c r="C60" s="49">
        <f>AVERAGE('26.10 KYENJOJO-HOIMA-24h'!C60,'28.10 KYENJOJO-HOIMA-24h'!C60)</f>
        <v>6.5</v>
      </c>
      <c r="D60" s="49">
        <f>AVERAGE('26.10 KYENJOJO-HOIMA-24h'!D60,'28.10 KYENJOJO-HOIMA-24h'!D60)</f>
        <v>0.5</v>
      </c>
      <c r="E60" s="49">
        <f>AVERAGE('26.10 KYENJOJO-HOIMA-24h'!E60,'28.10 KYENJOJO-HOIMA-24h'!E60)</f>
        <v>0.5</v>
      </c>
      <c r="F60" s="49">
        <f>AVERAGE('26.10 KYENJOJO-HOIMA-24h'!F60,'28.10 KYENJOJO-HOIMA-24h'!F60)</f>
        <v>3.5</v>
      </c>
      <c r="G60" s="49">
        <f>AVERAGE('26.10 KYENJOJO-HOIMA-24h'!G60,'28.10 KYENJOJO-HOIMA-24h'!G60)</f>
        <v>0</v>
      </c>
      <c r="H60" s="49">
        <f>AVERAGE('26.10 KYENJOJO-HOIMA-24h'!H60,'28.10 KYENJOJO-HOIMA-24h'!H60)</f>
        <v>1</v>
      </c>
      <c r="I60" s="49">
        <f>AVERAGE('26.10 KYENJOJO-HOIMA-24h'!I60,'28.10 KYENJOJO-HOIMA-24h'!I60)</f>
        <v>3</v>
      </c>
      <c r="J60" s="49">
        <f>AVERAGE('26.10 KYENJOJO-HOIMA-24h'!J60,'28.10 KYENJOJO-HOIMA-24h'!J60)</f>
        <v>2</v>
      </c>
      <c r="K60" s="49">
        <f>AVERAGE('26.10 KYENJOJO-HOIMA-24h'!K60,'28.10 KYENJOJO-HOIMA-24h'!K60)</f>
        <v>3</v>
      </c>
      <c r="L60" s="49">
        <f>AVERAGE('26.10 KYENJOJO-HOIMA-24h'!L60,'28.10 KYENJOJO-HOIMA-24h'!L60)</f>
        <v>0</v>
      </c>
      <c r="M60" s="49">
        <f>AVERAGE('26.10 KYENJOJO-HOIMA-24h'!M60,'28.10 KYENJOJO-HOIMA-24h'!M60)</f>
        <v>30</v>
      </c>
      <c r="N60" s="49">
        <f>AVERAGE('26.10 KYENJOJO-HOIMA-24h'!N60,'28.10 KYENJOJO-HOIMA-24h'!N60)</f>
        <v>0</v>
      </c>
      <c r="O60" s="15">
        <f t="shared" si="0"/>
        <v>20</v>
      </c>
      <c r="P60" s="15">
        <f t="shared" si="1"/>
        <v>50</v>
      </c>
      <c r="R60" s="8"/>
      <c r="T60"/>
    </row>
    <row r="61" spans="2:20" ht="23.1" customHeight="1" x14ac:dyDescent="0.25">
      <c r="B61" s="23" t="s">
        <v>102</v>
      </c>
      <c r="C61" s="49">
        <f>AVERAGE('26.10 KYENJOJO-HOIMA-24h'!C61,'28.10 KYENJOJO-HOIMA-24h'!C61)</f>
        <v>8</v>
      </c>
      <c r="D61" s="49">
        <f>AVERAGE('26.10 KYENJOJO-HOIMA-24h'!D61,'28.10 KYENJOJO-HOIMA-24h'!D61)</f>
        <v>2</v>
      </c>
      <c r="E61" s="49">
        <f>AVERAGE('26.10 KYENJOJO-HOIMA-24h'!E61,'28.10 KYENJOJO-HOIMA-24h'!E61)</f>
        <v>0.5</v>
      </c>
      <c r="F61" s="49">
        <f>AVERAGE('26.10 KYENJOJO-HOIMA-24h'!F61,'28.10 KYENJOJO-HOIMA-24h'!F61)</f>
        <v>1.5</v>
      </c>
      <c r="G61" s="49">
        <f>AVERAGE('26.10 KYENJOJO-HOIMA-24h'!G61,'28.10 KYENJOJO-HOIMA-24h'!G61)</f>
        <v>0</v>
      </c>
      <c r="H61" s="49">
        <f>AVERAGE('26.10 KYENJOJO-HOIMA-24h'!H61,'28.10 KYENJOJO-HOIMA-24h'!H61)</f>
        <v>0</v>
      </c>
      <c r="I61" s="49">
        <f>AVERAGE('26.10 KYENJOJO-HOIMA-24h'!I61,'28.10 KYENJOJO-HOIMA-24h'!I61)</f>
        <v>1</v>
      </c>
      <c r="J61" s="49">
        <f>AVERAGE('26.10 KYENJOJO-HOIMA-24h'!J61,'28.10 KYENJOJO-HOIMA-24h'!J61)</f>
        <v>0.5</v>
      </c>
      <c r="K61" s="49">
        <f>AVERAGE('26.10 KYENJOJO-HOIMA-24h'!K61,'28.10 KYENJOJO-HOIMA-24h'!K61)</f>
        <v>1</v>
      </c>
      <c r="L61" s="49">
        <f>AVERAGE('26.10 KYENJOJO-HOIMA-24h'!L61,'28.10 KYENJOJO-HOIMA-24h'!L61)</f>
        <v>0</v>
      </c>
      <c r="M61" s="49">
        <f>AVERAGE('26.10 KYENJOJO-HOIMA-24h'!M61,'28.10 KYENJOJO-HOIMA-24h'!M61)</f>
        <v>21.5</v>
      </c>
      <c r="N61" s="49">
        <f>AVERAGE('26.10 KYENJOJO-HOIMA-24h'!N61,'28.10 KYENJOJO-HOIMA-24h'!N61)</f>
        <v>0</v>
      </c>
      <c r="O61" s="15">
        <f t="shared" si="0"/>
        <v>14.5</v>
      </c>
      <c r="P61" s="15">
        <f t="shared" si="1"/>
        <v>36</v>
      </c>
      <c r="R61" s="8"/>
      <c r="T61"/>
    </row>
    <row r="62" spans="2:20" ht="23.1" customHeight="1" x14ac:dyDescent="0.25">
      <c r="B62" s="23" t="s">
        <v>107</v>
      </c>
      <c r="C62" s="49">
        <f>AVERAGE('26.10 KYENJOJO-HOIMA-24h'!C62,'28.10 KYENJOJO-HOIMA-24h'!C62)</f>
        <v>4</v>
      </c>
      <c r="D62" s="49">
        <f>AVERAGE('26.10 KYENJOJO-HOIMA-24h'!D62,'28.10 KYENJOJO-HOIMA-24h'!D62)</f>
        <v>1.5</v>
      </c>
      <c r="E62" s="49">
        <f>AVERAGE('26.10 KYENJOJO-HOIMA-24h'!E62,'28.10 KYENJOJO-HOIMA-24h'!E62)</f>
        <v>1.5</v>
      </c>
      <c r="F62" s="49">
        <f>AVERAGE('26.10 KYENJOJO-HOIMA-24h'!F62,'28.10 KYENJOJO-HOIMA-24h'!F62)</f>
        <v>0</v>
      </c>
      <c r="G62" s="49">
        <f>AVERAGE('26.10 KYENJOJO-HOIMA-24h'!G62,'28.10 KYENJOJO-HOIMA-24h'!G62)</f>
        <v>0</v>
      </c>
      <c r="H62" s="49">
        <f>AVERAGE('26.10 KYENJOJO-HOIMA-24h'!H62,'28.10 KYENJOJO-HOIMA-24h'!H62)</f>
        <v>0</v>
      </c>
      <c r="I62" s="49">
        <f>AVERAGE('26.10 KYENJOJO-HOIMA-24h'!I62,'28.10 KYENJOJO-HOIMA-24h'!I62)</f>
        <v>0</v>
      </c>
      <c r="J62" s="49">
        <f>AVERAGE('26.10 KYENJOJO-HOIMA-24h'!J62,'28.10 KYENJOJO-HOIMA-24h'!J62)</f>
        <v>0</v>
      </c>
      <c r="K62" s="49">
        <f>AVERAGE('26.10 KYENJOJO-HOIMA-24h'!K62,'28.10 KYENJOJO-HOIMA-24h'!K62)</f>
        <v>0</v>
      </c>
      <c r="L62" s="49">
        <f>AVERAGE('26.10 KYENJOJO-HOIMA-24h'!L62,'28.10 KYENJOJO-HOIMA-24h'!L62)</f>
        <v>0</v>
      </c>
      <c r="M62" s="49">
        <f>AVERAGE('26.10 KYENJOJO-HOIMA-24h'!M62,'28.10 KYENJOJO-HOIMA-24h'!M62)</f>
        <v>9.5</v>
      </c>
      <c r="N62" s="49">
        <f>AVERAGE('26.10 KYENJOJO-HOIMA-24h'!N62,'28.10 KYENJOJO-HOIMA-24h'!N62)</f>
        <v>0</v>
      </c>
      <c r="O62" s="15">
        <f t="shared" si="0"/>
        <v>7</v>
      </c>
      <c r="P62" s="15">
        <f t="shared" si="1"/>
        <v>16.5</v>
      </c>
      <c r="R62" s="8"/>
      <c r="T62"/>
    </row>
    <row r="63" spans="2:20" ht="23.1" customHeight="1" x14ac:dyDescent="0.25">
      <c r="B63" s="23" t="s">
        <v>108</v>
      </c>
      <c r="C63" s="49">
        <f>AVERAGE('26.10 KYENJOJO-HOIMA-24h'!C63,'28.10 KYENJOJO-HOIMA-24h'!C63)</f>
        <v>3.5</v>
      </c>
      <c r="D63" s="49">
        <f>AVERAGE('26.10 KYENJOJO-HOIMA-24h'!D63,'28.10 KYENJOJO-HOIMA-24h'!D63)</f>
        <v>3</v>
      </c>
      <c r="E63" s="49">
        <f>AVERAGE('26.10 KYENJOJO-HOIMA-24h'!E63,'28.10 KYENJOJO-HOIMA-24h'!E63)</f>
        <v>2.5</v>
      </c>
      <c r="F63" s="49">
        <f>AVERAGE('26.10 KYENJOJO-HOIMA-24h'!F63,'28.10 KYENJOJO-HOIMA-24h'!F63)</f>
        <v>1</v>
      </c>
      <c r="G63" s="49">
        <f>AVERAGE('26.10 KYENJOJO-HOIMA-24h'!G63,'28.10 KYENJOJO-HOIMA-24h'!G63)</f>
        <v>0</v>
      </c>
      <c r="H63" s="49">
        <f>AVERAGE('26.10 KYENJOJO-HOIMA-24h'!H63,'28.10 KYENJOJO-HOIMA-24h'!H63)</f>
        <v>0</v>
      </c>
      <c r="I63" s="49">
        <f>AVERAGE('26.10 KYENJOJO-HOIMA-24h'!I63,'28.10 KYENJOJO-HOIMA-24h'!I63)</f>
        <v>3.5</v>
      </c>
      <c r="J63" s="49">
        <f>AVERAGE('26.10 KYENJOJO-HOIMA-24h'!J63,'28.10 KYENJOJO-HOIMA-24h'!J63)</f>
        <v>2</v>
      </c>
      <c r="K63" s="49">
        <f>AVERAGE('26.10 KYENJOJO-HOIMA-24h'!K63,'28.10 KYENJOJO-HOIMA-24h'!K63)</f>
        <v>0.5</v>
      </c>
      <c r="L63" s="49">
        <f>AVERAGE('26.10 KYENJOJO-HOIMA-24h'!L63,'28.10 KYENJOJO-HOIMA-24h'!L63)</f>
        <v>0</v>
      </c>
      <c r="M63" s="49">
        <f>AVERAGE('26.10 KYENJOJO-HOIMA-24h'!M63,'28.10 KYENJOJO-HOIMA-24h'!M63)</f>
        <v>22.5</v>
      </c>
      <c r="N63" s="49">
        <f>AVERAGE('26.10 KYENJOJO-HOIMA-24h'!N63,'28.10 KYENJOJO-HOIMA-24h'!N63)</f>
        <v>0</v>
      </c>
      <c r="O63" s="15">
        <f t="shared" si="0"/>
        <v>16</v>
      </c>
      <c r="P63" s="15">
        <f t="shared" si="1"/>
        <v>38.5</v>
      </c>
      <c r="R63" s="8"/>
      <c r="T63"/>
    </row>
    <row r="64" spans="2:20" ht="23.1" customHeight="1" x14ac:dyDescent="0.25">
      <c r="B64" s="23" t="s">
        <v>109</v>
      </c>
      <c r="C64" s="49">
        <f>AVERAGE('26.10 KYENJOJO-HOIMA-24h'!C64,'28.10 KYENJOJO-HOIMA-24h'!C64)</f>
        <v>4</v>
      </c>
      <c r="D64" s="49">
        <f>AVERAGE('26.10 KYENJOJO-HOIMA-24h'!D64,'28.10 KYENJOJO-HOIMA-24h'!D64)</f>
        <v>1.5</v>
      </c>
      <c r="E64" s="49">
        <f>AVERAGE('26.10 KYENJOJO-HOIMA-24h'!E64,'28.10 KYENJOJO-HOIMA-24h'!E64)</f>
        <v>1.5</v>
      </c>
      <c r="F64" s="49">
        <f>AVERAGE('26.10 KYENJOJO-HOIMA-24h'!F64,'28.10 KYENJOJO-HOIMA-24h'!F64)</f>
        <v>1</v>
      </c>
      <c r="G64" s="49">
        <f>AVERAGE('26.10 KYENJOJO-HOIMA-24h'!G64,'28.10 KYENJOJO-HOIMA-24h'!G64)</f>
        <v>1</v>
      </c>
      <c r="H64" s="49">
        <f>AVERAGE('26.10 KYENJOJO-HOIMA-24h'!H64,'28.10 KYENJOJO-HOIMA-24h'!H64)</f>
        <v>0</v>
      </c>
      <c r="I64" s="49">
        <f>AVERAGE('26.10 KYENJOJO-HOIMA-24h'!I64,'28.10 KYENJOJO-HOIMA-24h'!I64)</f>
        <v>0.5</v>
      </c>
      <c r="J64" s="49">
        <f>AVERAGE('26.10 KYENJOJO-HOIMA-24h'!J64,'28.10 KYENJOJO-HOIMA-24h'!J64)</f>
        <v>2</v>
      </c>
      <c r="K64" s="49">
        <f>AVERAGE('26.10 KYENJOJO-HOIMA-24h'!K64,'28.10 KYENJOJO-HOIMA-24h'!K64)</f>
        <v>0.5</v>
      </c>
      <c r="L64" s="49">
        <f>AVERAGE('26.10 KYENJOJO-HOIMA-24h'!L64,'28.10 KYENJOJO-HOIMA-24h'!L64)</f>
        <v>0</v>
      </c>
      <c r="M64" s="49">
        <f>AVERAGE('26.10 KYENJOJO-HOIMA-24h'!M64,'28.10 KYENJOJO-HOIMA-24h'!M64)</f>
        <v>23.5</v>
      </c>
      <c r="N64" s="49">
        <f>AVERAGE('26.10 KYENJOJO-HOIMA-24h'!N64,'28.10 KYENJOJO-HOIMA-24h'!N64)</f>
        <v>0</v>
      </c>
      <c r="O64" s="15">
        <f t="shared" si="0"/>
        <v>12</v>
      </c>
      <c r="P64" s="15">
        <f t="shared" si="1"/>
        <v>35.5</v>
      </c>
      <c r="R64" s="8"/>
      <c r="T64"/>
    </row>
    <row r="65" spans="2:20" ht="23.1" customHeight="1" x14ac:dyDescent="0.25">
      <c r="B65" s="23" t="s">
        <v>158</v>
      </c>
      <c r="C65" s="49">
        <f>AVERAGE('26.10 KYENJOJO-HOIMA-24h'!C65,'28.10 KYENJOJO-HOIMA-24h'!C65)</f>
        <v>4</v>
      </c>
      <c r="D65" s="49">
        <f>AVERAGE('26.10 KYENJOJO-HOIMA-24h'!D65,'28.10 KYENJOJO-HOIMA-24h'!D65)</f>
        <v>0.5</v>
      </c>
      <c r="E65" s="49">
        <f>AVERAGE('26.10 KYENJOJO-HOIMA-24h'!E65,'28.10 KYENJOJO-HOIMA-24h'!E65)</f>
        <v>0.5</v>
      </c>
      <c r="F65" s="49">
        <f>AVERAGE('26.10 KYENJOJO-HOIMA-24h'!F65,'28.10 KYENJOJO-HOIMA-24h'!F65)</f>
        <v>1</v>
      </c>
      <c r="G65" s="49">
        <f>AVERAGE('26.10 KYENJOJO-HOIMA-24h'!G65,'28.10 KYENJOJO-HOIMA-24h'!G65)</f>
        <v>0</v>
      </c>
      <c r="H65" s="49">
        <f>AVERAGE('26.10 KYENJOJO-HOIMA-24h'!H65,'28.10 KYENJOJO-HOIMA-24h'!H65)</f>
        <v>0</v>
      </c>
      <c r="I65" s="49">
        <f>AVERAGE('26.10 KYENJOJO-HOIMA-24h'!I65,'28.10 KYENJOJO-HOIMA-24h'!I65)</f>
        <v>0.5</v>
      </c>
      <c r="J65" s="49">
        <f>AVERAGE('26.10 KYENJOJO-HOIMA-24h'!J65,'28.10 KYENJOJO-HOIMA-24h'!J65)</f>
        <v>0</v>
      </c>
      <c r="K65" s="49">
        <f>AVERAGE('26.10 KYENJOJO-HOIMA-24h'!K65,'28.10 KYENJOJO-HOIMA-24h'!K65)</f>
        <v>0</v>
      </c>
      <c r="L65" s="49">
        <f>AVERAGE('26.10 KYENJOJO-HOIMA-24h'!L65,'28.10 KYENJOJO-HOIMA-24h'!L65)</f>
        <v>0</v>
      </c>
      <c r="M65" s="49">
        <f>AVERAGE('26.10 KYENJOJO-HOIMA-24h'!M65,'28.10 KYENJOJO-HOIMA-24h'!M65)</f>
        <v>15</v>
      </c>
      <c r="N65" s="49">
        <f>AVERAGE('26.10 KYENJOJO-HOIMA-24h'!N65,'28.10 KYENJOJO-HOIMA-24h'!N65)</f>
        <v>0</v>
      </c>
      <c r="O65" s="15">
        <f t="shared" si="0"/>
        <v>6.5</v>
      </c>
      <c r="P65" s="15">
        <f t="shared" si="1"/>
        <v>21.5</v>
      </c>
      <c r="R65" s="8"/>
      <c r="T65"/>
    </row>
    <row r="66" spans="2:20" ht="23.1" customHeight="1" x14ac:dyDescent="0.25">
      <c r="B66" s="23" t="s">
        <v>103</v>
      </c>
      <c r="C66" s="49">
        <f>AVERAGE('26.10 KYENJOJO-HOIMA-24h'!C66,'28.10 KYENJOJO-HOIMA-24h'!C66)</f>
        <v>3</v>
      </c>
      <c r="D66" s="49">
        <f>AVERAGE('26.10 KYENJOJO-HOIMA-24h'!D66,'28.10 KYENJOJO-HOIMA-24h'!D66)</f>
        <v>1.5</v>
      </c>
      <c r="E66" s="49">
        <f>AVERAGE('26.10 KYENJOJO-HOIMA-24h'!E66,'28.10 KYENJOJO-HOIMA-24h'!E66)</f>
        <v>1.5</v>
      </c>
      <c r="F66" s="49">
        <f>AVERAGE('26.10 KYENJOJO-HOIMA-24h'!F66,'28.10 KYENJOJO-HOIMA-24h'!F66)</f>
        <v>0.5</v>
      </c>
      <c r="G66" s="49">
        <f>AVERAGE('26.10 KYENJOJO-HOIMA-24h'!G66,'28.10 KYENJOJO-HOIMA-24h'!G66)</f>
        <v>0</v>
      </c>
      <c r="H66" s="49">
        <f>AVERAGE('26.10 KYENJOJO-HOIMA-24h'!H66,'28.10 KYENJOJO-HOIMA-24h'!H66)</f>
        <v>0</v>
      </c>
      <c r="I66" s="49">
        <f>AVERAGE('26.10 KYENJOJO-HOIMA-24h'!I66,'28.10 KYENJOJO-HOIMA-24h'!I66)</f>
        <v>0.5</v>
      </c>
      <c r="J66" s="49">
        <f>AVERAGE('26.10 KYENJOJO-HOIMA-24h'!J66,'28.10 KYENJOJO-HOIMA-24h'!J66)</f>
        <v>0</v>
      </c>
      <c r="K66" s="49">
        <f>AVERAGE('26.10 KYENJOJO-HOIMA-24h'!K66,'28.10 KYENJOJO-HOIMA-24h'!K66)</f>
        <v>0</v>
      </c>
      <c r="L66" s="49">
        <f>AVERAGE('26.10 KYENJOJO-HOIMA-24h'!L66,'28.10 KYENJOJO-HOIMA-24h'!L66)</f>
        <v>0</v>
      </c>
      <c r="M66" s="49">
        <f>AVERAGE('26.10 KYENJOJO-HOIMA-24h'!M66,'28.10 KYENJOJO-HOIMA-24h'!M66)</f>
        <v>22.5</v>
      </c>
      <c r="N66" s="49">
        <f>AVERAGE('26.10 KYENJOJO-HOIMA-24h'!N66,'28.10 KYENJOJO-HOIMA-24h'!N66)</f>
        <v>0</v>
      </c>
      <c r="O66" s="15">
        <f t="shared" si="0"/>
        <v>7</v>
      </c>
      <c r="P66" s="15">
        <f t="shared" si="1"/>
        <v>29.5</v>
      </c>
      <c r="R66" s="8"/>
      <c r="T66"/>
    </row>
    <row r="67" spans="2:20" ht="23.1" customHeight="1" x14ac:dyDescent="0.25">
      <c r="B67" s="23" t="s">
        <v>104</v>
      </c>
      <c r="C67" s="49">
        <f>AVERAGE('26.10 KYENJOJO-HOIMA-24h'!C67,'28.10 KYENJOJO-HOIMA-24h'!C67)</f>
        <v>4.5</v>
      </c>
      <c r="D67" s="49">
        <f>AVERAGE('26.10 KYENJOJO-HOIMA-24h'!D67,'28.10 KYENJOJO-HOIMA-24h'!D67)</f>
        <v>0.5</v>
      </c>
      <c r="E67" s="49">
        <f>AVERAGE('26.10 KYENJOJO-HOIMA-24h'!E67,'28.10 KYENJOJO-HOIMA-24h'!E67)</f>
        <v>0.5</v>
      </c>
      <c r="F67" s="49">
        <f>AVERAGE('26.10 KYENJOJO-HOIMA-24h'!F67,'28.10 KYENJOJO-HOIMA-24h'!F67)</f>
        <v>0.5</v>
      </c>
      <c r="G67" s="49">
        <f>AVERAGE('26.10 KYENJOJO-HOIMA-24h'!G67,'28.10 KYENJOJO-HOIMA-24h'!G67)</f>
        <v>0</v>
      </c>
      <c r="H67" s="49">
        <f>AVERAGE('26.10 KYENJOJO-HOIMA-24h'!H67,'28.10 KYENJOJO-HOIMA-24h'!H67)</f>
        <v>0</v>
      </c>
      <c r="I67" s="49">
        <f>AVERAGE('26.10 KYENJOJO-HOIMA-24h'!I67,'28.10 KYENJOJO-HOIMA-24h'!I67)</f>
        <v>0</v>
      </c>
      <c r="J67" s="49">
        <f>AVERAGE('26.10 KYENJOJO-HOIMA-24h'!J67,'28.10 KYENJOJO-HOIMA-24h'!J67)</f>
        <v>0.5</v>
      </c>
      <c r="K67" s="49">
        <f>AVERAGE('26.10 KYENJOJO-HOIMA-24h'!K67,'28.10 KYENJOJO-HOIMA-24h'!K67)</f>
        <v>0</v>
      </c>
      <c r="L67" s="49">
        <f>AVERAGE('26.10 KYENJOJO-HOIMA-24h'!L67,'28.10 KYENJOJO-HOIMA-24h'!L67)</f>
        <v>0</v>
      </c>
      <c r="M67" s="49">
        <f>AVERAGE('26.10 KYENJOJO-HOIMA-24h'!M67,'28.10 KYENJOJO-HOIMA-24h'!M67)</f>
        <v>13</v>
      </c>
      <c r="N67" s="49">
        <f>AVERAGE('26.10 KYENJOJO-HOIMA-24h'!N67,'28.10 KYENJOJO-HOIMA-24h'!N67)</f>
        <v>0</v>
      </c>
      <c r="O67" s="15">
        <f t="shared" si="0"/>
        <v>6.5</v>
      </c>
      <c r="P67" s="15">
        <f t="shared" si="1"/>
        <v>19.5</v>
      </c>
      <c r="R67" s="8"/>
      <c r="T67"/>
    </row>
    <row r="68" spans="2:20" ht="23.1" customHeight="1" x14ac:dyDescent="0.25">
      <c r="B68" s="23" t="s">
        <v>105</v>
      </c>
      <c r="C68" s="49">
        <f>AVERAGE('26.10 KYENJOJO-HOIMA-24h'!C68,'28.10 KYENJOJO-HOIMA-24h'!C68)</f>
        <v>3.5</v>
      </c>
      <c r="D68" s="49">
        <f>AVERAGE('26.10 KYENJOJO-HOIMA-24h'!D68,'28.10 KYENJOJO-HOIMA-24h'!D68)</f>
        <v>0.5</v>
      </c>
      <c r="E68" s="49">
        <f>AVERAGE('26.10 KYENJOJO-HOIMA-24h'!E68,'28.10 KYENJOJO-HOIMA-24h'!E68)</f>
        <v>0</v>
      </c>
      <c r="F68" s="49">
        <f>AVERAGE('26.10 KYENJOJO-HOIMA-24h'!F68,'28.10 KYENJOJO-HOIMA-24h'!F68)</f>
        <v>0.5</v>
      </c>
      <c r="G68" s="49">
        <f>AVERAGE('26.10 KYENJOJO-HOIMA-24h'!G68,'28.10 KYENJOJO-HOIMA-24h'!G68)</f>
        <v>0</v>
      </c>
      <c r="H68" s="49">
        <f>AVERAGE('26.10 KYENJOJO-HOIMA-24h'!H68,'28.10 KYENJOJO-HOIMA-24h'!H68)</f>
        <v>0</v>
      </c>
      <c r="I68" s="49">
        <f>AVERAGE('26.10 KYENJOJO-HOIMA-24h'!I68,'28.10 KYENJOJO-HOIMA-24h'!I68)</f>
        <v>1</v>
      </c>
      <c r="J68" s="49">
        <f>AVERAGE('26.10 KYENJOJO-HOIMA-24h'!J68,'28.10 KYENJOJO-HOIMA-24h'!J68)</f>
        <v>0</v>
      </c>
      <c r="K68" s="49">
        <f>AVERAGE('26.10 KYENJOJO-HOIMA-24h'!K68,'28.10 KYENJOJO-HOIMA-24h'!K68)</f>
        <v>0</v>
      </c>
      <c r="L68" s="49">
        <f>AVERAGE('26.10 KYENJOJO-HOIMA-24h'!L68,'28.10 KYENJOJO-HOIMA-24h'!L68)</f>
        <v>0</v>
      </c>
      <c r="M68" s="49">
        <f>AVERAGE('26.10 KYENJOJO-HOIMA-24h'!M68,'28.10 KYENJOJO-HOIMA-24h'!M68)</f>
        <v>21</v>
      </c>
      <c r="N68" s="49">
        <f>AVERAGE('26.10 KYENJOJO-HOIMA-24h'!N68,'28.10 KYENJOJO-HOIMA-24h'!N68)</f>
        <v>0</v>
      </c>
      <c r="O68" s="15">
        <f t="shared" si="0"/>
        <v>5.5</v>
      </c>
      <c r="P68" s="15">
        <f t="shared" si="1"/>
        <v>26.5</v>
      </c>
      <c r="R68" s="8"/>
      <c r="T68"/>
    </row>
    <row r="69" spans="2:20" ht="23.1" customHeight="1" x14ac:dyDescent="0.25">
      <c r="B69" s="23" t="s">
        <v>106</v>
      </c>
      <c r="C69" s="49">
        <f>AVERAGE('26.10 KYENJOJO-HOIMA-24h'!C69,'28.10 KYENJOJO-HOIMA-24h'!C69)</f>
        <v>2.5</v>
      </c>
      <c r="D69" s="49">
        <f>AVERAGE('26.10 KYENJOJO-HOIMA-24h'!D69,'28.10 KYENJOJO-HOIMA-24h'!D69)</f>
        <v>1</v>
      </c>
      <c r="E69" s="49">
        <f>AVERAGE('26.10 KYENJOJO-HOIMA-24h'!E69,'28.10 KYENJOJO-HOIMA-24h'!E69)</f>
        <v>1.5</v>
      </c>
      <c r="F69" s="49">
        <f>AVERAGE('26.10 KYENJOJO-HOIMA-24h'!F69,'28.10 KYENJOJO-HOIMA-24h'!F69)</f>
        <v>0.5</v>
      </c>
      <c r="G69" s="49">
        <f>AVERAGE('26.10 KYENJOJO-HOIMA-24h'!G69,'28.10 KYENJOJO-HOIMA-24h'!G69)</f>
        <v>1.5</v>
      </c>
      <c r="H69" s="49">
        <f>AVERAGE('26.10 KYENJOJO-HOIMA-24h'!H69,'28.10 KYENJOJO-HOIMA-24h'!H69)</f>
        <v>0</v>
      </c>
      <c r="I69" s="49">
        <f>AVERAGE('26.10 KYENJOJO-HOIMA-24h'!I69,'28.10 KYENJOJO-HOIMA-24h'!I69)</f>
        <v>1</v>
      </c>
      <c r="J69" s="49">
        <f>AVERAGE('26.10 KYENJOJO-HOIMA-24h'!J69,'28.10 KYENJOJO-HOIMA-24h'!J69)</f>
        <v>0.5</v>
      </c>
      <c r="K69" s="49">
        <f>AVERAGE('26.10 KYENJOJO-HOIMA-24h'!K69,'28.10 KYENJOJO-HOIMA-24h'!K69)</f>
        <v>0</v>
      </c>
      <c r="L69" s="49">
        <f>AVERAGE('26.10 KYENJOJO-HOIMA-24h'!L69,'28.10 KYENJOJO-HOIMA-24h'!L69)</f>
        <v>0</v>
      </c>
      <c r="M69" s="49">
        <f>AVERAGE('26.10 KYENJOJO-HOIMA-24h'!M69,'28.10 KYENJOJO-HOIMA-24h'!M69)</f>
        <v>12</v>
      </c>
      <c r="N69" s="49">
        <f>AVERAGE('26.10 KYENJOJO-HOIMA-24h'!N69,'28.10 KYENJOJO-HOIMA-24h'!N69)</f>
        <v>0</v>
      </c>
      <c r="O69" s="15">
        <f t="shared" si="0"/>
        <v>8.5</v>
      </c>
      <c r="P69" s="15">
        <f t="shared" si="1"/>
        <v>20.5</v>
      </c>
      <c r="R69" s="8"/>
      <c r="T69"/>
    </row>
    <row r="70" spans="2:20" ht="23.1" customHeight="1" x14ac:dyDescent="0.25">
      <c r="B70" s="23" t="s">
        <v>110</v>
      </c>
      <c r="C70" s="49">
        <f>AVERAGE('26.10 KYENJOJO-HOIMA-24h'!C70,'28.10 KYENJOJO-HOIMA-24h'!C70)</f>
        <v>2</v>
      </c>
      <c r="D70" s="49">
        <f>AVERAGE('26.10 KYENJOJO-HOIMA-24h'!D70,'28.10 KYENJOJO-HOIMA-24h'!D70)</f>
        <v>0.5</v>
      </c>
      <c r="E70" s="49">
        <f>AVERAGE('26.10 KYENJOJO-HOIMA-24h'!E70,'28.10 KYENJOJO-HOIMA-24h'!E70)</f>
        <v>0.5</v>
      </c>
      <c r="F70" s="49">
        <f>AVERAGE('26.10 KYENJOJO-HOIMA-24h'!F70,'28.10 KYENJOJO-HOIMA-24h'!F70)</f>
        <v>0</v>
      </c>
      <c r="G70" s="49">
        <f>AVERAGE('26.10 KYENJOJO-HOIMA-24h'!G70,'28.10 KYENJOJO-HOIMA-24h'!G70)</f>
        <v>0</v>
      </c>
      <c r="H70" s="49">
        <f>AVERAGE('26.10 KYENJOJO-HOIMA-24h'!H70,'28.10 KYENJOJO-HOIMA-24h'!H70)</f>
        <v>0</v>
      </c>
      <c r="I70" s="49">
        <f>AVERAGE('26.10 KYENJOJO-HOIMA-24h'!I70,'28.10 KYENJOJO-HOIMA-24h'!I70)</f>
        <v>0.5</v>
      </c>
      <c r="J70" s="49">
        <f>AVERAGE('26.10 KYENJOJO-HOIMA-24h'!J70,'28.10 KYENJOJO-HOIMA-24h'!J70)</f>
        <v>0.5</v>
      </c>
      <c r="K70" s="49">
        <f>AVERAGE('26.10 KYENJOJO-HOIMA-24h'!K70,'28.10 KYENJOJO-HOIMA-24h'!K70)</f>
        <v>1</v>
      </c>
      <c r="L70" s="49">
        <f>AVERAGE('26.10 KYENJOJO-HOIMA-24h'!L70,'28.10 KYENJOJO-HOIMA-24h'!L70)</f>
        <v>0</v>
      </c>
      <c r="M70" s="49">
        <f>AVERAGE('26.10 KYENJOJO-HOIMA-24h'!M70,'28.10 KYENJOJO-HOIMA-24h'!M70)</f>
        <v>4</v>
      </c>
      <c r="N70" s="49">
        <f>AVERAGE('26.10 KYENJOJO-HOIMA-24h'!N70,'28.10 KYENJOJO-HOIMA-24h'!N70)</f>
        <v>0</v>
      </c>
      <c r="O70" s="15">
        <f t="shared" si="0"/>
        <v>5</v>
      </c>
      <c r="P70" s="15">
        <f t="shared" si="1"/>
        <v>9</v>
      </c>
      <c r="R70" s="8"/>
      <c r="T70"/>
    </row>
    <row r="71" spans="2:20" ht="23.1" customHeight="1" x14ac:dyDescent="0.25">
      <c r="B71" s="23" t="s">
        <v>111</v>
      </c>
      <c r="C71" s="49">
        <f>AVERAGE('26.10 KYENJOJO-HOIMA-24h'!C71,'28.10 KYENJOJO-HOIMA-24h'!C71)</f>
        <v>3.5</v>
      </c>
      <c r="D71" s="49">
        <f>AVERAGE('26.10 KYENJOJO-HOIMA-24h'!D71,'28.10 KYENJOJO-HOIMA-24h'!D71)</f>
        <v>0.5</v>
      </c>
      <c r="E71" s="49">
        <f>AVERAGE('26.10 KYENJOJO-HOIMA-24h'!E71,'28.10 KYENJOJO-HOIMA-24h'!E71)</f>
        <v>0.5</v>
      </c>
      <c r="F71" s="49">
        <f>AVERAGE('26.10 KYENJOJO-HOIMA-24h'!F71,'28.10 KYENJOJO-HOIMA-24h'!F71)</f>
        <v>0.5</v>
      </c>
      <c r="G71" s="49">
        <f>AVERAGE('26.10 KYENJOJO-HOIMA-24h'!G71,'28.10 KYENJOJO-HOIMA-24h'!G71)</f>
        <v>0</v>
      </c>
      <c r="H71" s="49">
        <f>AVERAGE('26.10 KYENJOJO-HOIMA-24h'!H71,'28.10 KYENJOJO-HOIMA-24h'!H71)</f>
        <v>0</v>
      </c>
      <c r="I71" s="49">
        <f>AVERAGE('26.10 KYENJOJO-HOIMA-24h'!I71,'28.10 KYENJOJO-HOIMA-24h'!I71)</f>
        <v>0.5</v>
      </c>
      <c r="J71" s="49">
        <f>AVERAGE('26.10 KYENJOJO-HOIMA-24h'!J71,'28.10 KYENJOJO-HOIMA-24h'!J71)</f>
        <v>0</v>
      </c>
      <c r="K71" s="49">
        <f>AVERAGE('26.10 KYENJOJO-HOIMA-24h'!K71,'28.10 KYENJOJO-HOIMA-24h'!K71)</f>
        <v>0</v>
      </c>
      <c r="L71" s="49">
        <f>AVERAGE('26.10 KYENJOJO-HOIMA-24h'!L71,'28.10 KYENJOJO-HOIMA-24h'!L71)</f>
        <v>0</v>
      </c>
      <c r="M71" s="49">
        <f>AVERAGE('26.10 KYENJOJO-HOIMA-24h'!M71,'28.10 KYENJOJO-HOIMA-24h'!M71)</f>
        <v>12.5</v>
      </c>
      <c r="N71" s="49">
        <f>AVERAGE('26.10 KYENJOJO-HOIMA-24h'!N71,'28.10 KYENJOJO-HOIMA-24h'!N71)</f>
        <v>0</v>
      </c>
      <c r="O71" s="15">
        <f t="shared" si="0"/>
        <v>5.5</v>
      </c>
      <c r="P71" s="15">
        <f t="shared" si="1"/>
        <v>18</v>
      </c>
      <c r="R71" s="8"/>
      <c r="T71"/>
    </row>
    <row r="72" spans="2:20" ht="23.1" customHeight="1" x14ac:dyDescent="0.25">
      <c r="B72" s="23" t="s">
        <v>112</v>
      </c>
      <c r="C72" s="49">
        <f>AVERAGE('26.10 KYENJOJO-HOIMA-24h'!C72,'28.10 KYENJOJO-HOIMA-24h'!C72)</f>
        <v>2</v>
      </c>
      <c r="D72" s="49">
        <f>AVERAGE('26.10 KYENJOJO-HOIMA-24h'!D72,'28.10 KYENJOJO-HOIMA-24h'!D72)</f>
        <v>1.5</v>
      </c>
      <c r="E72" s="49">
        <f>AVERAGE('26.10 KYENJOJO-HOIMA-24h'!E72,'28.10 KYENJOJO-HOIMA-24h'!E72)</f>
        <v>0.5</v>
      </c>
      <c r="F72" s="49">
        <f>AVERAGE('26.10 KYENJOJO-HOIMA-24h'!F72,'28.10 KYENJOJO-HOIMA-24h'!F72)</f>
        <v>0</v>
      </c>
      <c r="G72" s="49">
        <f>AVERAGE('26.10 KYENJOJO-HOIMA-24h'!G72,'28.10 KYENJOJO-HOIMA-24h'!G72)</f>
        <v>0</v>
      </c>
      <c r="H72" s="49">
        <f>AVERAGE('26.10 KYENJOJO-HOIMA-24h'!H72,'28.10 KYENJOJO-HOIMA-24h'!H72)</f>
        <v>0</v>
      </c>
      <c r="I72" s="49">
        <f>AVERAGE('26.10 KYENJOJO-HOIMA-24h'!I72,'28.10 KYENJOJO-HOIMA-24h'!I72)</f>
        <v>0.5</v>
      </c>
      <c r="J72" s="49">
        <f>AVERAGE('26.10 KYENJOJO-HOIMA-24h'!J72,'28.10 KYENJOJO-HOIMA-24h'!J72)</f>
        <v>0</v>
      </c>
      <c r="K72" s="49">
        <f>AVERAGE('26.10 KYENJOJO-HOIMA-24h'!K72,'28.10 KYENJOJO-HOIMA-24h'!K72)</f>
        <v>0</v>
      </c>
      <c r="L72" s="49">
        <f>AVERAGE('26.10 KYENJOJO-HOIMA-24h'!L72,'28.10 KYENJOJO-HOIMA-24h'!L72)</f>
        <v>0</v>
      </c>
      <c r="M72" s="49">
        <f>AVERAGE('26.10 KYENJOJO-HOIMA-24h'!M72,'28.10 KYENJOJO-HOIMA-24h'!M72)</f>
        <v>6</v>
      </c>
      <c r="N72" s="49">
        <f>AVERAGE('26.10 KYENJOJO-HOIMA-24h'!N72,'28.10 KYENJOJO-HOIMA-24h'!N72)</f>
        <v>0</v>
      </c>
      <c r="O72" s="15">
        <f t="shared" si="0"/>
        <v>4.5</v>
      </c>
      <c r="P72" s="15">
        <f t="shared" si="1"/>
        <v>10.5</v>
      </c>
      <c r="R72" s="8"/>
      <c r="T72"/>
    </row>
    <row r="73" spans="2:20" ht="23.1" customHeight="1" x14ac:dyDescent="0.25">
      <c r="B73" s="23" t="s">
        <v>113</v>
      </c>
      <c r="C73" s="49">
        <f>AVERAGE('26.10 KYENJOJO-HOIMA-24h'!C73,'28.10 KYENJOJO-HOIMA-24h'!C73)</f>
        <v>1</v>
      </c>
      <c r="D73" s="49">
        <f>AVERAGE('26.10 KYENJOJO-HOIMA-24h'!D73,'28.10 KYENJOJO-HOIMA-24h'!D73)</f>
        <v>0</v>
      </c>
      <c r="E73" s="49">
        <f>AVERAGE('26.10 KYENJOJO-HOIMA-24h'!E73,'28.10 KYENJOJO-HOIMA-24h'!E73)</f>
        <v>0.5</v>
      </c>
      <c r="F73" s="49">
        <f>AVERAGE('26.10 KYENJOJO-HOIMA-24h'!F73,'28.10 KYENJOJO-HOIMA-24h'!F73)</f>
        <v>0.5</v>
      </c>
      <c r="G73" s="49">
        <f>AVERAGE('26.10 KYENJOJO-HOIMA-24h'!G73,'28.10 KYENJOJO-HOIMA-24h'!G73)</f>
        <v>0</v>
      </c>
      <c r="H73" s="49">
        <f>AVERAGE('26.10 KYENJOJO-HOIMA-24h'!H73,'28.10 KYENJOJO-HOIMA-24h'!H73)</f>
        <v>0</v>
      </c>
      <c r="I73" s="49">
        <f>AVERAGE('26.10 KYENJOJO-HOIMA-24h'!I73,'28.10 KYENJOJO-HOIMA-24h'!I73)</f>
        <v>0</v>
      </c>
      <c r="J73" s="49">
        <f>AVERAGE('26.10 KYENJOJO-HOIMA-24h'!J73,'28.10 KYENJOJO-HOIMA-24h'!J73)</f>
        <v>0</v>
      </c>
      <c r="K73" s="49">
        <f>AVERAGE('26.10 KYENJOJO-HOIMA-24h'!K73,'28.10 KYENJOJO-HOIMA-24h'!K73)</f>
        <v>0</v>
      </c>
      <c r="L73" s="49">
        <f>AVERAGE('26.10 KYENJOJO-HOIMA-24h'!L73,'28.10 KYENJOJO-HOIMA-24h'!L73)</f>
        <v>0</v>
      </c>
      <c r="M73" s="49">
        <f>AVERAGE('26.10 KYENJOJO-HOIMA-24h'!M73,'28.10 KYENJOJO-HOIMA-24h'!M73)</f>
        <v>7</v>
      </c>
      <c r="N73" s="49">
        <f>AVERAGE('26.10 KYENJOJO-HOIMA-24h'!N73,'28.10 KYENJOJO-HOIMA-24h'!N73)</f>
        <v>0</v>
      </c>
      <c r="O73" s="15">
        <f t="shared" si="0"/>
        <v>2</v>
      </c>
      <c r="P73" s="15">
        <f t="shared" si="1"/>
        <v>9</v>
      </c>
      <c r="R73" s="8"/>
      <c r="T73"/>
    </row>
    <row r="74" spans="2:20" ht="23.1" customHeight="1" x14ac:dyDescent="0.25">
      <c r="B74" s="23" t="s">
        <v>114</v>
      </c>
      <c r="C74" s="49">
        <f>AVERAGE('26.10 KYENJOJO-HOIMA-24h'!C74,'28.10 KYENJOJO-HOIMA-24h'!C74)</f>
        <v>3.5</v>
      </c>
      <c r="D74" s="49">
        <f>AVERAGE('26.10 KYENJOJO-HOIMA-24h'!D74,'28.10 KYENJOJO-HOIMA-24h'!D74)</f>
        <v>0</v>
      </c>
      <c r="E74" s="49">
        <f>AVERAGE('26.10 KYENJOJO-HOIMA-24h'!E74,'28.10 KYENJOJO-HOIMA-24h'!E74)</f>
        <v>0.5</v>
      </c>
      <c r="F74" s="49">
        <f>AVERAGE('26.10 KYENJOJO-HOIMA-24h'!F74,'28.10 KYENJOJO-HOIMA-24h'!F74)</f>
        <v>0</v>
      </c>
      <c r="G74" s="49">
        <f>AVERAGE('26.10 KYENJOJO-HOIMA-24h'!G74,'28.10 KYENJOJO-HOIMA-24h'!G74)</f>
        <v>0</v>
      </c>
      <c r="H74" s="49">
        <f>AVERAGE('26.10 KYENJOJO-HOIMA-24h'!H74,'28.10 KYENJOJO-HOIMA-24h'!H74)</f>
        <v>0</v>
      </c>
      <c r="I74" s="49">
        <f>AVERAGE('26.10 KYENJOJO-HOIMA-24h'!I74,'28.10 KYENJOJO-HOIMA-24h'!I74)</f>
        <v>0.5</v>
      </c>
      <c r="J74" s="49">
        <f>AVERAGE('26.10 KYENJOJO-HOIMA-24h'!J74,'28.10 KYENJOJO-HOIMA-24h'!J74)</f>
        <v>0</v>
      </c>
      <c r="K74" s="49">
        <f>AVERAGE('26.10 KYENJOJO-HOIMA-24h'!K74,'28.10 KYENJOJO-HOIMA-24h'!K74)</f>
        <v>0.5</v>
      </c>
      <c r="L74" s="49">
        <f>AVERAGE('26.10 KYENJOJO-HOIMA-24h'!L74,'28.10 KYENJOJO-HOIMA-24h'!L74)</f>
        <v>0</v>
      </c>
      <c r="M74" s="49">
        <f>AVERAGE('26.10 KYENJOJO-HOIMA-24h'!M74,'28.10 KYENJOJO-HOIMA-24h'!M74)</f>
        <v>5</v>
      </c>
      <c r="N74" s="49">
        <f>AVERAGE('26.10 KYENJOJO-HOIMA-24h'!N74,'28.10 KYENJOJO-HOIMA-24h'!N74)</f>
        <v>0</v>
      </c>
      <c r="O74" s="15">
        <f t="shared" ref="O74:O105" si="35">SUM(C74:L74,N74)</f>
        <v>5</v>
      </c>
      <c r="P74" s="15">
        <f t="shared" ref="P74:P105" si="36">SUM(C74:N74)</f>
        <v>10</v>
      </c>
      <c r="R74" s="8"/>
      <c r="T74"/>
    </row>
    <row r="75" spans="2:20" ht="23.1" customHeight="1" x14ac:dyDescent="0.25">
      <c r="B75" s="23" t="s">
        <v>115</v>
      </c>
      <c r="C75" s="49">
        <f>AVERAGE('26.10 KYENJOJO-HOIMA-24h'!C75,'28.10 KYENJOJO-HOIMA-24h'!C75)</f>
        <v>1</v>
      </c>
      <c r="D75" s="49">
        <f>AVERAGE('26.10 KYENJOJO-HOIMA-24h'!D75,'28.10 KYENJOJO-HOIMA-24h'!D75)</f>
        <v>0.5</v>
      </c>
      <c r="E75" s="49">
        <f>AVERAGE('26.10 KYENJOJO-HOIMA-24h'!E75,'28.10 KYENJOJO-HOIMA-24h'!E75)</f>
        <v>0</v>
      </c>
      <c r="F75" s="49">
        <f>AVERAGE('26.10 KYENJOJO-HOIMA-24h'!F75,'28.10 KYENJOJO-HOIMA-24h'!F75)</f>
        <v>0</v>
      </c>
      <c r="G75" s="49">
        <f>AVERAGE('26.10 KYENJOJO-HOIMA-24h'!G75,'28.10 KYENJOJO-HOIMA-24h'!G75)</f>
        <v>0</v>
      </c>
      <c r="H75" s="49">
        <f>AVERAGE('26.10 KYENJOJO-HOIMA-24h'!H75,'28.10 KYENJOJO-HOIMA-24h'!H75)</f>
        <v>0</v>
      </c>
      <c r="I75" s="49">
        <f>AVERAGE('26.10 KYENJOJO-HOIMA-24h'!I75,'28.10 KYENJOJO-HOIMA-24h'!I75)</f>
        <v>0</v>
      </c>
      <c r="J75" s="49">
        <f>AVERAGE('26.10 KYENJOJO-HOIMA-24h'!J75,'28.10 KYENJOJO-HOIMA-24h'!J75)</f>
        <v>0</v>
      </c>
      <c r="K75" s="49">
        <f>AVERAGE('26.10 KYENJOJO-HOIMA-24h'!K75,'28.10 KYENJOJO-HOIMA-24h'!K75)</f>
        <v>0</v>
      </c>
      <c r="L75" s="49">
        <f>AVERAGE('26.10 KYENJOJO-HOIMA-24h'!L75,'28.10 KYENJOJO-HOIMA-24h'!L75)</f>
        <v>0</v>
      </c>
      <c r="M75" s="49">
        <f>AVERAGE('26.10 KYENJOJO-HOIMA-24h'!M75,'28.10 KYENJOJO-HOIMA-24h'!M75)</f>
        <v>2</v>
      </c>
      <c r="N75" s="49">
        <f>AVERAGE('26.10 KYENJOJO-HOIMA-24h'!N75,'28.10 KYENJOJO-HOIMA-24h'!N75)</f>
        <v>0</v>
      </c>
      <c r="O75" s="15">
        <f t="shared" si="35"/>
        <v>1.5</v>
      </c>
      <c r="P75" s="15">
        <f t="shared" si="36"/>
        <v>3.5</v>
      </c>
      <c r="R75" s="8"/>
      <c r="T75"/>
    </row>
    <row r="76" spans="2:20" ht="23.1" customHeight="1" x14ac:dyDescent="0.25">
      <c r="B76" s="23" t="s">
        <v>116</v>
      </c>
      <c r="C76" s="49">
        <f>AVERAGE('26.10 KYENJOJO-HOIMA-24h'!C76,'28.10 KYENJOJO-HOIMA-24h'!C76)</f>
        <v>1</v>
      </c>
      <c r="D76" s="49">
        <f>AVERAGE('26.10 KYENJOJO-HOIMA-24h'!D76,'28.10 KYENJOJO-HOIMA-24h'!D76)</f>
        <v>0</v>
      </c>
      <c r="E76" s="49">
        <f>AVERAGE('26.10 KYENJOJO-HOIMA-24h'!E76,'28.10 KYENJOJO-HOIMA-24h'!E76)</f>
        <v>0</v>
      </c>
      <c r="F76" s="49">
        <f>AVERAGE('26.10 KYENJOJO-HOIMA-24h'!F76,'28.10 KYENJOJO-HOIMA-24h'!F76)</f>
        <v>0</v>
      </c>
      <c r="G76" s="49">
        <f>AVERAGE('26.10 KYENJOJO-HOIMA-24h'!G76,'28.10 KYENJOJO-HOIMA-24h'!G76)</f>
        <v>0</v>
      </c>
      <c r="H76" s="49">
        <f>AVERAGE('26.10 KYENJOJO-HOIMA-24h'!H76,'28.10 KYENJOJO-HOIMA-24h'!H76)</f>
        <v>0</v>
      </c>
      <c r="I76" s="49">
        <f>AVERAGE('26.10 KYENJOJO-HOIMA-24h'!I76,'28.10 KYENJOJO-HOIMA-24h'!I76)</f>
        <v>0</v>
      </c>
      <c r="J76" s="49">
        <f>AVERAGE('26.10 KYENJOJO-HOIMA-24h'!J76,'28.10 KYENJOJO-HOIMA-24h'!J76)</f>
        <v>0</v>
      </c>
      <c r="K76" s="49">
        <f>AVERAGE('26.10 KYENJOJO-HOIMA-24h'!K76,'28.10 KYENJOJO-HOIMA-24h'!K76)</f>
        <v>0</v>
      </c>
      <c r="L76" s="49">
        <f>AVERAGE('26.10 KYENJOJO-HOIMA-24h'!L76,'28.10 KYENJOJO-HOIMA-24h'!L76)</f>
        <v>0</v>
      </c>
      <c r="M76" s="49">
        <f>AVERAGE('26.10 KYENJOJO-HOIMA-24h'!M76,'28.10 KYENJOJO-HOIMA-24h'!M76)</f>
        <v>4.5</v>
      </c>
      <c r="N76" s="49">
        <f>AVERAGE('26.10 KYENJOJO-HOIMA-24h'!N76,'28.10 KYENJOJO-HOIMA-24h'!N76)</f>
        <v>0</v>
      </c>
      <c r="O76" s="15">
        <f t="shared" si="35"/>
        <v>1</v>
      </c>
      <c r="P76" s="15">
        <f t="shared" si="36"/>
        <v>5.5</v>
      </c>
      <c r="R76" s="8"/>
      <c r="T76"/>
    </row>
    <row r="77" spans="2:20" ht="23.1" customHeight="1" x14ac:dyDescent="0.25">
      <c r="B77" s="23" t="s">
        <v>117</v>
      </c>
      <c r="C77" s="49">
        <f>AVERAGE('26.10 KYENJOJO-HOIMA-24h'!C77,'28.10 KYENJOJO-HOIMA-24h'!C77)</f>
        <v>0</v>
      </c>
      <c r="D77" s="49">
        <f>AVERAGE('26.10 KYENJOJO-HOIMA-24h'!D77,'28.10 KYENJOJO-HOIMA-24h'!D77)</f>
        <v>0.5</v>
      </c>
      <c r="E77" s="49">
        <f>AVERAGE('26.10 KYENJOJO-HOIMA-24h'!E77,'28.10 KYENJOJO-HOIMA-24h'!E77)</f>
        <v>0.5</v>
      </c>
      <c r="F77" s="49">
        <f>AVERAGE('26.10 KYENJOJO-HOIMA-24h'!F77,'28.10 KYENJOJO-HOIMA-24h'!F77)</f>
        <v>1.5</v>
      </c>
      <c r="G77" s="49">
        <f>AVERAGE('26.10 KYENJOJO-HOIMA-24h'!G77,'28.10 KYENJOJO-HOIMA-24h'!G77)</f>
        <v>0</v>
      </c>
      <c r="H77" s="49">
        <f>AVERAGE('26.10 KYENJOJO-HOIMA-24h'!H77,'28.10 KYENJOJO-HOIMA-24h'!H77)</f>
        <v>0</v>
      </c>
      <c r="I77" s="49">
        <f>AVERAGE('26.10 KYENJOJO-HOIMA-24h'!I77,'28.10 KYENJOJO-HOIMA-24h'!I77)</f>
        <v>0</v>
      </c>
      <c r="J77" s="49">
        <f>AVERAGE('26.10 KYENJOJO-HOIMA-24h'!J77,'28.10 KYENJOJO-HOIMA-24h'!J77)</f>
        <v>0</v>
      </c>
      <c r="K77" s="49">
        <f>AVERAGE('26.10 KYENJOJO-HOIMA-24h'!K77,'28.10 KYENJOJO-HOIMA-24h'!K77)</f>
        <v>0</v>
      </c>
      <c r="L77" s="49">
        <f>AVERAGE('26.10 KYENJOJO-HOIMA-24h'!L77,'28.10 KYENJOJO-HOIMA-24h'!L77)</f>
        <v>0</v>
      </c>
      <c r="M77" s="49">
        <f>AVERAGE('26.10 KYENJOJO-HOIMA-24h'!M77,'28.10 KYENJOJO-HOIMA-24h'!M77)</f>
        <v>4.5</v>
      </c>
      <c r="N77" s="49">
        <f>AVERAGE('26.10 KYENJOJO-HOIMA-24h'!N77,'28.10 KYENJOJO-HOIMA-24h'!N77)</f>
        <v>0</v>
      </c>
      <c r="O77" s="15">
        <f t="shared" si="35"/>
        <v>2.5</v>
      </c>
      <c r="P77" s="15">
        <f t="shared" si="36"/>
        <v>7</v>
      </c>
      <c r="R77" s="8"/>
      <c r="T77"/>
    </row>
    <row r="78" spans="2:20" ht="23.1" customHeight="1" x14ac:dyDescent="0.25">
      <c r="B78" s="24" t="s">
        <v>118</v>
      </c>
      <c r="C78" s="49">
        <f>AVERAGE('26.10 KYENJOJO-HOIMA-24h'!C78,'28.10 KYENJOJO-HOIMA-24h'!C78)</f>
        <v>1.5</v>
      </c>
      <c r="D78" s="49">
        <f>AVERAGE('26.10 KYENJOJO-HOIMA-24h'!D78,'28.10 KYENJOJO-HOIMA-24h'!D78)</f>
        <v>0.5</v>
      </c>
      <c r="E78" s="49">
        <f>AVERAGE('26.10 KYENJOJO-HOIMA-24h'!E78,'28.10 KYENJOJO-HOIMA-24h'!E78)</f>
        <v>0</v>
      </c>
      <c r="F78" s="49">
        <f>AVERAGE('26.10 KYENJOJO-HOIMA-24h'!F78,'28.10 KYENJOJO-HOIMA-24h'!F78)</f>
        <v>0</v>
      </c>
      <c r="G78" s="49">
        <f>AVERAGE('26.10 KYENJOJO-HOIMA-24h'!G78,'28.10 KYENJOJO-HOIMA-24h'!G78)</f>
        <v>0</v>
      </c>
      <c r="H78" s="49">
        <f>AVERAGE('26.10 KYENJOJO-HOIMA-24h'!H78,'28.10 KYENJOJO-HOIMA-24h'!H78)</f>
        <v>0</v>
      </c>
      <c r="I78" s="49">
        <f>AVERAGE('26.10 KYENJOJO-HOIMA-24h'!I78,'28.10 KYENJOJO-HOIMA-24h'!I78)</f>
        <v>0</v>
      </c>
      <c r="J78" s="49">
        <f>AVERAGE('26.10 KYENJOJO-HOIMA-24h'!J78,'28.10 KYENJOJO-HOIMA-24h'!J78)</f>
        <v>0</v>
      </c>
      <c r="K78" s="49">
        <f>AVERAGE('26.10 KYENJOJO-HOIMA-24h'!K78,'28.10 KYENJOJO-HOIMA-24h'!K78)</f>
        <v>0</v>
      </c>
      <c r="L78" s="49">
        <f>AVERAGE('26.10 KYENJOJO-HOIMA-24h'!L78,'28.10 KYENJOJO-HOIMA-24h'!L78)</f>
        <v>0</v>
      </c>
      <c r="M78" s="49">
        <f>AVERAGE('26.10 KYENJOJO-HOIMA-24h'!M78,'28.10 KYENJOJO-HOIMA-24h'!M78)</f>
        <v>3.5</v>
      </c>
      <c r="N78" s="49">
        <f>AVERAGE('26.10 KYENJOJO-HOIMA-24h'!N78,'28.10 KYENJOJO-HOIMA-24h'!N78)</f>
        <v>0</v>
      </c>
      <c r="O78" s="15">
        <f t="shared" si="35"/>
        <v>2</v>
      </c>
      <c r="P78" s="15">
        <f t="shared" si="36"/>
        <v>5.5</v>
      </c>
      <c r="R78" s="8"/>
      <c r="T78"/>
    </row>
    <row r="79" spans="2:20" ht="23.1" customHeight="1" x14ac:dyDescent="0.25">
      <c r="B79" s="23" t="s">
        <v>119</v>
      </c>
      <c r="C79" s="49">
        <f>AVERAGE('26.10 KYENJOJO-HOIMA-24h'!C79,'28.10 KYENJOJO-HOIMA-24h'!C79)</f>
        <v>0</v>
      </c>
      <c r="D79" s="49">
        <f>AVERAGE('26.10 KYENJOJO-HOIMA-24h'!D79,'28.10 KYENJOJO-HOIMA-24h'!D79)</f>
        <v>0</v>
      </c>
      <c r="E79" s="49">
        <f>AVERAGE('26.10 KYENJOJO-HOIMA-24h'!E79,'28.10 KYENJOJO-HOIMA-24h'!E79)</f>
        <v>0</v>
      </c>
      <c r="F79" s="49">
        <f>AVERAGE('26.10 KYENJOJO-HOIMA-24h'!F79,'28.10 KYENJOJO-HOIMA-24h'!F79)</f>
        <v>0.5</v>
      </c>
      <c r="G79" s="49">
        <f>AVERAGE('26.10 KYENJOJO-HOIMA-24h'!G79,'28.10 KYENJOJO-HOIMA-24h'!G79)</f>
        <v>0</v>
      </c>
      <c r="H79" s="49">
        <f>AVERAGE('26.10 KYENJOJO-HOIMA-24h'!H79,'28.10 KYENJOJO-HOIMA-24h'!H79)</f>
        <v>0</v>
      </c>
      <c r="I79" s="49">
        <f>AVERAGE('26.10 KYENJOJO-HOIMA-24h'!I79,'28.10 KYENJOJO-HOIMA-24h'!I79)</f>
        <v>0</v>
      </c>
      <c r="J79" s="49">
        <f>AVERAGE('26.10 KYENJOJO-HOIMA-24h'!J79,'28.10 KYENJOJO-HOIMA-24h'!J79)</f>
        <v>0</v>
      </c>
      <c r="K79" s="49">
        <f>AVERAGE('26.10 KYENJOJO-HOIMA-24h'!K79,'28.10 KYENJOJO-HOIMA-24h'!K79)</f>
        <v>0</v>
      </c>
      <c r="L79" s="49">
        <f>AVERAGE('26.10 KYENJOJO-HOIMA-24h'!L79,'28.10 KYENJOJO-HOIMA-24h'!L79)</f>
        <v>0</v>
      </c>
      <c r="M79" s="49">
        <f>AVERAGE('26.10 KYENJOJO-HOIMA-24h'!M79,'28.10 KYENJOJO-HOIMA-24h'!M79)</f>
        <v>1.5</v>
      </c>
      <c r="N79" s="49">
        <f>AVERAGE('26.10 KYENJOJO-HOIMA-24h'!N79,'28.10 KYENJOJO-HOIMA-24h'!N79)</f>
        <v>0</v>
      </c>
      <c r="O79" s="15">
        <f t="shared" si="35"/>
        <v>0.5</v>
      </c>
      <c r="P79" s="15">
        <f t="shared" si="36"/>
        <v>2</v>
      </c>
      <c r="R79" s="8"/>
      <c r="T79"/>
    </row>
    <row r="80" spans="2:20" ht="23.1" customHeight="1" x14ac:dyDescent="0.25">
      <c r="B80" s="25" t="s">
        <v>120</v>
      </c>
      <c r="C80" s="49">
        <f>AVERAGE('26.10 KYENJOJO-HOIMA-24h'!C80,'28.10 KYENJOJO-HOIMA-24h'!C80)</f>
        <v>0.5</v>
      </c>
      <c r="D80" s="49">
        <f>AVERAGE('26.10 KYENJOJO-HOIMA-24h'!D80,'28.10 KYENJOJO-HOIMA-24h'!D80)</f>
        <v>0</v>
      </c>
      <c r="E80" s="49">
        <f>AVERAGE('26.10 KYENJOJO-HOIMA-24h'!E80,'28.10 KYENJOJO-HOIMA-24h'!E80)</f>
        <v>0</v>
      </c>
      <c r="F80" s="49">
        <f>AVERAGE('26.10 KYENJOJO-HOIMA-24h'!F80,'28.10 KYENJOJO-HOIMA-24h'!F80)</f>
        <v>0</v>
      </c>
      <c r="G80" s="49">
        <f>AVERAGE('26.10 KYENJOJO-HOIMA-24h'!G80,'28.10 KYENJOJO-HOIMA-24h'!G80)</f>
        <v>0</v>
      </c>
      <c r="H80" s="49">
        <f>AVERAGE('26.10 KYENJOJO-HOIMA-24h'!H80,'28.10 KYENJOJO-HOIMA-24h'!H80)</f>
        <v>0</v>
      </c>
      <c r="I80" s="49">
        <f>AVERAGE('26.10 KYENJOJO-HOIMA-24h'!I80,'28.10 KYENJOJO-HOIMA-24h'!I80)</f>
        <v>0</v>
      </c>
      <c r="J80" s="49">
        <f>AVERAGE('26.10 KYENJOJO-HOIMA-24h'!J80,'28.10 KYENJOJO-HOIMA-24h'!J80)</f>
        <v>0</v>
      </c>
      <c r="K80" s="49">
        <f>AVERAGE('26.10 KYENJOJO-HOIMA-24h'!K80,'28.10 KYENJOJO-HOIMA-24h'!K80)</f>
        <v>0</v>
      </c>
      <c r="L80" s="49">
        <f>AVERAGE('26.10 KYENJOJO-HOIMA-24h'!L80,'28.10 KYENJOJO-HOIMA-24h'!L80)</f>
        <v>0</v>
      </c>
      <c r="M80" s="49">
        <f>AVERAGE('26.10 KYENJOJO-HOIMA-24h'!M80,'28.10 KYENJOJO-HOIMA-24h'!M80)</f>
        <v>2.5</v>
      </c>
      <c r="N80" s="49">
        <f>AVERAGE('26.10 KYENJOJO-HOIMA-24h'!N80,'28.10 KYENJOJO-HOIMA-24h'!N80)</f>
        <v>0</v>
      </c>
      <c r="O80" s="15">
        <f t="shared" si="35"/>
        <v>0.5</v>
      </c>
      <c r="P80" s="15">
        <f t="shared" si="36"/>
        <v>3</v>
      </c>
      <c r="R80" s="8"/>
      <c r="T80"/>
    </row>
    <row r="81" spans="2:20" ht="23.1" customHeight="1" x14ac:dyDescent="0.25">
      <c r="B81" s="23" t="s">
        <v>121</v>
      </c>
      <c r="C81" s="49">
        <f>AVERAGE('26.10 KYENJOJO-HOIMA-24h'!C81,'28.10 KYENJOJO-HOIMA-24h'!C81)</f>
        <v>0.5</v>
      </c>
      <c r="D81" s="49">
        <f>AVERAGE('26.10 KYENJOJO-HOIMA-24h'!D81,'28.10 KYENJOJO-HOIMA-24h'!D81)</f>
        <v>0</v>
      </c>
      <c r="E81" s="49">
        <f>AVERAGE('26.10 KYENJOJO-HOIMA-24h'!E81,'28.10 KYENJOJO-HOIMA-24h'!E81)</f>
        <v>0</v>
      </c>
      <c r="F81" s="49">
        <f>AVERAGE('26.10 KYENJOJO-HOIMA-24h'!F81,'28.10 KYENJOJO-HOIMA-24h'!F81)</f>
        <v>0</v>
      </c>
      <c r="G81" s="49">
        <f>AVERAGE('26.10 KYENJOJO-HOIMA-24h'!G81,'28.10 KYENJOJO-HOIMA-24h'!G81)</f>
        <v>0</v>
      </c>
      <c r="H81" s="49">
        <f>AVERAGE('26.10 KYENJOJO-HOIMA-24h'!H81,'28.10 KYENJOJO-HOIMA-24h'!H81)</f>
        <v>0</v>
      </c>
      <c r="I81" s="49">
        <f>AVERAGE('26.10 KYENJOJO-HOIMA-24h'!I81,'28.10 KYENJOJO-HOIMA-24h'!I81)</f>
        <v>0</v>
      </c>
      <c r="J81" s="49">
        <f>AVERAGE('26.10 KYENJOJO-HOIMA-24h'!J81,'28.10 KYENJOJO-HOIMA-24h'!J81)</f>
        <v>0</v>
      </c>
      <c r="K81" s="49">
        <f>AVERAGE('26.10 KYENJOJO-HOIMA-24h'!K81,'28.10 KYENJOJO-HOIMA-24h'!K81)</f>
        <v>0</v>
      </c>
      <c r="L81" s="49">
        <f>AVERAGE('26.10 KYENJOJO-HOIMA-24h'!L81,'28.10 KYENJOJO-HOIMA-24h'!L81)</f>
        <v>0</v>
      </c>
      <c r="M81" s="49">
        <f>AVERAGE('26.10 KYENJOJO-HOIMA-24h'!M81,'28.10 KYENJOJO-HOIMA-24h'!M81)</f>
        <v>4.5</v>
      </c>
      <c r="N81" s="49">
        <f>AVERAGE('26.10 KYENJOJO-HOIMA-24h'!N81,'28.10 KYENJOJO-HOIMA-24h'!N81)</f>
        <v>0</v>
      </c>
      <c r="O81" s="15">
        <f t="shared" si="35"/>
        <v>0.5</v>
      </c>
      <c r="P81" s="15">
        <f t="shared" si="36"/>
        <v>5</v>
      </c>
      <c r="R81" s="8"/>
      <c r="T81"/>
    </row>
    <row r="82" spans="2:20" ht="23.1" customHeight="1" x14ac:dyDescent="0.25">
      <c r="B82" s="24" t="s">
        <v>122</v>
      </c>
      <c r="C82" s="49">
        <f>AVERAGE('26.10 KYENJOJO-HOIMA-24h'!C82,'28.10 KYENJOJO-HOIMA-24h'!C82)</f>
        <v>0.5</v>
      </c>
      <c r="D82" s="49">
        <f>AVERAGE('26.10 KYENJOJO-HOIMA-24h'!D82,'28.10 KYENJOJO-HOIMA-24h'!D82)</f>
        <v>1</v>
      </c>
      <c r="E82" s="49">
        <f>AVERAGE('26.10 KYENJOJO-HOIMA-24h'!E82,'28.10 KYENJOJO-HOIMA-24h'!E82)</f>
        <v>0</v>
      </c>
      <c r="F82" s="49">
        <f>AVERAGE('26.10 KYENJOJO-HOIMA-24h'!F82,'28.10 KYENJOJO-HOIMA-24h'!F82)</f>
        <v>0.5</v>
      </c>
      <c r="G82" s="49">
        <f>AVERAGE('26.10 KYENJOJO-HOIMA-24h'!G82,'28.10 KYENJOJO-HOIMA-24h'!G82)</f>
        <v>0</v>
      </c>
      <c r="H82" s="49">
        <f>AVERAGE('26.10 KYENJOJO-HOIMA-24h'!H82,'28.10 KYENJOJO-HOIMA-24h'!H82)</f>
        <v>0</v>
      </c>
      <c r="I82" s="49">
        <f>AVERAGE('26.10 KYENJOJO-HOIMA-24h'!I82,'28.10 KYENJOJO-HOIMA-24h'!I82)</f>
        <v>0</v>
      </c>
      <c r="J82" s="49">
        <f>AVERAGE('26.10 KYENJOJO-HOIMA-24h'!J82,'28.10 KYENJOJO-HOIMA-24h'!J82)</f>
        <v>0</v>
      </c>
      <c r="K82" s="49">
        <f>AVERAGE('26.10 KYENJOJO-HOIMA-24h'!K82,'28.10 KYENJOJO-HOIMA-24h'!K82)</f>
        <v>0</v>
      </c>
      <c r="L82" s="49">
        <f>AVERAGE('26.10 KYENJOJO-HOIMA-24h'!L82,'28.10 KYENJOJO-HOIMA-24h'!L82)</f>
        <v>0</v>
      </c>
      <c r="M82" s="49">
        <f>AVERAGE('26.10 KYENJOJO-HOIMA-24h'!M82,'28.10 KYENJOJO-HOIMA-24h'!M82)</f>
        <v>1</v>
      </c>
      <c r="N82" s="49">
        <f>AVERAGE('26.10 KYENJOJO-HOIMA-24h'!N82,'28.10 KYENJOJO-HOIMA-24h'!N82)</f>
        <v>0</v>
      </c>
      <c r="O82" s="15">
        <f t="shared" si="35"/>
        <v>2</v>
      </c>
      <c r="P82" s="15">
        <f t="shared" si="36"/>
        <v>3</v>
      </c>
      <c r="R82" s="8"/>
      <c r="T82"/>
    </row>
    <row r="83" spans="2:20" ht="23.1" customHeight="1" x14ac:dyDescent="0.25">
      <c r="B83" s="23" t="s">
        <v>123</v>
      </c>
      <c r="C83" s="49">
        <f>AVERAGE('26.10 KYENJOJO-HOIMA-24h'!C83,'28.10 KYENJOJO-HOIMA-24h'!C83)</f>
        <v>0</v>
      </c>
      <c r="D83" s="49">
        <f>AVERAGE('26.10 KYENJOJO-HOIMA-24h'!D83,'28.10 KYENJOJO-HOIMA-24h'!D83)</f>
        <v>0</v>
      </c>
      <c r="E83" s="49">
        <f>AVERAGE('26.10 KYENJOJO-HOIMA-24h'!E83,'28.10 KYENJOJO-HOIMA-24h'!E83)</f>
        <v>0</v>
      </c>
      <c r="F83" s="49">
        <f>AVERAGE('26.10 KYENJOJO-HOIMA-24h'!F83,'28.10 KYENJOJO-HOIMA-24h'!F83)</f>
        <v>0</v>
      </c>
      <c r="G83" s="49">
        <f>AVERAGE('26.10 KYENJOJO-HOIMA-24h'!G83,'28.10 KYENJOJO-HOIMA-24h'!G83)</f>
        <v>0</v>
      </c>
      <c r="H83" s="49">
        <f>AVERAGE('26.10 KYENJOJO-HOIMA-24h'!H83,'28.10 KYENJOJO-HOIMA-24h'!H83)</f>
        <v>0</v>
      </c>
      <c r="I83" s="49">
        <f>AVERAGE('26.10 KYENJOJO-HOIMA-24h'!I83,'28.10 KYENJOJO-HOIMA-24h'!I83)</f>
        <v>0</v>
      </c>
      <c r="J83" s="49">
        <f>AVERAGE('26.10 KYENJOJO-HOIMA-24h'!J83,'28.10 KYENJOJO-HOIMA-24h'!J83)</f>
        <v>0</v>
      </c>
      <c r="K83" s="49">
        <f>AVERAGE('26.10 KYENJOJO-HOIMA-24h'!K83,'28.10 KYENJOJO-HOIMA-24h'!K83)</f>
        <v>0</v>
      </c>
      <c r="L83" s="49">
        <f>AVERAGE('26.10 KYENJOJO-HOIMA-24h'!L83,'28.10 KYENJOJO-HOIMA-24h'!L83)</f>
        <v>0</v>
      </c>
      <c r="M83" s="49">
        <f>AVERAGE('26.10 KYENJOJO-HOIMA-24h'!M83,'28.10 KYENJOJO-HOIMA-24h'!M83)</f>
        <v>2</v>
      </c>
      <c r="N83" s="49">
        <f>AVERAGE('26.10 KYENJOJO-HOIMA-24h'!N83,'28.10 KYENJOJO-HOIMA-24h'!N83)</f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25" t="s">
        <v>124</v>
      </c>
      <c r="C84" s="49">
        <f>AVERAGE('26.10 KYENJOJO-HOIMA-24h'!C84,'28.10 KYENJOJO-HOIMA-24h'!C84)</f>
        <v>0.5</v>
      </c>
      <c r="D84" s="49">
        <f>AVERAGE('26.10 KYENJOJO-HOIMA-24h'!D84,'28.10 KYENJOJO-HOIMA-24h'!D84)</f>
        <v>0</v>
      </c>
      <c r="E84" s="49">
        <f>AVERAGE('26.10 KYENJOJO-HOIMA-24h'!E84,'28.10 KYENJOJO-HOIMA-24h'!E84)</f>
        <v>0</v>
      </c>
      <c r="F84" s="49">
        <f>AVERAGE('26.10 KYENJOJO-HOIMA-24h'!F84,'28.10 KYENJOJO-HOIMA-24h'!F84)</f>
        <v>0.5</v>
      </c>
      <c r="G84" s="49">
        <f>AVERAGE('26.10 KYENJOJO-HOIMA-24h'!G84,'28.10 KYENJOJO-HOIMA-24h'!G84)</f>
        <v>0</v>
      </c>
      <c r="H84" s="49">
        <f>AVERAGE('26.10 KYENJOJO-HOIMA-24h'!H84,'28.10 KYENJOJO-HOIMA-24h'!H84)</f>
        <v>0</v>
      </c>
      <c r="I84" s="49">
        <f>AVERAGE('26.10 KYENJOJO-HOIMA-24h'!I84,'28.10 KYENJOJO-HOIMA-24h'!I84)</f>
        <v>0</v>
      </c>
      <c r="J84" s="49">
        <f>AVERAGE('26.10 KYENJOJO-HOIMA-24h'!J84,'28.10 KYENJOJO-HOIMA-24h'!J84)</f>
        <v>0.5</v>
      </c>
      <c r="K84" s="49">
        <f>AVERAGE('26.10 KYENJOJO-HOIMA-24h'!K84,'28.10 KYENJOJO-HOIMA-24h'!K84)</f>
        <v>0</v>
      </c>
      <c r="L84" s="49">
        <f>AVERAGE('26.10 KYENJOJO-HOIMA-24h'!L84,'28.10 KYENJOJO-HOIMA-24h'!L84)</f>
        <v>0</v>
      </c>
      <c r="M84" s="49">
        <f>AVERAGE('26.10 KYENJOJO-HOIMA-24h'!M84,'28.10 KYENJOJO-HOIMA-24h'!M84)</f>
        <v>0</v>
      </c>
      <c r="N84" s="49">
        <f>AVERAGE('26.10 KYENJOJO-HOIMA-24h'!N84,'28.10 KYENJOJO-HOIMA-24h'!N84)</f>
        <v>0</v>
      </c>
      <c r="O84" s="15">
        <f t="shared" si="35"/>
        <v>1.5</v>
      </c>
      <c r="P84" s="15">
        <f t="shared" si="36"/>
        <v>1.5</v>
      </c>
      <c r="R84" s="8"/>
      <c r="T84"/>
    </row>
    <row r="85" spans="2:20" ht="23.1" customHeight="1" x14ac:dyDescent="0.25">
      <c r="B85" s="23" t="s">
        <v>125</v>
      </c>
      <c r="C85" s="49">
        <f>AVERAGE('26.10 KYENJOJO-HOIMA-24h'!C85,'28.10 KYENJOJO-HOIMA-24h'!C85)</f>
        <v>1</v>
      </c>
      <c r="D85" s="49">
        <f>AVERAGE('26.10 KYENJOJO-HOIMA-24h'!D85,'28.10 KYENJOJO-HOIMA-24h'!D85)</f>
        <v>0</v>
      </c>
      <c r="E85" s="49">
        <f>AVERAGE('26.10 KYENJOJO-HOIMA-24h'!E85,'28.10 KYENJOJO-HOIMA-24h'!E85)</f>
        <v>0</v>
      </c>
      <c r="F85" s="49">
        <f>AVERAGE('26.10 KYENJOJO-HOIMA-24h'!F85,'28.10 KYENJOJO-HOIMA-24h'!F85)</f>
        <v>0.5</v>
      </c>
      <c r="G85" s="49">
        <f>AVERAGE('26.10 KYENJOJO-HOIMA-24h'!G85,'28.10 KYENJOJO-HOIMA-24h'!G85)</f>
        <v>0</v>
      </c>
      <c r="H85" s="49">
        <f>AVERAGE('26.10 KYENJOJO-HOIMA-24h'!H85,'28.10 KYENJOJO-HOIMA-24h'!H85)</f>
        <v>0</v>
      </c>
      <c r="I85" s="49">
        <f>AVERAGE('26.10 KYENJOJO-HOIMA-24h'!I85,'28.10 KYENJOJO-HOIMA-24h'!I85)</f>
        <v>0</v>
      </c>
      <c r="J85" s="49">
        <f>AVERAGE('26.10 KYENJOJO-HOIMA-24h'!J85,'28.10 KYENJOJO-HOIMA-24h'!J85)</f>
        <v>0</v>
      </c>
      <c r="K85" s="49">
        <f>AVERAGE('26.10 KYENJOJO-HOIMA-24h'!K85,'28.10 KYENJOJO-HOIMA-24h'!K85)</f>
        <v>0</v>
      </c>
      <c r="L85" s="49">
        <f>AVERAGE('26.10 KYENJOJO-HOIMA-24h'!L85,'28.10 KYENJOJO-HOIMA-24h'!L85)</f>
        <v>0</v>
      </c>
      <c r="M85" s="49">
        <f>AVERAGE('26.10 KYENJOJO-HOIMA-24h'!M85,'28.10 KYENJOJO-HOIMA-24h'!M85)</f>
        <v>3.5</v>
      </c>
      <c r="N85" s="49">
        <f>AVERAGE('26.10 KYENJOJO-HOIMA-24h'!N85,'28.10 KYENJOJO-HOIMA-24h'!N85)</f>
        <v>0</v>
      </c>
      <c r="O85" s="15">
        <f t="shared" si="35"/>
        <v>1.5</v>
      </c>
      <c r="P85" s="15">
        <f t="shared" si="36"/>
        <v>5</v>
      </c>
      <c r="R85" s="8"/>
      <c r="T85"/>
    </row>
    <row r="86" spans="2:20" ht="23.1" customHeight="1" x14ac:dyDescent="0.25">
      <c r="B86" s="24" t="s">
        <v>126</v>
      </c>
      <c r="C86" s="49">
        <f>AVERAGE('26.10 KYENJOJO-HOIMA-24h'!C86,'28.10 KYENJOJO-HOIMA-24h'!C86)</f>
        <v>0.5</v>
      </c>
      <c r="D86" s="49">
        <f>AVERAGE('26.10 KYENJOJO-HOIMA-24h'!D86,'28.10 KYENJOJO-HOIMA-24h'!D86)</f>
        <v>0</v>
      </c>
      <c r="E86" s="49">
        <f>AVERAGE('26.10 KYENJOJO-HOIMA-24h'!E86,'28.10 KYENJOJO-HOIMA-24h'!E86)</f>
        <v>0</v>
      </c>
      <c r="F86" s="49">
        <f>AVERAGE('26.10 KYENJOJO-HOIMA-24h'!F86,'28.10 KYENJOJO-HOIMA-24h'!F86)</f>
        <v>0</v>
      </c>
      <c r="G86" s="49">
        <f>AVERAGE('26.10 KYENJOJO-HOIMA-24h'!G86,'28.10 KYENJOJO-HOIMA-24h'!G86)</f>
        <v>0</v>
      </c>
      <c r="H86" s="49">
        <f>AVERAGE('26.10 KYENJOJO-HOIMA-24h'!H86,'28.10 KYENJOJO-HOIMA-24h'!H86)</f>
        <v>0</v>
      </c>
      <c r="I86" s="49">
        <f>AVERAGE('26.10 KYENJOJO-HOIMA-24h'!I86,'28.10 KYENJOJO-HOIMA-24h'!I86)</f>
        <v>0</v>
      </c>
      <c r="J86" s="49">
        <f>AVERAGE('26.10 KYENJOJO-HOIMA-24h'!J86,'28.10 KYENJOJO-HOIMA-24h'!J86)</f>
        <v>1</v>
      </c>
      <c r="K86" s="49">
        <f>AVERAGE('26.10 KYENJOJO-HOIMA-24h'!K86,'28.10 KYENJOJO-HOIMA-24h'!K86)</f>
        <v>0</v>
      </c>
      <c r="L86" s="49">
        <f>AVERAGE('26.10 KYENJOJO-HOIMA-24h'!L86,'28.10 KYENJOJO-HOIMA-24h'!L86)</f>
        <v>0</v>
      </c>
      <c r="M86" s="49">
        <f>AVERAGE('26.10 KYENJOJO-HOIMA-24h'!M86,'28.10 KYENJOJO-HOIMA-24h'!M86)</f>
        <v>0.5</v>
      </c>
      <c r="N86" s="49">
        <f>AVERAGE('26.10 KYENJOJO-HOIMA-24h'!N86,'28.10 KYENJOJO-HOIMA-24h'!N86)</f>
        <v>0</v>
      </c>
      <c r="O86" s="15">
        <f t="shared" si="35"/>
        <v>1.5</v>
      </c>
      <c r="P86" s="15">
        <f t="shared" si="36"/>
        <v>2</v>
      </c>
      <c r="R86" s="8"/>
      <c r="T86"/>
    </row>
    <row r="87" spans="2:20" ht="23.1" customHeight="1" x14ac:dyDescent="0.25">
      <c r="B87" s="23" t="s">
        <v>127</v>
      </c>
      <c r="C87" s="49">
        <f>AVERAGE('26.10 KYENJOJO-HOIMA-24h'!C87,'28.10 KYENJOJO-HOIMA-24h'!C87)</f>
        <v>0</v>
      </c>
      <c r="D87" s="49">
        <f>AVERAGE('26.10 KYENJOJO-HOIMA-24h'!D87,'28.10 KYENJOJO-HOIMA-24h'!D87)</f>
        <v>0</v>
      </c>
      <c r="E87" s="49">
        <f>AVERAGE('26.10 KYENJOJO-HOIMA-24h'!E87,'28.10 KYENJOJO-HOIMA-24h'!E87)</f>
        <v>0</v>
      </c>
      <c r="F87" s="49">
        <f>AVERAGE('26.10 KYENJOJO-HOIMA-24h'!F87,'28.10 KYENJOJO-HOIMA-24h'!F87)</f>
        <v>0</v>
      </c>
      <c r="G87" s="49">
        <f>AVERAGE('26.10 KYENJOJO-HOIMA-24h'!G87,'28.10 KYENJOJO-HOIMA-24h'!G87)</f>
        <v>0</v>
      </c>
      <c r="H87" s="49">
        <f>AVERAGE('26.10 KYENJOJO-HOIMA-24h'!H87,'28.10 KYENJOJO-HOIMA-24h'!H87)</f>
        <v>0</v>
      </c>
      <c r="I87" s="49">
        <f>AVERAGE('26.10 KYENJOJO-HOIMA-24h'!I87,'28.10 KYENJOJO-HOIMA-24h'!I87)</f>
        <v>0</v>
      </c>
      <c r="J87" s="49">
        <f>AVERAGE('26.10 KYENJOJO-HOIMA-24h'!J87,'28.10 KYENJOJO-HOIMA-24h'!J87)</f>
        <v>0</v>
      </c>
      <c r="K87" s="49">
        <f>AVERAGE('26.10 KYENJOJO-HOIMA-24h'!K87,'28.10 KYENJOJO-HOIMA-24h'!K87)</f>
        <v>0</v>
      </c>
      <c r="L87" s="49">
        <f>AVERAGE('26.10 KYENJOJO-HOIMA-24h'!L87,'28.10 KYENJOJO-HOIMA-24h'!L87)</f>
        <v>0</v>
      </c>
      <c r="M87" s="49">
        <f>AVERAGE('26.10 KYENJOJO-HOIMA-24h'!M87,'28.10 KYENJOJO-HOIMA-24h'!M87)</f>
        <v>0.5</v>
      </c>
      <c r="N87" s="49">
        <f>AVERAGE('26.10 KYENJOJO-HOIMA-24h'!N87,'28.10 KYENJOJO-HOIMA-24h'!N87)</f>
        <v>0</v>
      </c>
      <c r="O87" s="15">
        <f t="shared" si="35"/>
        <v>0</v>
      </c>
      <c r="P87" s="15">
        <f t="shared" si="36"/>
        <v>0.5</v>
      </c>
      <c r="R87" s="8"/>
      <c r="T87"/>
    </row>
    <row r="88" spans="2:20" ht="23.1" customHeight="1" x14ac:dyDescent="0.25">
      <c r="B88" s="25" t="s">
        <v>128</v>
      </c>
      <c r="C88" s="49">
        <f>AVERAGE('26.10 KYENJOJO-HOIMA-24h'!C88,'28.10 KYENJOJO-HOIMA-24h'!C88)</f>
        <v>0</v>
      </c>
      <c r="D88" s="49">
        <f>AVERAGE('26.10 KYENJOJO-HOIMA-24h'!D88,'28.10 KYENJOJO-HOIMA-24h'!D88)</f>
        <v>0</v>
      </c>
      <c r="E88" s="49">
        <f>AVERAGE('26.10 KYENJOJO-HOIMA-24h'!E88,'28.10 KYENJOJO-HOIMA-24h'!E88)</f>
        <v>0</v>
      </c>
      <c r="F88" s="49">
        <f>AVERAGE('26.10 KYENJOJO-HOIMA-24h'!F88,'28.10 KYENJOJO-HOIMA-24h'!F88)</f>
        <v>0</v>
      </c>
      <c r="G88" s="49">
        <f>AVERAGE('26.10 KYENJOJO-HOIMA-24h'!G88,'28.10 KYENJOJO-HOIMA-24h'!G88)</f>
        <v>0</v>
      </c>
      <c r="H88" s="49">
        <f>AVERAGE('26.10 KYENJOJO-HOIMA-24h'!H88,'28.10 KYENJOJO-HOIMA-24h'!H88)</f>
        <v>0</v>
      </c>
      <c r="I88" s="49">
        <f>AVERAGE('26.10 KYENJOJO-HOIMA-24h'!I88,'28.10 KYENJOJO-HOIMA-24h'!I88)</f>
        <v>0</v>
      </c>
      <c r="J88" s="49">
        <f>AVERAGE('26.10 KYENJOJO-HOIMA-24h'!J88,'28.10 KYENJOJO-HOIMA-24h'!J88)</f>
        <v>0</v>
      </c>
      <c r="K88" s="49">
        <f>AVERAGE('26.10 KYENJOJO-HOIMA-24h'!K88,'28.10 KYENJOJO-HOIMA-24h'!K88)</f>
        <v>0</v>
      </c>
      <c r="L88" s="49">
        <f>AVERAGE('26.10 KYENJOJO-HOIMA-24h'!L88,'28.10 KYENJOJO-HOIMA-24h'!L88)</f>
        <v>0</v>
      </c>
      <c r="M88" s="49">
        <f>AVERAGE('26.10 KYENJOJO-HOIMA-24h'!M88,'28.10 KYENJOJO-HOIMA-24h'!M88)</f>
        <v>0</v>
      </c>
      <c r="N88" s="49">
        <f>AVERAGE('26.10 KYENJOJO-HOIMA-24h'!N88,'28.10 KYENJOJO-HOIMA-24h'!N88)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AVERAGE('26.10 KYENJOJO-HOIMA-24h'!C89,'28.10 KYENJOJO-HOIMA-24h'!C89)</f>
        <v>1</v>
      </c>
      <c r="D89" s="49">
        <f>AVERAGE('26.10 KYENJOJO-HOIMA-24h'!D89,'28.10 KYENJOJO-HOIMA-24h'!D89)</f>
        <v>0</v>
      </c>
      <c r="E89" s="49">
        <f>AVERAGE('26.10 KYENJOJO-HOIMA-24h'!E89,'28.10 KYENJOJO-HOIMA-24h'!E89)</f>
        <v>0</v>
      </c>
      <c r="F89" s="49">
        <f>AVERAGE('26.10 KYENJOJO-HOIMA-24h'!F89,'28.10 KYENJOJO-HOIMA-24h'!F89)</f>
        <v>0</v>
      </c>
      <c r="G89" s="49">
        <f>AVERAGE('26.10 KYENJOJO-HOIMA-24h'!G89,'28.10 KYENJOJO-HOIMA-24h'!G89)</f>
        <v>0</v>
      </c>
      <c r="H89" s="49">
        <f>AVERAGE('26.10 KYENJOJO-HOIMA-24h'!H89,'28.10 KYENJOJO-HOIMA-24h'!H89)</f>
        <v>0</v>
      </c>
      <c r="I89" s="49">
        <f>AVERAGE('26.10 KYENJOJO-HOIMA-24h'!I89,'28.10 KYENJOJO-HOIMA-24h'!I89)</f>
        <v>0</v>
      </c>
      <c r="J89" s="49">
        <f>AVERAGE('26.10 KYENJOJO-HOIMA-24h'!J89,'28.10 KYENJOJO-HOIMA-24h'!J89)</f>
        <v>0</v>
      </c>
      <c r="K89" s="49">
        <f>AVERAGE('26.10 KYENJOJO-HOIMA-24h'!K89,'28.10 KYENJOJO-HOIMA-24h'!K89)</f>
        <v>0</v>
      </c>
      <c r="L89" s="49">
        <f>AVERAGE('26.10 KYENJOJO-HOIMA-24h'!L89,'28.10 KYENJOJO-HOIMA-24h'!L89)</f>
        <v>0</v>
      </c>
      <c r="M89" s="49">
        <f>AVERAGE('26.10 KYENJOJO-HOIMA-24h'!M89,'28.10 KYENJOJO-HOIMA-24h'!M89)</f>
        <v>1</v>
      </c>
      <c r="N89" s="49">
        <f>AVERAGE('26.10 KYENJOJO-HOIMA-24h'!N89,'28.10 KYENJOJO-HOIMA-24h'!N89)</f>
        <v>0</v>
      </c>
      <c r="O89" s="15">
        <f t="shared" si="35"/>
        <v>1</v>
      </c>
      <c r="P89" s="15">
        <f t="shared" si="36"/>
        <v>2</v>
      </c>
      <c r="R89" s="8"/>
      <c r="T89"/>
    </row>
    <row r="90" spans="2:20" ht="23.1" customHeight="1" x14ac:dyDescent="0.25">
      <c r="B90" s="24" t="s">
        <v>130</v>
      </c>
      <c r="C90" s="49">
        <f>AVERAGE('26.10 KYENJOJO-HOIMA-24h'!C90,'28.10 KYENJOJO-HOIMA-24h'!C90)</f>
        <v>0</v>
      </c>
      <c r="D90" s="49">
        <f>AVERAGE('26.10 KYENJOJO-HOIMA-24h'!D90,'28.10 KYENJOJO-HOIMA-24h'!D90)</f>
        <v>0</v>
      </c>
      <c r="E90" s="49">
        <f>AVERAGE('26.10 KYENJOJO-HOIMA-24h'!E90,'28.10 KYENJOJO-HOIMA-24h'!E90)</f>
        <v>0</v>
      </c>
      <c r="F90" s="49">
        <f>AVERAGE('26.10 KYENJOJO-HOIMA-24h'!F90,'28.10 KYENJOJO-HOIMA-24h'!F90)</f>
        <v>0</v>
      </c>
      <c r="G90" s="49">
        <f>AVERAGE('26.10 KYENJOJO-HOIMA-24h'!G90,'28.10 KYENJOJO-HOIMA-24h'!G90)</f>
        <v>0</v>
      </c>
      <c r="H90" s="49">
        <f>AVERAGE('26.10 KYENJOJO-HOIMA-24h'!H90,'28.10 KYENJOJO-HOIMA-24h'!H90)</f>
        <v>0</v>
      </c>
      <c r="I90" s="49">
        <f>AVERAGE('26.10 KYENJOJO-HOIMA-24h'!I90,'28.10 KYENJOJO-HOIMA-24h'!I90)</f>
        <v>0</v>
      </c>
      <c r="J90" s="49">
        <f>AVERAGE('26.10 KYENJOJO-HOIMA-24h'!J90,'28.10 KYENJOJO-HOIMA-24h'!J90)</f>
        <v>0</v>
      </c>
      <c r="K90" s="49">
        <f>AVERAGE('26.10 KYENJOJO-HOIMA-24h'!K90,'28.10 KYENJOJO-HOIMA-24h'!K90)</f>
        <v>0</v>
      </c>
      <c r="L90" s="49">
        <f>AVERAGE('26.10 KYENJOJO-HOIMA-24h'!L90,'28.10 KYENJOJO-HOIMA-24h'!L90)</f>
        <v>0</v>
      </c>
      <c r="M90" s="49">
        <f>AVERAGE('26.10 KYENJOJO-HOIMA-24h'!M90,'28.10 KYENJOJO-HOIMA-24h'!M90)</f>
        <v>0.5</v>
      </c>
      <c r="N90" s="49">
        <f>AVERAGE('26.10 KYENJOJO-HOIMA-24h'!N90,'28.10 KYENJOJO-HOIMA-24h'!N90)</f>
        <v>0</v>
      </c>
      <c r="O90" s="15">
        <f t="shared" si="35"/>
        <v>0</v>
      </c>
      <c r="P90" s="15">
        <f t="shared" si="36"/>
        <v>0.5</v>
      </c>
      <c r="R90" s="8"/>
      <c r="T90"/>
    </row>
    <row r="91" spans="2:20" ht="23.1" customHeight="1" x14ac:dyDescent="0.25">
      <c r="B91" s="23" t="s">
        <v>131</v>
      </c>
      <c r="C91" s="49">
        <f>AVERAGE('26.10 KYENJOJO-HOIMA-24h'!C91,'28.10 KYENJOJO-HOIMA-24h'!C91)</f>
        <v>0</v>
      </c>
      <c r="D91" s="49">
        <f>AVERAGE('26.10 KYENJOJO-HOIMA-24h'!D91,'28.10 KYENJOJO-HOIMA-24h'!D91)</f>
        <v>0</v>
      </c>
      <c r="E91" s="49">
        <f>AVERAGE('26.10 KYENJOJO-HOIMA-24h'!E91,'28.10 KYENJOJO-HOIMA-24h'!E91)</f>
        <v>0</v>
      </c>
      <c r="F91" s="49">
        <f>AVERAGE('26.10 KYENJOJO-HOIMA-24h'!F91,'28.10 KYENJOJO-HOIMA-24h'!F91)</f>
        <v>0</v>
      </c>
      <c r="G91" s="49">
        <f>AVERAGE('26.10 KYENJOJO-HOIMA-24h'!G91,'28.10 KYENJOJO-HOIMA-24h'!G91)</f>
        <v>0</v>
      </c>
      <c r="H91" s="49">
        <f>AVERAGE('26.10 KYENJOJO-HOIMA-24h'!H91,'28.10 KYENJOJO-HOIMA-24h'!H91)</f>
        <v>0</v>
      </c>
      <c r="I91" s="49">
        <f>AVERAGE('26.10 KYENJOJO-HOIMA-24h'!I91,'28.10 KYENJOJO-HOIMA-24h'!I91)</f>
        <v>0</v>
      </c>
      <c r="J91" s="49">
        <f>AVERAGE('26.10 KYENJOJO-HOIMA-24h'!J91,'28.10 KYENJOJO-HOIMA-24h'!J91)</f>
        <v>0</v>
      </c>
      <c r="K91" s="49">
        <f>AVERAGE('26.10 KYENJOJO-HOIMA-24h'!K91,'28.10 KYENJOJO-HOIMA-24h'!K91)</f>
        <v>0</v>
      </c>
      <c r="L91" s="49">
        <f>AVERAGE('26.10 KYENJOJO-HOIMA-24h'!L91,'28.10 KYENJOJO-HOIMA-24h'!L91)</f>
        <v>0</v>
      </c>
      <c r="M91" s="49">
        <f>AVERAGE('26.10 KYENJOJO-HOIMA-24h'!M91,'28.10 KYENJOJO-HOIMA-24h'!M91)</f>
        <v>1</v>
      </c>
      <c r="N91" s="49">
        <f>AVERAGE('26.10 KYENJOJO-HOIMA-24h'!N91,'28.10 KYENJOJO-HOIMA-24h'!N91)</f>
        <v>0</v>
      </c>
      <c r="O91" s="15">
        <f t="shared" si="35"/>
        <v>0</v>
      </c>
      <c r="P91" s="15">
        <f t="shared" si="36"/>
        <v>1</v>
      </c>
      <c r="R91" s="8"/>
      <c r="T91"/>
    </row>
    <row r="92" spans="2:20" ht="23.1" customHeight="1" x14ac:dyDescent="0.25">
      <c r="B92" s="25" t="s">
        <v>132</v>
      </c>
      <c r="C92" s="49">
        <f>AVERAGE('26.10 KYENJOJO-HOIMA-24h'!C92,'28.10 KYENJOJO-HOIMA-24h'!C92)</f>
        <v>0</v>
      </c>
      <c r="D92" s="49">
        <f>AVERAGE('26.10 KYENJOJO-HOIMA-24h'!D92,'28.10 KYENJOJO-HOIMA-24h'!D92)</f>
        <v>0</v>
      </c>
      <c r="E92" s="49">
        <f>AVERAGE('26.10 KYENJOJO-HOIMA-24h'!E92,'28.10 KYENJOJO-HOIMA-24h'!E92)</f>
        <v>0.5</v>
      </c>
      <c r="F92" s="49">
        <f>AVERAGE('26.10 KYENJOJO-HOIMA-24h'!F92,'28.10 KYENJOJO-HOIMA-24h'!F92)</f>
        <v>0</v>
      </c>
      <c r="G92" s="49">
        <f>AVERAGE('26.10 KYENJOJO-HOIMA-24h'!G92,'28.10 KYENJOJO-HOIMA-24h'!G92)</f>
        <v>0.5</v>
      </c>
      <c r="H92" s="49">
        <f>AVERAGE('26.10 KYENJOJO-HOIMA-24h'!H92,'28.10 KYENJOJO-HOIMA-24h'!H92)</f>
        <v>0</v>
      </c>
      <c r="I92" s="49">
        <f>AVERAGE('26.10 KYENJOJO-HOIMA-24h'!I92,'28.10 KYENJOJO-HOIMA-24h'!I92)</f>
        <v>0</v>
      </c>
      <c r="J92" s="49">
        <f>AVERAGE('26.10 KYENJOJO-HOIMA-24h'!J92,'28.10 KYENJOJO-HOIMA-24h'!J92)</f>
        <v>0</v>
      </c>
      <c r="K92" s="49">
        <f>AVERAGE('26.10 KYENJOJO-HOIMA-24h'!K92,'28.10 KYENJOJO-HOIMA-24h'!K92)</f>
        <v>0</v>
      </c>
      <c r="L92" s="49">
        <f>AVERAGE('26.10 KYENJOJO-HOIMA-24h'!L92,'28.10 KYENJOJO-HOIMA-24h'!L92)</f>
        <v>0</v>
      </c>
      <c r="M92" s="49">
        <f>AVERAGE('26.10 KYENJOJO-HOIMA-24h'!M92,'28.10 KYENJOJO-HOIMA-24h'!M92)</f>
        <v>0</v>
      </c>
      <c r="N92" s="49">
        <f>AVERAGE('26.10 KYENJOJO-HOIMA-24h'!N92,'28.10 KYENJOJO-HOIMA-24h'!N92)</f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AVERAGE('26.10 KYENJOJO-HOIMA-24h'!C93,'28.10 KYENJOJO-HOIMA-24h'!C93)</f>
        <v>0</v>
      </c>
      <c r="D93" s="49">
        <f>AVERAGE('26.10 KYENJOJO-HOIMA-24h'!D93,'28.10 KYENJOJO-HOIMA-24h'!D93)</f>
        <v>0</v>
      </c>
      <c r="E93" s="49">
        <f>AVERAGE('26.10 KYENJOJO-HOIMA-24h'!E93,'28.10 KYENJOJO-HOIMA-24h'!E93)</f>
        <v>0</v>
      </c>
      <c r="F93" s="49">
        <f>AVERAGE('26.10 KYENJOJO-HOIMA-24h'!F93,'28.10 KYENJOJO-HOIMA-24h'!F93)</f>
        <v>0</v>
      </c>
      <c r="G93" s="49">
        <f>AVERAGE('26.10 KYENJOJO-HOIMA-24h'!G93,'28.10 KYENJOJO-HOIMA-24h'!G93)</f>
        <v>0</v>
      </c>
      <c r="H93" s="49">
        <f>AVERAGE('26.10 KYENJOJO-HOIMA-24h'!H93,'28.10 KYENJOJO-HOIMA-24h'!H93)</f>
        <v>0</v>
      </c>
      <c r="I93" s="49">
        <f>AVERAGE('26.10 KYENJOJO-HOIMA-24h'!I93,'28.10 KYENJOJO-HOIMA-24h'!I93)</f>
        <v>0</v>
      </c>
      <c r="J93" s="49">
        <f>AVERAGE('26.10 KYENJOJO-HOIMA-24h'!J93,'28.10 KYENJOJO-HOIMA-24h'!J93)</f>
        <v>0</v>
      </c>
      <c r="K93" s="49">
        <f>AVERAGE('26.10 KYENJOJO-HOIMA-24h'!K93,'28.10 KYENJOJO-HOIMA-24h'!K93)</f>
        <v>0</v>
      </c>
      <c r="L93" s="49">
        <f>AVERAGE('26.10 KYENJOJO-HOIMA-24h'!L93,'28.10 KYENJOJO-HOIMA-24h'!L93)</f>
        <v>0</v>
      </c>
      <c r="M93" s="49">
        <f>AVERAGE('26.10 KYENJOJO-HOIMA-24h'!M93,'28.10 KYENJOJO-HOIMA-24h'!M93)</f>
        <v>0</v>
      </c>
      <c r="N93" s="49">
        <f>AVERAGE('26.10 KYENJOJO-HOIMA-24h'!N93,'28.10 KYENJOJO-HOIMA-24h'!N93)</f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24" t="s">
        <v>134</v>
      </c>
      <c r="C94" s="49">
        <f>AVERAGE('26.10 KYENJOJO-HOIMA-24h'!C94,'28.10 KYENJOJO-HOIMA-24h'!C94)</f>
        <v>2</v>
      </c>
      <c r="D94" s="49">
        <f>AVERAGE('26.10 KYENJOJO-HOIMA-24h'!D94,'28.10 KYENJOJO-HOIMA-24h'!D94)</f>
        <v>0</v>
      </c>
      <c r="E94" s="49">
        <f>AVERAGE('26.10 KYENJOJO-HOIMA-24h'!E94,'28.10 KYENJOJO-HOIMA-24h'!E94)</f>
        <v>0</v>
      </c>
      <c r="F94" s="49">
        <f>AVERAGE('26.10 KYENJOJO-HOIMA-24h'!F94,'28.10 KYENJOJO-HOIMA-24h'!F94)</f>
        <v>0</v>
      </c>
      <c r="G94" s="49">
        <f>AVERAGE('26.10 KYENJOJO-HOIMA-24h'!G94,'28.10 KYENJOJO-HOIMA-24h'!G94)</f>
        <v>0</v>
      </c>
      <c r="H94" s="49">
        <f>AVERAGE('26.10 KYENJOJO-HOIMA-24h'!H94,'28.10 KYENJOJO-HOIMA-24h'!H94)</f>
        <v>0</v>
      </c>
      <c r="I94" s="49">
        <f>AVERAGE('26.10 KYENJOJO-HOIMA-24h'!I94,'28.10 KYENJOJO-HOIMA-24h'!I94)</f>
        <v>1</v>
      </c>
      <c r="J94" s="49">
        <f>AVERAGE('26.10 KYENJOJO-HOIMA-24h'!J94,'28.10 KYENJOJO-HOIMA-24h'!J94)</f>
        <v>0</v>
      </c>
      <c r="K94" s="49">
        <f>AVERAGE('26.10 KYENJOJO-HOIMA-24h'!K94,'28.10 KYENJOJO-HOIMA-24h'!K94)</f>
        <v>0.5</v>
      </c>
      <c r="L94" s="49">
        <f>AVERAGE('26.10 KYENJOJO-HOIMA-24h'!L94,'28.10 KYENJOJO-HOIMA-24h'!L94)</f>
        <v>0</v>
      </c>
      <c r="M94" s="49">
        <f>AVERAGE('26.10 KYENJOJO-HOIMA-24h'!M94,'28.10 KYENJOJO-HOIMA-24h'!M94)</f>
        <v>3</v>
      </c>
      <c r="N94" s="49">
        <f>AVERAGE('26.10 KYENJOJO-HOIMA-24h'!N94,'28.10 KYENJOJO-HOIMA-24h'!N94)</f>
        <v>0</v>
      </c>
      <c r="O94" s="15">
        <f t="shared" si="35"/>
        <v>3.5</v>
      </c>
      <c r="P94" s="15">
        <f t="shared" si="36"/>
        <v>6.5</v>
      </c>
      <c r="R94" s="8"/>
      <c r="T94"/>
    </row>
    <row r="95" spans="2:20" ht="23.1" customHeight="1" x14ac:dyDescent="0.25">
      <c r="B95" s="23" t="s">
        <v>135</v>
      </c>
      <c r="C95" s="49">
        <f>AVERAGE('26.10 KYENJOJO-HOIMA-24h'!C95,'28.10 KYENJOJO-HOIMA-24h'!C95)</f>
        <v>0.5</v>
      </c>
      <c r="D95" s="49">
        <f>AVERAGE('26.10 KYENJOJO-HOIMA-24h'!D95,'28.10 KYENJOJO-HOIMA-24h'!D95)</f>
        <v>0</v>
      </c>
      <c r="E95" s="49">
        <f>AVERAGE('26.10 KYENJOJO-HOIMA-24h'!E95,'28.10 KYENJOJO-HOIMA-24h'!E95)</f>
        <v>0</v>
      </c>
      <c r="F95" s="49">
        <f>AVERAGE('26.10 KYENJOJO-HOIMA-24h'!F95,'28.10 KYENJOJO-HOIMA-24h'!F95)</f>
        <v>0</v>
      </c>
      <c r="G95" s="49">
        <f>AVERAGE('26.10 KYENJOJO-HOIMA-24h'!G95,'28.10 KYENJOJO-HOIMA-24h'!G95)</f>
        <v>0</v>
      </c>
      <c r="H95" s="49">
        <f>AVERAGE('26.10 KYENJOJO-HOIMA-24h'!H95,'28.10 KYENJOJO-HOIMA-24h'!H95)</f>
        <v>0</v>
      </c>
      <c r="I95" s="49">
        <f>AVERAGE('26.10 KYENJOJO-HOIMA-24h'!I95,'28.10 KYENJOJO-HOIMA-24h'!I95)</f>
        <v>0</v>
      </c>
      <c r="J95" s="49">
        <f>AVERAGE('26.10 KYENJOJO-HOIMA-24h'!J95,'28.10 KYENJOJO-HOIMA-24h'!J95)</f>
        <v>0</v>
      </c>
      <c r="K95" s="49">
        <f>AVERAGE('26.10 KYENJOJO-HOIMA-24h'!K95,'28.10 KYENJOJO-HOIMA-24h'!K95)</f>
        <v>0</v>
      </c>
      <c r="L95" s="49">
        <f>AVERAGE('26.10 KYENJOJO-HOIMA-24h'!L95,'28.10 KYENJOJO-HOIMA-24h'!L95)</f>
        <v>0</v>
      </c>
      <c r="M95" s="49">
        <f>AVERAGE('26.10 KYENJOJO-HOIMA-24h'!M95,'28.10 KYENJOJO-HOIMA-24h'!M95)</f>
        <v>1.5</v>
      </c>
      <c r="N95" s="49">
        <f>AVERAGE('26.10 KYENJOJO-HOIMA-24h'!N95,'28.10 KYENJOJO-HOIMA-24h'!N95)</f>
        <v>0</v>
      </c>
      <c r="O95" s="15">
        <f t="shared" si="35"/>
        <v>0.5</v>
      </c>
      <c r="P95" s="15">
        <f t="shared" si="36"/>
        <v>2</v>
      </c>
      <c r="R95" s="8"/>
      <c r="T95"/>
    </row>
    <row r="96" spans="2:20" ht="23.1" customHeight="1" x14ac:dyDescent="0.25">
      <c r="B96" s="25" t="s">
        <v>136</v>
      </c>
      <c r="C96" s="49">
        <f>AVERAGE('26.10 KYENJOJO-HOIMA-24h'!C96,'28.10 KYENJOJO-HOIMA-24h'!C96)</f>
        <v>0.5</v>
      </c>
      <c r="D96" s="49">
        <f>AVERAGE('26.10 KYENJOJO-HOIMA-24h'!D96,'28.10 KYENJOJO-HOIMA-24h'!D96)</f>
        <v>0</v>
      </c>
      <c r="E96" s="49">
        <f>AVERAGE('26.10 KYENJOJO-HOIMA-24h'!E96,'28.10 KYENJOJO-HOIMA-24h'!E96)</f>
        <v>0</v>
      </c>
      <c r="F96" s="49">
        <f>AVERAGE('26.10 KYENJOJO-HOIMA-24h'!F96,'28.10 KYENJOJO-HOIMA-24h'!F96)</f>
        <v>0</v>
      </c>
      <c r="G96" s="49">
        <f>AVERAGE('26.10 KYENJOJO-HOIMA-24h'!G96,'28.10 KYENJOJO-HOIMA-24h'!G96)</f>
        <v>0</v>
      </c>
      <c r="H96" s="49">
        <f>AVERAGE('26.10 KYENJOJO-HOIMA-24h'!H96,'28.10 KYENJOJO-HOIMA-24h'!H96)</f>
        <v>0</v>
      </c>
      <c r="I96" s="49">
        <f>AVERAGE('26.10 KYENJOJO-HOIMA-24h'!I96,'28.10 KYENJOJO-HOIMA-24h'!I96)</f>
        <v>0</v>
      </c>
      <c r="J96" s="49">
        <f>AVERAGE('26.10 KYENJOJO-HOIMA-24h'!J96,'28.10 KYENJOJO-HOIMA-24h'!J96)</f>
        <v>0</v>
      </c>
      <c r="K96" s="49">
        <f>AVERAGE('26.10 KYENJOJO-HOIMA-24h'!K96,'28.10 KYENJOJO-HOIMA-24h'!K96)</f>
        <v>0</v>
      </c>
      <c r="L96" s="49">
        <f>AVERAGE('26.10 KYENJOJO-HOIMA-24h'!L96,'28.10 KYENJOJO-HOIMA-24h'!L96)</f>
        <v>0</v>
      </c>
      <c r="M96" s="49">
        <f>AVERAGE('26.10 KYENJOJO-HOIMA-24h'!M96,'28.10 KYENJOJO-HOIMA-24h'!M96)</f>
        <v>1.5</v>
      </c>
      <c r="N96" s="49">
        <f>AVERAGE('26.10 KYENJOJO-HOIMA-24h'!N96,'28.10 KYENJOJO-HOIMA-24h'!N96)</f>
        <v>0</v>
      </c>
      <c r="O96" s="15">
        <f t="shared" si="35"/>
        <v>0.5</v>
      </c>
      <c r="P96" s="15">
        <f t="shared" si="36"/>
        <v>2</v>
      </c>
      <c r="R96" s="8"/>
      <c r="T96"/>
    </row>
    <row r="97" spans="2:20" ht="23.1" customHeight="1" x14ac:dyDescent="0.25">
      <c r="B97" s="23" t="s">
        <v>137</v>
      </c>
      <c r="C97" s="49">
        <f>AVERAGE('26.10 KYENJOJO-HOIMA-24h'!C97,'28.10 KYENJOJO-HOIMA-24h'!C97)</f>
        <v>0</v>
      </c>
      <c r="D97" s="49">
        <f>AVERAGE('26.10 KYENJOJO-HOIMA-24h'!D97,'28.10 KYENJOJO-HOIMA-24h'!D97)</f>
        <v>0</v>
      </c>
      <c r="E97" s="49">
        <f>AVERAGE('26.10 KYENJOJO-HOIMA-24h'!E97,'28.10 KYENJOJO-HOIMA-24h'!E97)</f>
        <v>0</v>
      </c>
      <c r="F97" s="49">
        <f>AVERAGE('26.10 KYENJOJO-HOIMA-24h'!F97,'28.10 KYENJOJO-HOIMA-24h'!F97)</f>
        <v>0.5</v>
      </c>
      <c r="G97" s="49">
        <f>AVERAGE('26.10 KYENJOJO-HOIMA-24h'!G97,'28.10 KYENJOJO-HOIMA-24h'!G97)</f>
        <v>0</v>
      </c>
      <c r="H97" s="49">
        <f>AVERAGE('26.10 KYENJOJO-HOIMA-24h'!H97,'28.10 KYENJOJO-HOIMA-24h'!H97)</f>
        <v>0</v>
      </c>
      <c r="I97" s="49">
        <f>AVERAGE('26.10 KYENJOJO-HOIMA-24h'!I97,'28.10 KYENJOJO-HOIMA-24h'!I97)</f>
        <v>0.5</v>
      </c>
      <c r="J97" s="49">
        <f>AVERAGE('26.10 KYENJOJO-HOIMA-24h'!J97,'28.10 KYENJOJO-HOIMA-24h'!J97)</f>
        <v>0</v>
      </c>
      <c r="K97" s="49">
        <f>AVERAGE('26.10 KYENJOJO-HOIMA-24h'!K97,'28.10 KYENJOJO-HOIMA-24h'!K97)</f>
        <v>0</v>
      </c>
      <c r="L97" s="49">
        <f>AVERAGE('26.10 KYENJOJO-HOIMA-24h'!L97,'28.10 KYENJOJO-HOIMA-24h'!L97)</f>
        <v>0</v>
      </c>
      <c r="M97" s="49">
        <f>AVERAGE('26.10 KYENJOJO-HOIMA-24h'!M97,'28.10 KYENJOJO-HOIMA-24h'!M97)</f>
        <v>1</v>
      </c>
      <c r="N97" s="49">
        <f>AVERAGE('26.10 KYENJOJO-HOIMA-24h'!N97,'28.10 KYENJOJO-HOIMA-24h'!N97)</f>
        <v>0</v>
      </c>
      <c r="O97" s="15">
        <f t="shared" si="35"/>
        <v>1</v>
      </c>
      <c r="P97" s="15">
        <f t="shared" si="36"/>
        <v>2</v>
      </c>
      <c r="R97" s="8"/>
      <c r="T97"/>
    </row>
    <row r="98" spans="2:20" ht="23.1" customHeight="1" x14ac:dyDescent="0.25">
      <c r="B98" s="24" t="s">
        <v>138</v>
      </c>
      <c r="C98" s="49">
        <f>AVERAGE('26.10 KYENJOJO-HOIMA-24h'!C98,'28.10 KYENJOJO-HOIMA-24h'!C98)</f>
        <v>0.5</v>
      </c>
      <c r="D98" s="49">
        <f>AVERAGE('26.10 KYENJOJO-HOIMA-24h'!D98,'28.10 KYENJOJO-HOIMA-24h'!D98)</f>
        <v>0</v>
      </c>
      <c r="E98" s="49">
        <f>AVERAGE('26.10 KYENJOJO-HOIMA-24h'!E98,'28.10 KYENJOJO-HOIMA-24h'!E98)</f>
        <v>0.5</v>
      </c>
      <c r="F98" s="49">
        <f>AVERAGE('26.10 KYENJOJO-HOIMA-24h'!F98,'28.10 KYENJOJO-HOIMA-24h'!F98)</f>
        <v>0</v>
      </c>
      <c r="G98" s="49">
        <f>AVERAGE('26.10 KYENJOJO-HOIMA-24h'!G98,'28.10 KYENJOJO-HOIMA-24h'!G98)</f>
        <v>0</v>
      </c>
      <c r="H98" s="49">
        <f>AVERAGE('26.10 KYENJOJO-HOIMA-24h'!H98,'28.10 KYENJOJO-HOIMA-24h'!H98)</f>
        <v>0</v>
      </c>
      <c r="I98" s="49">
        <f>AVERAGE('26.10 KYENJOJO-HOIMA-24h'!I98,'28.10 KYENJOJO-HOIMA-24h'!I98)</f>
        <v>0.5</v>
      </c>
      <c r="J98" s="49">
        <f>AVERAGE('26.10 KYENJOJO-HOIMA-24h'!J98,'28.10 KYENJOJO-HOIMA-24h'!J98)</f>
        <v>0</v>
      </c>
      <c r="K98" s="49">
        <f>AVERAGE('26.10 KYENJOJO-HOIMA-24h'!K98,'28.10 KYENJOJO-HOIMA-24h'!K98)</f>
        <v>1</v>
      </c>
      <c r="L98" s="49">
        <f>AVERAGE('26.10 KYENJOJO-HOIMA-24h'!L98,'28.10 KYENJOJO-HOIMA-24h'!L98)</f>
        <v>1</v>
      </c>
      <c r="M98" s="49">
        <f>AVERAGE('26.10 KYENJOJO-HOIMA-24h'!M98,'28.10 KYENJOJO-HOIMA-24h'!M98)</f>
        <v>1.5</v>
      </c>
      <c r="N98" s="49">
        <f>AVERAGE('26.10 KYENJOJO-HOIMA-24h'!N98,'28.10 KYENJOJO-HOIMA-24h'!N98)</f>
        <v>0</v>
      </c>
      <c r="O98" s="15">
        <f t="shared" si="35"/>
        <v>3.5</v>
      </c>
      <c r="P98" s="15">
        <f t="shared" si="36"/>
        <v>5</v>
      </c>
      <c r="R98" s="8"/>
      <c r="T98"/>
    </row>
    <row r="99" spans="2:20" ht="23.1" customHeight="1" x14ac:dyDescent="0.25">
      <c r="B99" s="23" t="s">
        <v>139</v>
      </c>
      <c r="C99" s="49">
        <f>AVERAGE('26.10 KYENJOJO-HOIMA-24h'!C99,'28.10 KYENJOJO-HOIMA-24h'!C99)</f>
        <v>1.5</v>
      </c>
      <c r="D99" s="49">
        <f>AVERAGE('26.10 KYENJOJO-HOIMA-24h'!D99,'28.10 KYENJOJO-HOIMA-24h'!D99)</f>
        <v>0</v>
      </c>
      <c r="E99" s="49">
        <f>AVERAGE('26.10 KYENJOJO-HOIMA-24h'!E99,'28.10 KYENJOJO-HOIMA-24h'!E99)</f>
        <v>1</v>
      </c>
      <c r="F99" s="49">
        <f>AVERAGE('26.10 KYENJOJO-HOIMA-24h'!F99,'28.10 KYENJOJO-HOIMA-24h'!F99)</f>
        <v>0.5</v>
      </c>
      <c r="G99" s="49">
        <f>AVERAGE('26.10 KYENJOJO-HOIMA-24h'!G99,'28.10 KYENJOJO-HOIMA-24h'!G99)</f>
        <v>0</v>
      </c>
      <c r="H99" s="49">
        <f>AVERAGE('26.10 KYENJOJO-HOIMA-24h'!H99,'28.10 KYENJOJO-HOIMA-24h'!H99)</f>
        <v>0</v>
      </c>
      <c r="I99" s="49">
        <f>AVERAGE('26.10 KYENJOJO-HOIMA-24h'!I99,'28.10 KYENJOJO-HOIMA-24h'!I99)</f>
        <v>1.5</v>
      </c>
      <c r="J99" s="49">
        <f>AVERAGE('26.10 KYENJOJO-HOIMA-24h'!J99,'28.10 KYENJOJO-HOIMA-24h'!J99)</f>
        <v>0</v>
      </c>
      <c r="K99" s="49">
        <f>AVERAGE('26.10 KYENJOJO-HOIMA-24h'!K99,'28.10 KYENJOJO-HOIMA-24h'!K99)</f>
        <v>0</v>
      </c>
      <c r="L99" s="49">
        <f>AVERAGE('26.10 KYENJOJO-HOIMA-24h'!L99,'28.10 KYENJOJO-HOIMA-24h'!L99)</f>
        <v>0</v>
      </c>
      <c r="M99" s="49">
        <f>AVERAGE('26.10 KYENJOJO-HOIMA-24h'!M99,'28.10 KYENJOJO-HOIMA-24h'!M99)</f>
        <v>2.5</v>
      </c>
      <c r="N99" s="49">
        <f>AVERAGE('26.10 KYENJOJO-HOIMA-24h'!N99,'28.10 KYENJOJO-HOIMA-24h'!N99)</f>
        <v>0</v>
      </c>
      <c r="O99" s="15">
        <f t="shared" si="35"/>
        <v>4.5</v>
      </c>
      <c r="P99" s="15">
        <f t="shared" si="36"/>
        <v>7</v>
      </c>
      <c r="R99" s="8"/>
      <c r="T99"/>
    </row>
    <row r="100" spans="2:20" ht="23.1" customHeight="1" x14ac:dyDescent="0.25">
      <c r="B100" s="25" t="s">
        <v>140</v>
      </c>
      <c r="C100" s="49">
        <f>AVERAGE('26.10 KYENJOJO-HOIMA-24h'!C100,'28.10 KYENJOJO-HOIMA-24h'!C100)</f>
        <v>0</v>
      </c>
      <c r="D100" s="49">
        <f>AVERAGE('26.10 KYENJOJO-HOIMA-24h'!D100,'28.10 KYENJOJO-HOIMA-24h'!D100)</f>
        <v>0</v>
      </c>
      <c r="E100" s="49">
        <f>AVERAGE('26.10 KYENJOJO-HOIMA-24h'!E100,'28.10 KYENJOJO-HOIMA-24h'!E100)</f>
        <v>0</v>
      </c>
      <c r="F100" s="49">
        <f>AVERAGE('26.10 KYENJOJO-HOIMA-24h'!F100,'28.10 KYENJOJO-HOIMA-24h'!F100)</f>
        <v>0</v>
      </c>
      <c r="G100" s="49">
        <f>AVERAGE('26.10 KYENJOJO-HOIMA-24h'!G100,'28.10 KYENJOJO-HOIMA-24h'!G100)</f>
        <v>0</v>
      </c>
      <c r="H100" s="49">
        <f>AVERAGE('26.10 KYENJOJO-HOIMA-24h'!H100,'28.10 KYENJOJO-HOIMA-24h'!H100)</f>
        <v>0</v>
      </c>
      <c r="I100" s="49">
        <f>AVERAGE('26.10 KYENJOJO-HOIMA-24h'!I100,'28.10 KYENJOJO-HOIMA-24h'!I100)</f>
        <v>0.5</v>
      </c>
      <c r="J100" s="49">
        <f>AVERAGE('26.10 KYENJOJO-HOIMA-24h'!J100,'28.10 KYENJOJO-HOIMA-24h'!J100)</f>
        <v>0</v>
      </c>
      <c r="K100" s="49">
        <f>AVERAGE('26.10 KYENJOJO-HOIMA-24h'!K100,'28.10 KYENJOJO-HOIMA-24h'!K100)</f>
        <v>0</v>
      </c>
      <c r="L100" s="49">
        <f>AVERAGE('26.10 KYENJOJO-HOIMA-24h'!L100,'28.10 KYENJOJO-HOIMA-24h'!L100)</f>
        <v>0</v>
      </c>
      <c r="M100" s="49">
        <f>AVERAGE('26.10 KYENJOJO-HOIMA-24h'!M100,'28.10 KYENJOJO-HOIMA-24h'!M100)</f>
        <v>1.5</v>
      </c>
      <c r="N100" s="49">
        <f>AVERAGE('26.10 KYENJOJO-HOIMA-24h'!N100,'28.10 KYENJOJO-HOIMA-24h'!N100)</f>
        <v>0</v>
      </c>
      <c r="O100" s="15">
        <f t="shared" si="35"/>
        <v>0.5</v>
      </c>
      <c r="P100" s="15">
        <f t="shared" si="36"/>
        <v>2</v>
      </c>
      <c r="R100" s="8"/>
      <c r="T100"/>
    </row>
    <row r="101" spans="2:20" ht="23.1" customHeight="1" x14ac:dyDescent="0.25">
      <c r="B101" s="23" t="s">
        <v>141</v>
      </c>
      <c r="C101" s="49">
        <f>AVERAGE('26.10 KYENJOJO-HOIMA-24h'!C101,'28.10 KYENJOJO-HOIMA-24h'!C101)</f>
        <v>0</v>
      </c>
      <c r="D101" s="49">
        <f>AVERAGE('26.10 KYENJOJO-HOIMA-24h'!D101,'28.10 KYENJOJO-HOIMA-24h'!D101)</f>
        <v>0</v>
      </c>
      <c r="E101" s="49">
        <f>AVERAGE('26.10 KYENJOJO-HOIMA-24h'!E101,'28.10 KYENJOJO-HOIMA-24h'!E101)</f>
        <v>0.5</v>
      </c>
      <c r="F101" s="49">
        <f>AVERAGE('26.10 KYENJOJO-HOIMA-24h'!F101,'28.10 KYENJOJO-HOIMA-24h'!F101)</f>
        <v>0</v>
      </c>
      <c r="G101" s="49">
        <f>AVERAGE('26.10 KYENJOJO-HOIMA-24h'!G101,'28.10 KYENJOJO-HOIMA-24h'!G101)</f>
        <v>0</v>
      </c>
      <c r="H101" s="49">
        <f>AVERAGE('26.10 KYENJOJO-HOIMA-24h'!H101,'28.10 KYENJOJO-HOIMA-24h'!H101)</f>
        <v>0</v>
      </c>
      <c r="I101" s="49">
        <f>AVERAGE('26.10 KYENJOJO-HOIMA-24h'!I101,'28.10 KYENJOJO-HOIMA-24h'!I101)</f>
        <v>0</v>
      </c>
      <c r="J101" s="49">
        <f>AVERAGE('26.10 KYENJOJO-HOIMA-24h'!J101,'28.10 KYENJOJO-HOIMA-24h'!J101)</f>
        <v>0</v>
      </c>
      <c r="K101" s="49">
        <f>AVERAGE('26.10 KYENJOJO-HOIMA-24h'!K101,'28.10 KYENJOJO-HOIMA-24h'!K101)</f>
        <v>0</v>
      </c>
      <c r="L101" s="49">
        <f>AVERAGE('26.10 KYENJOJO-HOIMA-24h'!L101,'28.10 KYENJOJO-HOIMA-24h'!L101)</f>
        <v>0</v>
      </c>
      <c r="M101" s="49">
        <f>AVERAGE('26.10 KYENJOJO-HOIMA-24h'!M101,'28.10 KYENJOJO-HOIMA-24h'!M101)</f>
        <v>1.5</v>
      </c>
      <c r="N101" s="49">
        <f>AVERAGE('26.10 KYENJOJO-HOIMA-24h'!N101,'28.10 KYENJOJO-HOIMA-24h'!N101)</f>
        <v>0</v>
      </c>
      <c r="O101" s="15">
        <f t="shared" si="35"/>
        <v>0.5</v>
      </c>
      <c r="P101" s="15">
        <f t="shared" si="36"/>
        <v>2</v>
      </c>
      <c r="R101" s="8"/>
      <c r="T101"/>
    </row>
    <row r="102" spans="2:20" ht="23.1" customHeight="1" x14ac:dyDescent="0.25">
      <c r="B102" s="24" t="s">
        <v>142</v>
      </c>
      <c r="C102" s="49">
        <f>AVERAGE('26.10 KYENJOJO-HOIMA-24h'!C102,'28.10 KYENJOJO-HOIMA-24h'!C102)</f>
        <v>0.5</v>
      </c>
      <c r="D102" s="49">
        <f>AVERAGE('26.10 KYENJOJO-HOIMA-24h'!D102,'28.10 KYENJOJO-HOIMA-24h'!D102)</f>
        <v>0</v>
      </c>
      <c r="E102" s="49">
        <f>AVERAGE('26.10 KYENJOJO-HOIMA-24h'!E102,'28.10 KYENJOJO-HOIMA-24h'!E102)</f>
        <v>2</v>
      </c>
      <c r="F102" s="49">
        <f>AVERAGE('26.10 KYENJOJO-HOIMA-24h'!F102,'28.10 KYENJOJO-HOIMA-24h'!F102)</f>
        <v>0.5</v>
      </c>
      <c r="G102" s="49">
        <f>AVERAGE('26.10 KYENJOJO-HOIMA-24h'!G102,'28.10 KYENJOJO-HOIMA-24h'!G102)</f>
        <v>0</v>
      </c>
      <c r="H102" s="49">
        <f>AVERAGE('26.10 KYENJOJO-HOIMA-24h'!H102,'28.10 KYENJOJO-HOIMA-24h'!H102)</f>
        <v>0</v>
      </c>
      <c r="I102" s="49">
        <f>AVERAGE('26.10 KYENJOJO-HOIMA-24h'!I102,'28.10 KYENJOJO-HOIMA-24h'!I102)</f>
        <v>0.5</v>
      </c>
      <c r="J102" s="49">
        <f>AVERAGE('26.10 KYENJOJO-HOIMA-24h'!J102,'28.10 KYENJOJO-HOIMA-24h'!J102)</f>
        <v>0</v>
      </c>
      <c r="K102" s="49">
        <f>AVERAGE('26.10 KYENJOJO-HOIMA-24h'!K102,'28.10 KYENJOJO-HOIMA-24h'!K102)</f>
        <v>0</v>
      </c>
      <c r="L102" s="49">
        <f>AVERAGE('26.10 KYENJOJO-HOIMA-24h'!L102,'28.10 KYENJOJO-HOIMA-24h'!L102)</f>
        <v>0</v>
      </c>
      <c r="M102" s="49">
        <f>AVERAGE('26.10 KYENJOJO-HOIMA-24h'!M102,'28.10 KYENJOJO-HOIMA-24h'!M102)</f>
        <v>2.5</v>
      </c>
      <c r="N102" s="49">
        <f>AVERAGE('26.10 KYENJOJO-HOIMA-24h'!N102,'28.10 KYENJOJO-HOIMA-24h'!N102)</f>
        <v>0</v>
      </c>
      <c r="O102" s="15">
        <f t="shared" si="35"/>
        <v>3.5</v>
      </c>
      <c r="P102" s="15">
        <f t="shared" si="36"/>
        <v>6</v>
      </c>
      <c r="R102" s="8"/>
      <c r="T102"/>
    </row>
    <row r="103" spans="2:20" ht="23.1" customHeight="1" x14ac:dyDescent="0.25">
      <c r="B103" s="23" t="s">
        <v>143</v>
      </c>
      <c r="C103" s="49">
        <f>AVERAGE('26.10 KYENJOJO-HOIMA-24h'!C103,'28.10 KYENJOJO-HOIMA-24h'!C103)</f>
        <v>0</v>
      </c>
      <c r="D103" s="49">
        <f>AVERAGE('26.10 KYENJOJO-HOIMA-24h'!D103,'28.10 KYENJOJO-HOIMA-24h'!D103)</f>
        <v>0</v>
      </c>
      <c r="E103" s="49">
        <f>AVERAGE('26.10 KYENJOJO-HOIMA-24h'!E103,'28.10 KYENJOJO-HOIMA-24h'!E103)</f>
        <v>0</v>
      </c>
      <c r="F103" s="49">
        <f>AVERAGE('26.10 KYENJOJO-HOIMA-24h'!F103,'28.10 KYENJOJO-HOIMA-24h'!F103)</f>
        <v>0.5</v>
      </c>
      <c r="G103" s="49">
        <f>AVERAGE('26.10 KYENJOJO-HOIMA-24h'!G103,'28.10 KYENJOJO-HOIMA-24h'!G103)</f>
        <v>0</v>
      </c>
      <c r="H103" s="49">
        <f>AVERAGE('26.10 KYENJOJO-HOIMA-24h'!H103,'28.10 KYENJOJO-HOIMA-24h'!H103)</f>
        <v>0</v>
      </c>
      <c r="I103" s="49">
        <f>AVERAGE('26.10 KYENJOJO-HOIMA-24h'!I103,'28.10 KYENJOJO-HOIMA-24h'!I103)</f>
        <v>1</v>
      </c>
      <c r="J103" s="49">
        <f>AVERAGE('26.10 KYENJOJO-HOIMA-24h'!J103,'28.10 KYENJOJO-HOIMA-24h'!J103)</f>
        <v>0</v>
      </c>
      <c r="K103" s="49">
        <f>AVERAGE('26.10 KYENJOJO-HOIMA-24h'!K103,'28.10 KYENJOJO-HOIMA-24h'!K103)</f>
        <v>0</v>
      </c>
      <c r="L103" s="49">
        <f>AVERAGE('26.10 KYENJOJO-HOIMA-24h'!L103,'28.10 KYENJOJO-HOIMA-24h'!L103)</f>
        <v>0</v>
      </c>
      <c r="M103" s="49">
        <f>AVERAGE('26.10 KYENJOJO-HOIMA-24h'!M103,'28.10 KYENJOJO-HOIMA-24h'!M103)</f>
        <v>2.5</v>
      </c>
      <c r="N103" s="49">
        <f>AVERAGE('26.10 KYENJOJO-HOIMA-24h'!N103,'28.10 KYENJOJO-HOIMA-24h'!N103)</f>
        <v>0</v>
      </c>
      <c r="O103" s="15">
        <f t="shared" si="35"/>
        <v>1.5</v>
      </c>
      <c r="P103" s="15">
        <f t="shared" si="36"/>
        <v>4</v>
      </c>
      <c r="R103" s="8"/>
      <c r="T103"/>
    </row>
    <row r="104" spans="2:20" ht="23.1" customHeight="1" x14ac:dyDescent="0.25">
      <c r="B104" s="25" t="s">
        <v>144</v>
      </c>
      <c r="C104" s="49">
        <f>AVERAGE('26.10 KYENJOJO-HOIMA-24h'!C104,'28.10 KYENJOJO-HOIMA-24h'!C104)</f>
        <v>0.5</v>
      </c>
      <c r="D104" s="49">
        <f>AVERAGE('26.10 KYENJOJO-HOIMA-24h'!D104,'28.10 KYENJOJO-HOIMA-24h'!D104)</f>
        <v>0</v>
      </c>
      <c r="E104" s="49">
        <f>AVERAGE('26.10 KYENJOJO-HOIMA-24h'!E104,'28.10 KYENJOJO-HOIMA-24h'!E104)</f>
        <v>0</v>
      </c>
      <c r="F104" s="49">
        <f>AVERAGE('26.10 KYENJOJO-HOIMA-24h'!F104,'28.10 KYENJOJO-HOIMA-24h'!F104)</f>
        <v>1</v>
      </c>
      <c r="G104" s="49">
        <f>AVERAGE('26.10 KYENJOJO-HOIMA-24h'!G104,'28.10 KYENJOJO-HOIMA-24h'!G104)</f>
        <v>0</v>
      </c>
      <c r="H104" s="49">
        <f>AVERAGE('26.10 KYENJOJO-HOIMA-24h'!H104,'28.10 KYENJOJO-HOIMA-24h'!H104)</f>
        <v>0.5</v>
      </c>
      <c r="I104" s="49">
        <f>AVERAGE('26.10 KYENJOJO-HOIMA-24h'!I104,'28.10 KYENJOJO-HOIMA-24h'!I104)</f>
        <v>0</v>
      </c>
      <c r="J104" s="49">
        <f>AVERAGE('26.10 KYENJOJO-HOIMA-24h'!J104,'28.10 KYENJOJO-HOIMA-24h'!J104)</f>
        <v>0.5</v>
      </c>
      <c r="K104" s="49">
        <f>AVERAGE('26.10 KYENJOJO-HOIMA-24h'!K104,'28.10 KYENJOJO-HOIMA-24h'!K104)</f>
        <v>0</v>
      </c>
      <c r="L104" s="49">
        <f>AVERAGE('26.10 KYENJOJO-HOIMA-24h'!L104,'28.10 KYENJOJO-HOIMA-24h'!L104)</f>
        <v>0</v>
      </c>
      <c r="M104" s="49">
        <f>AVERAGE('26.10 KYENJOJO-HOIMA-24h'!M104,'28.10 KYENJOJO-HOIMA-24h'!M104)</f>
        <v>5</v>
      </c>
      <c r="N104" s="49">
        <f>AVERAGE('26.10 KYENJOJO-HOIMA-24h'!N104,'28.10 KYENJOJO-HOIMA-24h'!N104)</f>
        <v>0</v>
      </c>
      <c r="O104" s="15">
        <f t="shared" si="35"/>
        <v>2.5</v>
      </c>
      <c r="P104" s="15">
        <f t="shared" si="36"/>
        <v>7.5</v>
      </c>
      <c r="R104" s="8"/>
      <c r="T104"/>
    </row>
    <row r="105" spans="2:20" ht="23.1" customHeight="1" x14ac:dyDescent="0.25">
      <c r="B105" s="23" t="s">
        <v>145</v>
      </c>
      <c r="C105" s="49">
        <f>AVERAGE('26.10 KYENJOJO-HOIMA-24h'!C105,'28.10 KYENJOJO-HOIMA-24h'!C105)</f>
        <v>1</v>
      </c>
      <c r="D105" s="49">
        <f>AVERAGE('26.10 KYENJOJO-HOIMA-24h'!D105,'28.10 KYENJOJO-HOIMA-24h'!D105)</f>
        <v>0</v>
      </c>
      <c r="E105" s="49">
        <f>AVERAGE('26.10 KYENJOJO-HOIMA-24h'!E105,'28.10 KYENJOJO-HOIMA-24h'!E105)</f>
        <v>0</v>
      </c>
      <c r="F105" s="49">
        <f>AVERAGE('26.10 KYENJOJO-HOIMA-24h'!F105,'28.10 KYENJOJO-HOIMA-24h'!F105)</f>
        <v>0</v>
      </c>
      <c r="G105" s="49">
        <f>AVERAGE('26.10 KYENJOJO-HOIMA-24h'!G105,'28.10 KYENJOJO-HOIMA-24h'!G105)</f>
        <v>0</v>
      </c>
      <c r="H105" s="49">
        <f>AVERAGE('26.10 KYENJOJO-HOIMA-24h'!H105,'28.10 KYENJOJO-HOIMA-24h'!H105)</f>
        <v>0</v>
      </c>
      <c r="I105" s="49">
        <f>AVERAGE('26.10 KYENJOJO-HOIMA-24h'!I105,'28.10 KYENJOJO-HOIMA-24h'!I105)</f>
        <v>0</v>
      </c>
      <c r="J105" s="49">
        <f>AVERAGE('26.10 KYENJOJO-HOIMA-24h'!J105,'28.10 KYENJOJO-HOIMA-24h'!J105)</f>
        <v>0</v>
      </c>
      <c r="K105" s="49">
        <f>AVERAGE('26.10 KYENJOJO-HOIMA-24h'!K105,'28.10 KYENJOJO-HOIMA-24h'!K105)</f>
        <v>0</v>
      </c>
      <c r="L105" s="49">
        <f>AVERAGE('26.10 KYENJOJO-HOIMA-24h'!L105,'28.10 KYENJOJO-HOIMA-24h'!L105)</f>
        <v>0</v>
      </c>
      <c r="M105" s="49">
        <f>AVERAGE('26.10 KYENJOJO-HOIMA-24h'!M105,'28.10 KYENJOJO-HOIMA-24h'!M105)</f>
        <v>2.5</v>
      </c>
      <c r="N105" s="49">
        <f>AVERAGE('26.10 KYENJOJO-HOIMA-24h'!N105,'28.10 KYENJOJO-HOIMA-24h'!N105)</f>
        <v>0</v>
      </c>
      <c r="O105" s="15">
        <f t="shared" si="35"/>
        <v>1</v>
      </c>
      <c r="P105" s="15">
        <f t="shared" si="36"/>
        <v>3.5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359.0714285714285</v>
      </c>
      <c r="D106" s="16">
        <f t="shared" ref="D106:P106" si="37">SUM(D10:D105)</f>
        <v>44.285714285714278</v>
      </c>
      <c r="E106" s="16">
        <f t="shared" si="37"/>
        <v>73.285714285714263</v>
      </c>
      <c r="F106" s="16">
        <f t="shared" si="37"/>
        <v>51.285714285714299</v>
      </c>
      <c r="G106" s="16">
        <f t="shared" si="37"/>
        <v>4.5714285714285712</v>
      </c>
      <c r="H106" s="16">
        <f t="shared" si="37"/>
        <v>1.9285714285714286</v>
      </c>
      <c r="I106" s="16">
        <f t="shared" si="37"/>
        <v>61.714285714285708</v>
      </c>
      <c r="J106" s="16">
        <f t="shared" si="37"/>
        <v>34.285714285714285</v>
      </c>
      <c r="K106" s="16">
        <f t="shared" si="37"/>
        <v>12</v>
      </c>
      <c r="L106" s="16">
        <f t="shared" si="37"/>
        <v>7.6428571428571432</v>
      </c>
      <c r="M106" s="16">
        <f t="shared" si="37"/>
        <v>1919.2857142857138</v>
      </c>
      <c r="N106" s="16">
        <f t="shared" si="37"/>
        <v>0.42857142857142855</v>
      </c>
      <c r="O106" s="16">
        <f t="shared" si="37"/>
        <v>650.5</v>
      </c>
      <c r="P106" s="16">
        <f t="shared" si="37"/>
        <v>2569.7857142857147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0.13972815965755894</v>
      </c>
      <c r="D107" s="43">
        <f t="shared" si="38"/>
        <v>1.7233232342885728E-2</v>
      </c>
      <c r="E107" s="43">
        <f t="shared" si="38"/>
        <v>2.8518219973872182E-2</v>
      </c>
      <c r="F107" s="43">
        <f t="shared" si="38"/>
        <v>1.9957194874503158E-2</v>
      </c>
      <c r="G107" s="43">
        <f t="shared" si="38"/>
        <v>1.7789143063623978E-3</v>
      </c>
      <c r="H107" s="43">
        <f t="shared" si="38"/>
        <v>7.5047947299663662E-4</v>
      </c>
      <c r="I107" s="43">
        <f t="shared" si="38"/>
        <v>2.4015343135892368E-2</v>
      </c>
      <c r="J107" s="43">
        <f t="shared" si="38"/>
        <v>1.3341857297717984E-2</v>
      </c>
      <c r="K107" s="43">
        <f t="shared" si="38"/>
        <v>4.6696500542012945E-3</v>
      </c>
      <c r="L107" s="43">
        <f t="shared" si="38"/>
        <v>2.9741223559496344E-3</v>
      </c>
      <c r="M107" s="43">
        <f t="shared" si="38"/>
        <v>0.74686605331183775</v>
      </c>
      <c r="N107" s="43">
        <f t="shared" si="38"/>
        <v>1.667732162214748E-4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0.5519929724387832</v>
      </c>
      <c r="D108" s="44">
        <f t="shared" ref="D108:N108" si="39">D106/$O$106</f>
        <v>6.8079499286263306E-2</v>
      </c>
      <c r="E108" s="44">
        <f t="shared" si="39"/>
        <v>0.11266059075436474</v>
      </c>
      <c r="F108" s="44">
        <f t="shared" si="39"/>
        <v>7.8840452399253344E-2</v>
      </c>
      <c r="G108" s="44">
        <f t="shared" si="39"/>
        <v>7.0275612166465357E-3</v>
      </c>
      <c r="H108" s="44">
        <f t="shared" si="39"/>
        <v>2.9647523882727574E-3</v>
      </c>
      <c r="I108" s="44">
        <f t="shared" si="39"/>
        <v>9.4872076424728224E-2</v>
      </c>
      <c r="J108" s="44">
        <f t="shared" si="39"/>
        <v>5.2706709124849017E-2</v>
      </c>
      <c r="K108" s="44">
        <f t="shared" si="39"/>
        <v>1.8447348193697154E-2</v>
      </c>
      <c r="L108" s="44">
        <f t="shared" si="39"/>
        <v>1.1749203909080927E-2</v>
      </c>
      <c r="M108" s="44"/>
      <c r="N108" s="44">
        <f t="shared" si="39"/>
        <v>6.5883386406061272E-4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M64" zoomScale="60" workbookViewId="0">
      <selection activeCell="AE58" sqref="AE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'31.10 HOIMA-KYENJOJO'!C3:G3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164</v>
      </c>
      <c r="E5" s="66"/>
      <c r="F5" s="41" t="s">
        <v>1</v>
      </c>
      <c r="G5" s="63" t="str">
        <f>'31.10 HOIMA-KYENJOJO'!G5:H5</f>
        <v>KYENJOJO</v>
      </c>
      <c r="H5" s="64"/>
      <c r="I5" s="14"/>
      <c r="J5" s="2" t="s">
        <v>5</v>
      </c>
      <c r="K5" s="63" t="str">
        <f>'31.10 HOIMA-KYENJOJO'!K5:L5</f>
        <v>STEVEN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'31.10 HOIMA-KYENJOJO'!D6:E6</f>
        <v>HOIMA</v>
      </c>
      <c r="E6" s="64"/>
      <c r="F6" s="2" t="s">
        <v>2</v>
      </c>
      <c r="G6" s="63" t="str">
        <f>'31.10 HOIMA-KYENJOJO'!G6:H6</f>
        <v>KYENJOJO</v>
      </c>
      <c r="H6" s="64"/>
      <c r="J6" s="2" t="s">
        <v>21</v>
      </c>
      <c r="K6" s="63" t="str">
        <f>'31.10 HOIMA-KYENJOJO'!K6:L6</f>
        <v>FELIX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AVERAGE('25.10 HOIMA-KYENJOJO'!C10,'27.10 HOIMA-KYENJOJO'!C10,'29.10 HOIMA-KYENJOJO'!C10,'30.10 HOIMA-KYENJOJO'!C10,'26.10 HOIMA-KYENJOJO-24h'!C10,'28.10 HOIMA-KYENJOJO-24h'!C10,'31.10 HOIMA-KYENJOJO'!C10)</f>
        <v>2.1428571428571428</v>
      </c>
      <c r="D10" s="49">
        <f>AVERAGE('25.10 HOIMA-KYENJOJO'!D10,'27.10 HOIMA-KYENJOJO'!D10,'29.10 HOIMA-KYENJOJO'!D10,'30.10 HOIMA-KYENJOJO'!D10,'26.10 HOIMA-KYENJOJO-24h'!D10,'28.10 HOIMA-KYENJOJO-24h'!D10,'31.10 HOIMA-KYENJOJO'!D10)</f>
        <v>0</v>
      </c>
      <c r="E10" s="49">
        <f>AVERAGE('25.10 HOIMA-KYENJOJO'!E10,'27.10 HOIMA-KYENJOJO'!E10,'29.10 HOIMA-KYENJOJO'!E10,'30.10 HOIMA-KYENJOJO'!E10,'26.10 HOIMA-KYENJOJO-24h'!E10,'28.10 HOIMA-KYENJOJO-24h'!E10,'31.10 HOIMA-KYENJOJO'!E10)</f>
        <v>0</v>
      </c>
      <c r="F10" s="49">
        <f>AVERAGE('25.10 HOIMA-KYENJOJO'!F10,'27.10 HOIMA-KYENJOJO'!F10,'29.10 HOIMA-KYENJOJO'!F10,'30.10 HOIMA-KYENJOJO'!F10,'26.10 HOIMA-KYENJOJO-24h'!F10,'28.10 HOIMA-KYENJOJO-24h'!F10,'31.10 HOIMA-KYENJOJO'!F10)</f>
        <v>0</v>
      </c>
      <c r="G10" s="49">
        <f>AVERAGE('25.10 HOIMA-KYENJOJO'!G10,'27.10 HOIMA-KYENJOJO'!G10,'29.10 HOIMA-KYENJOJO'!G10,'30.10 HOIMA-KYENJOJO'!G10,'26.10 HOIMA-KYENJOJO-24h'!G10,'28.10 HOIMA-KYENJOJO-24h'!G10,'31.10 HOIMA-KYENJOJO'!G10)</f>
        <v>0</v>
      </c>
      <c r="H10" s="49">
        <f>AVERAGE('25.10 HOIMA-KYENJOJO'!H10,'27.10 HOIMA-KYENJOJO'!H10,'29.10 HOIMA-KYENJOJO'!H10,'30.10 HOIMA-KYENJOJO'!H10,'26.10 HOIMA-KYENJOJO-24h'!H10,'28.10 HOIMA-KYENJOJO-24h'!H10,'31.10 HOIMA-KYENJOJO'!H10)</f>
        <v>0</v>
      </c>
      <c r="I10" s="49">
        <f>AVERAGE('25.10 HOIMA-KYENJOJO'!I10,'27.10 HOIMA-KYENJOJO'!I10,'29.10 HOIMA-KYENJOJO'!I10,'30.10 HOIMA-KYENJOJO'!I10,'26.10 HOIMA-KYENJOJO-24h'!I10,'28.10 HOIMA-KYENJOJO-24h'!I10,'31.10 HOIMA-KYENJOJO'!I10)</f>
        <v>0</v>
      </c>
      <c r="J10" s="49">
        <f>AVERAGE('25.10 HOIMA-KYENJOJO'!J10,'27.10 HOIMA-KYENJOJO'!J10,'29.10 HOIMA-KYENJOJO'!J10,'30.10 HOIMA-KYENJOJO'!J10,'26.10 HOIMA-KYENJOJO-24h'!J10,'28.10 HOIMA-KYENJOJO-24h'!J10,'31.10 HOIMA-KYENJOJO'!J10)</f>
        <v>1.2857142857142858</v>
      </c>
      <c r="K10" s="49">
        <f>AVERAGE('25.10 HOIMA-KYENJOJO'!K10,'27.10 HOIMA-KYENJOJO'!K10,'29.10 HOIMA-KYENJOJO'!K10,'30.10 HOIMA-KYENJOJO'!K10,'26.10 HOIMA-KYENJOJO-24h'!K10,'28.10 HOIMA-KYENJOJO-24h'!K10,'31.10 HOIMA-KYENJOJO'!K10)</f>
        <v>0</v>
      </c>
      <c r="L10" s="49">
        <f>AVERAGE('25.10 HOIMA-KYENJOJO'!L10,'27.10 HOIMA-KYENJOJO'!L10,'29.10 HOIMA-KYENJOJO'!L10,'30.10 HOIMA-KYENJOJO'!L10,'26.10 HOIMA-KYENJOJO-24h'!L10,'28.10 HOIMA-KYENJOJO-24h'!L10,'31.10 HOIMA-KYENJOJO'!L10)</f>
        <v>0</v>
      </c>
      <c r="M10" s="49">
        <f>AVERAGE('25.10 HOIMA-KYENJOJO'!M10,'27.10 HOIMA-KYENJOJO'!M10,'29.10 HOIMA-KYENJOJO'!M10,'30.10 HOIMA-KYENJOJO'!M10,'26.10 HOIMA-KYENJOJO-24h'!M10,'28.10 HOIMA-KYENJOJO-24h'!M10,'31.10 HOIMA-KYENJOJO'!M10)</f>
        <v>11.285714285714286</v>
      </c>
      <c r="N10" s="49">
        <f>AVERAGE('25.10 HOIMA-KYENJOJO'!N10,'27.10 HOIMA-KYENJOJO'!N10,'29.10 HOIMA-KYENJOJO'!N10,'30.10 HOIMA-KYENJOJO'!N10,'26.10 HOIMA-KYENJOJO-24h'!N10,'28.10 HOIMA-KYENJOJO-24h'!N10,'31.10 HOIMA-KYENJOJO'!N10)</f>
        <v>0</v>
      </c>
      <c r="O10" s="15">
        <f t="shared" ref="O10:O73" si="0">SUM(C10:L10,N10)</f>
        <v>3.4285714285714288</v>
      </c>
      <c r="P10" s="15">
        <f t="shared" ref="P10:P73" si="1">SUM(C10:N10)</f>
        <v>14.714285714285715</v>
      </c>
      <c r="R10" s="1" t="s">
        <v>6</v>
      </c>
      <c r="S10" s="17">
        <f t="shared" ref="S10:AF10" si="2">SUM(C10:C13)</f>
        <v>14.857142857142858</v>
      </c>
      <c r="T10" s="17">
        <f t="shared" si="2"/>
        <v>2.1428571428571428</v>
      </c>
      <c r="U10" s="17">
        <f t="shared" si="2"/>
        <v>2.1428571428571428</v>
      </c>
      <c r="V10" s="17">
        <f t="shared" si="2"/>
        <v>2.2857142857142856</v>
      </c>
      <c r="W10" s="17">
        <f t="shared" si="2"/>
        <v>0.2857142857142857</v>
      </c>
      <c r="X10" s="17">
        <f t="shared" si="2"/>
        <v>0</v>
      </c>
      <c r="Y10" s="17">
        <f t="shared" si="2"/>
        <v>1.8571428571428572</v>
      </c>
      <c r="Z10" s="17">
        <f t="shared" si="2"/>
        <v>1.8571428571428572</v>
      </c>
      <c r="AA10" s="17">
        <f t="shared" si="2"/>
        <v>0.14285714285714285</v>
      </c>
      <c r="AB10" s="17">
        <f t="shared" si="2"/>
        <v>0</v>
      </c>
      <c r="AC10" s="17">
        <f t="shared" si="2"/>
        <v>97.285714285714278</v>
      </c>
      <c r="AD10" s="17">
        <f t="shared" si="2"/>
        <v>0</v>
      </c>
      <c r="AE10" s="31">
        <f t="shared" si="2"/>
        <v>25.571428571428573</v>
      </c>
      <c r="AF10" s="31">
        <f t="shared" si="2"/>
        <v>122.85714285714286</v>
      </c>
    </row>
    <row r="11" spans="2:32" s="6" customFormat="1" ht="23.1" customHeight="1" x14ac:dyDescent="0.25">
      <c r="B11" s="23" t="s">
        <v>38</v>
      </c>
      <c r="C11" s="49">
        <f>AVERAGE('25.10 HOIMA-KYENJOJO'!C11,'27.10 HOIMA-KYENJOJO'!C11,'29.10 HOIMA-KYENJOJO'!C11,'30.10 HOIMA-KYENJOJO'!C11,'26.10 HOIMA-KYENJOJO-24h'!C11,'28.10 HOIMA-KYENJOJO-24h'!C11,'31.10 HOIMA-KYENJOJO'!C11)</f>
        <v>4.7142857142857144</v>
      </c>
      <c r="D11" s="49">
        <f>AVERAGE('25.10 HOIMA-KYENJOJO'!D11,'27.10 HOIMA-KYENJOJO'!D11,'29.10 HOIMA-KYENJOJO'!D11,'30.10 HOIMA-KYENJOJO'!D11,'26.10 HOIMA-KYENJOJO-24h'!D11,'28.10 HOIMA-KYENJOJO-24h'!D11,'31.10 HOIMA-KYENJOJO'!D11)</f>
        <v>0.8571428571428571</v>
      </c>
      <c r="E11" s="49">
        <f>AVERAGE('25.10 HOIMA-KYENJOJO'!E11,'27.10 HOIMA-KYENJOJO'!E11,'29.10 HOIMA-KYENJOJO'!E11,'30.10 HOIMA-KYENJOJO'!E11,'26.10 HOIMA-KYENJOJO-24h'!E11,'28.10 HOIMA-KYENJOJO-24h'!E11,'31.10 HOIMA-KYENJOJO'!E11)</f>
        <v>0.7142857142857143</v>
      </c>
      <c r="F11" s="49">
        <f>AVERAGE('25.10 HOIMA-KYENJOJO'!F11,'27.10 HOIMA-KYENJOJO'!F11,'29.10 HOIMA-KYENJOJO'!F11,'30.10 HOIMA-KYENJOJO'!F11,'26.10 HOIMA-KYENJOJO-24h'!F11,'28.10 HOIMA-KYENJOJO-24h'!F11,'31.10 HOIMA-KYENJOJO'!F11)</f>
        <v>0.42857142857142855</v>
      </c>
      <c r="G11" s="49">
        <f>AVERAGE('25.10 HOIMA-KYENJOJO'!G11,'27.10 HOIMA-KYENJOJO'!G11,'29.10 HOIMA-KYENJOJO'!G11,'30.10 HOIMA-KYENJOJO'!G11,'26.10 HOIMA-KYENJOJO-24h'!G11,'28.10 HOIMA-KYENJOJO-24h'!G11,'31.10 HOIMA-KYENJOJO'!G11)</f>
        <v>0.14285714285714285</v>
      </c>
      <c r="H11" s="49">
        <f>AVERAGE('25.10 HOIMA-KYENJOJO'!H11,'27.10 HOIMA-KYENJOJO'!H11,'29.10 HOIMA-KYENJOJO'!H11,'30.10 HOIMA-KYENJOJO'!H11,'26.10 HOIMA-KYENJOJO-24h'!H11,'28.10 HOIMA-KYENJOJO-24h'!H11,'31.10 HOIMA-KYENJOJO'!H11)</f>
        <v>0</v>
      </c>
      <c r="I11" s="49">
        <f>AVERAGE('25.10 HOIMA-KYENJOJO'!I11,'27.10 HOIMA-KYENJOJO'!I11,'29.10 HOIMA-KYENJOJO'!I11,'30.10 HOIMA-KYENJOJO'!I11,'26.10 HOIMA-KYENJOJO-24h'!I11,'28.10 HOIMA-KYENJOJO-24h'!I11,'31.10 HOIMA-KYENJOJO'!I11)</f>
        <v>0.5714285714285714</v>
      </c>
      <c r="J11" s="49">
        <f>AVERAGE('25.10 HOIMA-KYENJOJO'!J11,'27.10 HOIMA-KYENJOJO'!J11,'29.10 HOIMA-KYENJOJO'!J11,'30.10 HOIMA-KYENJOJO'!J11,'26.10 HOIMA-KYENJOJO-24h'!J11,'28.10 HOIMA-KYENJOJO-24h'!J11,'31.10 HOIMA-KYENJOJO'!J11)</f>
        <v>0.42857142857142855</v>
      </c>
      <c r="K11" s="49">
        <f>AVERAGE('25.10 HOIMA-KYENJOJO'!K11,'27.10 HOIMA-KYENJOJO'!K11,'29.10 HOIMA-KYENJOJO'!K11,'30.10 HOIMA-KYENJOJO'!K11,'26.10 HOIMA-KYENJOJO-24h'!K11,'28.10 HOIMA-KYENJOJO-24h'!K11,'31.10 HOIMA-KYENJOJO'!K11)</f>
        <v>0.14285714285714285</v>
      </c>
      <c r="L11" s="49">
        <f>AVERAGE('25.10 HOIMA-KYENJOJO'!L11,'27.10 HOIMA-KYENJOJO'!L11,'29.10 HOIMA-KYENJOJO'!L11,'30.10 HOIMA-KYENJOJO'!L11,'26.10 HOIMA-KYENJOJO-24h'!L11,'28.10 HOIMA-KYENJOJO-24h'!L11,'31.10 HOIMA-KYENJOJO'!L11)</f>
        <v>0</v>
      </c>
      <c r="M11" s="49">
        <f>AVERAGE('25.10 HOIMA-KYENJOJO'!M11,'27.10 HOIMA-KYENJOJO'!M11,'29.10 HOIMA-KYENJOJO'!M11,'30.10 HOIMA-KYENJOJO'!M11,'26.10 HOIMA-KYENJOJO-24h'!M11,'28.10 HOIMA-KYENJOJO-24h'!M11,'31.10 HOIMA-KYENJOJO'!M11)</f>
        <v>25.428571428571427</v>
      </c>
      <c r="N11" s="49">
        <f>AVERAGE('25.10 HOIMA-KYENJOJO'!N11,'27.10 HOIMA-KYENJOJO'!N11,'29.10 HOIMA-KYENJOJO'!N11,'30.10 HOIMA-KYENJOJO'!N11,'26.10 HOIMA-KYENJOJO-24h'!N11,'28.10 HOIMA-KYENJOJO-24h'!N11,'31.10 HOIMA-KYENJOJO'!N11)</f>
        <v>0</v>
      </c>
      <c r="O11" s="15">
        <f t="shared" si="0"/>
        <v>8</v>
      </c>
      <c r="P11" s="15">
        <f t="shared" si="1"/>
        <v>33.428571428571431</v>
      </c>
      <c r="R11" s="1" t="s">
        <v>7</v>
      </c>
      <c r="S11" s="17">
        <f t="shared" ref="S11:AF11" si="3">SUM(C14:C17)</f>
        <v>24.142857142857139</v>
      </c>
      <c r="T11" s="17">
        <f t="shared" si="3"/>
        <v>2.2857142857142856</v>
      </c>
      <c r="U11" s="17">
        <f t="shared" si="3"/>
        <v>3.7142857142857144</v>
      </c>
      <c r="V11" s="17">
        <f t="shared" si="3"/>
        <v>3.1428571428571423</v>
      </c>
      <c r="W11" s="17">
        <f t="shared" si="3"/>
        <v>0.14285714285714285</v>
      </c>
      <c r="X11" s="17">
        <f t="shared" si="3"/>
        <v>0.14285714285714285</v>
      </c>
      <c r="Y11" s="17">
        <f t="shared" si="3"/>
        <v>3</v>
      </c>
      <c r="Z11" s="17">
        <f t="shared" si="3"/>
        <v>2</v>
      </c>
      <c r="AA11" s="17">
        <f t="shared" si="3"/>
        <v>0.5714285714285714</v>
      </c>
      <c r="AB11" s="17">
        <f t="shared" si="3"/>
        <v>0.14285714285714285</v>
      </c>
      <c r="AC11" s="17">
        <f t="shared" si="3"/>
        <v>119.14285714285714</v>
      </c>
      <c r="AD11" s="17">
        <f t="shared" si="3"/>
        <v>0</v>
      </c>
      <c r="AE11" s="31">
        <f t="shared" si="3"/>
        <v>39.285714285714285</v>
      </c>
      <c r="AF11" s="31">
        <f t="shared" si="3"/>
        <v>158.42857142857142</v>
      </c>
    </row>
    <row r="12" spans="2:32" ht="23.1" customHeight="1" x14ac:dyDescent="0.25">
      <c r="B12" s="23" t="s">
        <v>39</v>
      </c>
      <c r="C12" s="49">
        <f>AVERAGE('25.10 HOIMA-KYENJOJO'!C12,'27.10 HOIMA-KYENJOJO'!C12,'29.10 HOIMA-KYENJOJO'!C12,'30.10 HOIMA-KYENJOJO'!C12,'26.10 HOIMA-KYENJOJO-24h'!C12,'28.10 HOIMA-KYENJOJO-24h'!C12,'31.10 HOIMA-KYENJOJO'!C12)</f>
        <v>4</v>
      </c>
      <c r="D12" s="49">
        <f>AVERAGE('25.10 HOIMA-KYENJOJO'!D12,'27.10 HOIMA-KYENJOJO'!D12,'29.10 HOIMA-KYENJOJO'!D12,'30.10 HOIMA-KYENJOJO'!D12,'26.10 HOIMA-KYENJOJO-24h'!D12,'28.10 HOIMA-KYENJOJO-24h'!D12,'31.10 HOIMA-KYENJOJO'!D12)</f>
        <v>1.1428571428571428</v>
      </c>
      <c r="E12" s="49">
        <f>AVERAGE('25.10 HOIMA-KYENJOJO'!E12,'27.10 HOIMA-KYENJOJO'!E12,'29.10 HOIMA-KYENJOJO'!E12,'30.10 HOIMA-KYENJOJO'!E12,'26.10 HOIMA-KYENJOJO-24h'!E12,'28.10 HOIMA-KYENJOJO-24h'!E12,'31.10 HOIMA-KYENJOJO'!E12)</f>
        <v>0.8571428571428571</v>
      </c>
      <c r="F12" s="49">
        <f>AVERAGE('25.10 HOIMA-KYENJOJO'!F12,'27.10 HOIMA-KYENJOJO'!F12,'29.10 HOIMA-KYENJOJO'!F12,'30.10 HOIMA-KYENJOJO'!F12,'26.10 HOIMA-KYENJOJO-24h'!F12,'28.10 HOIMA-KYENJOJO-24h'!F12,'31.10 HOIMA-KYENJOJO'!F12)</f>
        <v>0.8571428571428571</v>
      </c>
      <c r="G12" s="49">
        <f>AVERAGE('25.10 HOIMA-KYENJOJO'!G12,'27.10 HOIMA-KYENJOJO'!G12,'29.10 HOIMA-KYENJOJO'!G12,'30.10 HOIMA-KYENJOJO'!G12,'26.10 HOIMA-KYENJOJO-24h'!G12,'28.10 HOIMA-KYENJOJO-24h'!G12,'31.10 HOIMA-KYENJOJO'!G12)</f>
        <v>0.14285714285714285</v>
      </c>
      <c r="H12" s="49">
        <f>AVERAGE('25.10 HOIMA-KYENJOJO'!H12,'27.10 HOIMA-KYENJOJO'!H12,'29.10 HOIMA-KYENJOJO'!H12,'30.10 HOIMA-KYENJOJO'!H12,'26.10 HOIMA-KYENJOJO-24h'!H12,'28.10 HOIMA-KYENJOJO-24h'!H12,'31.10 HOIMA-KYENJOJO'!H12)</f>
        <v>0</v>
      </c>
      <c r="I12" s="49">
        <f>AVERAGE('25.10 HOIMA-KYENJOJO'!I12,'27.10 HOIMA-KYENJOJO'!I12,'29.10 HOIMA-KYENJOJO'!I12,'30.10 HOIMA-KYENJOJO'!I12,'26.10 HOIMA-KYENJOJO-24h'!I12,'28.10 HOIMA-KYENJOJO-24h'!I12,'31.10 HOIMA-KYENJOJO'!I12)</f>
        <v>0.5714285714285714</v>
      </c>
      <c r="J12" s="49">
        <f>AVERAGE('25.10 HOIMA-KYENJOJO'!J12,'27.10 HOIMA-KYENJOJO'!J12,'29.10 HOIMA-KYENJOJO'!J12,'30.10 HOIMA-KYENJOJO'!J12,'26.10 HOIMA-KYENJOJO-24h'!J12,'28.10 HOIMA-KYENJOJO-24h'!J12,'31.10 HOIMA-KYENJOJO'!J12)</f>
        <v>0</v>
      </c>
      <c r="K12" s="49">
        <f>AVERAGE('25.10 HOIMA-KYENJOJO'!K12,'27.10 HOIMA-KYENJOJO'!K12,'29.10 HOIMA-KYENJOJO'!K12,'30.10 HOIMA-KYENJOJO'!K12,'26.10 HOIMA-KYENJOJO-24h'!K12,'28.10 HOIMA-KYENJOJO-24h'!K12,'31.10 HOIMA-KYENJOJO'!K12)</f>
        <v>0</v>
      </c>
      <c r="L12" s="49">
        <f>AVERAGE('25.10 HOIMA-KYENJOJO'!L12,'27.10 HOIMA-KYENJOJO'!L12,'29.10 HOIMA-KYENJOJO'!L12,'30.10 HOIMA-KYENJOJO'!L12,'26.10 HOIMA-KYENJOJO-24h'!L12,'28.10 HOIMA-KYENJOJO-24h'!L12,'31.10 HOIMA-KYENJOJO'!L12)</f>
        <v>0</v>
      </c>
      <c r="M12" s="49">
        <f>AVERAGE('25.10 HOIMA-KYENJOJO'!M12,'27.10 HOIMA-KYENJOJO'!M12,'29.10 HOIMA-KYENJOJO'!M12,'30.10 HOIMA-KYENJOJO'!M12,'26.10 HOIMA-KYENJOJO-24h'!M12,'28.10 HOIMA-KYENJOJO-24h'!M12,'31.10 HOIMA-KYENJOJO'!M12)</f>
        <v>26.714285714285715</v>
      </c>
      <c r="N12" s="49">
        <f>AVERAGE('25.10 HOIMA-KYENJOJO'!N12,'27.10 HOIMA-KYENJOJO'!N12,'29.10 HOIMA-KYENJOJO'!N12,'30.10 HOIMA-KYENJOJO'!N12,'26.10 HOIMA-KYENJOJO-24h'!N12,'28.10 HOIMA-KYENJOJO-24h'!N12,'31.10 HOIMA-KYENJOJO'!N12)</f>
        <v>0</v>
      </c>
      <c r="O12" s="15">
        <f t="shared" si="0"/>
        <v>7.5714285714285703</v>
      </c>
      <c r="P12" s="15">
        <f t="shared" si="1"/>
        <v>34.285714285714285</v>
      </c>
      <c r="R12" s="1" t="s">
        <v>8</v>
      </c>
      <c r="S12" s="17">
        <f t="shared" ref="S12:AF12" si="4">SUM(C18:C21)</f>
        <v>21.142857142857142</v>
      </c>
      <c r="T12" s="17">
        <f t="shared" si="4"/>
        <v>3</v>
      </c>
      <c r="U12" s="17">
        <f t="shared" si="4"/>
        <v>3.7142857142857144</v>
      </c>
      <c r="V12" s="17">
        <f t="shared" si="4"/>
        <v>3.1428571428571428</v>
      </c>
      <c r="W12" s="17">
        <f t="shared" si="4"/>
        <v>0</v>
      </c>
      <c r="X12" s="17">
        <f t="shared" si="4"/>
        <v>0</v>
      </c>
      <c r="Y12" s="17">
        <f t="shared" si="4"/>
        <v>2.714285714285714</v>
      </c>
      <c r="Z12" s="17">
        <f t="shared" si="4"/>
        <v>2.2857142857142856</v>
      </c>
      <c r="AA12" s="17">
        <f t="shared" si="4"/>
        <v>0.42857142857142855</v>
      </c>
      <c r="AB12" s="17">
        <f t="shared" si="4"/>
        <v>0.14285714285714285</v>
      </c>
      <c r="AC12" s="17">
        <f t="shared" si="4"/>
        <v>125.57142857142858</v>
      </c>
      <c r="AD12" s="17">
        <f t="shared" si="4"/>
        <v>0</v>
      </c>
      <c r="AE12" s="31">
        <f t="shared" si="4"/>
        <v>36.571428571428569</v>
      </c>
      <c r="AF12" s="31">
        <f t="shared" si="4"/>
        <v>162.14285714285714</v>
      </c>
    </row>
    <row r="13" spans="2:32" ht="23.1" customHeight="1" x14ac:dyDescent="0.25">
      <c r="B13" s="23" t="s">
        <v>40</v>
      </c>
      <c r="C13" s="49">
        <f>AVERAGE('25.10 HOIMA-KYENJOJO'!C13,'27.10 HOIMA-KYENJOJO'!C13,'29.10 HOIMA-KYENJOJO'!C13,'30.10 HOIMA-KYENJOJO'!C13,'26.10 HOIMA-KYENJOJO-24h'!C13,'28.10 HOIMA-KYENJOJO-24h'!C13,'31.10 HOIMA-KYENJOJO'!C13)</f>
        <v>4</v>
      </c>
      <c r="D13" s="49">
        <f>AVERAGE('25.10 HOIMA-KYENJOJO'!D13,'27.10 HOIMA-KYENJOJO'!D13,'29.10 HOIMA-KYENJOJO'!D13,'30.10 HOIMA-KYENJOJO'!D13,'26.10 HOIMA-KYENJOJO-24h'!D13,'28.10 HOIMA-KYENJOJO-24h'!D13,'31.10 HOIMA-KYENJOJO'!D13)</f>
        <v>0.14285714285714285</v>
      </c>
      <c r="E13" s="49">
        <f>AVERAGE('25.10 HOIMA-KYENJOJO'!E13,'27.10 HOIMA-KYENJOJO'!E13,'29.10 HOIMA-KYENJOJO'!E13,'30.10 HOIMA-KYENJOJO'!E13,'26.10 HOIMA-KYENJOJO-24h'!E13,'28.10 HOIMA-KYENJOJO-24h'!E13,'31.10 HOIMA-KYENJOJO'!E13)</f>
        <v>0.5714285714285714</v>
      </c>
      <c r="F13" s="49">
        <f>AVERAGE('25.10 HOIMA-KYENJOJO'!F13,'27.10 HOIMA-KYENJOJO'!F13,'29.10 HOIMA-KYENJOJO'!F13,'30.10 HOIMA-KYENJOJO'!F13,'26.10 HOIMA-KYENJOJO-24h'!F13,'28.10 HOIMA-KYENJOJO-24h'!F13,'31.10 HOIMA-KYENJOJO'!F13)</f>
        <v>1</v>
      </c>
      <c r="G13" s="49">
        <f>AVERAGE('25.10 HOIMA-KYENJOJO'!G13,'27.10 HOIMA-KYENJOJO'!G13,'29.10 HOIMA-KYENJOJO'!G13,'30.10 HOIMA-KYENJOJO'!G13,'26.10 HOIMA-KYENJOJO-24h'!G13,'28.10 HOIMA-KYENJOJO-24h'!G13,'31.10 HOIMA-KYENJOJO'!G13)</f>
        <v>0</v>
      </c>
      <c r="H13" s="49">
        <f>AVERAGE('25.10 HOIMA-KYENJOJO'!H13,'27.10 HOIMA-KYENJOJO'!H13,'29.10 HOIMA-KYENJOJO'!H13,'30.10 HOIMA-KYENJOJO'!H13,'26.10 HOIMA-KYENJOJO-24h'!H13,'28.10 HOIMA-KYENJOJO-24h'!H13,'31.10 HOIMA-KYENJOJO'!H13)</f>
        <v>0</v>
      </c>
      <c r="I13" s="49">
        <f>AVERAGE('25.10 HOIMA-KYENJOJO'!I13,'27.10 HOIMA-KYENJOJO'!I13,'29.10 HOIMA-KYENJOJO'!I13,'30.10 HOIMA-KYENJOJO'!I13,'26.10 HOIMA-KYENJOJO-24h'!I13,'28.10 HOIMA-KYENJOJO-24h'!I13,'31.10 HOIMA-KYENJOJO'!I13)</f>
        <v>0.7142857142857143</v>
      </c>
      <c r="J13" s="49">
        <f>AVERAGE('25.10 HOIMA-KYENJOJO'!J13,'27.10 HOIMA-KYENJOJO'!J13,'29.10 HOIMA-KYENJOJO'!J13,'30.10 HOIMA-KYENJOJO'!J13,'26.10 HOIMA-KYENJOJO-24h'!J13,'28.10 HOIMA-KYENJOJO-24h'!J13,'31.10 HOIMA-KYENJOJO'!J13)</f>
        <v>0.14285714285714285</v>
      </c>
      <c r="K13" s="49">
        <f>AVERAGE('25.10 HOIMA-KYENJOJO'!K13,'27.10 HOIMA-KYENJOJO'!K13,'29.10 HOIMA-KYENJOJO'!K13,'30.10 HOIMA-KYENJOJO'!K13,'26.10 HOIMA-KYENJOJO-24h'!K13,'28.10 HOIMA-KYENJOJO-24h'!K13,'31.10 HOIMA-KYENJOJO'!K13)</f>
        <v>0</v>
      </c>
      <c r="L13" s="49">
        <f>AVERAGE('25.10 HOIMA-KYENJOJO'!L13,'27.10 HOIMA-KYENJOJO'!L13,'29.10 HOIMA-KYENJOJO'!L13,'30.10 HOIMA-KYENJOJO'!L13,'26.10 HOIMA-KYENJOJO-24h'!L13,'28.10 HOIMA-KYENJOJO-24h'!L13,'31.10 HOIMA-KYENJOJO'!L13)</f>
        <v>0</v>
      </c>
      <c r="M13" s="49">
        <f>AVERAGE('25.10 HOIMA-KYENJOJO'!M13,'27.10 HOIMA-KYENJOJO'!M13,'29.10 HOIMA-KYENJOJO'!M13,'30.10 HOIMA-KYENJOJO'!M13,'26.10 HOIMA-KYENJOJO-24h'!M13,'28.10 HOIMA-KYENJOJO-24h'!M13,'31.10 HOIMA-KYENJOJO'!M13)</f>
        <v>33.857142857142854</v>
      </c>
      <c r="N13" s="49">
        <f>AVERAGE('25.10 HOIMA-KYENJOJO'!N13,'27.10 HOIMA-KYENJOJO'!N13,'29.10 HOIMA-KYENJOJO'!N13,'30.10 HOIMA-KYENJOJO'!N13,'26.10 HOIMA-KYENJOJO-24h'!N13,'28.10 HOIMA-KYENJOJO-24h'!N13,'31.10 HOIMA-KYENJOJO'!N13)</f>
        <v>0</v>
      </c>
      <c r="O13" s="15">
        <f t="shared" si="0"/>
        <v>6.5714285714285721</v>
      </c>
      <c r="P13" s="15">
        <f t="shared" si="1"/>
        <v>40.428571428571423</v>
      </c>
      <c r="R13" s="1" t="s">
        <v>9</v>
      </c>
      <c r="S13" s="17">
        <f t="shared" ref="S13:AF13" si="5">SUM(C22:C25)</f>
        <v>23.714285714285715</v>
      </c>
      <c r="T13" s="17">
        <f t="shared" si="5"/>
        <v>2.1428571428571428</v>
      </c>
      <c r="U13" s="17">
        <f t="shared" si="5"/>
        <v>5.2857142857142856</v>
      </c>
      <c r="V13" s="17">
        <f t="shared" si="5"/>
        <v>3.285714285714286</v>
      </c>
      <c r="W13" s="17">
        <f t="shared" si="5"/>
        <v>0</v>
      </c>
      <c r="X13" s="17">
        <f t="shared" si="5"/>
        <v>0.14285714285714285</v>
      </c>
      <c r="Y13" s="17">
        <f t="shared" si="5"/>
        <v>2.7142857142857144</v>
      </c>
      <c r="Z13" s="17">
        <f t="shared" si="5"/>
        <v>3.1428571428571428</v>
      </c>
      <c r="AA13" s="17">
        <f t="shared" si="5"/>
        <v>1.4285714285714286</v>
      </c>
      <c r="AB13" s="17">
        <f t="shared" si="5"/>
        <v>0.14285714285714285</v>
      </c>
      <c r="AC13" s="17">
        <f t="shared" si="5"/>
        <v>127.28571428571429</v>
      </c>
      <c r="AD13" s="17">
        <f t="shared" si="5"/>
        <v>0.14285714285714285</v>
      </c>
      <c r="AE13" s="31">
        <f t="shared" si="5"/>
        <v>42.142857142857146</v>
      </c>
      <c r="AF13" s="31">
        <f t="shared" si="5"/>
        <v>169.42857142857144</v>
      </c>
    </row>
    <row r="14" spans="2:32" ht="23.1" customHeight="1" x14ac:dyDescent="0.25">
      <c r="B14" s="23" t="s">
        <v>41</v>
      </c>
      <c r="C14" s="49">
        <f>AVERAGE('25.10 HOIMA-KYENJOJO'!C14,'27.10 HOIMA-KYENJOJO'!C14,'29.10 HOIMA-KYENJOJO'!C14,'30.10 HOIMA-KYENJOJO'!C14,'26.10 HOIMA-KYENJOJO-24h'!C14,'28.10 HOIMA-KYENJOJO-24h'!C14,'31.10 HOIMA-KYENJOJO'!C14)</f>
        <v>3.4285714285714284</v>
      </c>
      <c r="D14" s="49">
        <f>AVERAGE('25.10 HOIMA-KYENJOJO'!D14,'27.10 HOIMA-KYENJOJO'!D14,'29.10 HOIMA-KYENJOJO'!D14,'30.10 HOIMA-KYENJOJO'!D14,'26.10 HOIMA-KYENJOJO-24h'!D14,'28.10 HOIMA-KYENJOJO-24h'!D14,'31.10 HOIMA-KYENJOJO'!D14)</f>
        <v>0.42857142857142855</v>
      </c>
      <c r="E14" s="49">
        <f>AVERAGE('25.10 HOIMA-KYENJOJO'!E14,'27.10 HOIMA-KYENJOJO'!E14,'29.10 HOIMA-KYENJOJO'!E14,'30.10 HOIMA-KYENJOJO'!E14,'26.10 HOIMA-KYENJOJO-24h'!E14,'28.10 HOIMA-KYENJOJO-24h'!E14,'31.10 HOIMA-KYENJOJO'!E14)</f>
        <v>0.42857142857142855</v>
      </c>
      <c r="F14" s="49">
        <f>AVERAGE('25.10 HOIMA-KYENJOJO'!F14,'27.10 HOIMA-KYENJOJO'!F14,'29.10 HOIMA-KYENJOJO'!F14,'30.10 HOIMA-KYENJOJO'!F14,'26.10 HOIMA-KYENJOJO-24h'!F14,'28.10 HOIMA-KYENJOJO-24h'!F14,'31.10 HOIMA-KYENJOJO'!F14)</f>
        <v>0.7142857142857143</v>
      </c>
      <c r="G14" s="49">
        <f>AVERAGE('25.10 HOIMA-KYENJOJO'!G14,'27.10 HOIMA-KYENJOJO'!G14,'29.10 HOIMA-KYENJOJO'!G14,'30.10 HOIMA-KYENJOJO'!G14,'26.10 HOIMA-KYENJOJO-24h'!G14,'28.10 HOIMA-KYENJOJO-24h'!G14,'31.10 HOIMA-KYENJOJO'!G14)</f>
        <v>0</v>
      </c>
      <c r="H14" s="49">
        <f>AVERAGE('25.10 HOIMA-KYENJOJO'!H14,'27.10 HOIMA-KYENJOJO'!H14,'29.10 HOIMA-KYENJOJO'!H14,'30.10 HOIMA-KYENJOJO'!H14,'26.10 HOIMA-KYENJOJO-24h'!H14,'28.10 HOIMA-KYENJOJO-24h'!H14,'31.10 HOIMA-KYENJOJO'!H14)</f>
        <v>0.14285714285714285</v>
      </c>
      <c r="I14" s="49">
        <f>AVERAGE('25.10 HOIMA-KYENJOJO'!I14,'27.10 HOIMA-KYENJOJO'!I14,'29.10 HOIMA-KYENJOJO'!I14,'30.10 HOIMA-KYENJOJO'!I14,'26.10 HOIMA-KYENJOJO-24h'!I14,'28.10 HOIMA-KYENJOJO-24h'!I14,'31.10 HOIMA-KYENJOJO'!I14)</f>
        <v>1.1428571428571428</v>
      </c>
      <c r="J14" s="49">
        <f>AVERAGE('25.10 HOIMA-KYENJOJO'!J14,'27.10 HOIMA-KYENJOJO'!J14,'29.10 HOIMA-KYENJOJO'!J14,'30.10 HOIMA-KYENJOJO'!J14,'26.10 HOIMA-KYENJOJO-24h'!J14,'28.10 HOIMA-KYENJOJO-24h'!J14,'31.10 HOIMA-KYENJOJO'!J14)</f>
        <v>0.42857142857142855</v>
      </c>
      <c r="K14" s="49">
        <f>AVERAGE('25.10 HOIMA-KYENJOJO'!K14,'27.10 HOIMA-KYENJOJO'!K14,'29.10 HOIMA-KYENJOJO'!K14,'30.10 HOIMA-KYENJOJO'!K14,'26.10 HOIMA-KYENJOJO-24h'!K14,'28.10 HOIMA-KYENJOJO-24h'!K14,'31.10 HOIMA-KYENJOJO'!K14)</f>
        <v>0</v>
      </c>
      <c r="L14" s="49">
        <f>AVERAGE('25.10 HOIMA-KYENJOJO'!L14,'27.10 HOIMA-KYENJOJO'!L14,'29.10 HOIMA-KYENJOJO'!L14,'30.10 HOIMA-KYENJOJO'!L14,'26.10 HOIMA-KYENJOJO-24h'!L14,'28.10 HOIMA-KYENJOJO-24h'!L14,'31.10 HOIMA-KYENJOJO'!L14)</f>
        <v>0.14285714285714285</v>
      </c>
      <c r="M14" s="49">
        <f>AVERAGE('25.10 HOIMA-KYENJOJO'!M14,'27.10 HOIMA-KYENJOJO'!M14,'29.10 HOIMA-KYENJOJO'!M14,'30.10 HOIMA-KYENJOJO'!M14,'26.10 HOIMA-KYENJOJO-24h'!M14,'28.10 HOIMA-KYENJOJO-24h'!M14,'31.10 HOIMA-KYENJOJO'!M14)</f>
        <v>28</v>
      </c>
      <c r="N14" s="49">
        <f>AVERAGE('25.10 HOIMA-KYENJOJO'!N14,'27.10 HOIMA-KYENJOJO'!N14,'29.10 HOIMA-KYENJOJO'!N14,'30.10 HOIMA-KYENJOJO'!N14,'26.10 HOIMA-KYENJOJO-24h'!N14,'28.10 HOIMA-KYENJOJO-24h'!N14,'31.10 HOIMA-KYENJOJO'!N14)</f>
        <v>0</v>
      </c>
      <c r="O14" s="15">
        <f t="shared" si="0"/>
        <v>6.8571428571428585</v>
      </c>
      <c r="P14" s="15">
        <f t="shared" si="1"/>
        <v>34.857142857142861</v>
      </c>
      <c r="R14" s="1" t="s">
        <v>10</v>
      </c>
      <c r="S14" s="17">
        <f t="shared" ref="S14:AF14" si="6">SUM(C26:C29)</f>
        <v>21.999999999999996</v>
      </c>
      <c r="T14" s="17">
        <f t="shared" si="6"/>
        <v>2.5714285714285712</v>
      </c>
      <c r="U14" s="17">
        <f t="shared" si="6"/>
        <v>3.7142857142857144</v>
      </c>
      <c r="V14" s="17">
        <f t="shared" si="6"/>
        <v>2.2857142857142856</v>
      </c>
      <c r="W14" s="17">
        <f t="shared" si="6"/>
        <v>0</v>
      </c>
      <c r="X14" s="17">
        <f t="shared" si="6"/>
        <v>0.14285714285714285</v>
      </c>
      <c r="Y14" s="17">
        <f t="shared" si="6"/>
        <v>3.5714285714285716</v>
      </c>
      <c r="Z14" s="17">
        <f t="shared" si="6"/>
        <v>3.7142857142857144</v>
      </c>
      <c r="AA14" s="17">
        <f t="shared" si="6"/>
        <v>1</v>
      </c>
      <c r="AB14" s="17">
        <f t="shared" si="6"/>
        <v>0.14285714285714285</v>
      </c>
      <c r="AC14" s="17">
        <f t="shared" si="6"/>
        <v>138.42857142857142</v>
      </c>
      <c r="AD14" s="17">
        <f t="shared" si="6"/>
        <v>0.42857142857142855</v>
      </c>
      <c r="AE14" s="31">
        <f t="shared" si="6"/>
        <v>39.571428571428569</v>
      </c>
      <c r="AF14" s="31">
        <f t="shared" si="6"/>
        <v>178</v>
      </c>
    </row>
    <row r="15" spans="2:32" ht="23.1" customHeight="1" x14ac:dyDescent="0.25">
      <c r="B15" s="23" t="s">
        <v>42</v>
      </c>
      <c r="C15" s="49">
        <f>AVERAGE('25.10 HOIMA-KYENJOJO'!C15,'27.10 HOIMA-KYENJOJO'!C15,'29.10 HOIMA-KYENJOJO'!C15,'30.10 HOIMA-KYENJOJO'!C15,'26.10 HOIMA-KYENJOJO-24h'!C15,'28.10 HOIMA-KYENJOJO-24h'!C15,'31.10 HOIMA-KYENJOJO'!C15)</f>
        <v>5.7142857142857144</v>
      </c>
      <c r="D15" s="49">
        <f>AVERAGE('25.10 HOIMA-KYENJOJO'!D15,'27.10 HOIMA-KYENJOJO'!D15,'29.10 HOIMA-KYENJOJO'!D15,'30.10 HOIMA-KYENJOJO'!D15,'26.10 HOIMA-KYENJOJO-24h'!D15,'28.10 HOIMA-KYENJOJO-24h'!D15,'31.10 HOIMA-KYENJOJO'!D15)</f>
        <v>0.8571428571428571</v>
      </c>
      <c r="E15" s="49">
        <f>AVERAGE('25.10 HOIMA-KYENJOJO'!E15,'27.10 HOIMA-KYENJOJO'!E15,'29.10 HOIMA-KYENJOJO'!E15,'30.10 HOIMA-KYENJOJO'!E15,'26.10 HOIMA-KYENJOJO-24h'!E15,'28.10 HOIMA-KYENJOJO-24h'!E15,'31.10 HOIMA-KYENJOJO'!E15)</f>
        <v>1.4285714285714286</v>
      </c>
      <c r="F15" s="49">
        <f>AVERAGE('25.10 HOIMA-KYENJOJO'!F15,'27.10 HOIMA-KYENJOJO'!F15,'29.10 HOIMA-KYENJOJO'!F15,'30.10 HOIMA-KYENJOJO'!F15,'26.10 HOIMA-KYENJOJO-24h'!F15,'28.10 HOIMA-KYENJOJO-24h'!F15,'31.10 HOIMA-KYENJOJO'!F15)</f>
        <v>0.8571428571428571</v>
      </c>
      <c r="G15" s="49">
        <f>AVERAGE('25.10 HOIMA-KYENJOJO'!G15,'27.10 HOIMA-KYENJOJO'!G15,'29.10 HOIMA-KYENJOJO'!G15,'30.10 HOIMA-KYENJOJO'!G15,'26.10 HOIMA-KYENJOJO-24h'!G15,'28.10 HOIMA-KYENJOJO-24h'!G15,'31.10 HOIMA-KYENJOJO'!G15)</f>
        <v>0.14285714285714285</v>
      </c>
      <c r="H15" s="49">
        <f>AVERAGE('25.10 HOIMA-KYENJOJO'!H15,'27.10 HOIMA-KYENJOJO'!H15,'29.10 HOIMA-KYENJOJO'!H15,'30.10 HOIMA-KYENJOJO'!H15,'26.10 HOIMA-KYENJOJO-24h'!H15,'28.10 HOIMA-KYENJOJO-24h'!H15,'31.10 HOIMA-KYENJOJO'!H15)</f>
        <v>0</v>
      </c>
      <c r="I15" s="49">
        <f>AVERAGE('25.10 HOIMA-KYENJOJO'!I15,'27.10 HOIMA-KYENJOJO'!I15,'29.10 HOIMA-KYENJOJO'!I15,'30.10 HOIMA-KYENJOJO'!I15,'26.10 HOIMA-KYENJOJO-24h'!I15,'28.10 HOIMA-KYENJOJO-24h'!I15,'31.10 HOIMA-KYENJOJO'!I15)</f>
        <v>0.7142857142857143</v>
      </c>
      <c r="J15" s="49">
        <f>AVERAGE('25.10 HOIMA-KYENJOJO'!J15,'27.10 HOIMA-KYENJOJO'!J15,'29.10 HOIMA-KYENJOJO'!J15,'30.10 HOIMA-KYENJOJO'!J15,'26.10 HOIMA-KYENJOJO-24h'!J15,'28.10 HOIMA-KYENJOJO-24h'!J15,'31.10 HOIMA-KYENJOJO'!J15)</f>
        <v>0.5714285714285714</v>
      </c>
      <c r="K15" s="49">
        <f>AVERAGE('25.10 HOIMA-KYENJOJO'!K15,'27.10 HOIMA-KYENJOJO'!K15,'29.10 HOIMA-KYENJOJO'!K15,'30.10 HOIMA-KYENJOJO'!K15,'26.10 HOIMA-KYENJOJO-24h'!K15,'28.10 HOIMA-KYENJOJO-24h'!K15,'31.10 HOIMA-KYENJOJO'!K15)</f>
        <v>0.2857142857142857</v>
      </c>
      <c r="L15" s="49">
        <f>AVERAGE('25.10 HOIMA-KYENJOJO'!L15,'27.10 HOIMA-KYENJOJO'!L15,'29.10 HOIMA-KYENJOJO'!L15,'30.10 HOIMA-KYENJOJO'!L15,'26.10 HOIMA-KYENJOJO-24h'!L15,'28.10 HOIMA-KYENJOJO-24h'!L15,'31.10 HOIMA-KYENJOJO'!L15)</f>
        <v>0</v>
      </c>
      <c r="M15" s="49">
        <f>AVERAGE('25.10 HOIMA-KYENJOJO'!M15,'27.10 HOIMA-KYENJOJO'!M15,'29.10 HOIMA-KYENJOJO'!M15,'30.10 HOIMA-KYENJOJO'!M15,'26.10 HOIMA-KYENJOJO-24h'!M15,'28.10 HOIMA-KYENJOJO-24h'!M15,'31.10 HOIMA-KYENJOJO'!M15)</f>
        <v>30.714285714285715</v>
      </c>
      <c r="N15" s="49">
        <f>AVERAGE('25.10 HOIMA-KYENJOJO'!N15,'27.10 HOIMA-KYENJOJO'!N15,'29.10 HOIMA-KYENJOJO'!N15,'30.10 HOIMA-KYENJOJO'!N15,'26.10 HOIMA-KYENJOJO-24h'!N15,'28.10 HOIMA-KYENJOJO-24h'!N15,'31.10 HOIMA-KYENJOJO'!N15)</f>
        <v>0</v>
      </c>
      <c r="O15" s="15">
        <f t="shared" si="0"/>
        <v>10.571428571428571</v>
      </c>
      <c r="P15" s="15">
        <f t="shared" si="1"/>
        <v>41.285714285714285</v>
      </c>
      <c r="R15" s="1" t="s">
        <v>11</v>
      </c>
      <c r="S15" s="17">
        <f t="shared" ref="S15:AF15" si="7">SUM(C30:C33)</f>
        <v>22</v>
      </c>
      <c r="T15" s="17">
        <f t="shared" si="7"/>
        <v>3.1428571428571428</v>
      </c>
      <c r="U15" s="17">
        <f t="shared" si="7"/>
        <v>3.4285714285714288</v>
      </c>
      <c r="V15" s="17">
        <f t="shared" si="7"/>
        <v>3</v>
      </c>
      <c r="W15" s="17">
        <f t="shared" si="7"/>
        <v>0</v>
      </c>
      <c r="X15" s="17">
        <f t="shared" si="7"/>
        <v>0.14285714285714285</v>
      </c>
      <c r="Y15" s="17">
        <f t="shared" si="7"/>
        <v>2</v>
      </c>
      <c r="Z15" s="17">
        <f t="shared" si="7"/>
        <v>1.4285714285714284</v>
      </c>
      <c r="AA15" s="17">
        <f t="shared" si="7"/>
        <v>0.71428571428571419</v>
      </c>
      <c r="AB15" s="17">
        <f t="shared" si="7"/>
        <v>0</v>
      </c>
      <c r="AC15" s="17">
        <f t="shared" si="7"/>
        <v>142.57142857142858</v>
      </c>
      <c r="AD15" s="17">
        <f t="shared" si="7"/>
        <v>0.14285714285714285</v>
      </c>
      <c r="AE15" s="31">
        <f t="shared" si="7"/>
        <v>36</v>
      </c>
      <c r="AF15" s="31">
        <f t="shared" si="7"/>
        <v>178.57142857142858</v>
      </c>
    </row>
    <row r="16" spans="2:32" ht="23.1" customHeight="1" x14ac:dyDescent="0.25">
      <c r="B16" s="23" t="s">
        <v>43</v>
      </c>
      <c r="C16" s="49">
        <f>AVERAGE('25.10 HOIMA-KYENJOJO'!C16,'27.10 HOIMA-KYENJOJO'!C16,'29.10 HOIMA-KYENJOJO'!C16,'30.10 HOIMA-KYENJOJO'!C16,'26.10 HOIMA-KYENJOJO-24h'!C16,'28.10 HOIMA-KYENJOJO-24h'!C16,'31.10 HOIMA-KYENJOJO'!C16)</f>
        <v>9.7142857142857135</v>
      </c>
      <c r="D16" s="49">
        <f>AVERAGE('25.10 HOIMA-KYENJOJO'!D16,'27.10 HOIMA-KYENJOJO'!D16,'29.10 HOIMA-KYENJOJO'!D16,'30.10 HOIMA-KYENJOJO'!D16,'26.10 HOIMA-KYENJOJO-24h'!D16,'28.10 HOIMA-KYENJOJO-24h'!D16,'31.10 HOIMA-KYENJOJO'!D16)</f>
        <v>0.42857142857142855</v>
      </c>
      <c r="E16" s="49">
        <f>AVERAGE('25.10 HOIMA-KYENJOJO'!E16,'27.10 HOIMA-KYENJOJO'!E16,'29.10 HOIMA-KYENJOJO'!E16,'30.10 HOIMA-KYENJOJO'!E16,'26.10 HOIMA-KYENJOJO-24h'!E16,'28.10 HOIMA-KYENJOJO-24h'!E16,'31.10 HOIMA-KYENJOJO'!E16)</f>
        <v>0.7142857142857143</v>
      </c>
      <c r="F16" s="49">
        <f>AVERAGE('25.10 HOIMA-KYENJOJO'!F16,'27.10 HOIMA-KYENJOJO'!F16,'29.10 HOIMA-KYENJOJO'!F16,'30.10 HOIMA-KYENJOJO'!F16,'26.10 HOIMA-KYENJOJO-24h'!F16,'28.10 HOIMA-KYENJOJO-24h'!F16,'31.10 HOIMA-KYENJOJO'!F16)</f>
        <v>1</v>
      </c>
      <c r="G16" s="49">
        <f>AVERAGE('25.10 HOIMA-KYENJOJO'!G16,'27.10 HOIMA-KYENJOJO'!G16,'29.10 HOIMA-KYENJOJO'!G16,'30.10 HOIMA-KYENJOJO'!G16,'26.10 HOIMA-KYENJOJO-24h'!G16,'28.10 HOIMA-KYENJOJO-24h'!G16,'31.10 HOIMA-KYENJOJO'!G16)</f>
        <v>0</v>
      </c>
      <c r="H16" s="49">
        <f>AVERAGE('25.10 HOIMA-KYENJOJO'!H16,'27.10 HOIMA-KYENJOJO'!H16,'29.10 HOIMA-KYENJOJO'!H16,'30.10 HOIMA-KYENJOJO'!H16,'26.10 HOIMA-KYENJOJO-24h'!H16,'28.10 HOIMA-KYENJOJO-24h'!H16,'31.10 HOIMA-KYENJOJO'!H16)</f>
        <v>0</v>
      </c>
      <c r="I16" s="49">
        <f>AVERAGE('25.10 HOIMA-KYENJOJO'!I16,'27.10 HOIMA-KYENJOJO'!I16,'29.10 HOIMA-KYENJOJO'!I16,'30.10 HOIMA-KYENJOJO'!I16,'26.10 HOIMA-KYENJOJO-24h'!I16,'28.10 HOIMA-KYENJOJO-24h'!I16,'31.10 HOIMA-KYENJOJO'!I16)</f>
        <v>0.42857142857142855</v>
      </c>
      <c r="J16" s="49">
        <f>AVERAGE('25.10 HOIMA-KYENJOJO'!J16,'27.10 HOIMA-KYENJOJO'!J16,'29.10 HOIMA-KYENJOJO'!J16,'30.10 HOIMA-KYENJOJO'!J16,'26.10 HOIMA-KYENJOJO-24h'!J16,'28.10 HOIMA-KYENJOJO-24h'!J16,'31.10 HOIMA-KYENJOJO'!J16)</f>
        <v>0.7142857142857143</v>
      </c>
      <c r="K16" s="49">
        <f>AVERAGE('25.10 HOIMA-KYENJOJO'!K16,'27.10 HOIMA-KYENJOJO'!K16,'29.10 HOIMA-KYENJOJO'!K16,'30.10 HOIMA-KYENJOJO'!K16,'26.10 HOIMA-KYENJOJO-24h'!K16,'28.10 HOIMA-KYENJOJO-24h'!K16,'31.10 HOIMA-KYENJOJO'!K16)</f>
        <v>0.2857142857142857</v>
      </c>
      <c r="L16" s="49">
        <f>AVERAGE('25.10 HOIMA-KYENJOJO'!L16,'27.10 HOIMA-KYENJOJO'!L16,'29.10 HOIMA-KYENJOJO'!L16,'30.10 HOIMA-KYENJOJO'!L16,'26.10 HOIMA-KYENJOJO-24h'!L16,'28.10 HOIMA-KYENJOJO-24h'!L16,'31.10 HOIMA-KYENJOJO'!L16)</f>
        <v>0</v>
      </c>
      <c r="M16" s="49">
        <f>AVERAGE('25.10 HOIMA-KYENJOJO'!M16,'27.10 HOIMA-KYENJOJO'!M16,'29.10 HOIMA-KYENJOJO'!M16,'30.10 HOIMA-KYENJOJO'!M16,'26.10 HOIMA-KYENJOJO-24h'!M16,'28.10 HOIMA-KYENJOJO-24h'!M16,'31.10 HOIMA-KYENJOJO'!M16)</f>
        <v>31.714285714285715</v>
      </c>
      <c r="N16" s="49">
        <f>AVERAGE('25.10 HOIMA-KYENJOJO'!N16,'27.10 HOIMA-KYENJOJO'!N16,'29.10 HOIMA-KYENJOJO'!N16,'30.10 HOIMA-KYENJOJO'!N16,'26.10 HOIMA-KYENJOJO-24h'!N16,'28.10 HOIMA-KYENJOJO-24h'!N16,'31.10 HOIMA-KYENJOJO'!N16)</f>
        <v>0</v>
      </c>
      <c r="O16" s="15">
        <f t="shared" si="0"/>
        <v>13.285714285714285</v>
      </c>
      <c r="P16" s="15">
        <f t="shared" si="1"/>
        <v>45</v>
      </c>
      <c r="R16" s="1" t="s">
        <v>12</v>
      </c>
      <c r="S16" s="17">
        <f t="shared" ref="S16:AF16" si="8">SUM(C34:C37)</f>
        <v>20.714285714285715</v>
      </c>
      <c r="T16" s="17">
        <f t="shared" si="8"/>
        <v>3.8571428571428577</v>
      </c>
      <c r="U16" s="17">
        <f t="shared" si="8"/>
        <v>3.8571428571428572</v>
      </c>
      <c r="V16" s="17">
        <f t="shared" si="8"/>
        <v>2.5714285714285712</v>
      </c>
      <c r="W16" s="17">
        <f t="shared" si="8"/>
        <v>0</v>
      </c>
      <c r="X16" s="17">
        <f t="shared" si="8"/>
        <v>0</v>
      </c>
      <c r="Y16" s="17">
        <f t="shared" si="8"/>
        <v>2.2857142857142856</v>
      </c>
      <c r="Z16" s="17">
        <f t="shared" si="8"/>
        <v>4.2857142857142856</v>
      </c>
      <c r="AA16" s="17">
        <f t="shared" si="8"/>
        <v>1.7142857142857142</v>
      </c>
      <c r="AB16" s="17">
        <f t="shared" si="8"/>
        <v>0</v>
      </c>
      <c r="AC16" s="17">
        <f t="shared" si="8"/>
        <v>131.28571428571428</v>
      </c>
      <c r="AD16" s="17">
        <f t="shared" si="8"/>
        <v>0</v>
      </c>
      <c r="AE16" s="31">
        <f t="shared" si="8"/>
        <v>39.285714285714285</v>
      </c>
      <c r="AF16" s="31">
        <f t="shared" si="8"/>
        <v>170.57142857142858</v>
      </c>
    </row>
    <row r="17" spans="2:32" ht="23.1" customHeight="1" x14ac:dyDescent="0.25">
      <c r="B17" s="23" t="s">
        <v>44</v>
      </c>
      <c r="C17" s="49">
        <f>AVERAGE('25.10 HOIMA-KYENJOJO'!C17,'27.10 HOIMA-KYENJOJO'!C17,'29.10 HOIMA-KYENJOJO'!C17,'30.10 HOIMA-KYENJOJO'!C17,'26.10 HOIMA-KYENJOJO-24h'!C17,'28.10 HOIMA-KYENJOJO-24h'!C17,'31.10 HOIMA-KYENJOJO'!C17)</f>
        <v>5.2857142857142856</v>
      </c>
      <c r="D17" s="49">
        <f>AVERAGE('25.10 HOIMA-KYENJOJO'!D17,'27.10 HOIMA-KYENJOJO'!D17,'29.10 HOIMA-KYENJOJO'!D17,'30.10 HOIMA-KYENJOJO'!D17,'26.10 HOIMA-KYENJOJO-24h'!D17,'28.10 HOIMA-KYENJOJO-24h'!D17,'31.10 HOIMA-KYENJOJO'!D17)</f>
        <v>0.5714285714285714</v>
      </c>
      <c r="E17" s="49">
        <f>AVERAGE('25.10 HOIMA-KYENJOJO'!E17,'27.10 HOIMA-KYENJOJO'!E17,'29.10 HOIMA-KYENJOJO'!E17,'30.10 HOIMA-KYENJOJO'!E17,'26.10 HOIMA-KYENJOJO-24h'!E17,'28.10 HOIMA-KYENJOJO-24h'!E17,'31.10 HOIMA-KYENJOJO'!E17)</f>
        <v>1.1428571428571428</v>
      </c>
      <c r="F17" s="49">
        <f>AVERAGE('25.10 HOIMA-KYENJOJO'!F17,'27.10 HOIMA-KYENJOJO'!F17,'29.10 HOIMA-KYENJOJO'!F17,'30.10 HOIMA-KYENJOJO'!F17,'26.10 HOIMA-KYENJOJO-24h'!F17,'28.10 HOIMA-KYENJOJO-24h'!F17,'31.10 HOIMA-KYENJOJO'!F17)</f>
        <v>0.5714285714285714</v>
      </c>
      <c r="G17" s="49">
        <f>AVERAGE('25.10 HOIMA-KYENJOJO'!G17,'27.10 HOIMA-KYENJOJO'!G17,'29.10 HOIMA-KYENJOJO'!G17,'30.10 HOIMA-KYENJOJO'!G17,'26.10 HOIMA-KYENJOJO-24h'!G17,'28.10 HOIMA-KYENJOJO-24h'!G17,'31.10 HOIMA-KYENJOJO'!G17)</f>
        <v>0</v>
      </c>
      <c r="H17" s="49">
        <f>AVERAGE('25.10 HOIMA-KYENJOJO'!H17,'27.10 HOIMA-KYENJOJO'!H17,'29.10 HOIMA-KYENJOJO'!H17,'30.10 HOIMA-KYENJOJO'!H17,'26.10 HOIMA-KYENJOJO-24h'!H17,'28.10 HOIMA-KYENJOJO-24h'!H17,'31.10 HOIMA-KYENJOJO'!H17)</f>
        <v>0</v>
      </c>
      <c r="I17" s="49">
        <f>AVERAGE('25.10 HOIMA-KYENJOJO'!I17,'27.10 HOIMA-KYENJOJO'!I17,'29.10 HOIMA-KYENJOJO'!I17,'30.10 HOIMA-KYENJOJO'!I17,'26.10 HOIMA-KYENJOJO-24h'!I17,'28.10 HOIMA-KYENJOJO-24h'!I17,'31.10 HOIMA-KYENJOJO'!I17)</f>
        <v>0.7142857142857143</v>
      </c>
      <c r="J17" s="49">
        <f>AVERAGE('25.10 HOIMA-KYENJOJO'!J17,'27.10 HOIMA-KYENJOJO'!J17,'29.10 HOIMA-KYENJOJO'!J17,'30.10 HOIMA-KYENJOJO'!J17,'26.10 HOIMA-KYENJOJO-24h'!J17,'28.10 HOIMA-KYENJOJO-24h'!J17,'31.10 HOIMA-KYENJOJO'!J17)</f>
        <v>0.2857142857142857</v>
      </c>
      <c r="K17" s="49">
        <f>AVERAGE('25.10 HOIMA-KYENJOJO'!K17,'27.10 HOIMA-KYENJOJO'!K17,'29.10 HOIMA-KYENJOJO'!K17,'30.10 HOIMA-KYENJOJO'!K17,'26.10 HOIMA-KYENJOJO-24h'!K17,'28.10 HOIMA-KYENJOJO-24h'!K17,'31.10 HOIMA-KYENJOJO'!K17)</f>
        <v>0</v>
      </c>
      <c r="L17" s="49">
        <f>AVERAGE('25.10 HOIMA-KYENJOJO'!L17,'27.10 HOIMA-KYENJOJO'!L17,'29.10 HOIMA-KYENJOJO'!L17,'30.10 HOIMA-KYENJOJO'!L17,'26.10 HOIMA-KYENJOJO-24h'!L17,'28.10 HOIMA-KYENJOJO-24h'!L17,'31.10 HOIMA-KYENJOJO'!L17)</f>
        <v>0</v>
      </c>
      <c r="M17" s="49">
        <f>AVERAGE('25.10 HOIMA-KYENJOJO'!M17,'27.10 HOIMA-KYENJOJO'!M17,'29.10 HOIMA-KYENJOJO'!M17,'30.10 HOIMA-KYENJOJO'!M17,'26.10 HOIMA-KYENJOJO-24h'!M17,'28.10 HOIMA-KYENJOJO-24h'!M17,'31.10 HOIMA-KYENJOJO'!M17)</f>
        <v>28.714285714285715</v>
      </c>
      <c r="N17" s="49">
        <f>AVERAGE('25.10 HOIMA-KYENJOJO'!N17,'27.10 HOIMA-KYENJOJO'!N17,'29.10 HOIMA-KYENJOJO'!N17,'30.10 HOIMA-KYENJOJO'!N17,'26.10 HOIMA-KYENJOJO-24h'!N17,'28.10 HOIMA-KYENJOJO-24h'!N17,'31.10 HOIMA-KYENJOJO'!N17)</f>
        <v>0</v>
      </c>
      <c r="O17" s="15">
        <f t="shared" si="0"/>
        <v>8.5714285714285712</v>
      </c>
      <c r="P17" s="15">
        <f t="shared" si="1"/>
        <v>37.285714285714285</v>
      </c>
      <c r="R17" s="1" t="s">
        <v>13</v>
      </c>
      <c r="S17" s="17">
        <f t="shared" ref="S17:AF17" si="9">SUM(C38:C41)</f>
        <v>22</v>
      </c>
      <c r="T17" s="17">
        <f t="shared" si="9"/>
        <v>3</v>
      </c>
      <c r="U17" s="17">
        <f t="shared" si="9"/>
        <v>3.4285714285714288</v>
      </c>
      <c r="V17" s="17">
        <f t="shared" si="9"/>
        <v>4.5714285714285712</v>
      </c>
      <c r="W17" s="17">
        <f t="shared" si="9"/>
        <v>0</v>
      </c>
      <c r="X17" s="17">
        <f t="shared" si="9"/>
        <v>0</v>
      </c>
      <c r="Y17" s="17">
        <f t="shared" si="9"/>
        <v>4.9999999999999991</v>
      </c>
      <c r="Z17" s="17">
        <f t="shared" si="9"/>
        <v>3</v>
      </c>
      <c r="AA17" s="17">
        <f t="shared" si="9"/>
        <v>2</v>
      </c>
      <c r="AB17" s="17">
        <f t="shared" si="9"/>
        <v>0</v>
      </c>
      <c r="AC17" s="17">
        <f t="shared" si="9"/>
        <v>125.71428571428571</v>
      </c>
      <c r="AD17" s="17">
        <f t="shared" si="9"/>
        <v>0</v>
      </c>
      <c r="AE17" s="31">
        <f t="shared" si="9"/>
        <v>43</v>
      </c>
      <c r="AF17" s="31">
        <f t="shared" si="9"/>
        <v>168.71428571428572</v>
      </c>
    </row>
    <row r="18" spans="2:32" ht="23.1" customHeight="1" x14ac:dyDescent="0.25">
      <c r="B18" s="23" t="s">
        <v>45</v>
      </c>
      <c r="C18" s="49">
        <f>AVERAGE('25.10 HOIMA-KYENJOJO'!C18,'27.10 HOIMA-KYENJOJO'!C18,'29.10 HOIMA-KYENJOJO'!C18,'30.10 HOIMA-KYENJOJO'!C18,'26.10 HOIMA-KYENJOJO-24h'!C18,'28.10 HOIMA-KYENJOJO-24h'!C18,'31.10 HOIMA-KYENJOJO'!C18)</f>
        <v>5.2857142857142856</v>
      </c>
      <c r="D18" s="49">
        <f>AVERAGE('25.10 HOIMA-KYENJOJO'!D18,'27.10 HOIMA-KYENJOJO'!D18,'29.10 HOIMA-KYENJOJO'!D18,'30.10 HOIMA-KYENJOJO'!D18,'26.10 HOIMA-KYENJOJO-24h'!D18,'28.10 HOIMA-KYENJOJO-24h'!D18,'31.10 HOIMA-KYENJOJO'!D18)</f>
        <v>1.1428571428571428</v>
      </c>
      <c r="E18" s="49">
        <f>AVERAGE('25.10 HOIMA-KYENJOJO'!E18,'27.10 HOIMA-KYENJOJO'!E18,'29.10 HOIMA-KYENJOJO'!E18,'30.10 HOIMA-KYENJOJO'!E18,'26.10 HOIMA-KYENJOJO-24h'!E18,'28.10 HOIMA-KYENJOJO-24h'!E18,'31.10 HOIMA-KYENJOJO'!E18)</f>
        <v>0.5714285714285714</v>
      </c>
      <c r="F18" s="49">
        <f>AVERAGE('25.10 HOIMA-KYENJOJO'!F18,'27.10 HOIMA-KYENJOJO'!F18,'29.10 HOIMA-KYENJOJO'!F18,'30.10 HOIMA-KYENJOJO'!F18,'26.10 HOIMA-KYENJOJO-24h'!F18,'28.10 HOIMA-KYENJOJO-24h'!F18,'31.10 HOIMA-KYENJOJO'!F18)</f>
        <v>0.5714285714285714</v>
      </c>
      <c r="G18" s="49">
        <f>AVERAGE('25.10 HOIMA-KYENJOJO'!G18,'27.10 HOIMA-KYENJOJO'!G18,'29.10 HOIMA-KYENJOJO'!G18,'30.10 HOIMA-KYENJOJO'!G18,'26.10 HOIMA-KYENJOJO-24h'!G18,'28.10 HOIMA-KYENJOJO-24h'!G18,'31.10 HOIMA-KYENJOJO'!G18)</f>
        <v>0</v>
      </c>
      <c r="H18" s="49">
        <f>AVERAGE('25.10 HOIMA-KYENJOJO'!H18,'27.10 HOIMA-KYENJOJO'!H18,'29.10 HOIMA-KYENJOJO'!H18,'30.10 HOIMA-KYENJOJO'!H18,'26.10 HOIMA-KYENJOJO-24h'!H18,'28.10 HOIMA-KYENJOJO-24h'!H18,'31.10 HOIMA-KYENJOJO'!H18)</f>
        <v>0</v>
      </c>
      <c r="I18" s="49">
        <f>AVERAGE('25.10 HOIMA-KYENJOJO'!I18,'27.10 HOIMA-KYENJOJO'!I18,'29.10 HOIMA-KYENJOJO'!I18,'30.10 HOIMA-KYENJOJO'!I18,'26.10 HOIMA-KYENJOJO-24h'!I18,'28.10 HOIMA-KYENJOJO-24h'!I18,'31.10 HOIMA-KYENJOJO'!I18)</f>
        <v>0.7142857142857143</v>
      </c>
      <c r="J18" s="49">
        <f>AVERAGE('25.10 HOIMA-KYENJOJO'!J18,'27.10 HOIMA-KYENJOJO'!J18,'29.10 HOIMA-KYENJOJO'!J18,'30.10 HOIMA-KYENJOJO'!J18,'26.10 HOIMA-KYENJOJO-24h'!J18,'28.10 HOIMA-KYENJOJO-24h'!J18,'31.10 HOIMA-KYENJOJO'!J18)</f>
        <v>0.42857142857142855</v>
      </c>
      <c r="K18" s="49">
        <f>AVERAGE('25.10 HOIMA-KYENJOJO'!K18,'27.10 HOIMA-KYENJOJO'!K18,'29.10 HOIMA-KYENJOJO'!K18,'30.10 HOIMA-KYENJOJO'!K18,'26.10 HOIMA-KYENJOJO-24h'!K18,'28.10 HOIMA-KYENJOJO-24h'!K18,'31.10 HOIMA-KYENJOJO'!K18)</f>
        <v>0</v>
      </c>
      <c r="L18" s="49">
        <f>AVERAGE('25.10 HOIMA-KYENJOJO'!L18,'27.10 HOIMA-KYENJOJO'!L18,'29.10 HOIMA-KYENJOJO'!L18,'30.10 HOIMA-KYENJOJO'!L18,'26.10 HOIMA-KYENJOJO-24h'!L18,'28.10 HOIMA-KYENJOJO-24h'!L18,'31.10 HOIMA-KYENJOJO'!L18)</f>
        <v>0.14285714285714285</v>
      </c>
      <c r="M18" s="49">
        <f>AVERAGE('25.10 HOIMA-KYENJOJO'!M18,'27.10 HOIMA-KYENJOJO'!M18,'29.10 HOIMA-KYENJOJO'!M18,'30.10 HOIMA-KYENJOJO'!M18,'26.10 HOIMA-KYENJOJO-24h'!M18,'28.10 HOIMA-KYENJOJO-24h'!M18,'31.10 HOIMA-KYENJOJO'!M18)</f>
        <v>26.428571428571427</v>
      </c>
      <c r="N18" s="49">
        <f>AVERAGE('25.10 HOIMA-KYENJOJO'!N18,'27.10 HOIMA-KYENJOJO'!N18,'29.10 HOIMA-KYENJOJO'!N18,'30.10 HOIMA-KYENJOJO'!N18,'26.10 HOIMA-KYENJOJO-24h'!N18,'28.10 HOIMA-KYENJOJO-24h'!N18,'31.10 HOIMA-KYENJOJO'!N18)</f>
        <v>0</v>
      </c>
      <c r="O18" s="15">
        <f t="shared" si="0"/>
        <v>8.8571428571428559</v>
      </c>
      <c r="P18" s="15">
        <f t="shared" si="1"/>
        <v>35.285714285714285</v>
      </c>
      <c r="R18" s="1" t="s">
        <v>14</v>
      </c>
      <c r="S18" s="17">
        <f t="shared" ref="S18:AF18" si="10">SUM(C42:C45)</f>
        <v>20.285714285714285</v>
      </c>
      <c r="T18" s="17">
        <f t="shared" si="10"/>
        <v>2.2857142857142856</v>
      </c>
      <c r="U18" s="17">
        <f t="shared" si="10"/>
        <v>3.4285714285714284</v>
      </c>
      <c r="V18" s="17">
        <f t="shared" si="10"/>
        <v>3.7142857142857144</v>
      </c>
      <c r="W18" s="17">
        <f t="shared" si="10"/>
        <v>0.14285714285714285</v>
      </c>
      <c r="X18" s="17">
        <f t="shared" si="10"/>
        <v>0.2857142857142857</v>
      </c>
      <c r="Y18" s="17">
        <f t="shared" si="10"/>
        <v>3.8571428571428572</v>
      </c>
      <c r="Z18" s="17">
        <f t="shared" si="10"/>
        <v>3</v>
      </c>
      <c r="AA18" s="17">
        <f t="shared" si="10"/>
        <v>0.8571428571428571</v>
      </c>
      <c r="AB18" s="17">
        <f t="shared" si="10"/>
        <v>0.42857142857142855</v>
      </c>
      <c r="AC18" s="17">
        <f t="shared" si="10"/>
        <v>130.85714285714286</v>
      </c>
      <c r="AD18" s="17">
        <f t="shared" si="10"/>
        <v>0</v>
      </c>
      <c r="AE18" s="31">
        <f t="shared" si="10"/>
        <v>38.285714285714285</v>
      </c>
      <c r="AF18" s="31">
        <f t="shared" si="10"/>
        <v>169.14285714285711</v>
      </c>
    </row>
    <row r="19" spans="2:32" ht="23.1" customHeight="1" x14ac:dyDescent="0.25">
      <c r="B19" s="23" t="s">
        <v>46</v>
      </c>
      <c r="C19" s="49">
        <f>AVERAGE('25.10 HOIMA-KYENJOJO'!C19,'27.10 HOIMA-KYENJOJO'!C19,'29.10 HOIMA-KYENJOJO'!C19,'30.10 HOIMA-KYENJOJO'!C19,'26.10 HOIMA-KYENJOJO-24h'!C19,'28.10 HOIMA-KYENJOJO-24h'!C19,'31.10 HOIMA-KYENJOJO'!C19)</f>
        <v>5.4285714285714288</v>
      </c>
      <c r="D19" s="49">
        <f>AVERAGE('25.10 HOIMA-KYENJOJO'!D19,'27.10 HOIMA-KYENJOJO'!D19,'29.10 HOIMA-KYENJOJO'!D19,'30.10 HOIMA-KYENJOJO'!D19,'26.10 HOIMA-KYENJOJO-24h'!D19,'28.10 HOIMA-KYENJOJO-24h'!D19,'31.10 HOIMA-KYENJOJO'!D19)</f>
        <v>1</v>
      </c>
      <c r="E19" s="49">
        <f>AVERAGE('25.10 HOIMA-KYENJOJO'!E19,'27.10 HOIMA-KYENJOJO'!E19,'29.10 HOIMA-KYENJOJO'!E19,'30.10 HOIMA-KYENJOJO'!E19,'26.10 HOIMA-KYENJOJO-24h'!E19,'28.10 HOIMA-KYENJOJO-24h'!E19,'31.10 HOIMA-KYENJOJO'!E19)</f>
        <v>1.4285714285714286</v>
      </c>
      <c r="F19" s="49">
        <f>AVERAGE('25.10 HOIMA-KYENJOJO'!F19,'27.10 HOIMA-KYENJOJO'!F19,'29.10 HOIMA-KYENJOJO'!F19,'30.10 HOIMA-KYENJOJO'!F19,'26.10 HOIMA-KYENJOJO-24h'!F19,'28.10 HOIMA-KYENJOJO-24h'!F19,'31.10 HOIMA-KYENJOJO'!F19)</f>
        <v>0.7142857142857143</v>
      </c>
      <c r="G19" s="49">
        <f>AVERAGE('25.10 HOIMA-KYENJOJO'!G19,'27.10 HOIMA-KYENJOJO'!G19,'29.10 HOIMA-KYENJOJO'!G19,'30.10 HOIMA-KYENJOJO'!G19,'26.10 HOIMA-KYENJOJO-24h'!G19,'28.10 HOIMA-KYENJOJO-24h'!G19,'31.10 HOIMA-KYENJOJO'!G19)</f>
        <v>0</v>
      </c>
      <c r="H19" s="49">
        <f>AVERAGE('25.10 HOIMA-KYENJOJO'!H19,'27.10 HOIMA-KYENJOJO'!H19,'29.10 HOIMA-KYENJOJO'!H19,'30.10 HOIMA-KYENJOJO'!H19,'26.10 HOIMA-KYENJOJO-24h'!H19,'28.10 HOIMA-KYENJOJO-24h'!H19,'31.10 HOIMA-KYENJOJO'!H19)</f>
        <v>0</v>
      </c>
      <c r="I19" s="49">
        <f>AVERAGE('25.10 HOIMA-KYENJOJO'!I19,'27.10 HOIMA-KYENJOJO'!I19,'29.10 HOIMA-KYENJOJO'!I19,'30.10 HOIMA-KYENJOJO'!I19,'26.10 HOIMA-KYENJOJO-24h'!I19,'28.10 HOIMA-KYENJOJO-24h'!I19,'31.10 HOIMA-KYENJOJO'!I19)</f>
        <v>1</v>
      </c>
      <c r="J19" s="49">
        <f>AVERAGE('25.10 HOIMA-KYENJOJO'!J19,'27.10 HOIMA-KYENJOJO'!J19,'29.10 HOIMA-KYENJOJO'!J19,'30.10 HOIMA-KYENJOJO'!J19,'26.10 HOIMA-KYENJOJO-24h'!J19,'28.10 HOIMA-KYENJOJO-24h'!J19,'31.10 HOIMA-KYENJOJO'!J19)</f>
        <v>0.7142857142857143</v>
      </c>
      <c r="K19" s="49">
        <f>AVERAGE('25.10 HOIMA-KYENJOJO'!K19,'27.10 HOIMA-KYENJOJO'!K19,'29.10 HOIMA-KYENJOJO'!K19,'30.10 HOIMA-KYENJOJO'!K19,'26.10 HOIMA-KYENJOJO-24h'!K19,'28.10 HOIMA-KYENJOJO-24h'!K19,'31.10 HOIMA-KYENJOJO'!K19)</f>
        <v>0.14285714285714285</v>
      </c>
      <c r="L19" s="49">
        <f>AVERAGE('25.10 HOIMA-KYENJOJO'!L19,'27.10 HOIMA-KYENJOJO'!L19,'29.10 HOIMA-KYENJOJO'!L19,'30.10 HOIMA-KYENJOJO'!L19,'26.10 HOIMA-KYENJOJO-24h'!L19,'28.10 HOIMA-KYENJOJO-24h'!L19,'31.10 HOIMA-KYENJOJO'!L19)</f>
        <v>0</v>
      </c>
      <c r="M19" s="49">
        <f>AVERAGE('25.10 HOIMA-KYENJOJO'!M19,'27.10 HOIMA-KYENJOJO'!M19,'29.10 HOIMA-KYENJOJO'!M19,'30.10 HOIMA-KYENJOJO'!M19,'26.10 HOIMA-KYENJOJO-24h'!M19,'28.10 HOIMA-KYENJOJO-24h'!M19,'31.10 HOIMA-KYENJOJO'!M19)</f>
        <v>32.428571428571431</v>
      </c>
      <c r="N19" s="49">
        <f>AVERAGE('25.10 HOIMA-KYENJOJO'!N19,'27.10 HOIMA-KYENJOJO'!N19,'29.10 HOIMA-KYENJOJO'!N19,'30.10 HOIMA-KYENJOJO'!N19,'26.10 HOIMA-KYENJOJO-24h'!N19,'28.10 HOIMA-KYENJOJO-24h'!N19,'31.10 HOIMA-KYENJOJO'!N19)</f>
        <v>0</v>
      </c>
      <c r="O19" s="15">
        <f t="shared" si="0"/>
        <v>10.428571428571427</v>
      </c>
      <c r="P19" s="15">
        <f t="shared" si="1"/>
        <v>42.857142857142861</v>
      </c>
      <c r="R19" s="1" t="s">
        <v>15</v>
      </c>
      <c r="S19" s="17">
        <f t="shared" ref="S19:AF19" si="11">SUM(C46:C49)</f>
        <v>24.285714285714285</v>
      </c>
      <c r="T19" s="17">
        <f t="shared" si="11"/>
        <v>2.5714285714285716</v>
      </c>
      <c r="U19" s="17">
        <f t="shared" si="11"/>
        <v>3.714285714285714</v>
      </c>
      <c r="V19" s="17">
        <f t="shared" si="11"/>
        <v>3.5714285714285716</v>
      </c>
      <c r="W19" s="17">
        <f t="shared" si="11"/>
        <v>0.42857142857142855</v>
      </c>
      <c r="X19" s="17">
        <f t="shared" si="11"/>
        <v>0.14285714285714285</v>
      </c>
      <c r="Y19" s="17">
        <f t="shared" si="11"/>
        <v>3</v>
      </c>
      <c r="Z19" s="17">
        <f t="shared" si="11"/>
        <v>2.7142857142857144</v>
      </c>
      <c r="AA19" s="17">
        <f t="shared" si="11"/>
        <v>0.99999999999999989</v>
      </c>
      <c r="AB19" s="17">
        <f t="shared" si="11"/>
        <v>0.42857142857142855</v>
      </c>
      <c r="AC19" s="17">
        <f t="shared" si="11"/>
        <v>141</v>
      </c>
      <c r="AD19" s="17">
        <f t="shared" si="11"/>
        <v>0</v>
      </c>
      <c r="AE19" s="31">
        <f t="shared" si="11"/>
        <v>41.857142857142854</v>
      </c>
      <c r="AF19" s="31">
        <f t="shared" si="11"/>
        <v>182.85714285714286</v>
      </c>
    </row>
    <row r="20" spans="2:32" ht="23.1" customHeight="1" x14ac:dyDescent="0.25">
      <c r="B20" s="23" t="s">
        <v>47</v>
      </c>
      <c r="C20" s="49">
        <f>AVERAGE('25.10 HOIMA-KYENJOJO'!C20,'27.10 HOIMA-KYENJOJO'!C20,'29.10 HOIMA-KYENJOJO'!C20,'30.10 HOIMA-KYENJOJO'!C20,'26.10 HOIMA-KYENJOJO-24h'!C20,'28.10 HOIMA-KYENJOJO-24h'!C20,'31.10 HOIMA-KYENJOJO'!C20)</f>
        <v>5.2857142857142856</v>
      </c>
      <c r="D20" s="49">
        <f>AVERAGE('25.10 HOIMA-KYENJOJO'!D20,'27.10 HOIMA-KYENJOJO'!D20,'29.10 HOIMA-KYENJOJO'!D20,'30.10 HOIMA-KYENJOJO'!D20,'26.10 HOIMA-KYENJOJO-24h'!D20,'28.10 HOIMA-KYENJOJO-24h'!D20,'31.10 HOIMA-KYENJOJO'!D20)</f>
        <v>0.2857142857142857</v>
      </c>
      <c r="E20" s="49">
        <f>AVERAGE('25.10 HOIMA-KYENJOJO'!E20,'27.10 HOIMA-KYENJOJO'!E20,'29.10 HOIMA-KYENJOJO'!E20,'30.10 HOIMA-KYENJOJO'!E20,'26.10 HOIMA-KYENJOJO-24h'!E20,'28.10 HOIMA-KYENJOJO-24h'!E20,'31.10 HOIMA-KYENJOJO'!E20)</f>
        <v>0.7142857142857143</v>
      </c>
      <c r="F20" s="49">
        <f>AVERAGE('25.10 HOIMA-KYENJOJO'!F20,'27.10 HOIMA-KYENJOJO'!F20,'29.10 HOIMA-KYENJOJO'!F20,'30.10 HOIMA-KYENJOJO'!F20,'26.10 HOIMA-KYENJOJO-24h'!F20,'28.10 HOIMA-KYENJOJO-24h'!F20,'31.10 HOIMA-KYENJOJO'!F20)</f>
        <v>0.7142857142857143</v>
      </c>
      <c r="G20" s="49">
        <f>AVERAGE('25.10 HOIMA-KYENJOJO'!G20,'27.10 HOIMA-KYENJOJO'!G20,'29.10 HOIMA-KYENJOJO'!G20,'30.10 HOIMA-KYENJOJO'!G20,'26.10 HOIMA-KYENJOJO-24h'!G20,'28.10 HOIMA-KYENJOJO-24h'!G20,'31.10 HOIMA-KYENJOJO'!G20)</f>
        <v>0</v>
      </c>
      <c r="H20" s="49">
        <f>AVERAGE('25.10 HOIMA-KYENJOJO'!H20,'27.10 HOIMA-KYENJOJO'!H20,'29.10 HOIMA-KYENJOJO'!H20,'30.10 HOIMA-KYENJOJO'!H20,'26.10 HOIMA-KYENJOJO-24h'!H20,'28.10 HOIMA-KYENJOJO-24h'!H20,'31.10 HOIMA-KYENJOJO'!H20)</f>
        <v>0</v>
      </c>
      <c r="I20" s="49">
        <f>AVERAGE('25.10 HOIMA-KYENJOJO'!I20,'27.10 HOIMA-KYENJOJO'!I20,'29.10 HOIMA-KYENJOJO'!I20,'30.10 HOIMA-KYENJOJO'!I20,'26.10 HOIMA-KYENJOJO-24h'!I20,'28.10 HOIMA-KYENJOJO-24h'!I20,'31.10 HOIMA-KYENJOJO'!I20)</f>
        <v>0.5714285714285714</v>
      </c>
      <c r="J20" s="49">
        <f>AVERAGE('25.10 HOIMA-KYENJOJO'!J20,'27.10 HOIMA-KYENJOJO'!J20,'29.10 HOIMA-KYENJOJO'!J20,'30.10 HOIMA-KYENJOJO'!J20,'26.10 HOIMA-KYENJOJO-24h'!J20,'28.10 HOIMA-KYENJOJO-24h'!J20,'31.10 HOIMA-KYENJOJO'!J20)</f>
        <v>0.42857142857142855</v>
      </c>
      <c r="K20" s="49">
        <f>AVERAGE('25.10 HOIMA-KYENJOJO'!K20,'27.10 HOIMA-KYENJOJO'!K20,'29.10 HOIMA-KYENJOJO'!K20,'30.10 HOIMA-KYENJOJO'!K20,'26.10 HOIMA-KYENJOJO-24h'!K20,'28.10 HOIMA-KYENJOJO-24h'!K20,'31.10 HOIMA-KYENJOJO'!K20)</f>
        <v>0</v>
      </c>
      <c r="L20" s="49">
        <f>AVERAGE('25.10 HOIMA-KYENJOJO'!L20,'27.10 HOIMA-KYENJOJO'!L20,'29.10 HOIMA-KYENJOJO'!L20,'30.10 HOIMA-KYENJOJO'!L20,'26.10 HOIMA-KYENJOJO-24h'!L20,'28.10 HOIMA-KYENJOJO-24h'!L20,'31.10 HOIMA-KYENJOJO'!L20)</f>
        <v>0</v>
      </c>
      <c r="M20" s="49">
        <f>AVERAGE('25.10 HOIMA-KYENJOJO'!M20,'27.10 HOIMA-KYENJOJO'!M20,'29.10 HOIMA-KYENJOJO'!M20,'30.10 HOIMA-KYENJOJO'!M20,'26.10 HOIMA-KYENJOJO-24h'!M20,'28.10 HOIMA-KYENJOJO-24h'!M20,'31.10 HOIMA-KYENJOJO'!M20)</f>
        <v>32.857142857142854</v>
      </c>
      <c r="N20" s="49">
        <f>AVERAGE('25.10 HOIMA-KYENJOJO'!N20,'27.10 HOIMA-KYENJOJO'!N20,'29.10 HOIMA-KYENJOJO'!N20,'30.10 HOIMA-KYENJOJO'!N20,'26.10 HOIMA-KYENJOJO-24h'!N20,'28.10 HOIMA-KYENJOJO-24h'!N20,'31.10 HOIMA-KYENJOJO'!N20)</f>
        <v>0</v>
      </c>
      <c r="O20" s="15">
        <f t="shared" si="0"/>
        <v>8</v>
      </c>
      <c r="P20" s="15">
        <f t="shared" si="1"/>
        <v>40.857142857142854</v>
      </c>
      <c r="R20" s="1" t="s">
        <v>16</v>
      </c>
      <c r="S20" s="17">
        <f t="shared" ref="S20:AF20" si="12">SUM(C50:C53)</f>
        <v>19.285714285714288</v>
      </c>
      <c r="T20" s="17">
        <f t="shared" si="12"/>
        <v>2.7142857142857144</v>
      </c>
      <c r="U20" s="17">
        <f t="shared" si="12"/>
        <v>3.8571428571428572</v>
      </c>
      <c r="V20" s="17">
        <f t="shared" si="12"/>
        <v>2.7142857142857144</v>
      </c>
      <c r="W20" s="17">
        <f t="shared" si="12"/>
        <v>0.5714285714285714</v>
      </c>
      <c r="X20" s="17">
        <f t="shared" si="12"/>
        <v>0.8571428571428571</v>
      </c>
      <c r="Y20" s="17">
        <f t="shared" si="12"/>
        <v>3.7142857142857144</v>
      </c>
      <c r="Z20" s="17">
        <f t="shared" si="12"/>
        <v>3.285714285714286</v>
      </c>
      <c r="AA20" s="17">
        <f t="shared" si="12"/>
        <v>1.2857142857142856</v>
      </c>
      <c r="AB20" s="17">
        <f t="shared" si="12"/>
        <v>0</v>
      </c>
      <c r="AC20" s="17">
        <f t="shared" si="12"/>
        <v>142.71428571428572</v>
      </c>
      <c r="AD20" s="17">
        <f t="shared" si="12"/>
        <v>0</v>
      </c>
      <c r="AE20" s="31">
        <f t="shared" si="12"/>
        <v>38.285714285714278</v>
      </c>
      <c r="AF20" s="31">
        <f t="shared" si="12"/>
        <v>181</v>
      </c>
    </row>
    <row r="21" spans="2:32" ht="23.1" customHeight="1" x14ac:dyDescent="0.25">
      <c r="B21" s="23" t="s">
        <v>48</v>
      </c>
      <c r="C21" s="49">
        <f>AVERAGE('25.10 HOIMA-KYENJOJO'!C21,'27.10 HOIMA-KYENJOJO'!C21,'29.10 HOIMA-KYENJOJO'!C21,'30.10 HOIMA-KYENJOJO'!C21,'26.10 HOIMA-KYENJOJO-24h'!C21,'28.10 HOIMA-KYENJOJO-24h'!C21,'31.10 HOIMA-KYENJOJO'!C21)</f>
        <v>5.1428571428571432</v>
      </c>
      <c r="D21" s="49">
        <f>AVERAGE('25.10 HOIMA-KYENJOJO'!D21,'27.10 HOIMA-KYENJOJO'!D21,'29.10 HOIMA-KYENJOJO'!D21,'30.10 HOIMA-KYENJOJO'!D21,'26.10 HOIMA-KYENJOJO-24h'!D21,'28.10 HOIMA-KYENJOJO-24h'!D21,'31.10 HOIMA-KYENJOJO'!D21)</f>
        <v>0.5714285714285714</v>
      </c>
      <c r="E21" s="49">
        <f>AVERAGE('25.10 HOIMA-KYENJOJO'!E21,'27.10 HOIMA-KYENJOJO'!E21,'29.10 HOIMA-KYENJOJO'!E21,'30.10 HOIMA-KYENJOJO'!E21,'26.10 HOIMA-KYENJOJO-24h'!E21,'28.10 HOIMA-KYENJOJO-24h'!E21,'31.10 HOIMA-KYENJOJO'!E21)</f>
        <v>1</v>
      </c>
      <c r="F21" s="49">
        <f>AVERAGE('25.10 HOIMA-KYENJOJO'!F21,'27.10 HOIMA-KYENJOJO'!F21,'29.10 HOIMA-KYENJOJO'!F21,'30.10 HOIMA-KYENJOJO'!F21,'26.10 HOIMA-KYENJOJO-24h'!F21,'28.10 HOIMA-KYENJOJO-24h'!F21,'31.10 HOIMA-KYENJOJO'!F21)</f>
        <v>1.1428571428571428</v>
      </c>
      <c r="G21" s="49">
        <f>AVERAGE('25.10 HOIMA-KYENJOJO'!G21,'27.10 HOIMA-KYENJOJO'!G21,'29.10 HOIMA-KYENJOJO'!G21,'30.10 HOIMA-KYENJOJO'!G21,'26.10 HOIMA-KYENJOJO-24h'!G21,'28.10 HOIMA-KYENJOJO-24h'!G21,'31.10 HOIMA-KYENJOJO'!G21)</f>
        <v>0</v>
      </c>
      <c r="H21" s="49">
        <f>AVERAGE('25.10 HOIMA-KYENJOJO'!H21,'27.10 HOIMA-KYENJOJO'!H21,'29.10 HOIMA-KYENJOJO'!H21,'30.10 HOIMA-KYENJOJO'!H21,'26.10 HOIMA-KYENJOJO-24h'!H21,'28.10 HOIMA-KYENJOJO-24h'!H21,'31.10 HOIMA-KYENJOJO'!H21)</f>
        <v>0</v>
      </c>
      <c r="I21" s="49">
        <f>AVERAGE('25.10 HOIMA-KYENJOJO'!I21,'27.10 HOIMA-KYENJOJO'!I21,'29.10 HOIMA-KYENJOJO'!I21,'30.10 HOIMA-KYENJOJO'!I21,'26.10 HOIMA-KYENJOJO-24h'!I21,'28.10 HOIMA-KYENJOJO-24h'!I21,'31.10 HOIMA-KYENJOJO'!I21)</f>
        <v>0.42857142857142855</v>
      </c>
      <c r="J21" s="49">
        <f>AVERAGE('25.10 HOIMA-KYENJOJO'!J21,'27.10 HOIMA-KYENJOJO'!J21,'29.10 HOIMA-KYENJOJO'!J21,'30.10 HOIMA-KYENJOJO'!J21,'26.10 HOIMA-KYENJOJO-24h'!J21,'28.10 HOIMA-KYENJOJO-24h'!J21,'31.10 HOIMA-KYENJOJO'!J21)</f>
        <v>0.7142857142857143</v>
      </c>
      <c r="K21" s="49">
        <f>AVERAGE('25.10 HOIMA-KYENJOJO'!K21,'27.10 HOIMA-KYENJOJO'!K21,'29.10 HOIMA-KYENJOJO'!K21,'30.10 HOIMA-KYENJOJO'!K21,'26.10 HOIMA-KYENJOJO-24h'!K21,'28.10 HOIMA-KYENJOJO-24h'!K21,'31.10 HOIMA-KYENJOJO'!K21)</f>
        <v>0.2857142857142857</v>
      </c>
      <c r="L21" s="49">
        <f>AVERAGE('25.10 HOIMA-KYENJOJO'!L21,'27.10 HOIMA-KYENJOJO'!L21,'29.10 HOIMA-KYENJOJO'!L21,'30.10 HOIMA-KYENJOJO'!L21,'26.10 HOIMA-KYENJOJO-24h'!L21,'28.10 HOIMA-KYENJOJO-24h'!L21,'31.10 HOIMA-KYENJOJO'!L21)</f>
        <v>0</v>
      </c>
      <c r="M21" s="49">
        <f>AVERAGE('25.10 HOIMA-KYENJOJO'!M21,'27.10 HOIMA-KYENJOJO'!M21,'29.10 HOIMA-KYENJOJO'!M21,'30.10 HOIMA-KYENJOJO'!M21,'26.10 HOIMA-KYENJOJO-24h'!M21,'28.10 HOIMA-KYENJOJO-24h'!M21,'31.10 HOIMA-KYENJOJO'!M21)</f>
        <v>33.857142857142854</v>
      </c>
      <c r="N21" s="49">
        <f>AVERAGE('25.10 HOIMA-KYENJOJO'!N21,'27.10 HOIMA-KYENJOJO'!N21,'29.10 HOIMA-KYENJOJO'!N21,'30.10 HOIMA-KYENJOJO'!N21,'26.10 HOIMA-KYENJOJO-24h'!N21,'28.10 HOIMA-KYENJOJO-24h'!N21,'31.10 HOIMA-KYENJOJO'!N21)</f>
        <v>0</v>
      </c>
      <c r="O21" s="15">
        <f t="shared" si="0"/>
        <v>9.2857142857142865</v>
      </c>
      <c r="P21" s="15">
        <f t="shared" si="1"/>
        <v>43.142857142857139</v>
      </c>
      <c r="R21" s="36" t="s">
        <v>20</v>
      </c>
      <c r="S21" s="34">
        <f t="shared" ref="S21:AF21" si="13">SUM(C54:C57)</f>
        <v>22.428571428571431</v>
      </c>
      <c r="T21" s="17">
        <f t="shared" si="13"/>
        <v>3</v>
      </c>
      <c r="U21" s="17">
        <f t="shared" si="13"/>
        <v>5.1428571428571432</v>
      </c>
      <c r="V21" s="17">
        <f t="shared" si="13"/>
        <v>4</v>
      </c>
      <c r="W21" s="17">
        <f t="shared" si="13"/>
        <v>0</v>
      </c>
      <c r="X21" s="17">
        <f t="shared" si="13"/>
        <v>0.2857142857142857</v>
      </c>
      <c r="Y21" s="17">
        <f t="shared" si="13"/>
        <v>3.8571428571428572</v>
      </c>
      <c r="Z21" s="17">
        <f t="shared" si="13"/>
        <v>2.8571428571428568</v>
      </c>
      <c r="AA21" s="17">
        <f t="shared" si="13"/>
        <v>2.5714285714285712</v>
      </c>
      <c r="AB21" s="17">
        <f t="shared" si="13"/>
        <v>0</v>
      </c>
      <c r="AC21" s="17">
        <f t="shared" si="13"/>
        <v>142.57142857142858</v>
      </c>
      <c r="AD21" s="17">
        <f t="shared" si="13"/>
        <v>0</v>
      </c>
      <c r="AE21" s="31">
        <f t="shared" si="13"/>
        <v>44.142857142857139</v>
      </c>
      <c r="AF21" s="31">
        <f t="shared" si="13"/>
        <v>186.71428571428572</v>
      </c>
    </row>
    <row r="22" spans="2:32" ht="23.1" customHeight="1" x14ac:dyDescent="0.25">
      <c r="B22" s="23" t="s">
        <v>49</v>
      </c>
      <c r="C22" s="49">
        <f>AVERAGE('25.10 HOIMA-KYENJOJO'!C22,'27.10 HOIMA-KYENJOJO'!C22,'29.10 HOIMA-KYENJOJO'!C22,'30.10 HOIMA-KYENJOJO'!C22,'26.10 HOIMA-KYENJOJO-24h'!C22,'28.10 HOIMA-KYENJOJO-24h'!C22,'31.10 HOIMA-KYENJOJO'!C22)</f>
        <v>6.4285714285714288</v>
      </c>
      <c r="D22" s="49">
        <f>AVERAGE('25.10 HOIMA-KYENJOJO'!D22,'27.10 HOIMA-KYENJOJO'!D22,'29.10 HOIMA-KYENJOJO'!D22,'30.10 HOIMA-KYENJOJO'!D22,'26.10 HOIMA-KYENJOJO-24h'!D22,'28.10 HOIMA-KYENJOJO-24h'!D22,'31.10 HOIMA-KYENJOJO'!D22)</f>
        <v>0.42857142857142855</v>
      </c>
      <c r="E22" s="49">
        <f>AVERAGE('25.10 HOIMA-KYENJOJO'!E22,'27.10 HOIMA-KYENJOJO'!E22,'29.10 HOIMA-KYENJOJO'!E22,'30.10 HOIMA-KYENJOJO'!E22,'26.10 HOIMA-KYENJOJO-24h'!E22,'28.10 HOIMA-KYENJOJO-24h'!E22,'31.10 HOIMA-KYENJOJO'!E22)</f>
        <v>1.8571428571428572</v>
      </c>
      <c r="F22" s="49">
        <f>AVERAGE('25.10 HOIMA-KYENJOJO'!F22,'27.10 HOIMA-KYENJOJO'!F22,'29.10 HOIMA-KYENJOJO'!F22,'30.10 HOIMA-KYENJOJO'!F22,'26.10 HOIMA-KYENJOJO-24h'!F22,'28.10 HOIMA-KYENJOJO-24h'!F22,'31.10 HOIMA-KYENJOJO'!F22)</f>
        <v>1.1428571428571428</v>
      </c>
      <c r="G22" s="49">
        <f>AVERAGE('25.10 HOIMA-KYENJOJO'!G22,'27.10 HOIMA-KYENJOJO'!G22,'29.10 HOIMA-KYENJOJO'!G22,'30.10 HOIMA-KYENJOJO'!G22,'26.10 HOIMA-KYENJOJO-24h'!G22,'28.10 HOIMA-KYENJOJO-24h'!G22,'31.10 HOIMA-KYENJOJO'!G22)</f>
        <v>0</v>
      </c>
      <c r="H22" s="49">
        <f>AVERAGE('25.10 HOIMA-KYENJOJO'!H22,'27.10 HOIMA-KYENJOJO'!H22,'29.10 HOIMA-KYENJOJO'!H22,'30.10 HOIMA-KYENJOJO'!H22,'26.10 HOIMA-KYENJOJO-24h'!H22,'28.10 HOIMA-KYENJOJO-24h'!H22,'31.10 HOIMA-KYENJOJO'!H22)</f>
        <v>0.14285714285714285</v>
      </c>
      <c r="I22" s="49">
        <f>AVERAGE('25.10 HOIMA-KYENJOJO'!I22,'27.10 HOIMA-KYENJOJO'!I22,'29.10 HOIMA-KYENJOJO'!I22,'30.10 HOIMA-KYENJOJO'!I22,'26.10 HOIMA-KYENJOJO-24h'!I22,'28.10 HOIMA-KYENJOJO-24h'!I22,'31.10 HOIMA-KYENJOJO'!I22)</f>
        <v>0</v>
      </c>
      <c r="J22" s="49">
        <f>AVERAGE('25.10 HOIMA-KYENJOJO'!J22,'27.10 HOIMA-KYENJOJO'!J22,'29.10 HOIMA-KYENJOJO'!J22,'30.10 HOIMA-KYENJOJO'!J22,'26.10 HOIMA-KYENJOJO-24h'!J22,'28.10 HOIMA-KYENJOJO-24h'!J22,'31.10 HOIMA-KYENJOJO'!J22)</f>
        <v>0.42857142857142855</v>
      </c>
      <c r="K22" s="49">
        <f>AVERAGE('25.10 HOIMA-KYENJOJO'!K22,'27.10 HOIMA-KYENJOJO'!K22,'29.10 HOIMA-KYENJOJO'!K22,'30.10 HOIMA-KYENJOJO'!K22,'26.10 HOIMA-KYENJOJO-24h'!K22,'28.10 HOIMA-KYENJOJO-24h'!K22,'31.10 HOIMA-KYENJOJO'!K22)</f>
        <v>1.2857142857142858</v>
      </c>
      <c r="L22" s="49">
        <f>AVERAGE('25.10 HOIMA-KYENJOJO'!L22,'27.10 HOIMA-KYENJOJO'!L22,'29.10 HOIMA-KYENJOJO'!L22,'30.10 HOIMA-KYENJOJO'!L22,'26.10 HOIMA-KYENJOJO-24h'!L22,'28.10 HOIMA-KYENJOJO-24h'!L22,'31.10 HOIMA-KYENJOJO'!L22)</f>
        <v>0</v>
      </c>
      <c r="M22" s="49">
        <f>AVERAGE('25.10 HOIMA-KYENJOJO'!M22,'27.10 HOIMA-KYENJOJO'!M22,'29.10 HOIMA-KYENJOJO'!M22,'30.10 HOIMA-KYENJOJO'!M22,'26.10 HOIMA-KYENJOJO-24h'!M22,'28.10 HOIMA-KYENJOJO-24h'!M22,'31.10 HOIMA-KYENJOJO'!M22)</f>
        <v>32.142857142857146</v>
      </c>
      <c r="N22" s="49">
        <f>AVERAGE('25.10 HOIMA-KYENJOJO'!N22,'27.10 HOIMA-KYENJOJO'!N22,'29.10 HOIMA-KYENJOJO'!N22,'30.10 HOIMA-KYENJOJO'!N22,'26.10 HOIMA-KYENJOJO-24h'!N22,'28.10 HOIMA-KYENJOJO-24h'!N22,'31.10 HOIMA-KYENJOJO'!N22)</f>
        <v>0</v>
      </c>
      <c r="O22" s="15">
        <f t="shared" si="0"/>
        <v>11.714285714285715</v>
      </c>
      <c r="P22" s="15">
        <f t="shared" si="1"/>
        <v>43.857142857142861</v>
      </c>
      <c r="R22" s="1" t="s">
        <v>146</v>
      </c>
      <c r="S22" s="34">
        <f>SUM(C58:C61)</f>
        <v>25.5</v>
      </c>
      <c r="T22" s="34">
        <f t="shared" ref="T22:AF22" si="14">SUM(D58:D61)</f>
        <v>1.5</v>
      </c>
      <c r="U22" s="34">
        <f t="shared" si="14"/>
        <v>3</v>
      </c>
      <c r="V22" s="34">
        <f t="shared" si="14"/>
        <v>4.5</v>
      </c>
      <c r="W22" s="34">
        <f t="shared" si="14"/>
        <v>0</v>
      </c>
      <c r="X22" s="34">
        <f t="shared" si="14"/>
        <v>0</v>
      </c>
      <c r="Y22" s="34">
        <f t="shared" si="14"/>
        <v>2.5</v>
      </c>
      <c r="Z22" s="34">
        <f t="shared" si="14"/>
        <v>2.5</v>
      </c>
      <c r="AA22" s="34">
        <f t="shared" si="14"/>
        <v>3</v>
      </c>
      <c r="AB22" s="34">
        <f t="shared" si="14"/>
        <v>0</v>
      </c>
      <c r="AC22" s="34">
        <f t="shared" si="14"/>
        <v>127</v>
      </c>
      <c r="AD22" s="34">
        <f t="shared" si="14"/>
        <v>0</v>
      </c>
      <c r="AE22" s="31">
        <f t="shared" si="14"/>
        <v>42.5</v>
      </c>
      <c r="AF22" s="31">
        <f t="shared" si="14"/>
        <v>169.5</v>
      </c>
    </row>
    <row r="23" spans="2:32" ht="23.1" customHeight="1" x14ac:dyDescent="0.25">
      <c r="B23" s="23" t="s">
        <v>50</v>
      </c>
      <c r="C23" s="49">
        <f>AVERAGE('25.10 HOIMA-KYENJOJO'!C23,'27.10 HOIMA-KYENJOJO'!C23,'29.10 HOIMA-KYENJOJO'!C23,'30.10 HOIMA-KYENJOJO'!C23,'26.10 HOIMA-KYENJOJO-24h'!C23,'28.10 HOIMA-KYENJOJO-24h'!C23,'31.10 HOIMA-KYENJOJO'!C23)</f>
        <v>6.5714285714285712</v>
      </c>
      <c r="D23" s="49">
        <f>AVERAGE('25.10 HOIMA-KYENJOJO'!D23,'27.10 HOIMA-KYENJOJO'!D23,'29.10 HOIMA-KYENJOJO'!D23,'30.10 HOIMA-KYENJOJO'!D23,'26.10 HOIMA-KYENJOJO-24h'!D23,'28.10 HOIMA-KYENJOJO-24h'!D23,'31.10 HOIMA-KYENJOJO'!D23)</f>
        <v>0.7142857142857143</v>
      </c>
      <c r="E23" s="49">
        <f>AVERAGE('25.10 HOIMA-KYENJOJO'!E23,'27.10 HOIMA-KYENJOJO'!E23,'29.10 HOIMA-KYENJOJO'!E23,'30.10 HOIMA-KYENJOJO'!E23,'26.10 HOIMA-KYENJOJO-24h'!E23,'28.10 HOIMA-KYENJOJO-24h'!E23,'31.10 HOIMA-KYENJOJO'!E23)</f>
        <v>1.5714285714285714</v>
      </c>
      <c r="F23" s="49">
        <f>AVERAGE('25.10 HOIMA-KYENJOJO'!F23,'27.10 HOIMA-KYENJOJO'!F23,'29.10 HOIMA-KYENJOJO'!F23,'30.10 HOIMA-KYENJOJO'!F23,'26.10 HOIMA-KYENJOJO-24h'!F23,'28.10 HOIMA-KYENJOJO-24h'!F23,'31.10 HOIMA-KYENJOJO'!F23)</f>
        <v>0.7142857142857143</v>
      </c>
      <c r="G23" s="49">
        <f>AVERAGE('25.10 HOIMA-KYENJOJO'!G23,'27.10 HOIMA-KYENJOJO'!G23,'29.10 HOIMA-KYENJOJO'!G23,'30.10 HOIMA-KYENJOJO'!G23,'26.10 HOIMA-KYENJOJO-24h'!G23,'28.10 HOIMA-KYENJOJO-24h'!G23,'31.10 HOIMA-KYENJOJO'!G23)</f>
        <v>0</v>
      </c>
      <c r="H23" s="49">
        <f>AVERAGE('25.10 HOIMA-KYENJOJO'!H23,'27.10 HOIMA-KYENJOJO'!H23,'29.10 HOIMA-KYENJOJO'!H23,'30.10 HOIMA-KYENJOJO'!H23,'26.10 HOIMA-KYENJOJO-24h'!H23,'28.10 HOIMA-KYENJOJO-24h'!H23,'31.10 HOIMA-KYENJOJO'!H23)</f>
        <v>0</v>
      </c>
      <c r="I23" s="49">
        <f>AVERAGE('25.10 HOIMA-KYENJOJO'!I23,'27.10 HOIMA-KYENJOJO'!I23,'29.10 HOIMA-KYENJOJO'!I23,'30.10 HOIMA-KYENJOJO'!I23,'26.10 HOIMA-KYENJOJO-24h'!I23,'28.10 HOIMA-KYENJOJO-24h'!I23,'31.10 HOIMA-KYENJOJO'!I23)</f>
        <v>1</v>
      </c>
      <c r="J23" s="49">
        <f>AVERAGE('25.10 HOIMA-KYENJOJO'!J23,'27.10 HOIMA-KYENJOJO'!J23,'29.10 HOIMA-KYENJOJO'!J23,'30.10 HOIMA-KYENJOJO'!J23,'26.10 HOIMA-KYENJOJO-24h'!J23,'28.10 HOIMA-KYENJOJO-24h'!J23,'31.10 HOIMA-KYENJOJO'!J23)</f>
        <v>0.42857142857142855</v>
      </c>
      <c r="K23" s="49">
        <f>AVERAGE('25.10 HOIMA-KYENJOJO'!K23,'27.10 HOIMA-KYENJOJO'!K23,'29.10 HOIMA-KYENJOJO'!K23,'30.10 HOIMA-KYENJOJO'!K23,'26.10 HOIMA-KYENJOJO-24h'!K23,'28.10 HOIMA-KYENJOJO-24h'!K23,'31.10 HOIMA-KYENJOJO'!K23)</f>
        <v>0.14285714285714285</v>
      </c>
      <c r="L23" s="49">
        <f>AVERAGE('25.10 HOIMA-KYENJOJO'!L23,'27.10 HOIMA-KYENJOJO'!L23,'29.10 HOIMA-KYENJOJO'!L23,'30.10 HOIMA-KYENJOJO'!L23,'26.10 HOIMA-KYENJOJO-24h'!L23,'28.10 HOIMA-KYENJOJO-24h'!L23,'31.10 HOIMA-KYENJOJO'!L23)</f>
        <v>0</v>
      </c>
      <c r="M23" s="49">
        <f>AVERAGE('25.10 HOIMA-KYENJOJO'!M23,'27.10 HOIMA-KYENJOJO'!M23,'29.10 HOIMA-KYENJOJO'!M23,'30.10 HOIMA-KYENJOJO'!M23,'26.10 HOIMA-KYENJOJO-24h'!M23,'28.10 HOIMA-KYENJOJO-24h'!M23,'31.10 HOIMA-KYENJOJO'!M23)</f>
        <v>30.714285714285715</v>
      </c>
      <c r="N23" s="49">
        <f>AVERAGE('25.10 HOIMA-KYENJOJO'!N23,'27.10 HOIMA-KYENJOJO'!N23,'29.10 HOIMA-KYENJOJO'!N23,'30.10 HOIMA-KYENJOJO'!N23,'26.10 HOIMA-KYENJOJO-24h'!N23,'28.10 HOIMA-KYENJOJO-24h'!N23,'31.10 HOIMA-KYENJOJO'!N23)</f>
        <v>0</v>
      </c>
      <c r="O23" s="15">
        <f t="shared" si="0"/>
        <v>11.142857142857142</v>
      </c>
      <c r="P23" s="15">
        <f t="shared" si="1"/>
        <v>41.857142857142861</v>
      </c>
      <c r="R23" s="1" t="s">
        <v>147</v>
      </c>
      <c r="S23" s="34">
        <f>SUM(C62:C65)</f>
        <v>13</v>
      </c>
      <c r="T23" s="34">
        <f t="shared" ref="T23:AF23" si="15">SUM(D62:D65)</f>
        <v>1</v>
      </c>
      <c r="U23" s="34">
        <f t="shared" si="15"/>
        <v>3</v>
      </c>
      <c r="V23" s="34">
        <f t="shared" si="15"/>
        <v>2</v>
      </c>
      <c r="W23" s="34">
        <f t="shared" si="15"/>
        <v>0</v>
      </c>
      <c r="X23" s="34">
        <f t="shared" si="15"/>
        <v>0</v>
      </c>
      <c r="Y23" s="34">
        <f t="shared" si="15"/>
        <v>1.5</v>
      </c>
      <c r="Z23" s="34">
        <f t="shared" si="15"/>
        <v>1.5</v>
      </c>
      <c r="AA23" s="34">
        <f t="shared" si="15"/>
        <v>1</v>
      </c>
      <c r="AB23" s="34">
        <f t="shared" si="15"/>
        <v>0.5</v>
      </c>
      <c r="AC23" s="34">
        <f t="shared" si="15"/>
        <v>73.5</v>
      </c>
      <c r="AD23" s="34">
        <f t="shared" si="15"/>
        <v>0</v>
      </c>
      <c r="AE23" s="31">
        <f t="shared" si="15"/>
        <v>23.5</v>
      </c>
      <c r="AF23" s="31">
        <f t="shared" si="15"/>
        <v>97</v>
      </c>
    </row>
    <row r="24" spans="2:32" ht="23.1" customHeight="1" x14ac:dyDescent="0.25">
      <c r="B24" s="23" t="s">
        <v>51</v>
      </c>
      <c r="C24" s="49">
        <f>AVERAGE('25.10 HOIMA-KYENJOJO'!C24,'27.10 HOIMA-KYENJOJO'!C24,'29.10 HOIMA-KYENJOJO'!C24,'30.10 HOIMA-KYENJOJO'!C24,'26.10 HOIMA-KYENJOJO-24h'!C24,'28.10 HOIMA-KYENJOJO-24h'!C24,'31.10 HOIMA-KYENJOJO'!C24)</f>
        <v>5.4285714285714288</v>
      </c>
      <c r="D24" s="49">
        <f>AVERAGE('25.10 HOIMA-KYENJOJO'!D24,'27.10 HOIMA-KYENJOJO'!D24,'29.10 HOIMA-KYENJOJO'!D24,'30.10 HOIMA-KYENJOJO'!D24,'26.10 HOIMA-KYENJOJO-24h'!D24,'28.10 HOIMA-KYENJOJO-24h'!D24,'31.10 HOIMA-KYENJOJO'!D24)</f>
        <v>0.5714285714285714</v>
      </c>
      <c r="E24" s="49">
        <f>AVERAGE('25.10 HOIMA-KYENJOJO'!E24,'27.10 HOIMA-KYENJOJO'!E24,'29.10 HOIMA-KYENJOJO'!E24,'30.10 HOIMA-KYENJOJO'!E24,'26.10 HOIMA-KYENJOJO-24h'!E24,'28.10 HOIMA-KYENJOJO-24h'!E24,'31.10 HOIMA-KYENJOJO'!E24)</f>
        <v>0.5714285714285714</v>
      </c>
      <c r="F24" s="49">
        <f>AVERAGE('25.10 HOIMA-KYENJOJO'!F24,'27.10 HOIMA-KYENJOJO'!F24,'29.10 HOIMA-KYENJOJO'!F24,'30.10 HOIMA-KYENJOJO'!F24,'26.10 HOIMA-KYENJOJO-24h'!F24,'28.10 HOIMA-KYENJOJO-24h'!F24,'31.10 HOIMA-KYENJOJO'!F24)</f>
        <v>0.5714285714285714</v>
      </c>
      <c r="G24" s="49">
        <f>AVERAGE('25.10 HOIMA-KYENJOJO'!G24,'27.10 HOIMA-KYENJOJO'!G24,'29.10 HOIMA-KYENJOJO'!G24,'30.10 HOIMA-KYENJOJO'!G24,'26.10 HOIMA-KYENJOJO-24h'!G24,'28.10 HOIMA-KYENJOJO-24h'!G24,'31.10 HOIMA-KYENJOJO'!G24)</f>
        <v>0</v>
      </c>
      <c r="H24" s="49">
        <f>AVERAGE('25.10 HOIMA-KYENJOJO'!H24,'27.10 HOIMA-KYENJOJO'!H24,'29.10 HOIMA-KYENJOJO'!H24,'30.10 HOIMA-KYENJOJO'!H24,'26.10 HOIMA-KYENJOJO-24h'!H24,'28.10 HOIMA-KYENJOJO-24h'!H24,'31.10 HOIMA-KYENJOJO'!H24)</f>
        <v>0</v>
      </c>
      <c r="I24" s="49">
        <f>AVERAGE('25.10 HOIMA-KYENJOJO'!I24,'27.10 HOIMA-KYENJOJO'!I24,'29.10 HOIMA-KYENJOJO'!I24,'30.10 HOIMA-KYENJOJO'!I24,'26.10 HOIMA-KYENJOJO-24h'!I24,'28.10 HOIMA-KYENJOJO-24h'!I24,'31.10 HOIMA-KYENJOJO'!I24)</f>
        <v>0.8571428571428571</v>
      </c>
      <c r="J24" s="49">
        <f>AVERAGE('25.10 HOIMA-KYENJOJO'!J24,'27.10 HOIMA-KYENJOJO'!J24,'29.10 HOIMA-KYENJOJO'!J24,'30.10 HOIMA-KYENJOJO'!J24,'26.10 HOIMA-KYENJOJO-24h'!J24,'28.10 HOIMA-KYENJOJO-24h'!J24,'31.10 HOIMA-KYENJOJO'!J24)</f>
        <v>1.4285714285714286</v>
      </c>
      <c r="K24" s="49">
        <f>AVERAGE('25.10 HOIMA-KYENJOJO'!K24,'27.10 HOIMA-KYENJOJO'!K24,'29.10 HOIMA-KYENJOJO'!K24,'30.10 HOIMA-KYENJOJO'!K24,'26.10 HOIMA-KYENJOJO-24h'!K24,'28.10 HOIMA-KYENJOJO-24h'!K24,'31.10 HOIMA-KYENJOJO'!K24)</f>
        <v>0</v>
      </c>
      <c r="L24" s="49">
        <f>AVERAGE('25.10 HOIMA-KYENJOJO'!L24,'27.10 HOIMA-KYENJOJO'!L24,'29.10 HOIMA-KYENJOJO'!L24,'30.10 HOIMA-KYENJOJO'!L24,'26.10 HOIMA-KYENJOJO-24h'!L24,'28.10 HOIMA-KYENJOJO-24h'!L24,'31.10 HOIMA-KYENJOJO'!L24)</f>
        <v>0</v>
      </c>
      <c r="M24" s="49">
        <f>AVERAGE('25.10 HOIMA-KYENJOJO'!M24,'27.10 HOIMA-KYENJOJO'!M24,'29.10 HOIMA-KYENJOJO'!M24,'30.10 HOIMA-KYENJOJO'!M24,'26.10 HOIMA-KYENJOJO-24h'!M24,'28.10 HOIMA-KYENJOJO-24h'!M24,'31.10 HOIMA-KYENJOJO'!M24)</f>
        <v>35.571428571428569</v>
      </c>
      <c r="N24" s="49">
        <f>AVERAGE('25.10 HOIMA-KYENJOJO'!N24,'27.10 HOIMA-KYENJOJO'!N24,'29.10 HOIMA-KYENJOJO'!N24,'30.10 HOIMA-KYENJOJO'!N24,'26.10 HOIMA-KYENJOJO-24h'!N24,'28.10 HOIMA-KYENJOJO-24h'!N24,'31.10 HOIMA-KYENJOJO'!N24)</f>
        <v>0.14285714285714285</v>
      </c>
      <c r="O24" s="15">
        <f t="shared" si="0"/>
        <v>9.5714285714285694</v>
      </c>
      <c r="P24" s="15">
        <f t="shared" si="1"/>
        <v>45.142857142857146</v>
      </c>
      <c r="R24" s="1" t="s">
        <v>148</v>
      </c>
      <c r="S24" s="34">
        <f>SUM(C66:C69)</f>
        <v>10</v>
      </c>
      <c r="T24" s="34">
        <f t="shared" ref="T24:AF24" si="16">SUM(D66:D69)</f>
        <v>1.5</v>
      </c>
      <c r="U24" s="34">
        <f t="shared" si="16"/>
        <v>1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0.5</v>
      </c>
      <c r="Z24" s="34">
        <f t="shared" si="16"/>
        <v>1</v>
      </c>
      <c r="AA24" s="34">
        <f t="shared" si="16"/>
        <v>0.5</v>
      </c>
      <c r="AB24" s="34">
        <f t="shared" si="16"/>
        <v>0</v>
      </c>
      <c r="AC24" s="34">
        <f t="shared" si="16"/>
        <v>50.5</v>
      </c>
      <c r="AD24" s="34">
        <f t="shared" si="16"/>
        <v>0</v>
      </c>
      <c r="AE24" s="31">
        <f t="shared" si="16"/>
        <v>15.5</v>
      </c>
      <c r="AF24" s="31">
        <f t="shared" si="16"/>
        <v>66</v>
      </c>
    </row>
    <row r="25" spans="2:32" ht="23.1" customHeight="1" x14ac:dyDescent="0.25">
      <c r="B25" s="23" t="s">
        <v>52</v>
      </c>
      <c r="C25" s="49">
        <f>AVERAGE('25.10 HOIMA-KYENJOJO'!C25,'27.10 HOIMA-KYENJOJO'!C25,'29.10 HOIMA-KYENJOJO'!C25,'30.10 HOIMA-KYENJOJO'!C25,'26.10 HOIMA-KYENJOJO-24h'!C25,'28.10 HOIMA-KYENJOJO-24h'!C25,'31.10 HOIMA-KYENJOJO'!C25)</f>
        <v>5.2857142857142856</v>
      </c>
      <c r="D25" s="49">
        <f>AVERAGE('25.10 HOIMA-KYENJOJO'!D25,'27.10 HOIMA-KYENJOJO'!D25,'29.10 HOIMA-KYENJOJO'!D25,'30.10 HOIMA-KYENJOJO'!D25,'26.10 HOIMA-KYENJOJO-24h'!D25,'28.10 HOIMA-KYENJOJO-24h'!D25,'31.10 HOIMA-KYENJOJO'!D25)</f>
        <v>0.42857142857142855</v>
      </c>
      <c r="E25" s="49">
        <f>AVERAGE('25.10 HOIMA-KYENJOJO'!E25,'27.10 HOIMA-KYENJOJO'!E25,'29.10 HOIMA-KYENJOJO'!E25,'30.10 HOIMA-KYENJOJO'!E25,'26.10 HOIMA-KYENJOJO-24h'!E25,'28.10 HOIMA-KYENJOJO-24h'!E25,'31.10 HOIMA-KYENJOJO'!E25)</f>
        <v>1.2857142857142858</v>
      </c>
      <c r="F25" s="49">
        <f>AVERAGE('25.10 HOIMA-KYENJOJO'!F25,'27.10 HOIMA-KYENJOJO'!F25,'29.10 HOIMA-KYENJOJO'!F25,'30.10 HOIMA-KYENJOJO'!F25,'26.10 HOIMA-KYENJOJO-24h'!F25,'28.10 HOIMA-KYENJOJO-24h'!F25,'31.10 HOIMA-KYENJOJO'!F25)</f>
        <v>0.8571428571428571</v>
      </c>
      <c r="G25" s="49">
        <f>AVERAGE('25.10 HOIMA-KYENJOJO'!G25,'27.10 HOIMA-KYENJOJO'!G25,'29.10 HOIMA-KYENJOJO'!G25,'30.10 HOIMA-KYENJOJO'!G25,'26.10 HOIMA-KYENJOJO-24h'!G25,'28.10 HOIMA-KYENJOJO-24h'!G25,'31.10 HOIMA-KYENJOJO'!G25)</f>
        <v>0</v>
      </c>
      <c r="H25" s="49">
        <f>AVERAGE('25.10 HOIMA-KYENJOJO'!H25,'27.10 HOIMA-KYENJOJO'!H25,'29.10 HOIMA-KYENJOJO'!H25,'30.10 HOIMA-KYENJOJO'!H25,'26.10 HOIMA-KYENJOJO-24h'!H25,'28.10 HOIMA-KYENJOJO-24h'!H25,'31.10 HOIMA-KYENJOJO'!H25)</f>
        <v>0</v>
      </c>
      <c r="I25" s="49">
        <f>AVERAGE('25.10 HOIMA-KYENJOJO'!I25,'27.10 HOIMA-KYENJOJO'!I25,'29.10 HOIMA-KYENJOJO'!I25,'30.10 HOIMA-KYENJOJO'!I25,'26.10 HOIMA-KYENJOJO-24h'!I25,'28.10 HOIMA-KYENJOJO-24h'!I25,'31.10 HOIMA-KYENJOJO'!I25)</f>
        <v>0.8571428571428571</v>
      </c>
      <c r="J25" s="49">
        <f>AVERAGE('25.10 HOIMA-KYENJOJO'!J25,'27.10 HOIMA-KYENJOJO'!J25,'29.10 HOIMA-KYENJOJO'!J25,'30.10 HOIMA-KYENJOJO'!J25,'26.10 HOIMA-KYENJOJO-24h'!J25,'28.10 HOIMA-KYENJOJO-24h'!J25,'31.10 HOIMA-KYENJOJO'!J25)</f>
        <v>0.8571428571428571</v>
      </c>
      <c r="K25" s="49">
        <f>AVERAGE('25.10 HOIMA-KYENJOJO'!K25,'27.10 HOIMA-KYENJOJO'!K25,'29.10 HOIMA-KYENJOJO'!K25,'30.10 HOIMA-KYENJOJO'!K25,'26.10 HOIMA-KYENJOJO-24h'!K25,'28.10 HOIMA-KYENJOJO-24h'!K25,'31.10 HOIMA-KYENJOJO'!K25)</f>
        <v>0</v>
      </c>
      <c r="L25" s="49">
        <f>AVERAGE('25.10 HOIMA-KYENJOJO'!L25,'27.10 HOIMA-KYENJOJO'!L25,'29.10 HOIMA-KYENJOJO'!L25,'30.10 HOIMA-KYENJOJO'!L25,'26.10 HOIMA-KYENJOJO-24h'!L25,'28.10 HOIMA-KYENJOJO-24h'!L25,'31.10 HOIMA-KYENJOJO'!L25)</f>
        <v>0.14285714285714285</v>
      </c>
      <c r="M25" s="49">
        <f>AVERAGE('25.10 HOIMA-KYENJOJO'!M25,'27.10 HOIMA-KYENJOJO'!M25,'29.10 HOIMA-KYENJOJO'!M25,'30.10 HOIMA-KYENJOJO'!M25,'26.10 HOIMA-KYENJOJO-24h'!M25,'28.10 HOIMA-KYENJOJO-24h'!M25,'31.10 HOIMA-KYENJOJO'!M25)</f>
        <v>28.857142857142858</v>
      </c>
      <c r="N25" s="49">
        <f>AVERAGE('25.10 HOIMA-KYENJOJO'!N25,'27.10 HOIMA-KYENJOJO'!N25,'29.10 HOIMA-KYENJOJO'!N25,'30.10 HOIMA-KYENJOJO'!N25,'26.10 HOIMA-KYENJOJO-24h'!N25,'28.10 HOIMA-KYENJOJO-24h'!N25,'31.10 HOIMA-KYENJOJO'!N25)</f>
        <v>0</v>
      </c>
      <c r="O25" s="15">
        <f t="shared" si="0"/>
        <v>9.7142857142857135</v>
      </c>
      <c r="P25" s="15">
        <f t="shared" si="1"/>
        <v>38.571428571428569</v>
      </c>
      <c r="R25" s="1" t="s">
        <v>149</v>
      </c>
      <c r="S25" s="34">
        <f>SUM(C70:C73)</f>
        <v>6</v>
      </c>
      <c r="T25" s="34">
        <f t="shared" ref="T25:AF25" si="17">SUM(D70:D73)</f>
        <v>0.5</v>
      </c>
      <c r="U25" s="34">
        <f t="shared" si="17"/>
        <v>1.5</v>
      </c>
      <c r="V25" s="34">
        <f t="shared" si="17"/>
        <v>0.5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0.5</v>
      </c>
      <c r="AA25" s="34">
        <f t="shared" si="17"/>
        <v>0.5</v>
      </c>
      <c r="AB25" s="34">
        <f t="shared" si="17"/>
        <v>0</v>
      </c>
      <c r="AC25" s="34">
        <f t="shared" si="17"/>
        <v>30.5</v>
      </c>
      <c r="AD25" s="34">
        <f t="shared" si="17"/>
        <v>0</v>
      </c>
      <c r="AE25" s="31">
        <f t="shared" si="17"/>
        <v>11.5</v>
      </c>
      <c r="AF25" s="31">
        <f t="shared" si="17"/>
        <v>42</v>
      </c>
    </row>
    <row r="26" spans="2:32" ht="23.1" customHeight="1" x14ac:dyDescent="0.25">
      <c r="B26" s="23" t="s">
        <v>53</v>
      </c>
      <c r="C26" s="49">
        <f>AVERAGE('25.10 HOIMA-KYENJOJO'!C26,'27.10 HOIMA-KYENJOJO'!C26,'29.10 HOIMA-KYENJOJO'!C26,'30.10 HOIMA-KYENJOJO'!C26,'26.10 HOIMA-KYENJOJO-24h'!C26,'28.10 HOIMA-KYENJOJO-24h'!C26,'31.10 HOIMA-KYENJOJO'!C26)</f>
        <v>5.5714285714285712</v>
      </c>
      <c r="D26" s="49">
        <f>AVERAGE('25.10 HOIMA-KYENJOJO'!D26,'27.10 HOIMA-KYENJOJO'!D26,'29.10 HOIMA-KYENJOJO'!D26,'30.10 HOIMA-KYENJOJO'!D26,'26.10 HOIMA-KYENJOJO-24h'!D26,'28.10 HOIMA-KYENJOJO-24h'!D26,'31.10 HOIMA-KYENJOJO'!D26)</f>
        <v>1.2857142857142858</v>
      </c>
      <c r="E26" s="49">
        <f>AVERAGE('25.10 HOIMA-KYENJOJO'!E26,'27.10 HOIMA-KYENJOJO'!E26,'29.10 HOIMA-KYENJOJO'!E26,'30.10 HOIMA-KYENJOJO'!E26,'26.10 HOIMA-KYENJOJO-24h'!E26,'28.10 HOIMA-KYENJOJO-24h'!E26,'31.10 HOIMA-KYENJOJO'!E26)</f>
        <v>1.1428571428571428</v>
      </c>
      <c r="F26" s="49">
        <f>AVERAGE('25.10 HOIMA-KYENJOJO'!F26,'27.10 HOIMA-KYENJOJO'!F26,'29.10 HOIMA-KYENJOJO'!F26,'30.10 HOIMA-KYENJOJO'!F26,'26.10 HOIMA-KYENJOJO-24h'!F26,'28.10 HOIMA-KYENJOJO-24h'!F26,'31.10 HOIMA-KYENJOJO'!F26)</f>
        <v>0.14285714285714285</v>
      </c>
      <c r="G26" s="49">
        <f>AVERAGE('25.10 HOIMA-KYENJOJO'!G26,'27.10 HOIMA-KYENJOJO'!G26,'29.10 HOIMA-KYENJOJO'!G26,'30.10 HOIMA-KYENJOJO'!G26,'26.10 HOIMA-KYENJOJO-24h'!G26,'28.10 HOIMA-KYENJOJO-24h'!G26,'31.10 HOIMA-KYENJOJO'!G26)</f>
        <v>0</v>
      </c>
      <c r="H26" s="49">
        <f>AVERAGE('25.10 HOIMA-KYENJOJO'!H26,'27.10 HOIMA-KYENJOJO'!H26,'29.10 HOIMA-KYENJOJO'!H26,'30.10 HOIMA-KYENJOJO'!H26,'26.10 HOIMA-KYENJOJO-24h'!H26,'28.10 HOIMA-KYENJOJO-24h'!H26,'31.10 HOIMA-KYENJOJO'!H26)</f>
        <v>0</v>
      </c>
      <c r="I26" s="49">
        <f>AVERAGE('25.10 HOIMA-KYENJOJO'!I26,'27.10 HOIMA-KYENJOJO'!I26,'29.10 HOIMA-KYENJOJO'!I26,'30.10 HOIMA-KYENJOJO'!I26,'26.10 HOIMA-KYENJOJO-24h'!I26,'28.10 HOIMA-KYENJOJO-24h'!I26,'31.10 HOIMA-KYENJOJO'!I26)</f>
        <v>1</v>
      </c>
      <c r="J26" s="49">
        <f>AVERAGE('25.10 HOIMA-KYENJOJO'!J26,'27.10 HOIMA-KYENJOJO'!J26,'29.10 HOIMA-KYENJOJO'!J26,'30.10 HOIMA-KYENJOJO'!J26,'26.10 HOIMA-KYENJOJO-24h'!J26,'28.10 HOIMA-KYENJOJO-24h'!J26,'31.10 HOIMA-KYENJOJO'!J26)</f>
        <v>1.2857142857142858</v>
      </c>
      <c r="K26" s="49">
        <f>AVERAGE('25.10 HOIMA-KYENJOJO'!K26,'27.10 HOIMA-KYENJOJO'!K26,'29.10 HOIMA-KYENJOJO'!K26,'30.10 HOIMA-KYENJOJO'!K26,'26.10 HOIMA-KYENJOJO-24h'!K26,'28.10 HOIMA-KYENJOJO-24h'!K26,'31.10 HOIMA-KYENJOJO'!K26)</f>
        <v>0.5714285714285714</v>
      </c>
      <c r="L26" s="49">
        <f>AVERAGE('25.10 HOIMA-KYENJOJO'!L26,'27.10 HOIMA-KYENJOJO'!L26,'29.10 HOIMA-KYENJOJO'!L26,'30.10 HOIMA-KYENJOJO'!L26,'26.10 HOIMA-KYENJOJO-24h'!L26,'28.10 HOIMA-KYENJOJO-24h'!L26,'31.10 HOIMA-KYENJOJO'!L26)</f>
        <v>0</v>
      </c>
      <c r="M26" s="49">
        <f>AVERAGE('25.10 HOIMA-KYENJOJO'!M26,'27.10 HOIMA-KYENJOJO'!M26,'29.10 HOIMA-KYENJOJO'!M26,'30.10 HOIMA-KYENJOJO'!M26,'26.10 HOIMA-KYENJOJO-24h'!M26,'28.10 HOIMA-KYENJOJO-24h'!M26,'31.10 HOIMA-KYENJOJO'!M26)</f>
        <v>33.857142857142854</v>
      </c>
      <c r="N26" s="49">
        <f>AVERAGE('25.10 HOIMA-KYENJOJO'!N26,'27.10 HOIMA-KYENJOJO'!N26,'29.10 HOIMA-KYENJOJO'!N26,'30.10 HOIMA-KYENJOJO'!N26,'26.10 HOIMA-KYENJOJO-24h'!N26,'28.10 HOIMA-KYENJOJO-24h'!N26,'31.10 HOIMA-KYENJOJO'!N26)</f>
        <v>0.14285714285714285</v>
      </c>
      <c r="O26" s="15">
        <f t="shared" si="0"/>
        <v>11.142857142857142</v>
      </c>
      <c r="P26" s="15">
        <f t="shared" si="1"/>
        <v>45</v>
      </c>
      <c r="R26" s="1" t="s">
        <v>150</v>
      </c>
      <c r="S26" s="34">
        <f>SUM(C74:C77)</f>
        <v>4</v>
      </c>
      <c r="T26" s="34">
        <f t="shared" ref="T26:AF26" si="18">SUM(D74:D77)</f>
        <v>0.5</v>
      </c>
      <c r="U26" s="34">
        <f t="shared" si="18"/>
        <v>0.5</v>
      </c>
      <c r="V26" s="34">
        <f t="shared" si="18"/>
        <v>0.5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0.5</v>
      </c>
      <c r="AB26" s="34">
        <f t="shared" si="18"/>
        <v>0</v>
      </c>
      <c r="AC26" s="34">
        <f t="shared" si="18"/>
        <v>18</v>
      </c>
      <c r="AD26" s="34">
        <f t="shared" si="18"/>
        <v>0</v>
      </c>
      <c r="AE26" s="31">
        <f t="shared" si="18"/>
        <v>6</v>
      </c>
      <c r="AF26" s="31">
        <f t="shared" si="18"/>
        <v>24</v>
      </c>
    </row>
    <row r="27" spans="2:32" ht="23.1" customHeight="1" x14ac:dyDescent="0.25">
      <c r="B27" s="23" t="s">
        <v>54</v>
      </c>
      <c r="C27" s="49">
        <f>AVERAGE('25.10 HOIMA-KYENJOJO'!C27,'27.10 HOIMA-KYENJOJO'!C27,'29.10 HOIMA-KYENJOJO'!C27,'30.10 HOIMA-KYENJOJO'!C27,'26.10 HOIMA-KYENJOJO-24h'!C27,'28.10 HOIMA-KYENJOJO-24h'!C27,'31.10 HOIMA-KYENJOJO'!C27)</f>
        <v>5.8571428571428568</v>
      </c>
      <c r="D27" s="49">
        <f>AVERAGE('25.10 HOIMA-KYENJOJO'!D27,'27.10 HOIMA-KYENJOJO'!D27,'29.10 HOIMA-KYENJOJO'!D27,'30.10 HOIMA-KYENJOJO'!D27,'26.10 HOIMA-KYENJOJO-24h'!D27,'28.10 HOIMA-KYENJOJO-24h'!D27,'31.10 HOIMA-KYENJOJO'!D27)</f>
        <v>0.42857142857142855</v>
      </c>
      <c r="E27" s="49">
        <f>AVERAGE('25.10 HOIMA-KYENJOJO'!E27,'27.10 HOIMA-KYENJOJO'!E27,'29.10 HOIMA-KYENJOJO'!E27,'30.10 HOIMA-KYENJOJO'!E27,'26.10 HOIMA-KYENJOJO-24h'!E27,'28.10 HOIMA-KYENJOJO-24h'!E27,'31.10 HOIMA-KYENJOJO'!E27)</f>
        <v>0.42857142857142855</v>
      </c>
      <c r="F27" s="49">
        <f>AVERAGE('25.10 HOIMA-KYENJOJO'!F27,'27.10 HOIMA-KYENJOJO'!F27,'29.10 HOIMA-KYENJOJO'!F27,'30.10 HOIMA-KYENJOJO'!F27,'26.10 HOIMA-KYENJOJO-24h'!F27,'28.10 HOIMA-KYENJOJO-24h'!F27,'31.10 HOIMA-KYENJOJO'!F27)</f>
        <v>1</v>
      </c>
      <c r="G27" s="49">
        <f>AVERAGE('25.10 HOIMA-KYENJOJO'!G27,'27.10 HOIMA-KYENJOJO'!G27,'29.10 HOIMA-KYENJOJO'!G27,'30.10 HOIMA-KYENJOJO'!G27,'26.10 HOIMA-KYENJOJO-24h'!G27,'28.10 HOIMA-KYENJOJO-24h'!G27,'31.10 HOIMA-KYENJOJO'!G27)</f>
        <v>0</v>
      </c>
      <c r="H27" s="49">
        <f>AVERAGE('25.10 HOIMA-KYENJOJO'!H27,'27.10 HOIMA-KYENJOJO'!H27,'29.10 HOIMA-KYENJOJO'!H27,'30.10 HOIMA-KYENJOJO'!H27,'26.10 HOIMA-KYENJOJO-24h'!H27,'28.10 HOIMA-KYENJOJO-24h'!H27,'31.10 HOIMA-KYENJOJO'!H27)</f>
        <v>0</v>
      </c>
      <c r="I27" s="49">
        <f>AVERAGE('25.10 HOIMA-KYENJOJO'!I27,'27.10 HOIMA-KYENJOJO'!I27,'29.10 HOIMA-KYENJOJO'!I27,'30.10 HOIMA-KYENJOJO'!I27,'26.10 HOIMA-KYENJOJO-24h'!I27,'28.10 HOIMA-KYENJOJO-24h'!I27,'31.10 HOIMA-KYENJOJO'!I27)</f>
        <v>0.5714285714285714</v>
      </c>
      <c r="J27" s="49">
        <f>AVERAGE('25.10 HOIMA-KYENJOJO'!J27,'27.10 HOIMA-KYENJOJO'!J27,'29.10 HOIMA-KYENJOJO'!J27,'30.10 HOIMA-KYENJOJO'!J27,'26.10 HOIMA-KYENJOJO-24h'!J27,'28.10 HOIMA-KYENJOJO-24h'!J27,'31.10 HOIMA-KYENJOJO'!J27)</f>
        <v>1.4285714285714286</v>
      </c>
      <c r="K27" s="49">
        <f>AVERAGE('25.10 HOIMA-KYENJOJO'!K27,'27.10 HOIMA-KYENJOJO'!K27,'29.10 HOIMA-KYENJOJO'!K27,'30.10 HOIMA-KYENJOJO'!K27,'26.10 HOIMA-KYENJOJO-24h'!K27,'28.10 HOIMA-KYENJOJO-24h'!K27,'31.10 HOIMA-KYENJOJO'!K27)</f>
        <v>0.2857142857142857</v>
      </c>
      <c r="L27" s="49">
        <f>AVERAGE('25.10 HOIMA-KYENJOJO'!L27,'27.10 HOIMA-KYENJOJO'!L27,'29.10 HOIMA-KYENJOJO'!L27,'30.10 HOIMA-KYENJOJO'!L27,'26.10 HOIMA-KYENJOJO-24h'!L27,'28.10 HOIMA-KYENJOJO-24h'!L27,'31.10 HOIMA-KYENJOJO'!L27)</f>
        <v>0.14285714285714285</v>
      </c>
      <c r="M27" s="49">
        <f>AVERAGE('25.10 HOIMA-KYENJOJO'!M27,'27.10 HOIMA-KYENJOJO'!M27,'29.10 HOIMA-KYENJOJO'!M27,'30.10 HOIMA-KYENJOJO'!M27,'26.10 HOIMA-KYENJOJO-24h'!M27,'28.10 HOIMA-KYENJOJO-24h'!M27,'31.10 HOIMA-KYENJOJO'!M27)</f>
        <v>34.428571428571431</v>
      </c>
      <c r="N27" s="49">
        <f>AVERAGE('25.10 HOIMA-KYENJOJO'!N27,'27.10 HOIMA-KYENJOJO'!N27,'29.10 HOIMA-KYENJOJO'!N27,'30.10 HOIMA-KYENJOJO'!N27,'26.10 HOIMA-KYENJOJO-24h'!N27,'28.10 HOIMA-KYENJOJO-24h'!N27,'31.10 HOIMA-KYENJOJO'!N27)</f>
        <v>0</v>
      </c>
      <c r="O27" s="15">
        <f t="shared" si="0"/>
        <v>10.142857142857144</v>
      </c>
      <c r="P27" s="15">
        <f t="shared" si="1"/>
        <v>44.571428571428577</v>
      </c>
      <c r="R27" s="1" t="s">
        <v>151</v>
      </c>
      <c r="S27" s="34">
        <f>SUM(C78:C81)</f>
        <v>1.5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0.5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9.5</v>
      </c>
      <c r="AD27" s="34">
        <f t="shared" si="19"/>
        <v>0</v>
      </c>
      <c r="AE27" s="31">
        <f t="shared" si="19"/>
        <v>2</v>
      </c>
      <c r="AF27" s="31">
        <f t="shared" si="19"/>
        <v>11.5</v>
      </c>
    </row>
    <row r="28" spans="2:32" ht="23.1" customHeight="1" x14ac:dyDescent="0.25">
      <c r="B28" s="23" t="s">
        <v>55</v>
      </c>
      <c r="C28" s="49">
        <f>AVERAGE('25.10 HOIMA-KYENJOJO'!C28,'27.10 HOIMA-KYENJOJO'!C28,'29.10 HOIMA-KYENJOJO'!C28,'30.10 HOIMA-KYENJOJO'!C28,'26.10 HOIMA-KYENJOJO-24h'!C28,'28.10 HOIMA-KYENJOJO-24h'!C28,'31.10 HOIMA-KYENJOJO'!C28)</f>
        <v>6.4285714285714288</v>
      </c>
      <c r="D28" s="49">
        <f>AVERAGE('25.10 HOIMA-KYENJOJO'!D28,'27.10 HOIMA-KYENJOJO'!D28,'29.10 HOIMA-KYENJOJO'!D28,'30.10 HOIMA-KYENJOJO'!D28,'26.10 HOIMA-KYENJOJO-24h'!D28,'28.10 HOIMA-KYENJOJO-24h'!D28,'31.10 HOIMA-KYENJOJO'!D28)</f>
        <v>0.42857142857142855</v>
      </c>
      <c r="E28" s="49">
        <f>AVERAGE('25.10 HOIMA-KYENJOJO'!E28,'27.10 HOIMA-KYENJOJO'!E28,'29.10 HOIMA-KYENJOJO'!E28,'30.10 HOIMA-KYENJOJO'!E28,'26.10 HOIMA-KYENJOJO-24h'!E28,'28.10 HOIMA-KYENJOJO-24h'!E28,'31.10 HOIMA-KYENJOJO'!E28)</f>
        <v>1.1428571428571428</v>
      </c>
      <c r="F28" s="49">
        <f>AVERAGE('25.10 HOIMA-KYENJOJO'!F28,'27.10 HOIMA-KYENJOJO'!F28,'29.10 HOIMA-KYENJOJO'!F28,'30.10 HOIMA-KYENJOJO'!F28,'26.10 HOIMA-KYENJOJO-24h'!F28,'28.10 HOIMA-KYENJOJO-24h'!F28,'31.10 HOIMA-KYENJOJO'!F28)</f>
        <v>0.7142857142857143</v>
      </c>
      <c r="G28" s="49">
        <f>AVERAGE('25.10 HOIMA-KYENJOJO'!G28,'27.10 HOIMA-KYENJOJO'!G28,'29.10 HOIMA-KYENJOJO'!G28,'30.10 HOIMA-KYENJOJO'!G28,'26.10 HOIMA-KYENJOJO-24h'!G28,'28.10 HOIMA-KYENJOJO-24h'!G28,'31.10 HOIMA-KYENJOJO'!G28)</f>
        <v>0</v>
      </c>
      <c r="H28" s="49">
        <f>AVERAGE('25.10 HOIMA-KYENJOJO'!H28,'27.10 HOIMA-KYENJOJO'!H28,'29.10 HOIMA-KYENJOJO'!H28,'30.10 HOIMA-KYENJOJO'!H28,'26.10 HOIMA-KYENJOJO-24h'!H28,'28.10 HOIMA-KYENJOJO-24h'!H28,'31.10 HOIMA-KYENJOJO'!H28)</f>
        <v>0</v>
      </c>
      <c r="I28" s="49">
        <f>AVERAGE('25.10 HOIMA-KYENJOJO'!I28,'27.10 HOIMA-KYENJOJO'!I28,'29.10 HOIMA-KYENJOJO'!I28,'30.10 HOIMA-KYENJOJO'!I28,'26.10 HOIMA-KYENJOJO-24h'!I28,'28.10 HOIMA-KYENJOJO-24h'!I28,'31.10 HOIMA-KYENJOJO'!I28)</f>
        <v>1.2857142857142858</v>
      </c>
      <c r="J28" s="49">
        <f>AVERAGE('25.10 HOIMA-KYENJOJO'!J28,'27.10 HOIMA-KYENJOJO'!J28,'29.10 HOIMA-KYENJOJO'!J28,'30.10 HOIMA-KYENJOJO'!J28,'26.10 HOIMA-KYENJOJO-24h'!J28,'28.10 HOIMA-KYENJOJO-24h'!J28,'31.10 HOIMA-KYENJOJO'!J28)</f>
        <v>0.7142857142857143</v>
      </c>
      <c r="K28" s="49">
        <f>AVERAGE('25.10 HOIMA-KYENJOJO'!K28,'27.10 HOIMA-KYENJOJO'!K28,'29.10 HOIMA-KYENJOJO'!K28,'30.10 HOIMA-KYENJOJO'!K28,'26.10 HOIMA-KYENJOJO-24h'!K28,'28.10 HOIMA-KYENJOJO-24h'!K28,'31.10 HOIMA-KYENJOJO'!K28)</f>
        <v>0</v>
      </c>
      <c r="L28" s="49">
        <f>AVERAGE('25.10 HOIMA-KYENJOJO'!L28,'27.10 HOIMA-KYENJOJO'!L28,'29.10 HOIMA-KYENJOJO'!L28,'30.10 HOIMA-KYENJOJO'!L28,'26.10 HOIMA-KYENJOJO-24h'!L28,'28.10 HOIMA-KYENJOJO-24h'!L28,'31.10 HOIMA-KYENJOJO'!L28)</f>
        <v>0</v>
      </c>
      <c r="M28" s="49">
        <f>AVERAGE('25.10 HOIMA-KYENJOJO'!M28,'27.10 HOIMA-KYENJOJO'!M28,'29.10 HOIMA-KYENJOJO'!M28,'30.10 HOIMA-KYENJOJO'!M28,'26.10 HOIMA-KYENJOJO-24h'!M28,'28.10 HOIMA-KYENJOJO-24h'!M28,'31.10 HOIMA-KYENJOJO'!M28)</f>
        <v>34.285714285714285</v>
      </c>
      <c r="N28" s="49">
        <f>AVERAGE('25.10 HOIMA-KYENJOJO'!N28,'27.10 HOIMA-KYENJOJO'!N28,'29.10 HOIMA-KYENJOJO'!N28,'30.10 HOIMA-KYENJOJO'!N28,'26.10 HOIMA-KYENJOJO-24h'!N28,'28.10 HOIMA-KYENJOJO-24h'!N28,'31.10 HOIMA-KYENJOJO'!N28)</f>
        <v>0.14285714285714285</v>
      </c>
      <c r="O28" s="15">
        <f t="shared" si="0"/>
        <v>10.857142857142856</v>
      </c>
      <c r="P28" s="15">
        <f t="shared" si="1"/>
        <v>45.142857142857146</v>
      </c>
      <c r="R28" s="1" t="s">
        <v>152</v>
      </c>
      <c r="S28" s="34">
        <f>SUM(C82:C85)</f>
        <v>0.5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0.5</v>
      </c>
      <c r="AB28" s="34">
        <f t="shared" si="20"/>
        <v>0</v>
      </c>
      <c r="AC28" s="34">
        <f t="shared" si="20"/>
        <v>5.5</v>
      </c>
      <c r="AD28" s="34">
        <f t="shared" si="20"/>
        <v>0</v>
      </c>
      <c r="AE28" s="31">
        <f t="shared" si="20"/>
        <v>1</v>
      </c>
      <c r="AF28" s="31">
        <f t="shared" si="20"/>
        <v>6.5</v>
      </c>
    </row>
    <row r="29" spans="2:32" ht="23.1" customHeight="1" x14ac:dyDescent="0.25">
      <c r="B29" s="23" t="s">
        <v>56</v>
      </c>
      <c r="C29" s="49">
        <f>AVERAGE('25.10 HOIMA-KYENJOJO'!C29,'27.10 HOIMA-KYENJOJO'!C29,'29.10 HOIMA-KYENJOJO'!C29,'30.10 HOIMA-KYENJOJO'!C29,'26.10 HOIMA-KYENJOJO-24h'!C29,'28.10 HOIMA-KYENJOJO-24h'!C29,'31.10 HOIMA-KYENJOJO'!C29)</f>
        <v>4.1428571428571432</v>
      </c>
      <c r="D29" s="49">
        <f>AVERAGE('25.10 HOIMA-KYENJOJO'!D29,'27.10 HOIMA-KYENJOJO'!D29,'29.10 HOIMA-KYENJOJO'!D29,'30.10 HOIMA-KYENJOJO'!D29,'26.10 HOIMA-KYENJOJO-24h'!D29,'28.10 HOIMA-KYENJOJO-24h'!D29,'31.10 HOIMA-KYENJOJO'!D29)</f>
        <v>0.42857142857142855</v>
      </c>
      <c r="E29" s="49">
        <f>AVERAGE('25.10 HOIMA-KYENJOJO'!E29,'27.10 HOIMA-KYENJOJO'!E29,'29.10 HOIMA-KYENJOJO'!E29,'30.10 HOIMA-KYENJOJO'!E29,'26.10 HOIMA-KYENJOJO-24h'!E29,'28.10 HOIMA-KYENJOJO-24h'!E29,'31.10 HOIMA-KYENJOJO'!E29)</f>
        <v>1</v>
      </c>
      <c r="F29" s="49">
        <f>AVERAGE('25.10 HOIMA-KYENJOJO'!F29,'27.10 HOIMA-KYENJOJO'!F29,'29.10 HOIMA-KYENJOJO'!F29,'30.10 HOIMA-KYENJOJO'!F29,'26.10 HOIMA-KYENJOJO-24h'!F29,'28.10 HOIMA-KYENJOJO-24h'!F29,'31.10 HOIMA-KYENJOJO'!F29)</f>
        <v>0.42857142857142855</v>
      </c>
      <c r="G29" s="49">
        <f>AVERAGE('25.10 HOIMA-KYENJOJO'!G29,'27.10 HOIMA-KYENJOJO'!G29,'29.10 HOIMA-KYENJOJO'!G29,'30.10 HOIMA-KYENJOJO'!G29,'26.10 HOIMA-KYENJOJO-24h'!G29,'28.10 HOIMA-KYENJOJO-24h'!G29,'31.10 HOIMA-KYENJOJO'!G29)</f>
        <v>0</v>
      </c>
      <c r="H29" s="49">
        <f>AVERAGE('25.10 HOIMA-KYENJOJO'!H29,'27.10 HOIMA-KYENJOJO'!H29,'29.10 HOIMA-KYENJOJO'!H29,'30.10 HOIMA-KYENJOJO'!H29,'26.10 HOIMA-KYENJOJO-24h'!H29,'28.10 HOIMA-KYENJOJO-24h'!H29,'31.10 HOIMA-KYENJOJO'!H29)</f>
        <v>0.14285714285714285</v>
      </c>
      <c r="I29" s="49">
        <f>AVERAGE('25.10 HOIMA-KYENJOJO'!I29,'27.10 HOIMA-KYENJOJO'!I29,'29.10 HOIMA-KYENJOJO'!I29,'30.10 HOIMA-KYENJOJO'!I29,'26.10 HOIMA-KYENJOJO-24h'!I29,'28.10 HOIMA-KYENJOJO-24h'!I29,'31.10 HOIMA-KYENJOJO'!I29)</f>
        <v>0.7142857142857143</v>
      </c>
      <c r="J29" s="49">
        <f>AVERAGE('25.10 HOIMA-KYENJOJO'!J29,'27.10 HOIMA-KYENJOJO'!J29,'29.10 HOIMA-KYENJOJO'!J29,'30.10 HOIMA-KYENJOJO'!J29,'26.10 HOIMA-KYENJOJO-24h'!J29,'28.10 HOIMA-KYENJOJO-24h'!J29,'31.10 HOIMA-KYENJOJO'!J29)</f>
        <v>0.2857142857142857</v>
      </c>
      <c r="K29" s="49">
        <f>AVERAGE('25.10 HOIMA-KYENJOJO'!K29,'27.10 HOIMA-KYENJOJO'!K29,'29.10 HOIMA-KYENJOJO'!K29,'30.10 HOIMA-KYENJOJO'!K29,'26.10 HOIMA-KYENJOJO-24h'!K29,'28.10 HOIMA-KYENJOJO-24h'!K29,'31.10 HOIMA-KYENJOJO'!K29)</f>
        <v>0.14285714285714285</v>
      </c>
      <c r="L29" s="49">
        <f>AVERAGE('25.10 HOIMA-KYENJOJO'!L29,'27.10 HOIMA-KYENJOJO'!L29,'29.10 HOIMA-KYENJOJO'!L29,'30.10 HOIMA-KYENJOJO'!L29,'26.10 HOIMA-KYENJOJO-24h'!L29,'28.10 HOIMA-KYENJOJO-24h'!L29,'31.10 HOIMA-KYENJOJO'!L29)</f>
        <v>0</v>
      </c>
      <c r="M29" s="49">
        <f>AVERAGE('25.10 HOIMA-KYENJOJO'!M29,'27.10 HOIMA-KYENJOJO'!M29,'29.10 HOIMA-KYENJOJO'!M29,'30.10 HOIMA-KYENJOJO'!M29,'26.10 HOIMA-KYENJOJO-24h'!M29,'28.10 HOIMA-KYENJOJO-24h'!M29,'31.10 HOIMA-KYENJOJO'!M29)</f>
        <v>35.857142857142854</v>
      </c>
      <c r="N29" s="49">
        <f>AVERAGE('25.10 HOIMA-KYENJOJO'!N29,'27.10 HOIMA-KYENJOJO'!N29,'29.10 HOIMA-KYENJOJO'!N29,'30.10 HOIMA-KYENJOJO'!N29,'26.10 HOIMA-KYENJOJO-24h'!N29,'28.10 HOIMA-KYENJOJO-24h'!N29,'31.10 HOIMA-KYENJOJO'!N29)</f>
        <v>0.14285714285714285</v>
      </c>
      <c r="O29" s="15">
        <f t="shared" si="0"/>
        <v>7.4285714285714306</v>
      </c>
      <c r="P29" s="15">
        <f t="shared" si="1"/>
        <v>43.285714285714285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2.5</v>
      </c>
      <c r="AD29" s="34">
        <f t="shared" si="21"/>
        <v>0</v>
      </c>
      <c r="AE29" s="31">
        <f t="shared" si="21"/>
        <v>0</v>
      </c>
      <c r="AF29" s="31">
        <f t="shared" si="21"/>
        <v>2.5</v>
      </c>
    </row>
    <row r="30" spans="2:32" ht="23.1" customHeight="1" x14ac:dyDescent="0.25">
      <c r="B30" s="23" t="s">
        <v>57</v>
      </c>
      <c r="C30" s="49">
        <f>AVERAGE('25.10 HOIMA-KYENJOJO'!C30,'27.10 HOIMA-KYENJOJO'!C30,'29.10 HOIMA-KYENJOJO'!C30,'30.10 HOIMA-KYENJOJO'!C30,'26.10 HOIMA-KYENJOJO-24h'!C30,'28.10 HOIMA-KYENJOJO-24h'!C30,'31.10 HOIMA-KYENJOJO'!C30)</f>
        <v>5.1428571428571432</v>
      </c>
      <c r="D30" s="49">
        <f>AVERAGE('25.10 HOIMA-KYENJOJO'!D30,'27.10 HOIMA-KYENJOJO'!D30,'29.10 HOIMA-KYENJOJO'!D30,'30.10 HOIMA-KYENJOJO'!D30,'26.10 HOIMA-KYENJOJO-24h'!D30,'28.10 HOIMA-KYENJOJO-24h'!D30,'31.10 HOIMA-KYENJOJO'!D30)</f>
        <v>0.7142857142857143</v>
      </c>
      <c r="E30" s="49">
        <f>AVERAGE('25.10 HOIMA-KYENJOJO'!E30,'27.10 HOIMA-KYENJOJO'!E30,'29.10 HOIMA-KYENJOJO'!E30,'30.10 HOIMA-KYENJOJO'!E30,'26.10 HOIMA-KYENJOJO-24h'!E30,'28.10 HOIMA-KYENJOJO-24h'!E30,'31.10 HOIMA-KYENJOJO'!E30)</f>
        <v>1</v>
      </c>
      <c r="F30" s="49">
        <f>AVERAGE('25.10 HOIMA-KYENJOJO'!F30,'27.10 HOIMA-KYENJOJO'!F30,'29.10 HOIMA-KYENJOJO'!F30,'30.10 HOIMA-KYENJOJO'!F30,'26.10 HOIMA-KYENJOJO-24h'!F30,'28.10 HOIMA-KYENJOJO-24h'!F30,'31.10 HOIMA-KYENJOJO'!F30)</f>
        <v>0.8571428571428571</v>
      </c>
      <c r="G30" s="49">
        <f>AVERAGE('25.10 HOIMA-KYENJOJO'!G30,'27.10 HOIMA-KYENJOJO'!G30,'29.10 HOIMA-KYENJOJO'!G30,'30.10 HOIMA-KYENJOJO'!G30,'26.10 HOIMA-KYENJOJO-24h'!G30,'28.10 HOIMA-KYENJOJO-24h'!G30,'31.10 HOIMA-KYENJOJO'!G30)</f>
        <v>0</v>
      </c>
      <c r="H30" s="49">
        <f>AVERAGE('25.10 HOIMA-KYENJOJO'!H30,'27.10 HOIMA-KYENJOJO'!H30,'29.10 HOIMA-KYENJOJO'!H30,'30.10 HOIMA-KYENJOJO'!H30,'26.10 HOIMA-KYENJOJO-24h'!H30,'28.10 HOIMA-KYENJOJO-24h'!H30,'31.10 HOIMA-KYENJOJO'!H30)</f>
        <v>0</v>
      </c>
      <c r="I30" s="49">
        <f>AVERAGE('25.10 HOIMA-KYENJOJO'!I30,'27.10 HOIMA-KYENJOJO'!I30,'29.10 HOIMA-KYENJOJO'!I30,'30.10 HOIMA-KYENJOJO'!I30,'26.10 HOIMA-KYENJOJO-24h'!I30,'28.10 HOIMA-KYENJOJO-24h'!I30,'31.10 HOIMA-KYENJOJO'!I30)</f>
        <v>1</v>
      </c>
      <c r="J30" s="49">
        <f>AVERAGE('25.10 HOIMA-KYENJOJO'!J30,'27.10 HOIMA-KYENJOJO'!J30,'29.10 HOIMA-KYENJOJO'!J30,'30.10 HOIMA-KYENJOJO'!J30,'26.10 HOIMA-KYENJOJO-24h'!J30,'28.10 HOIMA-KYENJOJO-24h'!J30,'31.10 HOIMA-KYENJOJO'!J30)</f>
        <v>0.2857142857142857</v>
      </c>
      <c r="K30" s="49">
        <f>AVERAGE('25.10 HOIMA-KYENJOJO'!K30,'27.10 HOIMA-KYENJOJO'!K30,'29.10 HOIMA-KYENJOJO'!K30,'30.10 HOIMA-KYENJOJO'!K30,'26.10 HOIMA-KYENJOJO-24h'!K30,'28.10 HOIMA-KYENJOJO-24h'!K30,'31.10 HOIMA-KYENJOJO'!K30)</f>
        <v>0</v>
      </c>
      <c r="L30" s="49">
        <f>AVERAGE('25.10 HOIMA-KYENJOJO'!L30,'27.10 HOIMA-KYENJOJO'!L30,'29.10 HOIMA-KYENJOJO'!L30,'30.10 HOIMA-KYENJOJO'!L30,'26.10 HOIMA-KYENJOJO-24h'!L30,'28.10 HOIMA-KYENJOJO-24h'!L30,'31.10 HOIMA-KYENJOJO'!L30)</f>
        <v>0</v>
      </c>
      <c r="M30" s="49">
        <f>AVERAGE('25.10 HOIMA-KYENJOJO'!M30,'27.10 HOIMA-KYENJOJO'!M30,'29.10 HOIMA-KYENJOJO'!M30,'30.10 HOIMA-KYENJOJO'!M30,'26.10 HOIMA-KYENJOJO-24h'!M30,'28.10 HOIMA-KYENJOJO-24h'!M30,'31.10 HOIMA-KYENJOJO'!M30)</f>
        <v>37.285714285714285</v>
      </c>
      <c r="N30" s="49">
        <f>AVERAGE('25.10 HOIMA-KYENJOJO'!N30,'27.10 HOIMA-KYENJOJO'!N30,'29.10 HOIMA-KYENJOJO'!N30,'30.10 HOIMA-KYENJOJO'!N30,'26.10 HOIMA-KYENJOJO-24h'!N30,'28.10 HOIMA-KYENJOJO-24h'!N30,'31.10 HOIMA-KYENJOJO'!N30)</f>
        <v>0.14285714285714285</v>
      </c>
      <c r="O30" s="15">
        <f t="shared" si="0"/>
        <v>9.1428571428571441</v>
      </c>
      <c r="P30" s="15">
        <f t="shared" si="1"/>
        <v>46.428571428571431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0.5</v>
      </c>
      <c r="AF30" s="31">
        <f t="shared" si="22"/>
        <v>1.5</v>
      </c>
    </row>
    <row r="31" spans="2:32" ht="23.1" customHeight="1" x14ac:dyDescent="0.25">
      <c r="B31" s="24" t="s">
        <v>58</v>
      </c>
      <c r="C31" s="49">
        <f>AVERAGE('25.10 HOIMA-KYENJOJO'!C31,'27.10 HOIMA-KYENJOJO'!C31,'29.10 HOIMA-KYENJOJO'!C31,'30.10 HOIMA-KYENJOJO'!C31,'26.10 HOIMA-KYENJOJO-24h'!C31,'28.10 HOIMA-KYENJOJO-24h'!C31,'31.10 HOIMA-KYENJOJO'!C31)</f>
        <v>6.7142857142857144</v>
      </c>
      <c r="D31" s="49">
        <f>AVERAGE('25.10 HOIMA-KYENJOJO'!D31,'27.10 HOIMA-KYENJOJO'!D31,'29.10 HOIMA-KYENJOJO'!D31,'30.10 HOIMA-KYENJOJO'!D31,'26.10 HOIMA-KYENJOJO-24h'!D31,'28.10 HOIMA-KYENJOJO-24h'!D31,'31.10 HOIMA-KYENJOJO'!D31)</f>
        <v>0.42857142857142855</v>
      </c>
      <c r="E31" s="49">
        <f>AVERAGE('25.10 HOIMA-KYENJOJO'!E31,'27.10 HOIMA-KYENJOJO'!E31,'29.10 HOIMA-KYENJOJO'!E31,'30.10 HOIMA-KYENJOJO'!E31,'26.10 HOIMA-KYENJOJO-24h'!E31,'28.10 HOIMA-KYENJOJO-24h'!E31,'31.10 HOIMA-KYENJOJO'!E31)</f>
        <v>0.7142857142857143</v>
      </c>
      <c r="F31" s="49">
        <f>AVERAGE('25.10 HOIMA-KYENJOJO'!F31,'27.10 HOIMA-KYENJOJO'!F31,'29.10 HOIMA-KYENJOJO'!F31,'30.10 HOIMA-KYENJOJO'!F31,'26.10 HOIMA-KYENJOJO-24h'!F31,'28.10 HOIMA-KYENJOJO-24h'!F31,'31.10 HOIMA-KYENJOJO'!F31)</f>
        <v>0.7142857142857143</v>
      </c>
      <c r="G31" s="49">
        <f>AVERAGE('25.10 HOIMA-KYENJOJO'!G31,'27.10 HOIMA-KYENJOJO'!G31,'29.10 HOIMA-KYENJOJO'!G31,'30.10 HOIMA-KYENJOJO'!G31,'26.10 HOIMA-KYENJOJO-24h'!G31,'28.10 HOIMA-KYENJOJO-24h'!G31,'31.10 HOIMA-KYENJOJO'!G31)</f>
        <v>0</v>
      </c>
      <c r="H31" s="49">
        <f>AVERAGE('25.10 HOIMA-KYENJOJO'!H31,'27.10 HOIMA-KYENJOJO'!H31,'29.10 HOIMA-KYENJOJO'!H31,'30.10 HOIMA-KYENJOJO'!H31,'26.10 HOIMA-KYENJOJO-24h'!H31,'28.10 HOIMA-KYENJOJO-24h'!H31,'31.10 HOIMA-KYENJOJO'!H31)</f>
        <v>0</v>
      </c>
      <c r="I31" s="49">
        <f>AVERAGE('25.10 HOIMA-KYENJOJO'!I31,'27.10 HOIMA-KYENJOJO'!I31,'29.10 HOIMA-KYENJOJO'!I31,'30.10 HOIMA-KYENJOJO'!I31,'26.10 HOIMA-KYENJOJO-24h'!I31,'28.10 HOIMA-KYENJOJO-24h'!I31,'31.10 HOIMA-KYENJOJO'!I31)</f>
        <v>0.14285714285714285</v>
      </c>
      <c r="J31" s="49">
        <f>AVERAGE('25.10 HOIMA-KYENJOJO'!J31,'27.10 HOIMA-KYENJOJO'!J31,'29.10 HOIMA-KYENJOJO'!J31,'30.10 HOIMA-KYENJOJO'!J31,'26.10 HOIMA-KYENJOJO-24h'!J31,'28.10 HOIMA-KYENJOJO-24h'!J31,'31.10 HOIMA-KYENJOJO'!J31)</f>
        <v>0.42857142857142855</v>
      </c>
      <c r="K31" s="49">
        <f>AVERAGE('25.10 HOIMA-KYENJOJO'!K31,'27.10 HOIMA-KYENJOJO'!K31,'29.10 HOIMA-KYENJOJO'!K31,'30.10 HOIMA-KYENJOJO'!K31,'26.10 HOIMA-KYENJOJO-24h'!K31,'28.10 HOIMA-KYENJOJO-24h'!K31,'31.10 HOIMA-KYENJOJO'!K31)</f>
        <v>0.14285714285714285</v>
      </c>
      <c r="L31" s="49">
        <f>AVERAGE('25.10 HOIMA-KYENJOJO'!L31,'27.10 HOIMA-KYENJOJO'!L31,'29.10 HOIMA-KYENJOJO'!L31,'30.10 HOIMA-KYENJOJO'!L31,'26.10 HOIMA-KYENJOJO-24h'!L31,'28.10 HOIMA-KYENJOJO-24h'!L31,'31.10 HOIMA-KYENJOJO'!L31)</f>
        <v>0</v>
      </c>
      <c r="M31" s="49">
        <f>AVERAGE('25.10 HOIMA-KYENJOJO'!M31,'27.10 HOIMA-KYENJOJO'!M31,'29.10 HOIMA-KYENJOJO'!M31,'30.10 HOIMA-KYENJOJO'!M31,'26.10 HOIMA-KYENJOJO-24h'!M31,'28.10 HOIMA-KYENJOJO-24h'!M31,'31.10 HOIMA-KYENJOJO'!M31)</f>
        <v>33.428571428571431</v>
      </c>
      <c r="N31" s="49">
        <f>AVERAGE('25.10 HOIMA-KYENJOJO'!N31,'27.10 HOIMA-KYENJOJO'!N31,'29.10 HOIMA-KYENJOJO'!N31,'30.10 HOIMA-KYENJOJO'!N31,'26.10 HOIMA-KYENJOJO-24h'!N31,'28.10 HOIMA-KYENJOJO-24h'!N31,'31.10 HOIMA-KYENJOJO'!N31)</f>
        <v>0</v>
      </c>
      <c r="O31" s="15">
        <f t="shared" si="0"/>
        <v>9.2857142857142847</v>
      </c>
      <c r="P31" s="15">
        <f t="shared" si="1"/>
        <v>42.714285714285715</v>
      </c>
      <c r="R31" s="1" t="s">
        <v>155</v>
      </c>
      <c r="S31" s="34">
        <f>SUM(C94:C97)</f>
        <v>1</v>
      </c>
      <c r="T31" s="34">
        <f t="shared" ref="T31:AF31" si="23">SUM(D94:D97)</f>
        <v>0.5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0.5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0.5</v>
      </c>
      <c r="AD31" s="34">
        <f t="shared" si="23"/>
        <v>0</v>
      </c>
      <c r="AE31" s="31">
        <f t="shared" si="23"/>
        <v>2</v>
      </c>
      <c r="AF31" s="31">
        <f t="shared" si="23"/>
        <v>2.5</v>
      </c>
    </row>
    <row r="32" spans="2:32" ht="23.1" customHeight="1" x14ac:dyDescent="0.25">
      <c r="B32" s="24" t="s">
        <v>59</v>
      </c>
      <c r="C32" s="49">
        <f>AVERAGE('25.10 HOIMA-KYENJOJO'!C32,'27.10 HOIMA-KYENJOJO'!C32,'29.10 HOIMA-KYENJOJO'!C32,'30.10 HOIMA-KYENJOJO'!C32,'26.10 HOIMA-KYENJOJO-24h'!C32,'28.10 HOIMA-KYENJOJO-24h'!C32,'31.10 HOIMA-KYENJOJO'!C32)</f>
        <v>5.2857142857142856</v>
      </c>
      <c r="D32" s="49">
        <f>AVERAGE('25.10 HOIMA-KYENJOJO'!D32,'27.10 HOIMA-KYENJOJO'!D32,'29.10 HOIMA-KYENJOJO'!D32,'30.10 HOIMA-KYENJOJO'!D32,'26.10 HOIMA-KYENJOJO-24h'!D32,'28.10 HOIMA-KYENJOJO-24h'!D32,'31.10 HOIMA-KYENJOJO'!D32)</f>
        <v>1</v>
      </c>
      <c r="E32" s="49">
        <f>AVERAGE('25.10 HOIMA-KYENJOJO'!E32,'27.10 HOIMA-KYENJOJO'!E32,'29.10 HOIMA-KYENJOJO'!E32,'30.10 HOIMA-KYENJOJO'!E32,'26.10 HOIMA-KYENJOJO-24h'!E32,'28.10 HOIMA-KYENJOJO-24h'!E32,'31.10 HOIMA-KYENJOJO'!E32)</f>
        <v>0.7142857142857143</v>
      </c>
      <c r="F32" s="49">
        <f>AVERAGE('25.10 HOIMA-KYENJOJO'!F32,'27.10 HOIMA-KYENJOJO'!F32,'29.10 HOIMA-KYENJOJO'!F32,'30.10 HOIMA-KYENJOJO'!F32,'26.10 HOIMA-KYENJOJO-24h'!F32,'28.10 HOIMA-KYENJOJO-24h'!F32,'31.10 HOIMA-KYENJOJO'!F32)</f>
        <v>0.42857142857142855</v>
      </c>
      <c r="G32" s="49">
        <f>AVERAGE('25.10 HOIMA-KYENJOJO'!G32,'27.10 HOIMA-KYENJOJO'!G32,'29.10 HOIMA-KYENJOJO'!G32,'30.10 HOIMA-KYENJOJO'!G32,'26.10 HOIMA-KYENJOJO-24h'!G32,'28.10 HOIMA-KYENJOJO-24h'!G32,'31.10 HOIMA-KYENJOJO'!G32)</f>
        <v>0</v>
      </c>
      <c r="H32" s="49">
        <f>AVERAGE('25.10 HOIMA-KYENJOJO'!H32,'27.10 HOIMA-KYENJOJO'!H32,'29.10 HOIMA-KYENJOJO'!H32,'30.10 HOIMA-KYENJOJO'!H32,'26.10 HOIMA-KYENJOJO-24h'!H32,'28.10 HOIMA-KYENJOJO-24h'!H32,'31.10 HOIMA-KYENJOJO'!H32)</f>
        <v>0.14285714285714285</v>
      </c>
      <c r="I32" s="49">
        <f>AVERAGE('25.10 HOIMA-KYENJOJO'!I32,'27.10 HOIMA-KYENJOJO'!I32,'29.10 HOIMA-KYENJOJO'!I32,'30.10 HOIMA-KYENJOJO'!I32,'26.10 HOIMA-KYENJOJO-24h'!I32,'28.10 HOIMA-KYENJOJO-24h'!I32,'31.10 HOIMA-KYENJOJO'!I32)</f>
        <v>0.42857142857142855</v>
      </c>
      <c r="J32" s="49">
        <f>AVERAGE('25.10 HOIMA-KYENJOJO'!J32,'27.10 HOIMA-KYENJOJO'!J32,'29.10 HOIMA-KYENJOJO'!J32,'30.10 HOIMA-KYENJOJO'!J32,'26.10 HOIMA-KYENJOJO-24h'!J32,'28.10 HOIMA-KYENJOJO-24h'!J32,'31.10 HOIMA-KYENJOJO'!J32)</f>
        <v>0.14285714285714285</v>
      </c>
      <c r="K32" s="49">
        <f>AVERAGE('25.10 HOIMA-KYENJOJO'!K32,'27.10 HOIMA-KYENJOJO'!K32,'29.10 HOIMA-KYENJOJO'!K32,'30.10 HOIMA-KYENJOJO'!K32,'26.10 HOIMA-KYENJOJO-24h'!K32,'28.10 HOIMA-KYENJOJO-24h'!K32,'31.10 HOIMA-KYENJOJO'!K32)</f>
        <v>0.42857142857142855</v>
      </c>
      <c r="L32" s="49">
        <f>AVERAGE('25.10 HOIMA-KYENJOJO'!L32,'27.10 HOIMA-KYENJOJO'!L32,'29.10 HOIMA-KYENJOJO'!L32,'30.10 HOIMA-KYENJOJO'!L32,'26.10 HOIMA-KYENJOJO-24h'!L32,'28.10 HOIMA-KYENJOJO-24h'!L32,'31.10 HOIMA-KYENJOJO'!L32)</f>
        <v>0</v>
      </c>
      <c r="M32" s="49">
        <f>AVERAGE('25.10 HOIMA-KYENJOJO'!M32,'27.10 HOIMA-KYENJOJO'!M32,'29.10 HOIMA-KYENJOJO'!M32,'30.10 HOIMA-KYENJOJO'!M32,'26.10 HOIMA-KYENJOJO-24h'!M32,'28.10 HOIMA-KYENJOJO-24h'!M32,'31.10 HOIMA-KYENJOJO'!M32)</f>
        <v>38</v>
      </c>
      <c r="N32" s="49">
        <f>AVERAGE('25.10 HOIMA-KYENJOJO'!N32,'27.10 HOIMA-KYENJOJO'!N32,'29.10 HOIMA-KYENJOJO'!N32,'30.10 HOIMA-KYENJOJO'!N32,'26.10 HOIMA-KYENJOJO-24h'!N32,'28.10 HOIMA-KYENJOJO-24h'!N32,'31.10 HOIMA-KYENJOJO'!N32)</f>
        <v>0</v>
      </c>
      <c r="O32" s="15">
        <f t="shared" si="0"/>
        <v>8.5714285714285712</v>
      </c>
      <c r="P32" s="15">
        <f t="shared" si="1"/>
        <v>46.571428571428569</v>
      </c>
      <c r="R32" s="1" t="s">
        <v>156</v>
      </c>
      <c r="S32" s="34">
        <f>SUM(C98:C101)</f>
        <v>2</v>
      </c>
      <c r="T32" s="34">
        <f t="shared" ref="T32:AF32" si="24">SUM(D98:D101)</f>
        <v>0.5</v>
      </c>
      <c r="U32" s="34">
        <f t="shared" si="24"/>
        <v>0.5</v>
      </c>
      <c r="V32" s="34">
        <f t="shared" si="24"/>
        <v>0.5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0.5</v>
      </c>
      <c r="AA32" s="34">
        <f t="shared" si="24"/>
        <v>1</v>
      </c>
      <c r="AB32" s="34">
        <f t="shared" si="24"/>
        <v>0</v>
      </c>
      <c r="AC32" s="34">
        <f t="shared" si="24"/>
        <v>5</v>
      </c>
      <c r="AD32" s="34">
        <f t="shared" si="24"/>
        <v>0</v>
      </c>
      <c r="AE32" s="31">
        <f t="shared" si="24"/>
        <v>5</v>
      </c>
      <c r="AF32" s="31">
        <f t="shared" si="24"/>
        <v>10</v>
      </c>
    </row>
    <row r="33" spans="2:32" ht="23.1" customHeight="1" x14ac:dyDescent="0.25">
      <c r="B33" s="23" t="s">
        <v>60</v>
      </c>
      <c r="C33" s="49">
        <f>AVERAGE('25.10 HOIMA-KYENJOJO'!C33,'27.10 HOIMA-KYENJOJO'!C33,'29.10 HOIMA-KYENJOJO'!C33,'30.10 HOIMA-KYENJOJO'!C33,'26.10 HOIMA-KYENJOJO-24h'!C33,'28.10 HOIMA-KYENJOJO-24h'!C33,'31.10 HOIMA-KYENJOJO'!C33)</f>
        <v>4.8571428571428568</v>
      </c>
      <c r="D33" s="49">
        <f>AVERAGE('25.10 HOIMA-KYENJOJO'!D33,'27.10 HOIMA-KYENJOJO'!D33,'29.10 HOIMA-KYENJOJO'!D33,'30.10 HOIMA-KYENJOJO'!D33,'26.10 HOIMA-KYENJOJO-24h'!D33,'28.10 HOIMA-KYENJOJO-24h'!D33,'31.10 HOIMA-KYENJOJO'!D33)</f>
        <v>1</v>
      </c>
      <c r="E33" s="49">
        <f>AVERAGE('25.10 HOIMA-KYENJOJO'!E33,'27.10 HOIMA-KYENJOJO'!E33,'29.10 HOIMA-KYENJOJO'!E33,'30.10 HOIMA-KYENJOJO'!E33,'26.10 HOIMA-KYENJOJO-24h'!E33,'28.10 HOIMA-KYENJOJO-24h'!E33,'31.10 HOIMA-KYENJOJO'!E33)</f>
        <v>1</v>
      </c>
      <c r="F33" s="49">
        <f>AVERAGE('25.10 HOIMA-KYENJOJO'!F33,'27.10 HOIMA-KYENJOJO'!F33,'29.10 HOIMA-KYENJOJO'!F33,'30.10 HOIMA-KYENJOJO'!F33,'26.10 HOIMA-KYENJOJO-24h'!F33,'28.10 HOIMA-KYENJOJO-24h'!F33,'31.10 HOIMA-KYENJOJO'!F33)</f>
        <v>1</v>
      </c>
      <c r="G33" s="49">
        <f>AVERAGE('25.10 HOIMA-KYENJOJO'!G33,'27.10 HOIMA-KYENJOJO'!G33,'29.10 HOIMA-KYENJOJO'!G33,'30.10 HOIMA-KYENJOJO'!G33,'26.10 HOIMA-KYENJOJO-24h'!G33,'28.10 HOIMA-KYENJOJO-24h'!G33,'31.10 HOIMA-KYENJOJO'!G33)</f>
        <v>0</v>
      </c>
      <c r="H33" s="49">
        <f>AVERAGE('25.10 HOIMA-KYENJOJO'!H33,'27.10 HOIMA-KYENJOJO'!H33,'29.10 HOIMA-KYENJOJO'!H33,'30.10 HOIMA-KYENJOJO'!H33,'26.10 HOIMA-KYENJOJO-24h'!H33,'28.10 HOIMA-KYENJOJO-24h'!H33,'31.10 HOIMA-KYENJOJO'!H33)</f>
        <v>0</v>
      </c>
      <c r="I33" s="49">
        <f>AVERAGE('25.10 HOIMA-KYENJOJO'!I33,'27.10 HOIMA-KYENJOJO'!I33,'29.10 HOIMA-KYENJOJO'!I33,'30.10 HOIMA-KYENJOJO'!I33,'26.10 HOIMA-KYENJOJO-24h'!I33,'28.10 HOIMA-KYENJOJO-24h'!I33,'31.10 HOIMA-KYENJOJO'!I33)</f>
        <v>0.42857142857142855</v>
      </c>
      <c r="J33" s="49">
        <f>AVERAGE('25.10 HOIMA-KYENJOJO'!J33,'27.10 HOIMA-KYENJOJO'!J33,'29.10 HOIMA-KYENJOJO'!J33,'30.10 HOIMA-KYENJOJO'!J33,'26.10 HOIMA-KYENJOJO-24h'!J33,'28.10 HOIMA-KYENJOJO-24h'!J33,'31.10 HOIMA-KYENJOJO'!J33)</f>
        <v>0.5714285714285714</v>
      </c>
      <c r="K33" s="49">
        <f>AVERAGE('25.10 HOIMA-KYENJOJO'!K33,'27.10 HOIMA-KYENJOJO'!K33,'29.10 HOIMA-KYENJOJO'!K33,'30.10 HOIMA-KYENJOJO'!K33,'26.10 HOIMA-KYENJOJO-24h'!K33,'28.10 HOIMA-KYENJOJO-24h'!K33,'31.10 HOIMA-KYENJOJO'!K33)</f>
        <v>0.14285714285714285</v>
      </c>
      <c r="L33" s="49">
        <f>AVERAGE('25.10 HOIMA-KYENJOJO'!L33,'27.10 HOIMA-KYENJOJO'!L33,'29.10 HOIMA-KYENJOJO'!L33,'30.10 HOIMA-KYENJOJO'!L33,'26.10 HOIMA-KYENJOJO-24h'!L33,'28.10 HOIMA-KYENJOJO-24h'!L33,'31.10 HOIMA-KYENJOJO'!L33)</f>
        <v>0</v>
      </c>
      <c r="M33" s="49">
        <f>AVERAGE('25.10 HOIMA-KYENJOJO'!M33,'27.10 HOIMA-KYENJOJO'!M33,'29.10 HOIMA-KYENJOJO'!M33,'30.10 HOIMA-KYENJOJO'!M33,'26.10 HOIMA-KYENJOJO-24h'!M33,'28.10 HOIMA-KYENJOJO-24h'!M33,'31.10 HOIMA-KYENJOJO'!M33)</f>
        <v>33.857142857142854</v>
      </c>
      <c r="N33" s="49">
        <f>AVERAGE('25.10 HOIMA-KYENJOJO'!N33,'27.10 HOIMA-KYENJOJO'!N33,'29.10 HOIMA-KYENJOJO'!N33,'30.10 HOIMA-KYENJOJO'!N33,'26.10 HOIMA-KYENJOJO-24h'!N33,'28.10 HOIMA-KYENJOJO-24h'!N33,'31.10 HOIMA-KYENJOJO'!N33)</f>
        <v>0</v>
      </c>
      <c r="O33" s="15">
        <f t="shared" si="0"/>
        <v>8.9999999999999982</v>
      </c>
      <c r="P33" s="15">
        <f t="shared" si="1"/>
        <v>42.857142857142854</v>
      </c>
      <c r="R33" s="1" t="s">
        <v>157</v>
      </c>
      <c r="S33" s="34">
        <f>SUM(C102:C105)</f>
        <v>6.5</v>
      </c>
      <c r="T33" s="34">
        <f t="shared" ref="T33:AF33" si="25">SUM(D102:D105)</f>
        <v>2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0.5</v>
      </c>
      <c r="AB33" s="34">
        <f t="shared" si="25"/>
        <v>0</v>
      </c>
      <c r="AC33" s="34">
        <f t="shared" si="25"/>
        <v>29.5</v>
      </c>
      <c r="AD33" s="34">
        <f t="shared" si="25"/>
        <v>0</v>
      </c>
      <c r="AE33" s="31">
        <f t="shared" si="25"/>
        <v>9</v>
      </c>
      <c r="AF33" s="31">
        <f t="shared" si="25"/>
        <v>38.5</v>
      </c>
    </row>
    <row r="34" spans="2:32" ht="23.1" customHeight="1" x14ac:dyDescent="0.25">
      <c r="B34" s="24" t="s">
        <v>61</v>
      </c>
      <c r="C34" s="49">
        <f>AVERAGE('25.10 HOIMA-KYENJOJO'!C34,'27.10 HOIMA-KYENJOJO'!C34,'29.10 HOIMA-KYENJOJO'!C34,'30.10 HOIMA-KYENJOJO'!C34,'26.10 HOIMA-KYENJOJO-24h'!C34,'28.10 HOIMA-KYENJOJO-24h'!C34,'31.10 HOIMA-KYENJOJO'!C34)</f>
        <v>3.8571428571428572</v>
      </c>
      <c r="D34" s="49">
        <f>AVERAGE('25.10 HOIMA-KYENJOJO'!D34,'27.10 HOIMA-KYENJOJO'!D34,'29.10 HOIMA-KYENJOJO'!D34,'30.10 HOIMA-KYENJOJO'!D34,'26.10 HOIMA-KYENJOJO-24h'!D34,'28.10 HOIMA-KYENJOJO-24h'!D34,'31.10 HOIMA-KYENJOJO'!D34)</f>
        <v>1</v>
      </c>
      <c r="E34" s="49">
        <f>AVERAGE('25.10 HOIMA-KYENJOJO'!E34,'27.10 HOIMA-KYENJOJO'!E34,'29.10 HOIMA-KYENJOJO'!E34,'30.10 HOIMA-KYENJOJO'!E34,'26.10 HOIMA-KYENJOJO-24h'!E34,'28.10 HOIMA-KYENJOJO-24h'!E34,'31.10 HOIMA-KYENJOJO'!E34)</f>
        <v>1.1428571428571428</v>
      </c>
      <c r="F34" s="49">
        <f>AVERAGE('25.10 HOIMA-KYENJOJO'!F34,'27.10 HOIMA-KYENJOJO'!F34,'29.10 HOIMA-KYENJOJO'!F34,'30.10 HOIMA-KYENJOJO'!F34,'26.10 HOIMA-KYENJOJO-24h'!F34,'28.10 HOIMA-KYENJOJO-24h'!F34,'31.10 HOIMA-KYENJOJO'!F34)</f>
        <v>1.1428571428571428</v>
      </c>
      <c r="G34" s="49">
        <f>AVERAGE('25.10 HOIMA-KYENJOJO'!G34,'27.10 HOIMA-KYENJOJO'!G34,'29.10 HOIMA-KYENJOJO'!G34,'30.10 HOIMA-KYENJOJO'!G34,'26.10 HOIMA-KYENJOJO-24h'!G34,'28.10 HOIMA-KYENJOJO-24h'!G34,'31.10 HOIMA-KYENJOJO'!G34)</f>
        <v>0</v>
      </c>
      <c r="H34" s="49">
        <f>AVERAGE('25.10 HOIMA-KYENJOJO'!H34,'27.10 HOIMA-KYENJOJO'!H34,'29.10 HOIMA-KYENJOJO'!H34,'30.10 HOIMA-KYENJOJO'!H34,'26.10 HOIMA-KYENJOJO-24h'!H34,'28.10 HOIMA-KYENJOJO-24h'!H34,'31.10 HOIMA-KYENJOJO'!H34)</f>
        <v>0</v>
      </c>
      <c r="I34" s="49">
        <f>AVERAGE('25.10 HOIMA-KYENJOJO'!I34,'27.10 HOIMA-KYENJOJO'!I34,'29.10 HOIMA-KYENJOJO'!I34,'30.10 HOIMA-KYENJOJO'!I34,'26.10 HOIMA-KYENJOJO-24h'!I34,'28.10 HOIMA-KYENJOJO-24h'!I34,'31.10 HOIMA-KYENJOJO'!I34)</f>
        <v>0.42857142857142855</v>
      </c>
      <c r="J34" s="49">
        <f>AVERAGE('25.10 HOIMA-KYENJOJO'!J34,'27.10 HOIMA-KYENJOJO'!J34,'29.10 HOIMA-KYENJOJO'!J34,'30.10 HOIMA-KYENJOJO'!J34,'26.10 HOIMA-KYENJOJO-24h'!J34,'28.10 HOIMA-KYENJOJO-24h'!J34,'31.10 HOIMA-KYENJOJO'!J34)</f>
        <v>1.4285714285714286</v>
      </c>
      <c r="K34" s="49">
        <f>AVERAGE('25.10 HOIMA-KYENJOJO'!K34,'27.10 HOIMA-KYENJOJO'!K34,'29.10 HOIMA-KYENJOJO'!K34,'30.10 HOIMA-KYENJOJO'!K34,'26.10 HOIMA-KYENJOJO-24h'!K34,'28.10 HOIMA-KYENJOJO-24h'!K34,'31.10 HOIMA-KYENJOJO'!K34)</f>
        <v>0.2857142857142857</v>
      </c>
      <c r="L34" s="49">
        <f>AVERAGE('25.10 HOIMA-KYENJOJO'!L34,'27.10 HOIMA-KYENJOJO'!L34,'29.10 HOIMA-KYENJOJO'!L34,'30.10 HOIMA-KYENJOJO'!L34,'26.10 HOIMA-KYENJOJO-24h'!L34,'28.10 HOIMA-KYENJOJO-24h'!L34,'31.10 HOIMA-KYENJOJO'!L34)</f>
        <v>0</v>
      </c>
      <c r="M34" s="49">
        <f>AVERAGE('25.10 HOIMA-KYENJOJO'!M34,'27.10 HOIMA-KYENJOJO'!M34,'29.10 HOIMA-KYENJOJO'!M34,'30.10 HOIMA-KYENJOJO'!M34,'26.10 HOIMA-KYENJOJO-24h'!M34,'28.10 HOIMA-KYENJOJO-24h'!M34,'31.10 HOIMA-KYENJOJO'!M34)</f>
        <v>30.714285714285715</v>
      </c>
      <c r="N34" s="49">
        <f>AVERAGE('25.10 HOIMA-KYENJOJO'!N34,'27.10 HOIMA-KYENJOJO'!N34,'29.10 HOIMA-KYENJOJO'!N34,'30.10 HOIMA-KYENJOJO'!N34,'26.10 HOIMA-KYENJOJO-24h'!N34,'28.10 HOIMA-KYENJOJO-24h'!N34,'31.10 HOIMA-KYENJOJO'!N34)</f>
        <v>0</v>
      </c>
      <c r="O34" s="15">
        <f t="shared" si="0"/>
        <v>9.2857142857142865</v>
      </c>
      <c r="P34" s="15">
        <f t="shared" si="1"/>
        <v>40</v>
      </c>
      <c r="R34" s="38" t="s">
        <v>90</v>
      </c>
      <c r="S34" s="39">
        <f t="shared" ref="S34:AF34" si="26">MAX(S10:S12)</f>
        <v>24.142857142857139</v>
      </c>
      <c r="T34" s="39">
        <f t="shared" si="26"/>
        <v>3</v>
      </c>
      <c r="U34" s="39">
        <f t="shared" si="26"/>
        <v>3.7142857142857144</v>
      </c>
      <c r="V34" s="39">
        <f t="shared" si="26"/>
        <v>3.1428571428571428</v>
      </c>
      <c r="W34" s="39">
        <f t="shared" si="26"/>
        <v>0.2857142857142857</v>
      </c>
      <c r="X34" s="39">
        <f t="shared" si="26"/>
        <v>0.14285714285714285</v>
      </c>
      <c r="Y34" s="39">
        <f t="shared" si="26"/>
        <v>3</v>
      </c>
      <c r="Z34" s="39">
        <f t="shared" si="26"/>
        <v>2.2857142857142856</v>
      </c>
      <c r="AA34" s="39">
        <f t="shared" si="26"/>
        <v>0.5714285714285714</v>
      </c>
      <c r="AB34" s="39">
        <f t="shared" si="26"/>
        <v>0.14285714285714285</v>
      </c>
      <c r="AC34" s="39">
        <f t="shared" si="26"/>
        <v>125.57142857142858</v>
      </c>
      <c r="AD34" s="39">
        <f t="shared" si="26"/>
        <v>0</v>
      </c>
      <c r="AE34" s="40">
        <f t="shared" si="26"/>
        <v>39.285714285714285</v>
      </c>
      <c r="AF34" s="40">
        <f t="shared" si="26"/>
        <v>162.14285714285714</v>
      </c>
    </row>
    <row r="35" spans="2:32" ht="23.1" customHeight="1" x14ac:dyDescent="0.25">
      <c r="B35" s="24" t="s">
        <v>62</v>
      </c>
      <c r="C35" s="49">
        <f>AVERAGE('25.10 HOIMA-KYENJOJO'!C35,'27.10 HOIMA-KYENJOJO'!C35,'29.10 HOIMA-KYENJOJO'!C35,'30.10 HOIMA-KYENJOJO'!C35,'26.10 HOIMA-KYENJOJO-24h'!C35,'28.10 HOIMA-KYENJOJO-24h'!C35,'31.10 HOIMA-KYENJOJO'!C35)</f>
        <v>4.5714285714285712</v>
      </c>
      <c r="D35" s="49">
        <f>AVERAGE('25.10 HOIMA-KYENJOJO'!D35,'27.10 HOIMA-KYENJOJO'!D35,'29.10 HOIMA-KYENJOJO'!D35,'30.10 HOIMA-KYENJOJO'!D35,'26.10 HOIMA-KYENJOJO-24h'!D35,'28.10 HOIMA-KYENJOJO-24h'!D35,'31.10 HOIMA-KYENJOJO'!D35)</f>
        <v>0.8571428571428571</v>
      </c>
      <c r="E35" s="49">
        <f>AVERAGE('25.10 HOIMA-KYENJOJO'!E35,'27.10 HOIMA-KYENJOJO'!E35,'29.10 HOIMA-KYENJOJO'!E35,'30.10 HOIMA-KYENJOJO'!E35,'26.10 HOIMA-KYENJOJO-24h'!E35,'28.10 HOIMA-KYENJOJO-24h'!E35,'31.10 HOIMA-KYENJOJO'!E35)</f>
        <v>0.7142857142857143</v>
      </c>
      <c r="F35" s="49">
        <f>AVERAGE('25.10 HOIMA-KYENJOJO'!F35,'27.10 HOIMA-KYENJOJO'!F35,'29.10 HOIMA-KYENJOJO'!F35,'30.10 HOIMA-KYENJOJO'!F35,'26.10 HOIMA-KYENJOJO-24h'!F35,'28.10 HOIMA-KYENJOJO-24h'!F35,'31.10 HOIMA-KYENJOJO'!F35)</f>
        <v>0.2857142857142857</v>
      </c>
      <c r="G35" s="49">
        <f>AVERAGE('25.10 HOIMA-KYENJOJO'!G35,'27.10 HOIMA-KYENJOJO'!G35,'29.10 HOIMA-KYENJOJO'!G35,'30.10 HOIMA-KYENJOJO'!G35,'26.10 HOIMA-KYENJOJO-24h'!G35,'28.10 HOIMA-KYENJOJO-24h'!G35,'31.10 HOIMA-KYENJOJO'!G35)</f>
        <v>0</v>
      </c>
      <c r="H35" s="49">
        <f>AVERAGE('25.10 HOIMA-KYENJOJO'!H35,'27.10 HOIMA-KYENJOJO'!H35,'29.10 HOIMA-KYENJOJO'!H35,'30.10 HOIMA-KYENJOJO'!H35,'26.10 HOIMA-KYENJOJO-24h'!H35,'28.10 HOIMA-KYENJOJO-24h'!H35,'31.10 HOIMA-KYENJOJO'!H35)</f>
        <v>0</v>
      </c>
      <c r="I35" s="49">
        <f>AVERAGE('25.10 HOIMA-KYENJOJO'!I35,'27.10 HOIMA-KYENJOJO'!I35,'29.10 HOIMA-KYENJOJO'!I35,'30.10 HOIMA-KYENJOJO'!I35,'26.10 HOIMA-KYENJOJO-24h'!I35,'28.10 HOIMA-KYENJOJO-24h'!I35,'31.10 HOIMA-KYENJOJO'!I35)</f>
        <v>0.5714285714285714</v>
      </c>
      <c r="J35" s="49">
        <f>AVERAGE('25.10 HOIMA-KYENJOJO'!J35,'27.10 HOIMA-KYENJOJO'!J35,'29.10 HOIMA-KYENJOJO'!J35,'30.10 HOIMA-KYENJOJO'!J35,'26.10 HOIMA-KYENJOJO-24h'!J35,'28.10 HOIMA-KYENJOJO-24h'!J35,'31.10 HOIMA-KYENJOJO'!J35)</f>
        <v>0.2857142857142857</v>
      </c>
      <c r="K35" s="49">
        <f>AVERAGE('25.10 HOIMA-KYENJOJO'!K35,'27.10 HOIMA-KYENJOJO'!K35,'29.10 HOIMA-KYENJOJO'!K35,'30.10 HOIMA-KYENJOJO'!K35,'26.10 HOIMA-KYENJOJO-24h'!K35,'28.10 HOIMA-KYENJOJO-24h'!K35,'31.10 HOIMA-KYENJOJO'!K35)</f>
        <v>0</v>
      </c>
      <c r="L35" s="49">
        <f>AVERAGE('25.10 HOIMA-KYENJOJO'!L35,'27.10 HOIMA-KYENJOJO'!L35,'29.10 HOIMA-KYENJOJO'!L35,'30.10 HOIMA-KYENJOJO'!L35,'26.10 HOIMA-KYENJOJO-24h'!L35,'28.10 HOIMA-KYENJOJO-24h'!L35,'31.10 HOIMA-KYENJOJO'!L35)</f>
        <v>0</v>
      </c>
      <c r="M35" s="49">
        <f>AVERAGE('25.10 HOIMA-KYENJOJO'!M35,'27.10 HOIMA-KYENJOJO'!M35,'29.10 HOIMA-KYENJOJO'!M35,'30.10 HOIMA-KYENJOJO'!M35,'26.10 HOIMA-KYENJOJO-24h'!M35,'28.10 HOIMA-KYENJOJO-24h'!M35,'31.10 HOIMA-KYENJOJO'!M35)</f>
        <v>35.714285714285715</v>
      </c>
      <c r="N35" s="49">
        <f>AVERAGE('25.10 HOIMA-KYENJOJO'!N35,'27.10 HOIMA-KYENJOJO'!N35,'29.10 HOIMA-KYENJOJO'!N35,'30.10 HOIMA-KYENJOJO'!N35,'26.10 HOIMA-KYENJOJO-24h'!N35,'28.10 HOIMA-KYENJOJO-24h'!N35,'31.10 HOIMA-KYENJOJO'!N35)</f>
        <v>0</v>
      </c>
      <c r="O35" s="15">
        <f t="shared" si="0"/>
        <v>7.2857142857142847</v>
      </c>
      <c r="P35" s="15">
        <f t="shared" si="1"/>
        <v>43</v>
      </c>
      <c r="R35" s="38" t="s">
        <v>91</v>
      </c>
      <c r="S35" s="39">
        <f t="shared" ref="S35:AF35" si="27">MAX(S13:S18)</f>
        <v>23.714285714285715</v>
      </c>
      <c r="T35" s="39">
        <f t="shared" si="27"/>
        <v>3.8571428571428577</v>
      </c>
      <c r="U35" s="39">
        <f t="shared" si="27"/>
        <v>5.2857142857142856</v>
      </c>
      <c r="V35" s="39">
        <f t="shared" si="27"/>
        <v>4.5714285714285712</v>
      </c>
      <c r="W35" s="39">
        <f t="shared" si="27"/>
        <v>0.14285714285714285</v>
      </c>
      <c r="X35" s="39">
        <f t="shared" si="27"/>
        <v>0.2857142857142857</v>
      </c>
      <c r="Y35" s="39">
        <f t="shared" si="27"/>
        <v>4.9999999999999991</v>
      </c>
      <c r="Z35" s="39">
        <f t="shared" si="27"/>
        <v>4.2857142857142856</v>
      </c>
      <c r="AA35" s="39">
        <f t="shared" si="27"/>
        <v>2</v>
      </c>
      <c r="AB35" s="39">
        <f t="shared" si="27"/>
        <v>0.42857142857142855</v>
      </c>
      <c r="AC35" s="39">
        <f t="shared" si="27"/>
        <v>142.57142857142858</v>
      </c>
      <c r="AD35" s="39">
        <f t="shared" si="27"/>
        <v>0.42857142857142855</v>
      </c>
      <c r="AE35" s="40">
        <f t="shared" si="27"/>
        <v>43</v>
      </c>
      <c r="AF35" s="40">
        <f t="shared" si="27"/>
        <v>178.57142857142858</v>
      </c>
    </row>
    <row r="36" spans="2:32" ht="23.1" customHeight="1" x14ac:dyDescent="0.25">
      <c r="B36" s="24" t="s">
        <v>63</v>
      </c>
      <c r="C36" s="49">
        <f>AVERAGE('25.10 HOIMA-KYENJOJO'!C36,'27.10 HOIMA-KYENJOJO'!C36,'29.10 HOIMA-KYENJOJO'!C36,'30.10 HOIMA-KYENJOJO'!C36,'26.10 HOIMA-KYENJOJO-24h'!C36,'28.10 HOIMA-KYENJOJO-24h'!C36,'31.10 HOIMA-KYENJOJO'!C36)</f>
        <v>6.4285714285714288</v>
      </c>
      <c r="D36" s="49">
        <f>AVERAGE('25.10 HOIMA-KYENJOJO'!D36,'27.10 HOIMA-KYENJOJO'!D36,'29.10 HOIMA-KYENJOJO'!D36,'30.10 HOIMA-KYENJOJO'!D36,'26.10 HOIMA-KYENJOJO-24h'!D36,'28.10 HOIMA-KYENJOJO-24h'!D36,'31.10 HOIMA-KYENJOJO'!D36)</f>
        <v>1.2857142857142858</v>
      </c>
      <c r="E36" s="49">
        <f>AVERAGE('25.10 HOIMA-KYENJOJO'!E36,'27.10 HOIMA-KYENJOJO'!E36,'29.10 HOIMA-KYENJOJO'!E36,'30.10 HOIMA-KYENJOJO'!E36,'26.10 HOIMA-KYENJOJO-24h'!E36,'28.10 HOIMA-KYENJOJO-24h'!E36,'31.10 HOIMA-KYENJOJO'!E36)</f>
        <v>1.5714285714285714</v>
      </c>
      <c r="F36" s="49">
        <f>AVERAGE('25.10 HOIMA-KYENJOJO'!F36,'27.10 HOIMA-KYENJOJO'!F36,'29.10 HOIMA-KYENJOJO'!F36,'30.10 HOIMA-KYENJOJO'!F36,'26.10 HOIMA-KYENJOJO-24h'!F36,'28.10 HOIMA-KYENJOJO-24h'!F36,'31.10 HOIMA-KYENJOJO'!F36)</f>
        <v>0.5714285714285714</v>
      </c>
      <c r="G36" s="49">
        <f>AVERAGE('25.10 HOIMA-KYENJOJO'!G36,'27.10 HOIMA-KYENJOJO'!G36,'29.10 HOIMA-KYENJOJO'!G36,'30.10 HOIMA-KYENJOJO'!G36,'26.10 HOIMA-KYENJOJO-24h'!G36,'28.10 HOIMA-KYENJOJO-24h'!G36,'31.10 HOIMA-KYENJOJO'!G36)</f>
        <v>0</v>
      </c>
      <c r="H36" s="49">
        <f>AVERAGE('25.10 HOIMA-KYENJOJO'!H36,'27.10 HOIMA-KYENJOJO'!H36,'29.10 HOIMA-KYENJOJO'!H36,'30.10 HOIMA-KYENJOJO'!H36,'26.10 HOIMA-KYENJOJO-24h'!H36,'28.10 HOIMA-KYENJOJO-24h'!H36,'31.10 HOIMA-KYENJOJO'!H36)</f>
        <v>0</v>
      </c>
      <c r="I36" s="49">
        <f>AVERAGE('25.10 HOIMA-KYENJOJO'!I36,'27.10 HOIMA-KYENJOJO'!I36,'29.10 HOIMA-KYENJOJO'!I36,'30.10 HOIMA-KYENJOJO'!I36,'26.10 HOIMA-KYENJOJO-24h'!I36,'28.10 HOIMA-KYENJOJO-24h'!I36,'31.10 HOIMA-KYENJOJO'!I36)</f>
        <v>0.42857142857142855</v>
      </c>
      <c r="J36" s="49">
        <f>AVERAGE('25.10 HOIMA-KYENJOJO'!J36,'27.10 HOIMA-KYENJOJO'!J36,'29.10 HOIMA-KYENJOJO'!J36,'30.10 HOIMA-KYENJOJO'!J36,'26.10 HOIMA-KYENJOJO-24h'!J36,'28.10 HOIMA-KYENJOJO-24h'!J36,'31.10 HOIMA-KYENJOJO'!J36)</f>
        <v>1.1428571428571428</v>
      </c>
      <c r="K36" s="49">
        <f>AVERAGE('25.10 HOIMA-KYENJOJO'!K36,'27.10 HOIMA-KYENJOJO'!K36,'29.10 HOIMA-KYENJOJO'!K36,'30.10 HOIMA-KYENJOJO'!K36,'26.10 HOIMA-KYENJOJO-24h'!K36,'28.10 HOIMA-KYENJOJO-24h'!K36,'31.10 HOIMA-KYENJOJO'!K36)</f>
        <v>0.8571428571428571</v>
      </c>
      <c r="L36" s="49">
        <f>AVERAGE('25.10 HOIMA-KYENJOJO'!L36,'27.10 HOIMA-KYENJOJO'!L36,'29.10 HOIMA-KYENJOJO'!L36,'30.10 HOIMA-KYENJOJO'!L36,'26.10 HOIMA-KYENJOJO-24h'!L36,'28.10 HOIMA-KYENJOJO-24h'!L36,'31.10 HOIMA-KYENJOJO'!L36)</f>
        <v>0</v>
      </c>
      <c r="M36" s="49">
        <f>AVERAGE('25.10 HOIMA-KYENJOJO'!M36,'27.10 HOIMA-KYENJOJO'!M36,'29.10 HOIMA-KYENJOJO'!M36,'30.10 HOIMA-KYENJOJO'!M36,'26.10 HOIMA-KYENJOJO-24h'!M36,'28.10 HOIMA-KYENJOJO-24h'!M36,'31.10 HOIMA-KYENJOJO'!M36)</f>
        <v>27.142857142857142</v>
      </c>
      <c r="N36" s="49">
        <f>AVERAGE('25.10 HOIMA-KYENJOJO'!N36,'27.10 HOIMA-KYENJOJO'!N36,'29.10 HOIMA-KYENJOJO'!N36,'30.10 HOIMA-KYENJOJO'!N36,'26.10 HOIMA-KYENJOJO-24h'!N36,'28.10 HOIMA-KYENJOJO-24h'!N36,'31.10 HOIMA-KYENJOJO'!N36)</f>
        <v>0</v>
      </c>
      <c r="O36" s="15">
        <f t="shared" si="0"/>
        <v>12.285714285714286</v>
      </c>
      <c r="P36" s="15">
        <f t="shared" si="1"/>
        <v>39.428571428571431</v>
      </c>
      <c r="R36" s="38" t="s">
        <v>92</v>
      </c>
      <c r="S36" s="39">
        <f t="shared" ref="S36:AF36" si="28">MAX(S19:S21)</f>
        <v>24.285714285714285</v>
      </c>
      <c r="T36" s="39">
        <f t="shared" si="28"/>
        <v>3</v>
      </c>
      <c r="U36" s="39">
        <f t="shared" si="28"/>
        <v>5.1428571428571432</v>
      </c>
      <c r="V36" s="39">
        <f t="shared" si="28"/>
        <v>4</v>
      </c>
      <c r="W36" s="39">
        <f t="shared" si="28"/>
        <v>0.5714285714285714</v>
      </c>
      <c r="X36" s="39">
        <f t="shared" si="28"/>
        <v>0.8571428571428571</v>
      </c>
      <c r="Y36" s="39">
        <f t="shared" si="28"/>
        <v>3.8571428571428572</v>
      </c>
      <c r="Z36" s="39">
        <f t="shared" si="28"/>
        <v>3.285714285714286</v>
      </c>
      <c r="AA36" s="39">
        <f t="shared" si="28"/>
        <v>2.5714285714285712</v>
      </c>
      <c r="AB36" s="39">
        <f t="shared" si="28"/>
        <v>0.42857142857142855</v>
      </c>
      <c r="AC36" s="39">
        <f t="shared" si="28"/>
        <v>142.71428571428572</v>
      </c>
      <c r="AD36" s="39">
        <f t="shared" si="28"/>
        <v>0</v>
      </c>
      <c r="AE36" s="40">
        <f t="shared" si="28"/>
        <v>44.142857142857139</v>
      </c>
      <c r="AF36" s="40">
        <f t="shared" si="28"/>
        <v>186.71428571428572</v>
      </c>
    </row>
    <row r="37" spans="2:32" ht="23.1" customHeight="1" x14ac:dyDescent="0.25">
      <c r="B37" s="23" t="s">
        <v>64</v>
      </c>
      <c r="C37" s="49">
        <f>AVERAGE('25.10 HOIMA-KYENJOJO'!C37,'27.10 HOIMA-KYENJOJO'!C37,'29.10 HOIMA-KYENJOJO'!C37,'30.10 HOIMA-KYENJOJO'!C37,'26.10 HOIMA-KYENJOJO-24h'!C37,'28.10 HOIMA-KYENJOJO-24h'!C37,'31.10 HOIMA-KYENJOJO'!C37)</f>
        <v>5.8571428571428568</v>
      </c>
      <c r="D37" s="49">
        <f>AVERAGE('25.10 HOIMA-KYENJOJO'!D37,'27.10 HOIMA-KYENJOJO'!D37,'29.10 HOIMA-KYENJOJO'!D37,'30.10 HOIMA-KYENJOJO'!D37,'26.10 HOIMA-KYENJOJO-24h'!D37,'28.10 HOIMA-KYENJOJO-24h'!D37,'31.10 HOIMA-KYENJOJO'!D37)</f>
        <v>0.7142857142857143</v>
      </c>
      <c r="E37" s="49">
        <f>AVERAGE('25.10 HOIMA-KYENJOJO'!E37,'27.10 HOIMA-KYENJOJO'!E37,'29.10 HOIMA-KYENJOJO'!E37,'30.10 HOIMA-KYENJOJO'!E37,'26.10 HOIMA-KYENJOJO-24h'!E37,'28.10 HOIMA-KYENJOJO-24h'!E37,'31.10 HOIMA-KYENJOJO'!E37)</f>
        <v>0.42857142857142855</v>
      </c>
      <c r="F37" s="49">
        <f>AVERAGE('25.10 HOIMA-KYENJOJO'!F37,'27.10 HOIMA-KYENJOJO'!F37,'29.10 HOIMA-KYENJOJO'!F37,'30.10 HOIMA-KYENJOJO'!F37,'26.10 HOIMA-KYENJOJO-24h'!F37,'28.10 HOIMA-KYENJOJO-24h'!F37,'31.10 HOIMA-KYENJOJO'!F37)</f>
        <v>0.5714285714285714</v>
      </c>
      <c r="G37" s="49">
        <f>AVERAGE('25.10 HOIMA-KYENJOJO'!G37,'27.10 HOIMA-KYENJOJO'!G37,'29.10 HOIMA-KYENJOJO'!G37,'30.10 HOIMA-KYENJOJO'!G37,'26.10 HOIMA-KYENJOJO-24h'!G37,'28.10 HOIMA-KYENJOJO-24h'!G37,'31.10 HOIMA-KYENJOJO'!G37)</f>
        <v>0</v>
      </c>
      <c r="H37" s="49">
        <f>AVERAGE('25.10 HOIMA-KYENJOJO'!H37,'27.10 HOIMA-KYENJOJO'!H37,'29.10 HOIMA-KYENJOJO'!H37,'30.10 HOIMA-KYENJOJO'!H37,'26.10 HOIMA-KYENJOJO-24h'!H37,'28.10 HOIMA-KYENJOJO-24h'!H37,'31.10 HOIMA-KYENJOJO'!H37)</f>
        <v>0</v>
      </c>
      <c r="I37" s="49">
        <f>AVERAGE('25.10 HOIMA-KYENJOJO'!I37,'27.10 HOIMA-KYENJOJO'!I37,'29.10 HOIMA-KYENJOJO'!I37,'30.10 HOIMA-KYENJOJO'!I37,'26.10 HOIMA-KYENJOJO-24h'!I37,'28.10 HOIMA-KYENJOJO-24h'!I37,'31.10 HOIMA-KYENJOJO'!I37)</f>
        <v>0.8571428571428571</v>
      </c>
      <c r="J37" s="49">
        <f>AVERAGE('25.10 HOIMA-KYENJOJO'!J37,'27.10 HOIMA-KYENJOJO'!J37,'29.10 HOIMA-KYENJOJO'!J37,'30.10 HOIMA-KYENJOJO'!J37,'26.10 HOIMA-KYENJOJO-24h'!J37,'28.10 HOIMA-KYENJOJO-24h'!J37,'31.10 HOIMA-KYENJOJO'!J37)</f>
        <v>1.4285714285714286</v>
      </c>
      <c r="K37" s="49">
        <f>AVERAGE('25.10 HOIMA-KYENJOJO'!K37,'27.10 HOIMA-KYENJOJO'!K37,'29.10 HOIMA-KYENJOJO'!K37,'30.10 HOIMA-KYENJOJO'!K37,'26.10 HOIMA-KYENJOJO-24h'!K37,'28.10 HOIMA-KYENJOJO-24h'!K37,'31.10 HOIMA-KYENJOJO'!K37)</f>
        <v>0.5714285714285714</v>
      </c>
      <c r="L37" s="49">
        <f>AVERAGE('25.10 HOIMA-KYENJOJO'!L37,'27.10 HOIMA-KYENJOJO'!L37,'29.10 HOIMA-KYENJOJO'!L37,'30.10 HOIMA-KYENJOJO'!L37,'26.10 HOIMA-KYENJOJO-24h'!L37,'28.10 HOIMA-KYENJOJO-24h'!L37,'31.10 HOIMA-KYENJOJO'!L37)</f>
        <v>0</v>
      </c>
      <c r="M37" s="49">
        <f>AVERAGE('25.10 HOIMA-KYENJOJO'!M37,'27.10 HOIMA-KYENJOJO'!M37,'29.10 HOIMA-KYENJOJO'!M37,'30.10 HOIMA-KYENJOJO'!M37,'26.10 HOIMA-KYENJOJO-24h'!M37,'28.10 HOIMA-KYENJOJO-24h'!M37,'31.10 HOIMA-KYENJOJO'!M37)</f>
        <v>37.714285714285715</v>
      </c>
      <c r="N37" s="49">
        <f>AVERAGE('25.10 HOIMA-KYENJOJO'!N37,'27.10 HOIMA-KYENJOJO'!N37,'29.10 HOIMA-KYENJOJO'!N37,'30.10 HOIMA-KYENJOJO'!N37,'26.10 HOIMA-KYENJOJO-24h'!N37,'28.10 HOIMA-KYENJOJO-24h'!N37,'31.10 HOIMA-KYENJOJO'!N37)</f>
        <v>0</v>
      </c>
      <c r="O37" s="15">
        <f t="shared" si="0"/>
        <v>10.428571428571429</v>
      </c>
      <c r="P37" s="15">
        <f t="shared" si="1"/>
        <v>48.142857142857146</v>
      </c>
      <c r="R37" s="37" t="s">
        <v>85</v>
      </c>
      <c r="S37" s="35">
        <f t="shared" ref="S37:AF37" si="29">SUM(S10:S12)</f>
        <v>60.142857142857139</v>
      </c>
      <c r="T37" s="16">
        <f t="shared" si="29"/>
        <v>7.4285714285714288</v>
      </c>
      <c r="U37" s="16">
        <f t="shared" si="29"/>
        <v>9.571428571428573</v>
      </c>
      <c r="V37" s="16">
        <f t="shared" si="29"/>
        <v>8.5714285714285712</v>
      </c>
      <c r="W37" s="16">
        <f t="shared" si="29"/>
        <v>0.42857142857142855</v>
      </c>
      <c r="X37" s="16">
        <f t="shared" si="29"/>
        <v>0.14285714285714285</v>
      </c>
      <c r="Y37" s="16">
        <f t="shared" si="29"/>
        <v>7.5714285714285712</v>
      </c>
      <c r="Z37" s="16">
        <f t="shared" si="29"/>
        <v>6.1428571428571423</v>
      </c>
      <c r="AA37" s="16">
        <f t="shared" si="29"/>
        <v>1.1428571428571428</v>
      </c>
      <c r="AB37" s="16">
        <f t="shared" si="29"/>
        <v>0.2857142857142857</v>
      </c>
      <c r="AC37" s="16">
        <f t="shared" si="29"/>
        <v>342</v>
      </c>
      <c r="AD37" s="16">
        <f t="shared" si="29"/>
        <v>0</v>
      </c>
      <c r="AE37" s="32">
        <f t="shared" si="29"/>
        <v>101.42857142857143</v>
      </c>
      <c r="AF37" s="32">
        <f t="shared" si="29"/>
        <v>443.42857142857144</v>
      </c>
    </row>
    <row r="38" spans="2:32" ht="23.1" customHeight="1" x14ac:dyDescent="0.25">
      <c r="B38" s="24" t="s">
        <v>65</v>
      </c>
      <c r="C38" s="49">
        <f>AVERAGE('25.10 HOIMA-KYENJOJO'!C38,'27.10 HOIMA-KYENJOJO'!C38,'29.10 HOIMA-KYENJOJO'!C38,'30.10 HOIMA-KYENJOJO'!C38,'26.10 HOIMA-KYENJOJO-24h'!C38,'28.10 HOIMA-KYENJOJO-24h'!C38,'31.10 HOIMA-KYENJOJO'!C38)</f>
        <v>9</v>
      </c>
      <c r="D38" s="49">
        <f>AVERAGE('25.10 HOIMA-KYENJOJO'!D38,'27.10 HOIMA-KYENJOJO'!D38,'29.10 HOIMA-KYENJOJO'!D38,'30.10 HOIMA-KYENJOJO'!D38,'26.10 HOIMA-KYENJOJO-24h'!D38,'28.10 HOIMA-KYENJOJO-24h'!D38,'31.10 HOIMA-KYENJOJO'!D38)</f>
        <v>0.5714285714285714</v>
      </c>
      <c r="E38" s="49">
        <f>AVERAGE('25.10 HOIMA-KYENJOJO'!E38,'27.10 HOIMA-KYENJOJO'!E38,'29.10 HOIMA-KYENJOJO'!E38,'30.10 HOIMA-KYENJOJO'!E38,'26.10 HOIMA-KYENJOJO-24h'!E38,'28.10 HOIMA-KYENJOJO-24h'!E38,'31.10 HOIMA-KYENJOJO'!E38)</f>
        <v>1</v>
      </c>
      <c r="F38" s="49">
        <f>AVERAGE('25.10 HOIMA-KYENJOJO'!F38,'27.10 HOIMA-KYENJOJO'!F38,'29.10 HOIMA-KYENJOJO'!F38,'30.10 HOIMA-KYENJOJO'!F38,'26.10 HOIMA-KYENJOJO-24h'!F38,'28.10 HOIMA-KYENJOJO-24h'!F38,'31.10 HOIMA-KYENJOJO'!F38)</f>
        <v>2</v>
      </c>
      <c r="G38" s="49">
        <f>AVERAGE('25.10 HOIMA-KYENJOJO'!G38,'27.10 HOIMA-KYENJOJO'!G38,'29.10 HOIMA-KYENJOJO'!G38,'30.10 HOIMA-KYENJOJO'!G38,'26.10 HOIMA-KYENJOJO-24h'!G38,'28.10 HOIMA-KYENJOJO-24h'!G38,'31.10 HOIMA-KYENJOJO'!G38)</f>
        <v>0</v>
      </c>
      <c r="H38" s="49">
        <f>AVERAGE('25.10 HOIMA-KYENJOJO'!H38,'27.10 HOIMA-KYENJOJO'!H38,'29.10 HOIMA-KYENJOJO'!H38,'30.10 HOIMA-KYENJOJO'!H38,'26.10 HOIMA-KYENJOJO-24h'!H38,'28.10 HOIMA-KYENJOJO-24h'!H38,'31.10 HOIMA-KYENJOJO'!H38)</f>
        <v>0</v>
      </c>
      <c r="I38" s="49">
        <f>AVERAGE('25.10 HOIMA-KYENJOJO'!I38,'27.10 HOIMA-KYENJOJO'!I38,'29.10 HOIMA-KYENJOJO'!I38,'30.10 HOIMA-KYENJOJO'!I38,'26.10 HOIMA-KYENJOJO-24h'!I38,'28.10 HOIMA-KYENJOJO-24h'!I38,'31.10 HOIMA-KYENJOJO'!I38)</f>
        <v>1</v>
      </c>
      <c r="J38" s="49">
        <f>AVERAGE('25.10 HOIMA-KYENJOJO'!J38,'27.10 HOIMA-KYENJOJO'!J38,'29.10 HOIMA-KYENJOJO'!J38,'30.10 HOIMA-KYENJOJO'!J38,'26.10 HOIMA-KYENJOJO-24h'!J38,'28.10 HOIMA-KYENJOJO-24h'!J38,'31.10 HOIMA-KYENJOJO'!J38)</f>
        <v>0.7142857142857143</v>
      </c>
      <c r="K38" s="49">
        <f>AVERAGE('25.10 HOIMA-KYENJOJO'!K38,'27.10 HOIMA-KYENJOJO'!K38,'29.10 HOIMA-KYENJOJO'!K38,'30.10 HOIMA-KYENJOJO'!K38,'26.10 HOIMA-KYENJOJO-24h'!K38,'28.10 HOIMA-KYENJOJO-24h'!K38,'31.10 HOIMA-KYENJOJO'!K38)</f>
        <v>0.14285714285714285</v>
      </c>
      <c r="L38" s="49">
        <f>AVERAGE('25.10 HOIMA-KYENJOJO'!L38,'27.10 HOIMA-KYENJOJO'!L38,'29.10 HOIMA-KYENJOJO'!L38,'30.10 HOIMA-KYENJOJO'!L38,'26.10 HOIMA-KYENJOJO-24h'!L38,'28.10 HOIMA-KYENJOJO-24h'!L38,'31.10 HOIMA-KYENJOJO'!L38)</f>
        <v>0</v>
      </c>
      <c r="M38" s="49">
        <f>AVERAGE('25.10 HOIMA-KYENJOJO'!M38,'27.10 HOIMA-KYENJOJO'!M38,'29.10 HOIMA-KYENJOJO'!M38,'30.10 HOIMA-KYENJOJO'!M38,'26.10 HOIMA-KYENJOJO-24h'!M38,'28.10 HOIMA-KYENJOJO-24h'!M38,'31.10 HOIMA-KYENJOJO'!M38)</f>
        <v>37.857142857142854</v>
      </c>
      <c r="N38" s="49">
        <f>AVERAGE('25.10 HOIMA-KYENJOJO'!N38,'27.10 HOIMA-KYENJOJO'!N38,'29.10 HOIMA-KYENJOJO'!N38,'30.10 HOIMA-KYENJOJO'!N38,'26.10 HOIMA-KYENJOJO-24h'!N38,'28.10 HOIMA-KYENJOJO-24h'!N38,'31.10 HOIMA-KYENJOJO'!N38)</f>
        <v>0</v>
      </c>
      <c r="O38" s="15">
        <f t="shared" si="0"/>
        <v>14.428571428571427</v>
      </c>
      <c r="P38" s="15">
        <f t="shared" si="1"/>
        <v>52.285714285714278</v>
      </c>
      <c r="R38" s="28" t="s">
        <v>86</v>
      </c>
      <c r="S38" s="16">
        <f t="shared" ref="S38:AF38" si="30">SUM(S13:S18)</f>
        <v>130.71428571428569</v>
      </c>
      <c r="T38" s="16">
        <f t="shared" si="30"/>
        <v>17</v>
      </c>
      <c r="U38" s="16">
        <f t="shared" si="30"/>
        <v>23.142857142857142</v>
      </c>
      <c r="V38" s="16">
        <f t="shared" si="30"/>
        <v>19.428571428571427</v>
      </c>
      <c r="W38" s="16">
        <f t="shared" si="30"/>
        <v>0.14285714285714285</v>
      </c>
      <c r="X38" s="16">
        <f t="shared" si="30"/>
        <v>0.71428571428571419</v>
      </c>
      <c r="Y38" s="16">
        <f t="shared" si="30"/>
        <v>19.428571428571431</v>
      </c>
      <c r="Z38" s="16">
        <f t="shared" si="30"/>
        <v>18.571428571428573</v>
      </c>
      <c r="AA38" s="16">
        <f t="shared" si="30"/>
        <v>7.7142857142857144</v>
      </c>
      <c r="AB38" s="16">
        <f t="shared" si="30"/>
        <v>0.71428571428571419</v>
      </c>
      <c r="AC38" s="16">
        <f t="shared" si="30"/>
        <v>796.14285714285722</v>
      </c>
      <c r="AD38" s="16">
        <f t="shared" si="30"/>
        <v>0.71428571428571419</v>
      </c>
      <c r="AE38" s="32">
        <f t="shared" si="30"/>
        <v>238.28571428571428</v>
      </c>
      <c r="AF38" s="32">
        <f t="shared" si="30"/>
        <v>1034.4285714285713</v>
      </c>
    </row>
    <row r="39" spans="2:32" ht="23.1" customHeight="1" x14ac:dyDescent="0.25">
      <c r="B39" s="24" t="s">
        <v>66</v>
      </c>
      <c r="C39" s="49">
        <f>AVERAGE('25.10 HOIMA-KYENJOJO'!C39,'27.10 HOIMA-KYENJOJO'!C39,'29.10 HOIMA-KYENJOJO'!C39,'30.10 HOIMA-KYENJOJO'!C39,'26.10 HOIMA-KYENJOJO-24h'!C39,'28.10 HOIMA-KYENJOJO-24h'!C39,'31.10 HOIMA-KYENJOJO'!C39)</f>
        <v>4.2857142857142856</v>
      </c>
      <c r="D39" s="49">
        <f>AVERAGE('25.10 HOIMA-KYENJOJO'!D39,'27.10 HOIMA-KYENJOJO'!D39,'29.10 HOIMA-KYENJOJO'!D39,'30.10 HOIMA-KYENJOJO'!D39,'26.10 HOIMA-KYENJOJO-24h'!D39,'28.10 HOIMA-KYENJOJO-24h'!D39,'31.10 HOIMA-KYENJOJO'!D39)</f>
        <v>1.1428571428571428</v>
      </c>
      <c r="E39" s="49">
        <f>AVERAGE('25.10 HOIMA-KYENJOJO'!E39,'27.10 HOIMA-KYENJOJO'!E39,'29.10 HOIMA-KYENJOJO'!E39,'30.10 HOIMA-KYENJOJO'!E39,'26.10 HOIMA-KYENJOJO-24h'!E39,'28.10 HOIMA-KYENJOJO-24h'!E39,'31.10 HOIMA-KYENJOJO'!E39)</f>
        <v>0.7142857142857143</v>
      </c>
      <c r="F39" s="49">
        <f>AVERAGE('25.10 HOIMA-KYENJOJO'!F39,'27.10 HOIMA-KYENJOJO'!F39,'29.10 HOIMA-KYENJOJO'!F39,'30.10 HOIMA-KYENJOJO'!F39,'26.10 HOIMA-KYENJOJO-24h'!F39,'28.10 HOIMA-KYENJOJO-24h'!F39,'31.10 HOIMA-KYENJOJO'!F39)</f>
        <v>0.7142857142857143</v>
      </c>
      <c r="G39" s="49">
        <f>AVERAGE('25.10 HOIMA-KYENJOJO'!G39,'27.10 HOIMA-KYENJOJO'!G39,'29.10 HOIMA-KYENJOJO'!G39,'30.10 HOIMA-KYENJOJO'!G39,'26.10 HOIMA-KYENJOJO-24h'!G39,'28.10 HOIMA-KYENJOJO-24h'!G39,'31.10 HOIMA-KYENJOJO'!G39)</f>
        <v>0</v>
      </c>
      <c r="H39" s="49">
        <f>AVERAGE('25.10 HOIMA-KYENJOJO'!H39,'27.10 HOIMA-KYENJOJO'!H39,'29.10 HOIMA-KYENJOJO'!H39,'30.10 HOIMA-KYENJOJO'!H39,'26.10 HOIMA-KYENJOJO-24h'!H39,'28.10 HOIMA-KYENJOJO-24h'!H39,'31.10 HOIMA-KYENJOJO'!H39)</f>
        <v>0</v>
      </c>
      <c r="I39" s="49">
        <f>AVERAGE('25.10 HOIMA-KYENJOJO'!I39,'27.10 HOIMA-KYENJOJO'!I39,'29.10 HOIMA-KYENJOJO'!I39,'30.10 HOIMA-KYENJOJO'!I39,'26.10 HOIMA-KYENJOJO-24h'!I39,'28.10 HOIMA-KYENJOJO-24h'!I39,'31.10 HOIMA-KYENJOJO'!I39)</f>
        <v>1</v>
      </c>
      <c r="J39" s="49">
        <f>AVERAGE('25.10 HOIMA-KYENJOJO'!J39,'27.10 HOIMA-KYENJOJO'!J39,'29.10 HOIMA-KYENJOJO'!J39,'30.10 HOIMA-KYENJOJO'!J39,'26.10 HOIMA-KYENJOJO-24h'!J39,'28.10 HOIMA-KYENJOJO-24h'!J39,'31.10 HOIMA-KYENJOJO'!J39)</f>
        <v>0.8571428571428571</v>
      </c>
      <c r="K39" s="49">
        <f>AVERAGE('25.10 HOIMA-KYENJOJO'!K39,'27.10 HOIMA-KYENJOJO'!K39,'29.10 HOIMA-KYENJOJO'!K39,'30.10 HOIMA-KYENJOJO'!K39,'26.10 HOIMA-KYENJOJO-24h'!K39,'28.10 HOIMA-KYENJOJO-24h'!K39,'31.10 HOIMA-KYENJOJO'!K39)</f>
        <v>0.8571428571428571</v>
      </c>
      <c r="L39" s="49">
        <f>AVERAGE('25.10 HOIMA-KYENJOJO'!L39,'27.10 HOIMA-KYENJOJO'!L39,'29.10 HOIMA-KYENJOJO'!L39,'30.10 HOIMA-KYENJOJO'!L39,'26.10 HOIMA-KYENJOJO-24h'!L39,'28.10 HOIMA-KYENJOJO-24h'!L39,'31.10 HOIMA-KYENJOJO'!L39)</f>
        <v>0</v>
      </c>
      <c r="M39" s="49">
        <f>AVERAGE('25.10 HOIMA-KYENJOJO'!M39,'27.10 HOIMA-KYENJOJO'!M39,'29.10 HOIMA-KYENJOJO'!M39,'30.10 HOIMA-KYENJOJO'!M39,'26.10 HOIMA-KYENJOJO-24h'!M39,'28.10 HOIMA-KYENJOJO-24h'!M39,'31.10 HOIMA-KYENJOJO'!M39)</f>
        <v>31.142857142857142</v>
      </c>
      <c r="N39" s="49">
        <f>AVERAGE('25.10 HOIMA-KYENJOJO'!N39,'27.10 HOIMA-KYENJOJO'!N39,'29.10 HOIMA-KYENJOJO'!N39,'30.10 HOIMA-KYENJOJO'!N39,'26.10 HOIMA-KYENJOJO-24h'!N39,'28.10 HOIMA-KYENJOJO-24h'!N39,'31.10 HOIMA-KYENJOJO'!N39)</f>
        <v>0</v>
      </c>
      <c r="O39" s="15">
        <f t="shared" si="0"/>
        <v>9.571428571428573</v>
      </c>
      <c r="P39" s="15">
        <f t="shared" si="1"/>
        <v>40.714285714285715</v>
      </c>
      <c r="R39" s="29" t="s">
        <v>87</v>
      </c>
      <c r="S39" s="16">
        <f t="shared" ref="S39:AF39" si="31">SUM(S19:S21)</f>
        <v>66</v>
      </c>
      <c r="T39" s="16">
        <f t="shared" si="31"/>
        <v>8.2857142857142865</v>
      </c>
      <c r="U39" s="16">
        <f t="shared" si="31"/>
        <v>12.714285714285715</v>
      </c>
      <c r="V39" s="16">
        <f t="shared" si="31"/>
        <v>10.285714285714286</v>
      </c>
      <c r="W39" s="16">
        <f t="shared" si="31"/>
        <v>1</v>
      </c>
      <c r="X39" s="16">
        <f t="shared" si="31"/>
        <v>1.2857142857142856</v>
      </c>
      <c r="Y39" s="16">
        <f t="shared" si="31"/>
        <v>10.571428571428571</v>
      </c>
      <c r="Z39" s="16">
        <f t="shared" si="31"/>
        <v>8.8571428571428577</v>
      </c>
      <c r="AA39" s="16">
        <f t="shared" si="31"/>
        <v>4.8571428571428568</v>
      </c>
      <c r="AB39" s="16">
        <f t="shared" si="31"/>
        <v>0.42857142857142855</v>
      </c>
      <c r="AC39" s="16">
        <f t="shared" si="31"/>
        <v>426.28571428571433</v>
      </c>
      <c r="AD39" s="16">
        <f t="shared" si="31"/>
        <v>0</v>
      </c>
      <c r="AE39" s="32">
        <f t="shared" si="31"/>
        <v>124.28571428571428</v>
      </c>
      <c r="AF39" s="32">
        <f t="shared" si="31"/>
        <v>550.57142857142867</v>
      </c>
    </row>
    <row r="40" spans="2:32" ht="23.1" customHeight="1" x14ac:dyDescent="0.25">
      <c r="B40" s="24" t="s">
        <v>67</v>
      </c>
      <c r="C40" s="49">
        <f>AVERAGE('25.10 HOIMA-KYENJOJO'!C40,'27.10 HOIMA-KYENJOJO'!C40,'29.10 HOIMA-KYENJOJO'!C40,'30.10 HOIMA-KYENJOJO'!C40,'26.10 HOIMA-KYENJOJO-24h'!C40,'28.10 HOIMA-KYENJOJO-24h'!C40,'31.10 HOIMA-KYENJOJO'!C40)</f>
        <v>4</v>
      </c>
      <c r="D40" s="49">
        <f>AVERAGE('25.10 HOIMA-KYENJOJO'!D40,'27.10 HOIMA-KYENJOJO'!D40,'29.10 HOIMA-KYENJOJO'!D40,'30.10 HOIMA-KYENJOJO'!D40,'26.10 HOIMA-KYENJOJO-24h'!D40,'28.10 HOIMA-KYENJOJO-24h'!D40,'31.10 HOIMA-KYENJOJO'!D40)</f>
        <v>0.5714285714285714</v>
      </c>
      <c r="E40" s="49">
        <f>AVERAGE('25.10 HOIMA-KYENJOJO'!E40,'27.10 HOIMA-KYENJOJO'!E40,'29.10 HOIMA-KYENJOJO'!E40,'30.10 HOIMA-KYENJOJO'!E40,'26.10 HOIMA-KYENJOJO-24h'!E40,'28.10 HOIMA-KYENJOJO-24h'!E40,'31.10 HOIMA-KYENJOJO'!E40)</f>
        <v>1.1428571428571428</v>
      </c>
      <c r="F40" s="49">
        <f>AVERAGE('25.10 HOIMA-KYENJOJO'!F40,'27.10 HOIMA-KYENJOJO'!F40,'29.10 HOIMA-KYENJOJO'!F40,'30.10 HOIMA-KYENJOJO'!F40,'26.10 HOIMA-KYENJOJO-24h'!F40,'28.10 HOIMA-KYENJOJO-24h'!F40,'31.10 HOIMA-KYENJOJO'!F40)</f>
        <v>0.5714285714285714</v>
      </c>
      <c r="G40" s="49">
        <f>AVERAGE('25.10 HOIMA-KYENJOJO'!G40,'27.10 HOIMA-KYENJOJO'!G40,'29.10 HOIMA-KYENJOJO'!G40,'30.10 HOIMA-KYENJOJO'!G40,'26.10 HOIMA-KYENJOJO-24h'!G40,'28.10 HOIMA-KYENJOJO-24h'!G40,'31.10 HOIMA-KYENJOJO'!G40)</f>
        <v>0</v>
      </c>
      <c r="H40" s="49">
        <f>AVERAGE('25.10 HOIMA-KYENJOJO'!H40,'27.10 HOIMA-KYENJOJO'!H40,'29.10 HOIMA-KYENJOJO'!H40,'30.10 HOIMA-KYENJOJO'!H40,'26.10 HOIMA-KYENJOJO-24h'!H40,'28.10 HOIMA-KYENJOJO-24h'!H40,'31.10 HOIMA-KYENJOJO'!H40)</f>
        <v>0</v>
      </c>
      <c r="I40" s="49">
        <f>AVERAGE('25.10 HOIMA-KYENJOJO'!I40,'27.10 HOIMA-KYENJOJO'!I40,'29.10 HOIMA-KYENJOJO'!I40,'30.10 HOIMA-KYENJOJO'!I40,'26.10 HOIMA-KYENJOJO-24h'!I40,'28.10 HOIMA-KYENJOJO-24h'!I40,'31.10 HOIMA-KYENJOJO'!I40)</f>
        <v>2.1428571428571428</v>
      </c>
      <c r="J40" s="49">
        <f>AVERAGE('25.10 HOIMA-KYENJOJO'!J40,'27.10 HOIMA-KYENJOJO'!J40,'29.10 HOIMA-KYENJOJO'!J40,'30.10 HOIMA-KYENJOJO'!J40,'26.10 HOIMA-KYENJOJO-24h'!J40,'28.10 HOIMA-KYENJOJO-24h'!J40,'31.10 HOIMA-KYENJOJO'!J40)</f>
        <v>0.2857142857142857</v>
      </c>
      <c r="K40" s="49">
        <f>AVERAGE('25.10 HOIMA-KYENJOJO'!K40,'27.10 HOIMA-KYENJOJO'!K40,'29.10 HOIMA-KYENJOJO'!K40,'30.10 HOIMA-KYENJOJO'!K40,'26.10 HOIMA-KYENJOJO-24h'!K40,'28.10 HOIMA-KYENJOJO-24h'!K40,'31.10 HOIMA-KYENJOJO'!K40)</f>
        <v>0.14285714285714285</v>
      </c>
      <c r="L40" s="49">
        <f>AVERAGE('25.10 HOIMA-KYENJOJO'!L40,'27.10 HOIMA-KYENJOJO'!L40,'29.10 HOIMA-KYENJOJO'!L40,'30.10 HOIMA-KYENJOJO'!L40,'26.10 HOIMA-KYENJOJO-24h'!L40,'28.10 HOIMA-KYENJOJO-24h'!L40,'31.10 HOIMA-KYENJOJO'!L40)</f>
        <v>0</v>
      </c>
      <c r="M40" s="49">
        <f>AVERAGE('25.10 HOIMA-KYENJOJO'!M40,'27.10 HOIMA-KYENJOJO'!M40,'29.10 HOIMA-KYENJOJO'!M40,'30.10 HOIMA-KYENJOJO'!M40,'26.10 HOIMA-KYENJOJO-24h'!M40,'28.10 HOIMA-KYENJOJO-24h'!M40,'31.10 HOIMA-KYENJOJO'!M40)</f>
        <v>28.571428571428573</v>
      </c>
      <c r="N40" s="49">
        <f>AVERAGE('25.10 HOIMA-KYENJOJO'!N40,'27.10 HOIMA-KYENJOJO'!N40,'29.10 HOIMA-KYENJOJO'!N40,'30.10 HOIMA-KYENJOJO'!N40,'26.10 HOIMA-KYENJOJO-24h'!N40,'28.10 HOIMA-KYENJOJO-24h'!N40,'31.10 HOIMA-KYENJOJO'!N40)</f>
        <v>0</v>
      </c>
      <c r="O40" s="15">
        <f t="shared" si="0"/>
        <v>8.8571428571428559</v>
      </c>
      <c r="P40" s="15">
        <f t="shared" si="1"/>
        <v>37.428571428571431</v>
      </c>
      <c r="R40" s="5" t="s">
        <v>17</v>
      </c>
      <c r="S40" s="16">
        <f t="shared" ref="S40:AF40" si="32">SUM(S10:S21)</f>
        <v>256.85714285714283</v>
      </c>
      <c r="T40" s="16">
        <f t="shared" si="32"/>
        <v>32.714285714285715</v>
      </c>
      <c r="U40" s="16">
        <f t="shared" si="32"/>
        <v>45.428571428571431</v>
      </c>
      <c r="V40" s="16">
        <f t="shared" si="32"/>
        <v>38.285714285714285</v>
      </c>
      <c r="W40" s="16">
        <f t="shared" si="32"/>
        <v>1.5714285714285714</v>
      </c>
      <c r="X40" s="16">
        <f t="shared" si="32"/>
        <v>2.1428571428571428</v>
      </c>
      <c r="Y40" s="16">
        <f t="shared" si="32"/>
        <v>37.571428571428569</v>
      </c>
      <c r="Z40" s="16">
        <f t="shared" si="32"/>
        <v>33.571428571428569</v>
      </c>
      <c r="AA40" s="16">
        <f t="shared" si="32"/>
        <v>13.714285714285714</v>
      </c>
      <c r="AB40" s="16">
        <f t="shared" si="32"/>
        <v>1.4285714285714286</v>
      </c>
      <c r="AC40" s="16">
        <f t="shared" si="32"/>
        <v>1564.4285714285713</v>
      </c>
      <c r="AD40" s="16">
        <f t="shared" si="32"/>
        <v>0.71428571428571419</v>
      </c>
      <c r="AE40" s="32">
        <f t="shared" si="32"/>
        <v>464</v>
      </c>
      <c r="AF40" s="32">
        <f t="shared" si="32"/>
        <v>2028.4285714285716</v>
      </c>
    </row>
    <row r="41" spans="2:32" ht="23.1" customHeight="1" x14ac:dyDescent="0.25">
      <c r="B41" s="23" t="s">
        <v>68</v>
      </c>
      <c r="C41" s="49">
        <f>AVERAGE('25.10 HOIMA-KYENJOJO'!C41,'27.10 HOIMA-KYENJOJO'!C41,'29.10 HOIMA-KYENJOJO'!C41,'30.10 HOIMA-KYENJOJO'!C41,'26.10 HOIMA-KYENJOJO-24h'!C41,'28.10 HOIMA-KYENJOJO-24h'!C41,'31.10 HOIMA-KYENJOJO'!C41)</f>
        <v>4.7142857142857144</v>
      </c>
      <c r="D41" s="49">
        <f>AVERAGE('25.10 HOIMA-KYENJOJO'!D41,'27.10 HOIMA-KYENJOJO'!D41,'29.10 HOIMA-KYENJOJO'!D41,'30.10 HOIMA-KYENJOJO'!D41,'26.10 HOIMA-KYENJOJO-24h'!D41,'28.10 HOIMA-KYENJOJO-24h'!D41,'31.10 HOIMA-KYENJOJO'!D41)</f>
        <v>0.7142857142857143</v>
      </c>
      <c r="E41" s="49">
        <f>AVERAGE('25.10 HOIMA-KYENJOJO'!E41,'27.10 HOIMA-KYENJOJO'!E41,'29.10 HOIMA-KYENJOJO'!E41,'30.10 HOIMA-KYENJOJO'!E41,'26.10 HOIMA-KYENJOJO-24h'!E41,'28.10 HOIMA-KYENJOJO-24h'!E41,'31.10 HOIMA-KYENJOJO'!E41)</f>
        <v>0.5714285714285714</v>
      </c>
      <c r="F41" s="49">
        <f>AVERAGE('25.10 HOIMA-KYENJOJO'!F41,'27.10 HOIMA-KYENJOJO'!F41,'29.10 HOIMA-KYENJOJO'!F41,'30.10 HOIMA-KYENJOJO'!F41,'26.10 HOIMA-KYENJOJO-24h'!F41,'28.10 HOIMA-KYENJOJO-24h'!F41,'31.10 HOIMA-KYENJOJO'!F41)</f>
        <v>1.2857142857142858</v>
      </c>
      <c r="G41" s="49">
        <f>AVERAGE('25.10 HOIMA-KYENJOJO'!G41,'27.10 HOIMA-KYENJOJO'!G41,'29.10 HOIMA-KYENJOJO'!G41,'30.10 HOIMA-KYENJOJO'!G41,'26.10 HOIMA-KYENJOJO-24h'!G41,'28.10 HOIMA-KYENJOJO-24h'!G41,'31.10 HOIMA-KYENJOJO'!G41)</f>
        <v>0</v>
      </c>
      <c r="H41" s="49">
        <f>AVERAGE('25.10 HOIMA-KYENJOJO'!H41,'27.10 HOIMA-KYENJOJO'!H41,'29.10 HOIMA-KYENJOJO'!H41,'30.10 HOIMA-KYENJOJO'!H41,'26.10 HOIMA-KYENJOJO-24h'!H41,'28.10 HOIMA-KYENJOJO-24h'!H41,'31.10 HOIMA-KYENJOJO'!H41)</f>
        <v>0</v>
      </c>
      <c r="I41" s="49">
        <f>AVERAGE('25.10 HOIMA-KYENJOJO'!I41,'27.10 HOIMA-KYENJOJO'!I41,'29.10 HOIMA-KYENJOJO'!I41,'30.10 HOIMA-KYENJOJO'!I41,'26.10 HOIMA-KYENJOJO-24h'!I41,'28.10 HOIMA-KYENJOJO-24h'!I41,'31.10 HOIMA-KYENJOJO'!I41)</f>
        <v>0.8571428571428571</v>
      </c>
      <c r="J41" s="49">
        <f>AVERAGE('25.10 HOIMA-KYENJOJO'!J41,'27.10 HOIMA-KYENJOJO'!J41,'29.10 HOIMA-KYENJOJO'!J41,'30.10 HOIMA-KYENJOJO'!J41,'26.10 HOIMA-KYENJOJO-24h'!J41,'28.10 HOIMA-KYENJOJO-24h'!J41,'31.10 HOIMA-KYENJOJO'!J41)</f>
        <v>1.1428571428571428</v>
      </c>
      <c r="K41" s="49">
        <f>AVERAGE('25.10 HOIMA-KYENJOJO'!K41,'27.10 HOIMA-KYENJOJO'!K41,'29.10 HOIMA-KYENJOJO'!K41,'30.10 HOIMA-KYENJOJO'!K41,'26.10 HOIMA-KYENJOJO-24h'!K41,'28.10 HOIMA-KYENJOJO-24h'!K41,'31.10 HOIMA-KYENJOJO'!K41)</f>
        <v>0.8571428571428571</v>
      </c>
      <c r="L41" s="49">
        <f>AVERAGE('25.10 HOIMA-KYENJOJO'!L41,'27.10 HOIMA-KYENJOJO'!L41,'29.10 HOIMA-KYENJOJO'!L41,'30.10 HOIMA-KYENJOJO'!L41,'26.10 HOIMA-KYENJOJO-24h'!L41,'28.10 HOIMA-KYENJOJO-24h'!L41,'31.10 HOIMA-KYENJOJO'!L41)</f>
        <v>0</v>
      </c>
      <c r="M41" s="49">
        <f>AVERAGE('25.10 HOIMA-KYENJOJO'!M41,'27.10 HOIMA-KYENJOJO'!M41,'29.10 HOIMA-KYENJOJO'!M41,'30.10 HOIMA-KYENJOJO'!M41,'26.10 HOIMA-KYENJOJO-24h'!M41,'28.10 HOIMA-KYENJOJO-24h'!M41,'31.10 HOIMA-KYENJOJO'!M41)</f>
        <v>28.142857142857142</v>
      </c>
      <c r="N41" s="49">
        <f>AVERAGE('25.10 HOIMA-KYENJOJO'!N41,'27.10 HOIMA-KYENJOJO'!N41,'29.10 HOIMA-KYENJOJO'!N41,'30.10 HOIMA-KYENJOJO'!N41,'26.10 HOIMA-KYENJOJO-24h'!N41,'28.10 HOIMA-KYENJOJO-24h'!N41,'31.10 HOIMA-KYENJOJO'!N41)</f>
        <v>0</v>
      </c>
      <c r="O41" s="15">
        <f t="shared" si="0"/>
        <v>10.142857142857142</v>
      </c>
      <c r="P41" s="15">
        <f t="shared" si="1"/>
        <v>38.285714285714285</v>
      </c>
      <c r="R41" s="5" t="s">
        <v>179</v>
      </c>
      <c r="S41" s="52">
        <f>SUM(S10:S33)</f>
        <v>326.85714285714283</v>
      </c>
      <c r="T41" s="52">
        <f t="shared" ref="T41:AD41" si="33">SUM(T10:T33)</f>
        <v>40.714285714285715</v>
      </c>
      <c r="U41" s="52">
        <f t="shared" si="33"/>
        <v>54.928571428571431</v>
      </c>
      <c r="V41" s="52">
        <f t="shared" si="33"/>
        <v>47.785714285714285</v>
      </c>
      <c r="W41" s="52">
        <f t="shared" si="33"/>
        <v>1.5714285714285714</v>
      </c>
      <c r="X41" s="52">
        <f t="shared" si="33"/>
        <v>2.1428571428571428</v>
      </c>
      <c r="Y41" s="52">
        <f t="shared" si="33"/>
        <v>45.071428571428569</v>
      </c>
      <c r="Z41" s="52">
        <f t="shared" si="33"/>
        <v>39.571428571428569</v>
      </c>
      <c r="AA41" s="52">
        <f t="shared" si="33"/>
        <v>21.214285714285715</v>
      </c>
      <c r="AB41" s="52">
        <f t="shared" si="33"/>
        <v>1.9285714285714286</v>
      </c>
      <c r="AC41" s="52">
        <f t="shared" si="33"/>
        <v>1917.4285714285713</v>
      </c>
      <c r="AD41" s="52">
        <f t="shared" si="33"/>
        <v>0.71428571428571419</v>
      </c>
      <c r="AE41" s="53">
        <f>SUM(AE10:AE33)</f>
        <v>582.5</v>
      </c>
      <c r="AF41" s="53">
        <f>SUM(AF10:AF33)</f>
        <v>2499.9285714285716</v>
      </c>
    </row>
    <row r="42" spans="2:32" ht="23.1" customHeight="1" x14ac:dyDescent="0.25">
      <c r="B42" s="24" t="s">
        <v>69</v>
      </c>
      <c r="C42" s="49">
        <f>AVERAGE('25.10 HOIMA-KYENJOJO'!C42,'27.10 HOIMA-KYENJOJO'!C42,'29.10 HOIMA-KYENJOJO'!C42,'30.10 HOIMA-KYENJOJO'!C42,'26.10 HOIMA-KYENJOJO-24h'!C42,'28.10 HOIMA-KYENJOJO-24h'!C42,'31.10 HOIMA-KYENJOJO'!C42)</f>
        <v>4.8571428571428568</v>
      </c>
      <c r="D42" s="49">
        <f>AVERAGE('25.10 HOIMA-KYENJOJO'!D42,'27.10 HOIMA-KYENJOJO'!D42,'29.10 HOIMA-KYENJOJO'!D42,'30.10 HOIMA-KYENJOJO'!D42,'26.10 HOIMA-KYENJOJO-24h'!D42,'28.10 HOIMA-KYENJOJO-24h'!D42,'31.10 HOIMA-KYENJOJO'!D42)</f>
        <v>0.5714285714285714</v>
      </c>
      <c r="E42" s="49">
        <f>AVERAGE('25.10 HOIMA-KYENJOJO'!E42,'27.10 HOIMA-KYENJOJO'!E42,'29.10 HOIMA-KYENJOJO'!E42,'30.10 HOIMA-KYENJOJO'!E42,'26.10 HOIMA-KYENJOJO-24h'!E42,'28.10 HOIMA-KYENJOJO-24h'!E42,'31.10 HOIMA-KYENJOJO'!E42)</f>
        <v>0.8571428571428571</v>
      </c>
      <c r="F42" s="49">
        <f>AVERAGE('25.10 HOIMA-KYENJOJO'!F42,'27.10 HOIMA-KYENJOJO'!F42,'29.10 HOIMA-KYENJOJO'!F42,'30.10 HOIMA-KYENJOJO'!F42,'26.10 HOIMA-KYENJOJO-24h'!F42,'28.10 HOIMA-KYENJOJO-24h'!F42,'31.10 HOIMA-KYENJOJO'!F42)</f>
        <v>0.5714285714285714</v>
      </c>
      <c r="G42" s="49">
        <f>AVERAGE('25.10 HOIMA-KYENJOJO'!G42,'27.10 HOIMA-KYENJOJO'!G42,'29.10 HOIMA-KYENJOJO'!G42,'30.10 HOIMA-KYENJOJO'!G42,'26.10 HOIMA-KYENJOJO-24h'!G42,'28.10 HOIMA-KYENJOJO-24h'!G42,'31.10 HOIMA-KYENJOJO'!G42)</f>
        <v>0.14285714285714285</v>
      </c>
      <c r="H42" s="49">
        <f>AVERAGE('25.10 HOIMA-KYENJOJO'!H42,'27.10 HOIMA-KYENJOJO'!H42,'29.10 HOIMA-KYENJOJO'!H42,'30.10 HOIMA-KYENJOJO'!H42,'26.10 HOIMA-KYENJOJO-24h'!H42,'28.10 HOIMA-KYENJOJO-24h'!H42,'31.10 HOIMA-KYENJOJO'!H42)</f>
        <v>0</v>
      </c>
      <c r="I42" s="49">
        <f>AVERAGE('25.10 HOIMA-KYENJOJO'!I42,'27.10 HOIMA-KYENJOJO'!I42,'29.10 HOIMA-KYENJOJO'!I42,'30.10 HOIMA-KYENJOJO'!I42,'26.10 HOIMA-KYENJOJO-24h'!I42,'28.10 HOIMA-KYENJOJO-24h'!I42,'31.10 HOIMA-KYENJOJO'!I42)</f>
        <v>1.1428571428571428</v>
      </c>
      <c r="J42" s="49">
        <f>AVERAGE('25.10 HOIMA-KYENJOJO'!J42,'27.10 HOIMA-KYENJOJO'!J42,'29.10 HOIMA-KYENJOJO'!J42,'30.10 HOIMA-KYENJOJO'!J42,'26.10 HOIMA-KYENJOJO-24h'!J42,'28.10 HOIMA-KYENJOJO-24h'!J42,'31.10 HOIMA-KYENJOJO'!J42)</f>
        <v>0.14285714285714285</v>
      </c>
      <c r="K42" s="49">
        <f>AVERAGE('25.10 HOIMA-KYENJOJO'!K42,'27.10 HOIMA-KYENJOJO'!K42,'29.10 HOIMA-KYENJOJO'!K42,'30.10 HOIMA-KYENJOJO'!K42,'26.10 HOIMA-KYENJOJO-24h'!K42,'28.10 HOIMA-KYENJOJO-24h'!K42,'31.10 HOIMA-KYENJOJO'!K42)</f>
        <v>0</v>
      </c>
      <c r="L42" s="49">
        <f>AVERAGE('25.10 HOIMA-KYENJOJO'!L42,'27.10 HOIMA-KYENJOJO'!L42,'29.10 HOIMA-KYENJOJO'!L42,'30.10 HOIMA-KYENJOJO'!L42,'26.10 HOIMA-KYENJOJO-24h'!L42,'28.10 HOIMA-KYENJOJO-24h'!L42,'31.10 HOIMA-KYENJOJO'!L42)</f>
        <v>0</v>
      </c>
      <c r="M42" s="49">
        <f>AVERAGE('25.10 HOIMA-KYENJOJO'!M42,'27.10 HOIMA-KYENJOJO'!M42,'29.10 HOIMA-KYENJOJO'!M42,'30.10 HOIMA-KYENJOJO'!M42,'26.10 HOIMA-KYENJOJO-24h'!M42,'28.10 HOIMA-KYENJOJO-24h'!M42,'31.10 HOIMA-KYENJOJO'!M42)</f>
        <v>32.571428571428569</v>
      </c>
      <c r="N42" s="49">
        <f>AVERAGE('25.10 HOIMA-KYENJOJO'!N42,'27.10 HOIMA-KYENJOJO'!N42,'29.10 HOIMA-KYENJOJO'!N42,'30.10 HOIMA-KYENJOJO'!N42,'26.10 HOIMA-KYENJOJO-24h'!N42,'28.10 HOIMA-KYENJOJO-24h'!N42,'31.10 HOIMA-KYENJOJO'!N42)</f>
        <v>0</v>
      </c>
      <c r="O42" s="15">
        <f t="shared" si="0"/>
        <v>8.2857142857142847</v>
      </c>
      <c r="P42" s="15">
        <f t="shared" si="1"/>
        <v>40.857142857142854</v>
      </c>
      <c r="R42" s="5" t="s">
        <v>160</v>
      </c>
      <c r="S42" s="48">
        <f>S41/S40</f>
        <v>1.2725250278086764</v>
      </c>
      <c r="T42" s="48">
        <f t="shared" ref="T42:AF42" si="34">T41/T40</f>
        <v>1.2445414847161571</v>
      </c>
      <c r="U42" s="48">
        <f t="shared" si="34"/>
        <v>1.2091194968553458</v>
      </c>
      <c r="V42" s="48">
        <f t="shared" si="34"/>
        <v>1.2481343283582089</v>
      </c>
      <c r="W42" s="48">
        <f t="shared" si="34"/>
        <v>1</v>
      </c>
      <c r="X42" s="48">
        <f t="shared" si="34"/>
        <v>1</v>
      </c>
      <c r="Y42" s="48">
        <f t="shared" si="34"/>
        <v>1.1996197718631179</v>
      </c>
      <c r="Z42" s="48">
        <f t="shared" si="34"/>
        <v>1.1787234042553192</v>
      </c>
      <c r="AA42" s="48">
        <f t="shared" si="34"/>
        <v>1.5468750000000002</v>
      </c>
      <c r="AB42" s="48">
        <f t="shared" si="34"/>
        <v>1.35</v>
      </c>
      <c r="AC42" s="48">
        <f t="shared" si="34"/>
        <v>1.2256414939274953</v>
      </c>
      <c r="AD42" s="48">
        <f t="shared" si="34"/>
        <v>1</v>
      </c>
      <c r="AE42" s="51">
        <f t="shared" si="34"/>
        <v>1.2553879310344827</v>
      </c>
      <c r="AF42" s="51">
        <f t="shared" si="34"/>
        <v>1.2324459468976687</v>
      </c>
    </row>
    <row r="43" spans="2:32" ht="23.1" customHeight="1" x14ac:dyDescent="0.25">
      <c r="B43" s="23" t="s">
        <v>70</v>
      </c>
      <c r="C43" s="49">
        <f>AVERAGE('25.10 HOIMA-KYENJOJO'!C43,'27.10 HOIMA-KYENJOJO'!C43,'29.10 HOIMA-KYENJOJO'!C43,'30.10 HOIMA-KYENJOJO'!C43,'26.10 HOIMA-KYENJOJO-24h'!C43,'28.10 HOIMA-KYENJOJO-24h'!C43,'31.10 HOIMA-KYENJOJO'!C43)</f>
        <v>6.1428571428571432</v>
      </c>
      <c r="D43" s="49">
        <f>AVERAGE('25.10 HOIMA-KYENJOJO'!D43,'27.10 HOIMA-KYENJOJO'!D43,'29.10 HOIMA-KYENJOJO'!D43,'30.10 HOIMA-KYENJOJO'!D43,'26.10 HOIMA-KYENJOJO-24h'!D43,'28.10 HOIMA-KYENJOJO-24h'!D43,'31.10 HOIMA-KYENJOJO'!D43)</f>
        <v>0.7142857142857143</v>
      </c>
      <c r="E43" s="49">
        <f>AVERAGE('25.10 HOIMA-KYENJOJO'!E43,'27.10 HOIMA-KYENJOJO'!E43,'29.10 HOIMA-KYENJOJO'!E43,'30.10 HOIMA-KYENJOJO'!E43,'26.10 HOIMA-KYENJOJO-24h'!E43,'28.10 HOIMA-KYENJOJO-24h'!E43,'31.10 HOIMA-KYENJOJO'!E43)</f>
        <v>1</v>
      </c>
      <c r="F43" s="49">
        <f>AVERAGE('25.10 HOIMA-KYENJOJO'!F43,'27.10 HOIMA-KYENJOJO'!F43,'29.10 HOIMA-KYENJOJO'!F43,'30.10 HOIMA-KYENJOJO'!F43,'26.10 HOIMA-KYENJOJO-24h'!F43,'28.10 HOIMA-KYENJOJO-24h'!F43,'31.10 HOIMA-KYENJOJO'!F43)</f>
        <v>1</v>
      </c>
      <c r="G43" s="49">
        <f>AVERAGE('25.10 HOIMA-KYENJOJO'!G43,'27.10 HOIMA-KYENJOJO'!G43,'29.10 HOIMA-KYENJOJO'!G43,'30.10 HOIMA-KYENJOJO'!G43,'26.10 HOIMA-KYENJOJO-24h'!G43,'28.10 HOIMA-KYENJOJO-24h'!G43,'31.10 HOIMA-KYENJOJO'!G43)</f>
        <v>0</v>
      </c>
      <c r="H43" s="49">
        <f>AVERAGE('25.10 HOIMA-KYENJOJO'!H43,'27.10 HOIMA-KYENJOJO'!H43,'29.10 HOIMA-KYENJOJO'!H43,'30.10 HOIMA-KYENJOJO'!H43,'26.10 HOIMA-KYENJOJO-24h'!H43,'28.10 HOIMA-KYENJOJO-24h'!H43,'31.10 HOIMA-KYENJOJO'!H43)</f>
        <v>0.2857142857142857</v>
      </c>
      <c r="I43" s="49">
        <f>AVERAGE('25.10 HOIMA-KYENJOJO'!I43,'27.10 HOIMA-KYENJOJO'!I43,'29.10 HOIMA-KYENJOJO'!I43,'30.10 HOIMA-KYENJOJO'!I43,'26.10 HOIMA-KYENJOJO-24h'!I43,'28.10 HOIMA-KYENJOJO-24h'!I43,'31.10 HOIMA-KYENJOJO'!I43)</f>
        <v>0.7142857142857143</v>
      </c>
      <c r="J43" s="49">
        <f>AVERAGE('25.10 HOIMA-KYENJOJO'!J43,'27.10 HOIMA-KYENJOJO'!J43,'29.10 HOIMA-KYENJOJO'!J43,'30.10 HOIMA-KYENJOJO'!J43,'26.10 HOIMA-KYENJOJO-24h'!J43,'28.10 HOIMA-KYENJOJO-24h'!J43,'31.10 HOIMA-KYENJOJO'!J43)</f>
        <v>0.8571428571428571</v>
      </c>
      <c r="K43" s="49">
        <f>AVERAGE('25.10 HOIMA-KYENJOJO'!K43,'27.10 HOIMA-KYENJOJO'!K43,'29.10 HOIMA-KYENJOJO'!K43,'30.10 HOIMA-KYENJOJO'!K43,'26.10 HOIMA-KYENJOJO-24h'!K43,'28.10 HOIMA-KYENJOJO-24h'!K43,'31.10 HOIMA-KYENJOJO'!K43)</f>
        <v>0.2857142857142857</v>
      </c>
      <c r="L43" s="49">
        <f>AVERAGE('25.10 HOIMA-KYENJOJO'!L43,'27.10 HOIMA-KYENJOJO'!L43,'29.10 HOIMA-KYENJOJO'!L43,'30.10 HOIMA-KYENJOJO'!L43,'26.10 HOIMA-KYENJOJO-24h'!L43,'28.10 HOIMA-KYENJOJO-24h'!L43,'31.10 HOIMA-KYENJOJO'!L43)</f>
        <v>0.14285714285714285</v>
      </c>
      <c r="M43" s="49">
        <f>AVERAGE('25.10 HOIMA-KYENJOJO'!M43,'27.10 HOIMA-KYENJOJO'!M43,'29.10 HOIMA-KYENJOJO'!M43,'30.10 HOIMA-KYENJOJO'!M43,'26.10 HOIMA-KYENJOJO-24h'!M43,'28.10 HOIMA-KYENJOJO-24h'!M43,'31.10 HOIMA-KYENJOJO'!M43)</f>
        <v>30.428571428571427</v>
      </c>
      <c r="N43" s="49">
        <f>AVERAGE('25.10 HOIMA-KYENJOJO'!N43,'27.10 HOIMA-KYENJOJO'!N43,'29.10 HOIMA-KYENJOJO'!N43,'30.10 HOIMA-KYENJOJO'!N43,'26.10 HOIMA-KYENJOJO-24h'!N43,'28.10 HOIMA-KYENJOJO-24h'!N43,'31.10 HOIMA-KYENJOJO'!N43)</f>
        <v>0</v>
      </c>
      <c r="O43" s="15">
        <f t="shared" si="0"/>
        <v>11.142857142857144</v>
      </c>
      <c r="P43" s="15">
        <f t="shared" si="1"/>
        <v>41.571428571428569</v>
      </c>
    </row>
    <row r="44" spans="2:32" ht="23.1" customHeight="1" x14ac:dyDescent="0.25">
      <c r="B44" s="25" t="s">
        <v>71</v>
      </c>
      <c r="C44" s="49">
        <f>AVERAGE('25.10 HOIMA-KYENJOJO'!C44,'27.10 HOIMA-KYENJOJO'!C44,'29.10 HOIMA-KYENJOJO'!C44,'30.10 HOIMA-KYENJOJO'!C44,'26.10 HOIMA-KYENJOJO-24h'!C44,'28.10 HOIMA-KYENJOJO-24h'!C44,'31.10 HOIMA-KYENJOJO'!C44)</f>
        <v>3.4285714285714284</v>
      </c>
      <c r="D44" s="49">
        <f>AVERAGE('25.10 HOIMA-KYENJOJO'!D44,'27.10 HOIMA-KYENJOJO'!D44,'29.10 HOIMA-KYENJOJO'!D44,'30.10 HOIMA-KYENJOJO'!D44,'26.10 HOIMA-KYENJOJO-24h'!D44,'28.10 HOIMA-KYENJOJO-24h'!D44,'31.10 HOIMA-KYENJOJO'!D44)</f>
        <v>0.7142857142857143</v>
      </c>
      <c r="E44" s="49">
        <f>AVERAGE('25.10 HOIMA-KYENJOJO'!E44,'27.10 HOIMA-KYENJOJO'!E44,'29.10 HOIMA-KYENJOJO'!E44,'30.10 HOIMA-KYENJOJO'!E44,'26.10 HOIMA-KYENJOJO-24h'!E44,'28.10 HOIMA-KYENJOJO-24h'!E44,'31.10 HOIMA-KYENJOJO'!E44)</f>
        <v>0.42857142857142855</v>
      </c>
      <c r="F44" s="49">
        <f>AVERAGE('25.10 HOIMA-KYENJOJO'!F44,'27.10 HOIMA-KYENJOJO'!F44,'29.10 HOIMA-KYENJOJO'!F44,'30.10 HOIMA-KYENJOJO'!F44,'26.10 HOIMA-KYENJOJO-24h'!F44,'28.10 HOIMA-KYENJOJO-24h'!F44,'31.10 HOIMA-KYENJOJO'!F44)</f>
        <v>1.1428571428571428</v>
      </c>
      <c r="G44" s="49">
        <f>AVERAGE('25.10 HOIMA-KYENJOJO'!G44,'27.10 HOIMA-KYENJOJO'!G44,'29.10 HOIMA-KYENJOJO'!G44,'30.10 HOIMA-KYENJOJO'!G44,'26.10 HOIMA-KYENJOJO-24h'!G44,'28.10 HOIMA-KYENJOJO-24h'!G44,'31.10 HOIMA-KYENJOJO'!G44)</f>
        <v>0</v>
      </c>
      <c r="H44" s="49">
        <f>AVERAGE('25.10 HOIMA-KYENJOJO'!H44,'27.10 HOIMA-KYENJOJO'!H44,'29.10 HOIMA-KYENJOJO'!H44,'30.10 HOIMA-KYENJOJO'!H44,'26.10 HOIMA-KYENJOJO-24h'!H44,'28.10 HOIMA-KYENJOJO-24h'!H44,'31.10 HOIMA-KYENJOJO'!H44)</f>
        <v>0</v>
      </c>
      <c r="I44" s="49">
        <f>AVERAGE('25.10 HOIMA-KYENJOJO'!I44,'27.10 HOIMA-KYENJOJO'!I44,'29.10 HOIMA-KYENJOJO'!I44,'30.10 HOIMA-KYENJOJO'!I44,'26.10 HOIMA-KYENJOJO-24h'!I44,'28.10 HOIMA-KYENJOJO-24h'!I44,'31.10 HOIMA-KYENJOJO'!I44)</f>
        <v>0.8571428571428571</v>
      </c>
      <c r="J44" s="49">
        <f>AVERAGE('25.10 HOIMA-KYENJOJO'!J44,'27.10 HOIMA-KYENJOJO'!J44,'29.10 HOIMA-KYENJOJO'!J44,'30.10 HOIMA-KYENJOJO'!J44,'26.10 HOIMA-KYENJOJO-24h'!J44,'28.10 HOIMA-KYENJOJO-24h'!J44,'31.10 HOIMA-KYENJOJO'!J44)</f>
        <v>1</v>
      </c>
      <c r="K44" s="49">
        <f>AVERAGE('25.10 HOIMA-KYENJOJO'!K44,'27.10 HOIMA-KYENJOJO'!K44,'29.10 HOIMA-KYENJOJO'!K44,'30.10 HOIMA-KYENJOJO'!K44,'26.10 HOIMA-KYENJOJO-24h'!K44,'28.10 HOIMA-KYENJOJO-24h'!K44,'31.10 HOIMA-KYENJOJO'!K44)</f>
        <v>0.2857142857142857</v>
      </c>
      <c r="L44" s="49">
        <f>AVERAGE('25.10 HOIMA-KYENJOJO'!L44,'27.10 HOIMA-KYENJOJO'!L44,'29.10 HOIMA-KYENJOJO'!L44,'30.10 HOIMA-KYENJOJO'!L44,'26.10 HOIMA-KYENJOJO-24h'!L44,'28.10 HOIMA-KYENJOJO-24h'!L44,'31.10 HOIMA-KYENJOJO'!L44)</f>
        <v>0.14285714285714285</v>
      </c>
      <c r="M44" s="49">
        <f>AVERAGE('25.10 HOIMA-KYENJOJO'!M44,'27.10 HOIMA-KYENJOJO'!M44,'29.10 HOIMA-KYENJOJO'!M44,'30.10 HOIMA-KYENJOJO'!M44,'26.10 HOIMA-KYENJOJO-24h'!M44,'28.10 HOIMA-KYENJOJO-24h'!M44,'31.10 HOIMA-KYENJOJO'!M44)</f>
        <v>31.142857142857142</v>
      </c>
      <c r="N44" s="49">
        <f>AVERAGE('25.10 HOIMA-KYENJOJO'!N44,'27.10 HOIMA-KYENJOJO'!N44,'29.10 HOIMA-KYENJOJO'!N44,'30.10 HOIMA-KYENJOJO'!N44,'26.10 HOIMA-KYENJOJO-24h'!N44,'28.10 HOIMA-KYENJOJO-24h'!N44,'31.10 HOIMA-KYENJOJO'!N44)</f>
        <v>0</v>
      </c>
      <c r="O44" s="15">
        <f t="shared" si="0"/>
        <v>7.9999999999999991</v>
      </c>
      <c r="P44" s="15">
        <f t="shared" si="1"/>
        <v>39.142857142857139</v>
      </c>
    </row>
    <row r="45" spans="2:32" ht="23.1" customHeight="1" x14ac:dyDescent="0.25">
      <c r="B45" s="23" t="s">
        <v>72</v>
      </c>
      <c r="C45" s="49">
        <f>AVERAGE('25.10 HOIMA-KYENJOJO'!C45,'27.10 HOIMA-KYENJOJO'!C45,'29.10 HOIMA-KYENJOJO'!C45,'30.10 HOIMA-KYENJOJO'!C45,'26.10 HOIMA-KYENJOJO-24h'!C45,'28.10 HOIMA-KYENJOJO-24h'!C45,'31.10 HOIMA-KYENJOJO'!C45)</f>
        <v>5.8571428571428568</v>
      </c>
      <c r="D45" s="49">
        <f>AVERAGE('25.10 HOIMA-KYENJOJO'!D45,'27.10 HOIMA-KYENJOJO'!D45,'29.10 HOIMA-KYENJOJO'!D45,'30.10 HOIMA-KYENJOJO'!D45,'26.10 HOIMA-KYENJOJO-24h'!D45,'28.10 HOIMA-KYENJOJO-24h'!D45,'31.10 HOIMA-KYENJOJO'!D45)</f>
        <v>0.2857142857142857</v>
      </c>
      <c r="E45" s="49">
        <f>AVERAGE('25.10 HOIMA-KYENJOJO'!E45,'27.10 HOIMA-KYENJOJO'!E45,'29.10 HOIMA-KYENJOJO'!E45,'30.10 HOIMA-KYENJOJO'!E45,'26.10 HOIMA-KYENJOJO-24h'!E45,'28.10 HOIMA-KYENJOJO-24h'!E45,'31.10 HOIMA-KYENJOJO'!E45)</f>
        <v>1.1428571428571428</v>
      </c>
      <c r="F45" s="49">
        <f>AVERAGE('25.10 HOIMA-KYENJOJO'!F45,'27.10 HOIMA-KYENJOJO'!F45,'29.10 HOIMA-KYENJOJO'!F45,'30.10 HOIMA-KYENJOJO'!F45,'26.10 HOIMA-KYENJOJO-24h'!F45,'28.10 HOIMA-KYENJOJO-24h'!F45,'31.10 HOIMA-KYENJOJO'!F45)</f>
        <v>1</v>
      </c>
      <c r="G45" s="49">
        <f>AVERAGE('25.10 HOIMA-KYENJOJO'!G45,'27.10 HOIMA-KYENJOJO'!G45,'29.10 HOIMA-KYENJOJO'!G45,'30.10 HOIMA-KYENJOJO'!G45,'26.10 HOIMA-KYENJOJO-24h'!G45,'28.10 HOIMA-KYENJOJO-24h'!G45,'31.10 HOIMA-KYENJOJO'!G45)</f>
        <v>0</v>
      </c>
      <c r="H45" s="49">
        <f>AVERAGE('25.10 HOIMA-KYENJOJO'!H45,'27.10 HOIMA-KYENJOJO'!H45,'29.10 HOIMA-KYENJOJO'!H45,'30.10 HOIMA-KYENJOJO'!H45,'26.10 HOIMA-KYENJOJO-24h'!H45,'28.10 HOIMA-KYENJOJO-24h'!H45,'31.10 HOIMA-KYENJOJO'!H45)</f>
        <v>0</v>
      </c>
      <c r="I45" s="49">
        <f>AVERAGE('25.10 HOIMA-KYENJOJO'!I45,'27.10 HOIMA-KYENJOJO'!I45,'29.10 HOIMA-KYENJOJO'!I45,'30.10 HOIMA-KYENJOJO'!I45,'26.10 HOIMA-KYENJOJO-24h'!I45,'28.10 HOIMA-KYENJOJO-24h'!I45,'31.10 HOIMA-KYENJOJO'!I45)</f>
        <v>1.1428571428571428</v>
      </c>
      <c r="J45" s="49">
        <f>AVERAGE('25.10 HOIMA-KYENJOJO'!J45,'27.10 HOIMA-KYENJOJO'!J45,'29.10 HOIMA-KYENJOJO'!J45,'30.10 HOIMA-KYENJOJO'!J45,'26.10 HOIMA-KYENJOJO-24h'!J45,'28.10 HOIMA-KYENJOJO-24h'!J45,'31.10 HOIMA-KYENJOJO'!J45)</f>
        <v>1</v>
      </c>
      <c r="K45" s="49">
        <f>AVERAGE('25.10 HOIMA-KYENJOJO'!K45,'27.10 HOIMA-KYENJOJO'!K45,'29.10 HOIMA-KYENJOJO'!K45,'30.10 HOIMA-KYENJOJO'!K45,'26.10 HOIMA-KYENJOJO-24h'!K45,'28.10 HOIMA-KYENJOJO-24h'!K45,'31.10 HOIMA-KYENJOJO'!K45)</f>
        <v>0.2857142857142857</v>
      </c>
      <c r="L45" s="49">
        <f>AVERAGE('25.10 HOIMA-KYENJOJO'!L45,'27.10 HOIMA-KYENJOJO'!L45,'29.10 HOIMA-KYENJOJO'!L45,'30.10 HOIMA-KYENJOJO'!L45,'26.10 HOIMA-KYENJOJO-24h'!L45,'28.10 HOIMA-KYENJOJO-24h'!L45,'31.10 HOIMA-KYENJOJO'!L45)</f>
        <v>0.14285714285714285</v>
      </c>
      <c r="M45" s="49">
        <f>AVERAGE('25.10 HOIMA-KYENJOJO'!M45,'27.10 HOIMA-KYENJOJO'!M45,'29.10 HOIMA-KYENJOJO'!M45,'30.10 HOIMA-KYENJOJO'!M45,'26.10 HOIMA-KYENJOJO-24h'!M45,'28.10 HOIMA-KYENJOJO-24h'!M45,'31.10 HOIMA-KYENJOJO'!M45)</f>
        <v>36.714285714285715</v>
      </c>
      <c r="N45" s="49">
        <f>AVERAGE('25.10 HOIMA-KYENJOJO'!N45,'27.10 HOIMA-KYENJOJO'!N45,'29.10 HOIMA-KYENJOJO'!N45,'30.10 HOIMA-KYENJOJO'!N45,'26.10 HOIMA-KYENJOJO-24h'!N45,'28.10 HOIMA-KYENJOJO-24h'!N45,'31.10 HOIMA-KYENJOJO'!N45)</f>
        <v>0</v>
      </c>
      <c r="O45" s="15">
        <f t="shared" si="0"/>
        <v>10.857142857142856</v>
      </c>
      <c r="P45" s="15">
        <f t="shared" si="1"/>
        <v>47.571428571428569</v>
      </c>
    </row>
    <row r="46" spans="2:32" ht="23.1" customHeight="1" x14ac:dyDescent="0.25">
      <c r="B46" s="24" t="s">
        <v>73</v>
      </c>
      <c r="C46" s="49">
        <f>AVERAGE('25.10 HOIMA-KYENJOJO'!C46,'27.10 HOIMA-KYENJOJO'!C46,'29.10 HOIMA-KYENJOJO'!C46,'30.10 HOIMA-KYENJOJO'!C46,'26.10 HOIMA-KYENJOJO-24h'!C46,'28.10 HOIMA-KYENJOJO-24h'!C46,'31.10 HOIMA-KYENJOJO'!C46)</f>
        <v>6</v>
      </c>
      <c r="D46" s="49">
        <f>AVERAGE('25.10 HOIMA-KYENJOJO'!D46,'27.10 HOIMA-KYENJOJO'!D46,'29.10 HOIMA-KYENJOJO'!D46,'30.10 HOIMA-KYENJOJO'!D46,'26.10 HOIMA-KYENJOJO-24h'!D46,'28.10 HOIMA-KYENJOJO-24h'!D46,'31.10 HOIMA-KYENJOJO'!D46)</f>
        <v>0.5714285714285714</v>
      </c>
      <c r="E46" s="49">
        <f>AVERAGE('25.10 HOIMA-KYENJOJO'!E46,'27.10 HOIMA-KYENJOJO'!E46,'29.10 HOIMA-KYENJOJO'!E46,'30.10 HOIMA-KYENJOJO'!E46,'26.10 HOIMA-KYENJOJO-24h'!E46,'28.10 HOIMA-KYENJOJO-24h'!E46,'31.10 HOIMA-KYENJOJO'!E46)</f>
        <v>0.7142857142857143</v>
      </c>
      <c r="F46" s="49">
        <f>AVERAGE('25.10 HOIMA-KYENJOJO'!F46,'27.10 HOIMA-KYENJOJO'!F46,'29.10 HOIMA-KYENJOJO'!F46,'30.10 HOIMA-KYENJOJO'!F46,'26.10 HOIMA-KYENJOJO-24h'!F46,'28.10 HOIMA-KYENJOJO-24h'!F46,'31.10 HOIMA-KYENJOJO'!F46)</f>
        <v>1</v>
      </c>
      <c r="G46" s="49">
        <f>AVERAGE('25.10 HOIMA-KYENJOJO'!G46,'27.10 HOIMA-KYENJOJO'!G46,'29.10 HOIMA-KYENJOJO'!G46,'30.10 HOIMA-KYENJOJO'!G46,'26.10 HOIMA-KYENJOJO-24h'!G46,'28.10 HOIMA-KYENJOJO-24h'!G46,'31.10 HOIMA-KYENJOJO'!G46)</f>
        <v>0.14285714285714285</v>
      </c>
      <c r="H46" s="49">
        <f>AVERAGE('25.10 HOIMA-KYENJOJO'!H46,'27.10 HOIMA-KYENJOJO'!H46,'29.10 HOIMA-KYENJOJO'!H46,'30.10 HOIMA-KYENJOJO'!H46,'26.10 HOIMA-KYENJOJO-24h'!H46,'28.10 HOIMA-KYENJOJO-24h'!H46,'31.10 HOIMA-KYENJOJO'!H46)</f>
        <v>0.14285714285714285</v>
      </c>
      <c r="I46" s="49">
        <f>AVERAGE('25.10 HOIMA-KYENJOJO'!I46,'27.10 HOIMA-KYENJOJO'!I46,'29.10 HOIMA-KYENJOJO'!I46,'30.10 HOIMA-KYENJOJO'!I46,'26.10 HOIMA-KYENJOJO-24h'!I46,'28.10 HOIMA-KYENJOJO-24h'!I46,'31.10 HOIMA-KYENJOJO'!I46)</f>
        <v>0.8571428571428571</v>
      </c>
      <c r="J46" s="49">
        <f>AVERAGE('25.10 HOIMA-KYENJOJO'!J46,'27.10 HOIMA-KYENJOJO'!J46,'29.10 HOIMA-KYENJOJO'!J46,'30.10 HOIMA-KYENJOJO'!J46,'26.10 HOIMA-KYENJOJO-24h'!J46,'28.10 HOIMA-KYENJOJO-24h'!J46,'31.10 HOIMA-KYENJOJO'!J46)</f>
        <v>0.7142857142857143</v>
      </c>
      <c r="K46" s="49">
        <f>AVERAGE('25.10 HOIMA-KYENJOJO'!K46,'27.10 HOIMA-KYENJOJO'!K46,'29.10 HOIMA-KYENJOJO'!K46,'30.10 HOIMA-KYENJOJO'!K46,'26.10 HOIMA-KYENJOJO-24h'!K46,'28.10 HOIMA-KYENJOJO-24h'!K46,'31.10 HOIMA-KYENJOJO'!K46)</f>
        <v>0.14285714285714285</v>
      </c>
      <c r="L46" s="49">
        <f>AVERAGE('25.10 HOIMA-KYENJOJO'!L46,'27.10 HOIMA-KYENJOJO'!L46,'29.10 HOIMA-KYENJOJO'!L46,'30.10 HOIMA-KYENJOJO'!L46,'26.10 HOIMA-KYENJOJO-24h'!L46,'28.10 HOIMA-KYENJOJO-24h'!L46,'31.10 HOIMA-KYENJOJO'!L46)</f>
        <v>0.14285714285714285</v>
      </c>
      <c r="M46" s="49">
        <f>AVERAGE('25.10 HOIMA-KYENJOJO'!M46,'27.10 HOIMA-KYENJOJO'!M46,'29.10 HOIMA-KYENJOJO'!M46,'30.10 HOIMA-KYENJOJO'!M46,'26.10 HOIMA-KYENJOJO-24h'!M46,'28.10 HOIMA-KYENJOJO-24h'!M46,'31.10 HOIMA-KYENJOJO'!M46)</f>
        <v>28.714285714285715</v>
      </c>
      <c r="N46" s="49">
        <f>AVERAGE('25.10 HOIMA-KYENJOJO'!N46,'27.10 HOIMA-KYENJOJO'!N46,'29.10 HOIMA-KYENJOJO'!N46,'30.10 HOIMA-KYENJOJO'!N46,'26.10 HOIMA-KYENJOJO-24h'!N46,'28.10 HOIMA-KYENJOJO-24h'!N46,'31.10 HOIMA-KYENJOJO'!N46)</f>
        <v>0</v>
      </c>
      <c r="O46" s="15">
        <f t="shared" si="0"/>
        <v>10.428571428571425</v>
      </c>
      <c r="P46" s="15">
        <f t="shared" si="1"/>
        <v>39.142857142857139</v>
      </c>
      <c r="R46" s="8"/>
      <c r="T46"/>
    </row>
    <row r="47" spans="2:32" ht="23.1" customHeight="1" x14ac:dyDescent="0.25">
      <c r="B47" s="24" t="s">
        <v>74</v>
      </c>
      <c r="C47" s="49">
        <f>AVERAGE('25.10 HOIMA-KYENJOJO'!C47,'27.10 HOIMA-KYENJOJO'!C47,'29.10 HOIMA-KYENJOJO'!C47,'30.10 HOIMA-KYENJOJO'!C47,'26.10 HOIMA-KYENJOJO-24h'!C47,'28.10 HOIMA-KYENJOJO-24h'!C47,'31.10 HOIMA-KYENJOJO'!C47)</f>
        <v>5.4285714285714288</v>
      </c>
      <c r="D47" s="49">
        <f>AVERAGE('25.10 HOIMA-KYENJOJO'!D47,'27.10 HOIMA-KYENJOJO'!D47,'29.10 HOIMA-KYENJOJO'!D47,'30.10 HOIMA-KYENJOJO'!D47,'26.10 HOIMA-KYENJOJO-24h'!D47,'28.10 HOIMA-KYENJOJO-24h'!D47,'31.10 HOIMA-KYENJOJO'!D47)</f>
        <v>0.5714285714285714</v>
      </c>
      <c r="E47" s="49">
        <f>AVERAGE('25.10 HOIMA-KYENJOJO'!E47,'27.10 HOIMA-KYENJOJO'!E47,'29.10 HOIMA-KYENJOJO'!E47,'30.10 HOIMA-KYENJOJO'!E47,'26.10 HOIMA-KYENJOJO-24h'!E47,'28.10 HOIMA-KYENJOJO-24h'!E47,'31.10 HOIMA-KYENJOJO'!E47)</f>
        <v>1.5714285714285714</v>
      </c>
      <c r="F47" s="49">
        <f>AVERAGE('25.10 HOIMA-KYENJOJO'!F47,'27.10 HOIMA-KYENJOJO'!F47,'29.10 HOIMA-KYENJOJO'!F47,'30.10 HOIMA-KYENJOJO'!F47,'26.10 HOIMA-KYENJOJO-24h'!F47,'28.10 HOIMA-KYENJOJO-24h'!F47,'31.10 HOIMA-KYENJOJO'!F47)</f>
        <v>1.4285714285714286</v>
      </c>
      <c r="G47" s="49">
        <f>AVERAGE('25.10 HOIMA-KYENJOJO'!G47,'27.10 HOIMA-KYENJOJO'!G47,'29.10 HOIMA-KYENJOJO'!G47,'30.10 HOIMA-KYENJOJO'!G47,'26.10 HOIMA-KYENJOJO-24h'!G47,'28.10 HOIMA-KYENJOJO-24h'!G47,'31.10 HOIMA-KYENJOJO'!G47)</f>
        <v>0.2857142857142857</v>
      </c>
      <c r="H47" s="49">
        <f>AVERAGE('25.10 HOIMA-KYENJOJO'!H47,'27.10 HOIMA-KYENJOJO'!H47,'29.10 HOIMA-KYENJOJO'!H47,'30.10 HOIMA-KYENJOJO'!H47,'26.10 HOIMA-KYENJOJO-24h'!H47,'28.10 HOIMA-KYENJOJO-24h'!H47,'31.10 HOIMA-KYENJOJO'!H47)</f>
        <v>0</v>
      </c>
      <c r="I47" s="49">
        <f>AVERAGE('25.10 HOIMA-KYENJOJO'!I47,'27.10 HOIMA-KYENJOJO'!I47,'29.10 HOIMA-KYENJOJO'!I47,'30.10 HOIMA-KYENJOJO'!I47,'26.10 HOIMA-KYENJOJO-24h'!I47,'28.10 HOIMA-KYENJOJO-24h'!I47,'31.10 HOIMA-KYENJOJO'!I47)</f>
        <v>1</v>
      </c>
      <c r="J47" s="49">
        <f>AVERAGE('25.10 HOIMA-KYENJOJO'!J47,'27.10 HOIMA-KYENJOJO'!J47,'29.10 HOIMA-KYENJOJO'!J47,'30.10 HOIMA-KYENJOJO'!J47,'26.10 HOIMA-KYENJOJO-24h'!J47,'28.10 HOIMA-KYENJOJO-24h'!J47,'31.10 HOIMA-KYENJOJO'!J47)</f>
        <v>0.42857142857142855</v>
      </c>
      <c r="K47" s="49">
        <f>AVERAGE('25.10 HOIMA-KYENJOJO'!K47,'27.10 HOIMA-KYENJOJO'!K47,'29.10 HOIMA-KYENJOJO'!K47,'30.10 HOIMA-KYENJOJO'!K47,'26.10 HOIMA-KYENJOJO-24h'!K47,'28.10 HOIMA-KYENJOJO-24h'!K47,'31.10 HOIMA-KYENJOJO'!K47)</f>
        <v>0.2857142857142857</v>
      </c>
      <c r="L47" s="49">
        <f>AVERAGE('25.10 HOIMA-KYENJOJO'!L47,'27.10 HOIMA-KYENJOJO'!L47,'29.10 HOIMA-KYENJOJO'!L47,'30.10 HOIMA-KYENJOJO'!L47,'26.10 HOIMA-KYENJOJO-24h'!L47,'28.10 HOIMA-KYENJOJO-24h'!L47,'31.10 HOIMA-KYENJOJO'!L47)</f>
        <v>0.14285714285714285</v>
      </c>
      <c r="M47" s="49">
        <f>AVERAGE('25.10 HOIMA-KYENJOJO'!M47,'27.10 HOIMA-KYENJOJO'!M47,'29.10 HOIMA-KYENJOJO'!M47,'30.10 HOIMA-KYENJOJO'!M47,'26.10 HOIMA-KYENJOJO-24h'!M47,'28.10 HOIMA-KYENJOJO-24h'!M47,'31.10 HOIMA-KYENJOJO'!M47)</f>
        <v>37.714285714285715</v>
      </c>
      <c r="N47" s="49">
        <f>AVERAGE('25.10 HOIMA-KYENJOJO'!N47,'27.10 HOIMA-KYENJOJO'!N47,'29.10 HOIMA-KYENJOJO'!N47,'30.10 HOIMA-KYENJOJO'!N47,'26.10 HOIMA-KYENJOJO-24h'!N47,'28.10 HOIMA-KYENJOJO-24h'!N47,'31.10 HOIMA-KYENJOJO'!N47)</f>
        <v>0</v>
      </c>
      <c r="O47" s="15">
        <f t="shared" si="0"/>
        <v>11.142857142857144</v>
      </c>
      <c r="P47" s="15">
        <f t="shared" si="1"/>
        <v>48.857142857142861</v>
      </c>
      <c r="R47" s="8"/>
      <c r="T47"/>
    </row>
    <row r="48" spans="2:32" ht="23.1" customHeight="1" x14ac:dyDescent="0.25">
      <c r="B48" s="24" t="s">
        <v>75</v>
      </c>
      <c r="C48" s="49">
        <f>AVERAGE('25.10 HOIMA-KYENJOJO'!C48,'27.10 HOIMA-KYENJOJO'!C48,'29.10 HOIMA-KYENJOJO'!C48,'30.10 HOIMA-KYENJOJO'!C48,'26.10 HOIMA-KYENJOJO-24h'!C48,'28.10 HOIMA-KYENJOJO-24h'!C48,'31.10 HOIMA-KYENJOJO'!C48)</f>
        <v>6.2857142857142856</v>
      </c>
      <c r="D48" s="49">
        <f>AVERAGE('25.10 HOIMA-KYENJOJO'!D48,'27.10 HOIMA-KYENJOJO'!D48,'29.10 HOIMA-KYENJOJO'!D48,'30.10 HOIMA-KYENJOJO'!D48,'26.10 HOIMA-KYENJOJO-24h'!D48,'28.10 HOIMA-KYENJOJO-24h'!D48,'31.10 HOIMA-KYENJOJO'!D48)</f>
        <v>0.7142857142857143</v>
      </c>
      <c r="E48" s="49">
        <f>AVERAGE('25.10 HOIMA-KYENJOJO'!E48,'27.10 HOIMA-KYENJOJO'!E48,'29.10 HOIMA-KYENJOJO'!E48,'30.10 HOIMA-KYENJOJO'!E48,'26.10 HOIMA-KYENJOJO-24h'!E48,'28.10 HOIMA-KYENJOJO-24h'!E48,'31.10 HOIMA-KYENJOJO'!E48)</f>
        <v>0.42857142857142855</v>
      </c>
      <c r="F48" s="49">
        <f>AVERAGE('25.10 HOIMA-KYENJOJO'!F48,'27.10 HOIMA-KYENJOJO'!F48,'29.10 HOIMA-KYENJOJO'!F48,'30.10 HOIMA-KYENJOJO'!F48,'26.10 HOIMA-KYENJOJO-24h'!F48,'28.10 HOIMA-KYENJOJO-24h'!F48,'31.10 HOIMA-KYENJOJO'!F48)</f>
        <v>0.42857142857142855</v>
      </c>
      <c r="G48" s="49">
        <f>AVERAGE('25.10 HOIMA-KYENJOJO'!G48,'27.10 HOIMA-KYENJOJO'!G48,'29.10 HOIMA-KYENJOJO'!G48,'30.10 HOIMA-KYENJOJO'!G48,'26.10 HOIMA-KYENJOJO-24h'!G48,'28.10 HOIMA-KYENJOJO-24h'!G48,'31.10 HOIMA-KYENJOJO'!G48)</f>
        <v>0</v>
      </c>
      <c r="H48" s="49">
        <f>AVERAGE('25.10 HOIMA-KYENJOJO'!H48,'27.10 HOIMA-KYENJOJO'!H48,'29.10 HOIMA-KYENJOJO'!H48,'30.10 HOIMA-KYENJOJO'!H48,'26.10 HOIMA-KYENJOJO-24h'!H48,'28.10 HOIMA-KYENJOJO-24h'!H48,'31.10 HOIMA-KYENJOJO'!H48)</f>
        <v>0</v>
      </c>
      <c r="I48" s="49">
        <f>AVERAGE('25.10 HOIMA-KYENJOJO'!I48,'27.10 HOIMA-KYENJOJO'!I48,'29.10 HOIMA-KYENJOJO'!I48,'30.10 HOIMA-KYENJOJO'!I48,'26.10 HOIMA-KYENJOJO-24h'!I48,'28.10 HOIMA-KYENJOJO-24h'!I48,'31.10 HOIMA-KYENJOJO'!I48)</f>
        <v>1</v>
      </c>
      <c r="J48" s="49">
        <f>AVERAGE('25.10 HOIMA-KYENJOJO'!J48,'27.10 HOIMA-KYENJOJO'!J48,'29.10 HOIMA-KYENJOJO'!J48,'30.10 HOIMA-KYENJOJO'!J48,'26.10 HOIMA-KYENJOJO-24h'!J48,'28.10 HOIMA-KYENJOJO-24h'!J48,'31.10 HOIMA-KYENJOJO'!J48)</f>
        <v>1.2857142857142858</v>
      </c>
      <c r="K48" s="49">
        <f>AVERAGE('25.10 HOIMA-KYENJOJO'!K48,'27.10 HOIMA-KYENJOJO'!K48,'29.10 HOIMA-KYENJOJO'!K48,'30.10 HOIMA-KYENJOJO'!K48,'26.10 HOIMA-KYENJOJO-24h'!K48,'28.10 HOIMA-KYENJOJO-24h'!K48,'31.10 HOIMA-KYENJOJO'!K48)</f>
        <v>0.2857142857142857</v>
      </c>
      <c r="L48" s="49">
        <f>AVERAGE('25.10 HOIMA-KYENJOJO'!L48,'27.10 HOIMA-KYENJOJO'!L48,'29.10 HOIMA-KYENJOJO'!L48,'30.10 HOIMA-KYENJOJO'!L48,'26.10 HOIMA-KYENJOJO-24h'!L48,'28.10 HOIMA-KYENJOJO-24h'!L48,'31.10 HOIMA-KYENJOJO'!L48)</f>
        <v>0.14285714285714285</v>
      </c>
      <c r="M48" s="49">
        <f>AVERAGE('25.10 HOIMA-KYENJOJO'!M48,'27.10 HOIMA-KYENJOJO'!M48,'29.10 HOIMA-KYENJOJO'!M48,'30.10 HOIMA-KYENJOJO'!M48,'26.10 HOIMA-KYENJOJO-24h'!M48,'28.10 HOIMA-KYENJOJO-24h'!M48,'31.10 HOIMA-KYENJOJO'!M48)</f>
        <v>38.142857142857146</v>
      </c>
      <c r="N48" s="49">
        <f>AVERAGE('25.10 HOIMA-KYENJOJO'!N48,'27.10 HOIMA-KYENJOJO'!N48,'29.10 HOIMA-KYENJOJO'!N48,'30.10 HOIMA-KYENJOJO'!N48,'26.10 HOIMA-KYENJOJO-24h'!N48,'28.10 HOIMA-KYENJOJO-24h'!N48,'31.10 HOIMA-KYENJOJO'!N48)</f>
        <v>0</v>
      </c>
      <c r="O48" s="15">
        <f t="shared" si="0"/>
        <v>10.571428571428573</v>
      </c>
      <c r="P48" s="15">
        <f t="shared" si="1"/>
        <v>48.714285714285722</v>
      </c>
      <c r="R48" s="8"/>
      <c r="T48"/>
    </row>
    <row r="49" spans="2:20" ht="23.1" customHeight="1" x14ac:dyDescent="0.25">
      <c r="B49" s="23" t="s">
        <v>76</v>
      </c>
      <c r="C49" s="49">
        <f>AVERAGE('25.10 HOIMA-KYENJOJO'!C49,'27.10 HOIMA-KYENJOJO'!C49,'29.10 HOIMA-KYENJOJO'!C49,'30.10 HOIMA-KYENJOJO'!C49,'26.10 HOIMA-KYENJOJO-24h'!C49,'28.10 HOIMA-KYENJOJO-24h'!C49,'31.10 HOIMA-KYENJOJO'!C49)</f>
        <v>6.5714285714285712</v>
      </c>
      <c r="D49" s="49">
        <f>AVERAGE('25.10 HOIMA-KYENJOJO'!D49,'27.10 HOIMA-KYENJOJO'!D49,'29.10 HOIMA-KYENJOJO'!D49,'30.10 HOIMA-KYENJOJO'!D49,'26.10 HOIMA-KYENJOJO-24h'!D49,'28.10 HOIMA-KYENJOJO-24h'!D49,'31.10 HOIMA-KYENJOJO'!D49)</f>
        <v>0.7142857142857143</v>
      </c>
      <c r="E49" s="49">
        <f>AVERAGE('25.10 HOIMA-KYENJOJO'!E49,'27.10 HOIMA-KYENJOJO'!E49,'29.10 HOIMA-KYENJOJO'!E49,'30.10 HOIMA-KYENJOJO'!E49,'26.10 HOIMA-KYENJOJO-24h'!E49,'28.10 HOIMA-KYENJOJO-24h'!E49,'31.10 HOIMA-KYENJOJO'!E49)</f>
        <v>1</v>
      </c>
      <c r="F49" s="49">
        <f>AVERAGE('25.10 HOIMA-KYENJOJO'!F49,'27.10 HOIMA-KYENJOJO'!F49,'29.10 HOIMA-KYENJOJO'!F49,'30.10 HOIMA-KYENJOJO'!F49,'26.10 HOIMA-KYENJOJO-24h'!F49,'28.10 HOIMA-KYENJOJO-24h'!F49,'31.10 HOIMA-KYENJOJO'!F49)</f>
        <v>0.7142857142857143</v>
      </c>
      <c r="G49" s="49">
        <f>AVERAGE('25.10 HOIMA-KYENJOJO'!G49,'27.10 HOIMA-KYENJOJO'!G49,'29.10 HOIMA-KYENJOJO'!G49,'30.10 HOIMA-KYENJOJO'!G49,'26.10 HOIMA-KYENJOJO-24h'!G49,'28.10 HOIMA-KYENJOJO-24h'!G49,'31.10 HOIMA-KYENJOJO'!G49)</f>
        <v>0</v>
      </c>
      <c r="H49" s="49">
        <f>AVERAGE('25.10 HOIMA-KYENJOJO'!H49,'27.10 HOIMA-KYENJOJO'!H49,'29.10 HOIMA-KYENJOJO'!H49,'30.10 HOIMA-KYENJOJO'!H49,'26.10 HOIMA-KYENJOJO-24h'!H49,'28.10 HOIMA-KYENJOJO-24h'!H49,'31.10 HOIMA-KYENJOJO'!H49)</f>
        <v>0</v>
      </c>
      <c r="I49" s="49">
        <f>AVERAGE('25.10 HOIMA-KYENJOJO'!I49,'27.10 HOIMA-KYENJOJO'!I49,'29.10 HOIMA-KYENJOJO'!I49,'30.10 HOIMA-KYENJOJO'!I49,'26.10 HOIMA-KYENJOJO-24h'!I49,'28.10 HOIMA-KYENJOJO-24h'!I49,'31.10 HOIMA-KYENJOJO'!I49)</f>
        <v>0.14285714285714285</v>
      </c>
      <c r="J49" s="49">
        <f>AVERAGE('25.10 HOIMA-KYENJOJO'!J49,'27.10 HOIMA-KYENJOJO'!J49,'29.10 HOIMA-KYENJOJO'!J49,'30.10 HOIMA-KYENJOJO'!J49,'26.10 HOIMA-KYENJOJO-24h'!J49,'28.10 HOIMA-KYENJOJO-24h'!J49,'31.10 HOIMA-KYENJOJO'!J49)</f>
        <v>0.2857142857142857</v>
      </c>
      <c r="K49" s="49">
        <f>AVERAGE('25.10 HOIMA-KYENJOJO'!K49,'27.10 HOIMA-KYENJOJO'!K49,'29.10 HOIMA-KYENJOJO'!K49,'30.10 HOIMA-KYENJOJO'!K49,'26.10 HOIMA-KYENJOJO-24h'!K49,'28.10 HOIMA-KYENJOJO-24h'!K49,'31.10 HOIMA-KYENJOJO'!K49)</f>
        <v>0.2857142857142857</v>
      </c>
      <c r="L49" s="49">
        <f>AVERAGE('25.10 HOIMA-KYENJOJO'!L49,'27.10 HOIMA-KYENJOJO'!L49,'29.10 HOIMA-KYENJOJO'!L49,'30.10 HOIMA-KYENJOJO'!L49,'26.10 HOIMA-KYENJOJO-24h'!L49,'28.10 HOIMA-KYENJOJO-24h'!L49,'31.10 HOIMA-KYENJOJO'!L49)</f>
        <v>0</v>
      </c>
      <c r="M49" s="49">
        <f>AVERAGE('25.10 HOIMA-KYENJOJO'!M49,'27.10 HOIMA-KYENJOJO'!M49,'29.10 HOIMA-KYENJOJO'!M49,'30.10 HOIMA-KYENJOJO'!M49,'26.10 HOIMA-KYENJOJO-24h'!M49,'28.10 HOIMA-KYENJOJO-24h'!M49,'31.10 HOIMA-KYENJOJO'!M49)</f>
        <v>36.428571428571431</v>
      </c>
      <c r="N49" s="49">
        <f>AVERAGE('25.10 HOIMA-KYENJOJO'!N49,'27.10 HOIMA-KYENJOJO'!N49,'29.10 HOIMA-KYENJOJO'!N49,'30.10 HOIMA-KYENJOJO'!N49,'26.10 HOIMA-KYENJOJO-24h'!N49,'28.10 HOIMA-KYENJOJO-24h'!N49,'31.10 HOIMA-KYENJOJO'!N49)</f>
        <v>0</v>
      </c>
      <c r="O49" s="15">
        <f t="shared" si="0"/>
        <v>9.7142857142857135</v>
      </c>
      <c r="P49" s="15">
        <f t="shared" si="1"/>
        <v>46.142857142857146</v>
      </c>
      <c r="R49" s="8"/>
      <c r="T49"/>
    </row>
    <row r="50" spans="2:20" ht="23.1" customHeight="1" x14ac:dyDescent="0.25">
      <c r="B50" s="24" t="s">
        <v>77</v>
      </c>
      <c r="C50" s="49">
        <f>AVERAGE('25.10 HOIMA-KYENJOJO'!C50,'27.10 HOIMA-KYENJOJO'!C50,'29.10 HOIMA-KYENJOJO'!C50,'30.10 HOIMA-KYENJOJO'!C50,'26.10 HOIMA-KYENJOJO-24h'!C50,'28.10 HOIMA-KYENJOJO-24h'!C50,'31.10 HOIMA-KYENJOJO'!C50)</f>
        <v>5.1428571428571432</v>
      </c>
      <c r="D50" s="49">
        <f>AVERAGE('25.10 HOIMA-KYENJOJO'!D50,'27.10 HOIMA-KYENJOJO'!D50,'29.10 HOIMA-KYENJOJO'!D50,'30.10 HOIMA-KYENJOJO'!D50,'26.10 HOIMA-KYENJOJO-24h'!D50,'28.10 HOIMA-KYENJOJO-24h'!D50,'31.10 HOIMA-KYENJOJO'!D50)</f>
        <v>0.5714285714285714</v>
      </c>
      <c r="E50" s="49">
        <f>AVERAGE('25.10 HOIMA-KYENJOJO'!E50,'27.10 HOIMA-KYENJOJO'!E50,'29.10 HOIMA-KYENJOJO'!E50,'30.10 HOIMA-KYENJOJO'!E50,'26.10 HOIMA-KYENJOJO-24h'!E50,'28.10 HOIMA-KYENJOJO-24h'!E50,'31.10 HOIMA-KYENJOJO'!E50)</f>
        <v>1.2857142857142858</v>
      </c>
      <c r="F50" s="49">
        <f>AVERAGE('25.10 HOIMA-KYENJOJO'!F50,'27.10 HOIMA-KYENJOJO'!F50,'29.10 HOIMA-KYENJOJO'!F50,'30.10 HOIMA-KYENJOJO'!F50,'26.10 HOIMA-KYENJOJO-24h'!F50,'28.10 HOIMA-KYENJOJO-24h'!F50,'31.10 HOIMA-KYENJOJO'!F50)</f>
        <v>1.2857142857142858</v>
      </c>
      <c r="G50" s="49">
        <f>AVERAGE('25.10 HOIMA-KYENJOJO'!G50,'27.10 HOIMA-KYENJOJO'!G50,'29.10 HOIMA-KYENJOJO'!G50,'30.10 HOIMA-KYENJOJO'!G50,'26.10 HOIMA-KYENJOJO-24h'!G50,'28.10 HOIMA-KYENJOJO-24h'!G50,'31.10 HOIMA-KYENJOJO'!G50)</f>
        <v>0</v>
      </c>
      <c r="H50" s="49">
        <f>AVERAGE('25.10 HOIMA-KYENJOJO'!H50,'27.10 HOIMA-KYENJOJO'!H50,'29.10 HOIMA-KYENJOJO'!H50,'30.10 HOIMA-KYENJOJO'!H50,'26.10 HOIMA-KYENJOJO-24h'!H50,'28.10 HOIMA-KYENJOJO-24h'!H50,'31.10 HOIMA-KYENJOJO'!H50)</f>
        <v>0</v>
      </c>
      <c r="I50" s="49">
        <f>AVERAGE('25.10 HOIMA-KYENJOJO'!I50,'27.10 HOIMA-KYENJOJO'!I50,'29.10 HOIMA-KYENJOJO'!I50,'30.10 HOIMA-KYENJOJO'!I50,'26.10 HOIMA-KYENJOJO-24h'!I50,'28.10 HOIMA-KYENJOJO-24h'!I50,'31.10 HOIMA-KYENJOJO'!I50)</f>
        <v>1</v>
      </c>
      <c r="J50" s="49">
        <f>AVERAGE('25.10 HOIMA-KYENJOJO'!J50,'27.10 HOIMA-KYENJOJO'!J50,'29.10 HOIMA-KYENJOJO'!J50,'30.10 HOIMA-KYENJOJO'!J50,'26.10 HOIMA-KYENJOJO-24h'!J50,'28.10 HOIMA-KYENJOJO-24h'!J50,'31.10 HOIMA-KYENJOJO'!J50)</f>
        <v>0.5714285714285714</v>
      </c>
      <c r="K50" s="49">
        <f>AVERAGE('25.10 HOIMA-KYENJOJO'!K50,'27.10 HOIMA-KYENJOJO'!K50,'29.10 HOIMA-KYENJOJO'!K50,'30.10 HOIMA-KYENJOJO'!K50,'26.10 HOIMA-KYENJOJO-24h'!K50,'28.10 HOIMA-KYENJOJO-24h'!K50,'31.10 HOIMA-KYENJOJO'!K50)</f>
        <v>0.5714285714285714</v>
      </c>
      <c r="L50" s="49">
        <f>AVERAGE('25.10 HOIMA-KYENJOJO'!L50,'27.10 HOIMA-KYENJOJO'!L50,'29.10 HOIMA-KYENJOJO'!L50,'30.10 HOIMA-KYENJOJO'!L50,'26.10 HOIMA-KYENJOJO-24h'!L50,'28.10 HOIMA-KYENJOJO-24h'!L50,'31.10 HOIMA-KYENJOJO'!L50)</f>
        <v>0</v>
      </c>
      <c r="M50" s="49">
        <f>AVERAGE('25.10 HOIMA-KYENJOJO'!M50,'27.10 HOIMA-KYENJOJO'!M50,'29.10 HOIMA-KYENJOJO'!M50,'30.10 HOIMA-KYENJOJO'!M50,'26.10 HOIMA-KYENJOJO-24h'!M50,'28.10 HOIMA-KYENJOJO-24h'!M50,'31.10 HOIMA-KYENJOJO'!M50)</f>
        <v>39.428571428571431</v>
      </c>
      <c r="N50" s="49">
        <f>AVERAGE('25.10 HOIMA-KYENJOJO'!N50,'27.10 HOIMA-KYENJOJO'!N50,'29.10 HOIMA-KYENJOJO'!N50,'30.10 HOIMA-KYENJOJO'!N50,'26.10 HOIMA-KYENJOJO-24h'!N50,'28.10 HOIMA-KYENJOJO-24h'!N50,'31.10 HOIMA-KYENJOJO'!N50)</f>
        <v>0</v>
      </c>
      <c r="O50" s="15">
        <f t="shared" si="0"/>
        <v>10.428571428571429</v>
      </c>
      <c r="P50" s="15">
        <f t="shared" si="1"/>
        <v>49.857142857142861</v>
      </c>
      <c r="R50" s="8"/>
      <c r="T50"/>
    </row>
    <row r="51" spans="2:20" ht="23.1" customHeight="1" x14ac:dyDescent="0.25">
      <c r="B51" s="24" t="s">
        <v>78</v>
      </c>
      <c r="C51" s="49">
        <f>AVERAGE('25.10 HOIMA-KYENJOJO'!C51,'27.10 HOIMA-KYENJOJO'!C51,'29.10 HOIMA-KYENJOJO'!C51,'30.10 HOIMA-KYENJOJO'!C51,'26.10 HOIMA-KYENJOJO-24h'!C51,'28.10 HOIMA-KYENJOJO-24h'!C51,'31.10 HOIMA-KYENJOJO'!C51)</f>
        <v>5.4285714285714288</v>
      </c>
      <c r="D51" s="49">
        <f>AVERAGE('25.10 HOIMA-KYENJOJO'!D51,'27.10 HOIMA-KYENJOJO'!D51,'29.10 HOIMA-KYENJOJO'!D51,'30.10 HOIMA-KYENJOJO'!D51,'26.10 HOIMA-KYENJOJO-24h'!D51,'28.10 HOIMA-KYENJOJO-24h'!D51,'31.10 HOIMA-KYENJOJO'!D51)</f>
        <v>0.42857142857142855</v>
      </c>
      <c r="E51" s="49">
        <f>AVERAGE('25.10 HOIMA-KYENJOJO'!E51,'27.10 HOIMA-KYENJOJO'!E51,'29.10 HOIMA-KYENJOJO'!E51,'30.10 HOIMA-KYENJOJO'!E51,'26.10 HOIMA-KYENJOJO-24h'!E51,'28.10 HOIMA-KYENJOJO-24h'!E51,'31.10 HOIMA-KYENJOJO'!E51)</f>
        <v>0.7142857142857143</v>
      </c>
      <c r="F51" s="49">
        <f>AVERAGE('25.10 HOIMA-KYENJOJO'!F51,'27.10 HOIMA-KYENJOJO'!F51,'29.10 HOIMA-KYENJOJO'!F51,'30.10 HOIMA-KYENJOJO'!F51,'26.10 HOIMA-KYENJOJO-24h'!F51,'28.10 HOIMA-KYENJOJO-24h'!F51,'31.10 HOIMA-KYENJOJO'!F51)</f>
        <v>0.2857142857142857</v>
      </c>
      <c r="G51" s="49">
        <f>AVERAGE('25.10 HOIMA-KYENJOJO'!G51,'27.10 HOIMA-KYENJOJO'!G51,'29.10 HOIMA-KYENJOJO'!G51,'30.10 HOIMA-KYENJOJO'!G51,'26.10 HOIMA-KYENJOJO-24h'!G51,'28.10 HOIMA-KYENJOJO-24h'!G51,'31.10 HOIMA-KYENJOJO'!G51)</f>
        <v>0</v>
      </c>
      <c r="H51" s="49">
        <f>AVERAGE('25.10 HOIMA-KYENJOJO'!H51,'27.10 HOIMA-KYENJOJO'!H51,'29.10 HOIMA-KYENJOJO'!H51,'30.10 HOIMA-KYENJOJO'!H51,'26.10 HOIMA-KYENJOJO-24h'!H51,'28.10 HOIMA-KYENJOJO-24h'!H51,'31.10 HOIMA-KYENJOJO'!H51)</f>
        <v>0.2857142857142857</v>
      </c>
      <c r="I51" s="49">
        <f>AVERAGE('25.10 HOIMA-KYENJOJO'!I51,'27.10 HOIMA-KYENJOJO'!I51,'29.10 HOIMA-KYENJOJO'!I51,'30.10 HOIMA-KYENJOJO'!I51,'26.10 HOIMA-KYENJOJO-24h'!I51,'28.10 HOIMA-KYENJOJO-24h'!I51,'31.10 HOIMA-KYENJOJO'!I51)</f>
        <v>0.2857142857142857</v>
      </c>
      <c r="J51" s="49">
        <f>AVERAGE('25.10 HOIMA-KYENJOJO'!J51,'27.10 HOIMA-KYENJOJO'!J51,'29.10 HOIMA-KYENJOJO'!J51,'30.10 HOIMA-KYENJOJO'!J51,'26.10 HOIMA-KYENJOJO-24h'!J51,'28.10 HOIMA-KYENJOJO-24h'!J51,'31.10 HOIMA-KYENJOJO'!J51)</f>
        <v>1.2857142857142858</v>
      </c>
      <c r="K51" s="49">
        <f>AVERAGE('25.10 HOIMA-KYENJOJO'!K51,'27.10 HOIMA-KYENJOJO'!K51,'29.10 HOIMA-KYENJOJO'!K51,'30.10 HOIMA-KYENJOJO'!K51,'26.10 HOIMA-KYENJOJO-24h'!K51,'28.10 HOIMA-KYENJOJO-24h'!K51,'31.10 HOIMA-KYENJOJO'!K51)</f>
        <v>0.14285714285714285</v>
      </c>
      <c r="L51" s="49">
        <f>AVERAGE('25.10 HOIMA-KYENJOJO'!L51,'27.10 HOIMA-KYENJOJO'!L51,'29.10 HOIMA-KYENJOJO'!L51,'30.10 HOIMA-KYENJOJO'!L51,'26.10 HOIMA-KYENJOJO-24h'!L51,'28.10 HOIMA-KYENJOJO-24h'!L51,'31.10 HOIMA-KYENJOJO'!L51)</f>
        <v>0</v>
      </c>
      <c r="M51" s="49">
        <f>AVERAGE('25.10 HOIMA-KYENJOJO'!M51,'27.10 HOIMA-KYENJOJO'!M51,'29.10 HOIMA-KYENJOJO'!M51,'30.10 HOIMA-KYENJOJO'!M51,'26.10 HOIMA-KYENJOJO-24h'!M51,'28.10 HOIMA-KYENJOJO-24h'!M51,'31.10 HOIMA-KYENJOJO'!M51)</f>
        <v>36.714285714285715</v>
      </c>
      <c r="N51" s="49">
        <f>AVERAGE('25.10 HOIMA-KYENJOJO'!N51,'27.10 HOIMA-KYENJOJO'!N51,'29.10 HOIMA-KYENJOJO'!N51,'30.10 HOIMA-KYENJOJO'!N51,'26.10 HOIMA-KYENJOJO-24h'!N51,'28.10 HOIMA-KYENJOJO-24h'!N51,'31.10 HOIMA-KYENJOJO'!N51)</f>
        <v>0</v>
      </c>
      <c r="O51" s="15">
        <f t="shared" si="0"/>
        <v>8.8571428571428577</v>
      </c>
      <c r="P51" s="15">
        <f t="shared" si="1"/>
        <v>45.571428571428569</v>
      </c>
      <c r="R51" s="8"/>
      <c r="T51"/>
    </row>
    <row r="52" spans="2:20" ht="23.1" customHeight="1" x14ac:dyDescent="0.25">
      <c r="B52" s="24" t="s">
        <v>79</v>
      </c>
      <c r="C52" s="49">
        <f>AVERAGE('25.10 HOIMA-KYENJOJO'!C52,'27.10 HOIMA-KYENJOJO'!C52,'29.10 HOIMA-KYENJOJO'!C52,'30.10 HOIMA-KYENJOJO'!C52,'26.10 HOIMA-KYENJOJO-24h'!C52,'28.10 HOIMA-KYENJOJO-24h'!C52,'31.10 HOIMA-KYENJOJO'!C52)</f>
        <v>4</v>
      </c>
      <c r="D52" s="49">
        <f>AVERAGE('25.10 HOIMA-KYENJOJO'!D52,'27.10 HOIMA-KYENJOJO'!D52,'29.10 HOIMA-KYENJOJO'!D52,'30.10 HOIMA-KYENJOJO'!D52,'26.10 HOIMA-KYENJOJO-24h'!D52,'28.10 HOIMA-KYENJOJO-24h'!D52,'31.10 HOIMA-KYENJOJO'!D52)</f>
        <v>0.5714285714285714</v>
      </c>
      <c r="E52" s="49">
        <f>AVERAGE('25.10 HOIMA-KYENJOJO'!E52,'27.10 HOIMA-KYENJOJO'!E52,'29.10 HOIMA-KYENJOJO'!E52,'30.10 HOIMA-KYENJOJO'!E52,'26.10 HOIMA-KYENJOJO-24h'!E52,'28.10 HOIMA-KYENJOJO-24h'!E52,'31.10 HOIMA-KYENJOJO'!E52)</f>
        <v>1</v>
      </c>
      <c r="F52" s="49">
        <f>AVERAGE('25.10 HOIMA-KYENJOJO'!F52,'27.10 HOIMA-KYENJOJO'!F52,'29.10 HOIMA-KYENJOJO'!F52,'30.10 HOIMA-KYENJOJO'!F52,'26.10 HOIMA-KYENJOJO-24h'!F52,'28.10 HOIMA-KYENJOJO-24h'!F52,'31.10 HOIMA-KYENJOJO'!F52)</f>
        <v>0.2857142857142857</v>
      </c>
      <c r="G52" s="49">
        <f>AVERAGE('25.10 HOIMA-KYENJOJO'!G52,'27.10 HOIMA-KYENJOJO'!G52,'29.10 HOIMA-KYENJOJO'!G52,'30.10 HOIMA-KYENJOJO'!G52,'26.10 HOIMA-KYENJOJO-24h'!G52,'28.10 HOIMA-KYENJOJO-24h'!G52,'31.10 HOIMA-KYENJOJO'!G52)</f>
        <v>0.2857142857142857</v>
      </c>
      <c r="H52" s="49">
        <f>AVERAGE('25.10 HOIMA-KYENJOJO'!H52,'27.10 HOIMA-KYENJOJO'!H52,'29.10 HOIMA-KYENJOJO'!H52,'30.10 HOIMA-KYENJOJO'!H52,'26.10 HOIMA-KYENJOJO-24h'!H52,'28.10 HOIMA-KYENJOJO-24h'!H52,'31.10 HOIMA-KYENJOJO'!H52)</f>
        <v>0.5714285714285714</v>
      </c>
      <c r="I52" s="49">
        <f>AVERAGE('25.10 HOIMA-KYENJOJO'!I52,'27.10 HOIMA-KYENJOJO'!I52,'29.10 HOIMA-KYENJOJO'!I52,'30.10 HOIMA-KYENJOJO'!I52,'26.10 HOIMA-KYENJOJO-24h'!I52,'28.10 HOIMA-KYENJOJO-24h'!I52,'31.10 HOIMA-KYENJOJO'!I52)</f>
        <v>1.7142857142857142</v>
      </c>
      <c r="J52" s="49">
        <f>AVERAGE('25.10 HOIMA-KYENJOJO'!J52,'27.10 HOIMA-KYENJOJO'!J52,'29.10 HOIMA-KYENJOJO'!J52,'30.10 HOIMA-KYENJOJO'!J52,'26.10 HOIMA-KYENJOJO-24h'!J52,'28.10 HOIMA-KYENJOJO-24h'!J52,'31.10 HOIMA-KYENJOJO'!J52)</f>
        <v>0.7142857142857143</v>
      </c>
      <c r="K52" s="49">
        <f>AVERAGE('25.10 HOIMA-KYENJOJO'!K52,'27.10 HOIMA-KYENJOJO'!K52,'29.10 HOIMA-KYENJOJO'!K52,'30.10 HOIMA-KYENJOJO'!K52,'26.10 HOIMA-KYENJOJO-24h'!K52,'28.10 HOIMA-KYENJOJO-24h'!K52,'31.10 HOIMA-KYENJOJO'!K52)</f>
        <v>0</v>
      </c>
      <c r="L52" s="49">
        <f>AVERAGE('25.10 HOIMA-KYENJOJO'!L52,'27.10 HOIMA-KYENJOJO'!L52,'29.10 HOIMA-KYENJOJO'!L52,'30.10 HOIMA-KYENJOJO'!L52,'26.10 HOIMA-KYENJOJO-24h'!L52,'28.10 HOIMA-KYENJOJO-24h'!L52,'31.10 HOIMA-KYENJOJO'!L52)</f>
        <v>0</v>
      </c>
      <c r="M52" s="49">
        <f>AVERAGE('25.10 HOIMA-KYENJOJO'!M52,'27.10 HOIMA-KYENJOJO'!M52,'29.10 HOIMA-KYENJOJO'!M52,'30.10 HOIMA-KYENJOJO'!M52,'26.10 HOIMA-KYENJOJO-24h'!M52,'28.10 HOIMA-KYENJOJO-24h'!M52,'31.10 HOIMA-KYENJOJO'!M52)</f>
        <v>35.714285714285715</v>
      </c>
      <c r="N52" s="49">
        <f>AVERAGE('25.10 HOIMA-KYENJOJO'!N52,'27.10 HOIMA-KYENJOJO'!N52,'29.10 HOIMA-KYENJOJO'!N52,'30.10 HOIMA-KYENJOJO'!N52,'26.10 HOIMA-KYENJOJO-24h'!N52,'28.10 HOIMA-KYENJOJO-24h'!N52,'31.10 HOIMA-KYENJOJO'!N52)</f>
        <v>0</v>
      </c>
      <c r="O52" s="15">
        <f t="shared" si="0"/>
        <v>9.1428571428571406</v>
      </c>
      <c r="P52" s="15">
        <f t="shared" si="1"/>
        <v>44.857142857142854</v>
      </c>
      <c r="R52" s="8"/>
      <c r="T52"/>
    </row>
    <row r="53" spans="2:20" ht="23.1" customHeight="1" x14ac:dyDescent="0.25">
      <c r="B53" s="23" t="s">
        <v>80</v>
      </c>
      <c r="C53" s="49">
        <f>AVERAGE('25.10 HOIMA-KYENJOJO'!C53,'27.10 HOIMA-KYENJOJO'!C53,'29.10 HOIMA-KYENJOJO'!C53,'30.10 HOIMA-KYENJOJO'!C53,'26.10 HOIMA-KYENJOJO-24h'!C53,'28.10 HOIMA-KYENJOJO-24h'!C53,'31.10 HOIMA-KYENJOJO'!C53)</f>
        <v>4.7142857142857144</v>
      </c>
      <c r="D53" s="49">
        <f>AVERAGE('25.10 HOIMA-KYENJOJO'!D53,'27.10 HOIMA-KYENJOJO'!D53,'29.10 HOIMA-KYENJOJO'!D53,'30.10 HOIMA-KYENJOJO'!D53,'26.10 HOIMA-KYENJOJO-24h'!D53,'28.10 HOIMA-KYENJOJO-24h'!D53,'31.10 HOIMA-KYENJOJO'!D53)</f>
        <v>1.1428571428571428</v>
      </c>
      <c r="E53" s="49">
        <f>AVERAGE('25.10 HOIMA-KYENJOJO'!E53,'27.10 HOIMA-KYENJOJO'!E53,'29.10 HOIMA-KYENJOJO'!E53,'30.10 HOIMA-KYENJOJO'!E53,'26.10 HOIMA-KYENJOJO-24h'!E53,'28.10 HOIMA-KYENJOJO-24h'!E53,'31.10 HOIMA-KYENJOJO'!E53)</f>
        <v>0.8571428571428571</v>
      </c>
      <c r="F53" s="49">
        <f>AVERAGE('25.10 HOIMA-KYENJOJO'!F53,'27.10 HOIMA-KYENJOJO'!F53,'29.10 HOIMA-KYENJOJO'!F53,'30.10 HOIMA-KYENJOJO'!F53,'26.10 HOIMA-KYENJOJO-24h'!F53,'28.10 HOIMA-KYENJOJO-24h'!F53,'31.10 HOIMA-KYENJOJO'!F53)</f>
        <v>0.8571428571428571</v>
      </c>
      <c r="G53" s="49">
        <f>AVERAGE('25.10 HOIMA-KYENJOJO'!G53,'27.10 HOIMA-KYENJOJO'!G53,'29.10 HOIMA-KYENJOJO'!G53,'30.10 HOIMA-KYENJOJO'!G53,'26.10 HOIMA-KYENJOJO-24h'!G53,'28.10 HOIMA-KYENJOJO-24h'!G53,'31.10 HOIMA-KYENJOJO'!G53)</f>
        <v>0.2857142857142857</v>
      </c>
      <c r="H53" s="49">
        <f>AVERAGE('25.10 HOIMA-KYENJOJO'!H53,'27.10 HOIMA-KYENJOJO'!H53,'29.10 HOIMA-KYENJOJO'!H53,'30.10 HOIMA-KYENJOJO'!H53,'26.10 HOIMA-KYENJOJO-24h'!H53,'28.10 HOIMA-KYENJOJO-24h'!H53,'31.10 HOIMA-KYENJOJO'!H53)</f>
        <v>0</v>
      </c>
      <c r="I53" s="49">
        <f>AVERAGE('25.10 HOIMA-KYENJOJO'!I53,'27.10 HOIMA-KYENJOJO'!I53,'29.10 HOIMA-KYENJOJO'!I53,'30.10 HOIMA-KYENJOJO'!I53,'26.10 HOIMA-KYENJOJO-24h'!I53,'28.10 HOIMA-KYENJOJO-24h'!I53,'31.10 HOIMA-KYENJOJO'!I53)</f>
        <v>0.7142857142857143</v>
      </c>
      <c r="J53" s="49">
        <f>AVERAGE('25.10 HOIMA-KYENJOJO'!J53,'27.10 HOIMA-KYENJOJO'!J53,'29.10 HOIMA-KYENJOJO'!J53,'30.10 HOIMA-KYENJOJO'!J53,'26.10 HOIMA-KYENJOJO-24h'!J53,'28.10 HOIMA-KYENJOJO-24h'!J53,'31.10 HOIMA-KYENJOJO'!J53)</f>
        <v>0.7142857142857143</v>
      </c>
      <c r="K53" s="49">
        <f>AVERAGE('25.10 HOIMA-KYENJOJO'!K53,'27.10 HOIMA-KYENJOJO'!K53,'29.10 HOIMA-KYENJOJO'!K53,'30.10 HOIMA-KYENJOJO'!K53,'26.10 HOIMA-KYENJOJO-24h'!K53,'28.10 HOIMA-KYENJOJO-24h'!K53,'31.10 HOIMA-KYENJOJO'!K53)</f>
        <v>0.5714285714285714</v>
      </c>
      <c r="L53" s="49">
        <f>AVERAGE('25.10 HOIMA-KYENJOJO'!L53,'27.10 HOIMA-KYENJOJO'!L53,'29.10 HOIMA-KYENJOJO'!L53,'30.10 HOIMA-KYENJOJO'!L53,'26.10 HOIMA-KYENJOJO-24h'!L53,'28.10 HOIMA-KYENJOJO-24h'!L53,'31.10 HOIMA-KYENJOJO'!L53)</f>
        <v>0</v>
      </c>
      <c r="M53" s="49">
        <f>AVERAGE('25.10 HOIMA-KYENJOJO'!M53,'27.10 HOIMA-KYENJOJO'!M53,'29.10 HOIMA-KYENJOJO'!M53,'30.10 HOIMA-KYENJOJO'!M53,'26.10 HOIMA-KYENJOJO-24h'!M53,'28.10 HOIMA-KYENJOJO-24h'!M53,'31.10 HOIMA-KYENJOJO'!M53)</f>
        <v>30.857142857142858</v>
      </c>
      <c r="N53" s="49">
        <f>AVERAGE('25.10 HOIMA-KYENJOJO'!N53,'27.10 HOIMA-KYENJOJO'!N53,'29.10 HOIMA-KYENJOJO'!N53,'30.10 HOIMA-KYENJOJO'!N53,'26.10 HOIMA-KYENJOJO-24h'!N53,'28.10 HOIMA-KYENJOJO-24h'!N53,'31.10 HOIMA-KYENJOJO'!N53)</f>
        <v>0</v>
      </c>
      <c r="O53" s="15">
        <f t="shared" si="0"/>
        <v>9.8571428571428559</v>
      </c>
      <c r="P53" s="15">
        <f t="shared" si="1"/>
        <v>40.714285714285715</v>
      </c>
      <c r="R53" s="8"/>
      <c r="T53"/>
    </row>
    <row r="54" spans="2:20" ht="23.1" customHeight="1" x14ac:dyDescent="0.25">
      <c r="B54" s="23" t="s">
        <v>81</v>
      </c>
      <c r="C54" s="49">
        <f>AVERAGE('25.10 HOIMA-KYENJOJO'!C54,'27.10 HOIMA-KYENJOJO'!C54,'29.10 HOIMA-KYENJOJO'!C54,'30.10 HOIMA-KYENJOJO'!C54,'26.10 HOIMA-KYENJOJO-24h'!C54,'28.10 HOIMA-KYENJOJO-24h'!C54,'31.10 HOIMA-KYENJOJO'!C54)</f>
        <v>6</v>
      </c>
      <c r="D54" s="49">
        <f>AVERAGE('25.10 HOIMA-KYENJOJO'!D54,'27.10 HOIMA-KYENJOJO'!D54,'29.10 HOIMA-KYENJOJO'!D54,'30.10 HOIMA-KYENJOJO'!D54,'26.10 HOIMA-KYENJOJO-24h'!D54,'28.10 HOIMA-KYENJOJO-24h'!D54,'31.10 HOIMA-KYENJOJO'!D54)</f>
        <v>1</v>
      </c>
      <c r="E54" s="49">
        <f>AVERAGE('25.10 HOIMA-KYENJOJO'!E54,'27.10 HOIMA-KYENJOJO'!E54,'29.10 HOIMA-KYENJOJO'!E54,'30.10 HOIMA-KYENJOJO'!E54,'26.10 HOIMA-KYENJOJO-24h'!E54,'28.10 HOIMA-KYENJOJO-24h'!E54,'31.10 HOIMA-KYENJOJO'!E54)</f>
        <v>1.7142857142857142</v>
      </c>
      <c r="F54" s="49">
        <f>AVERAGE('25.10 HOIMA-KYENJOJO'!F54,'27.10 HOIMA-KYENJOJO'!F54,'29.10 HOIMA-KYENJOJO'!F54,'30.10 HOIMA-KYENJOJO'!F54,'26.10 HOIMA-KYENJOJO-24h'!F54,'28.10 HOIMA-KYENJOJO-24h'!F54,'31.10 HOIMA-KYENJOJO'!F54)</f>
        <v>1.1428571428571428</v>
      </c>
      <c r="G54" s="49">
        <f>AVERAGE('25.10 HOIMA-KYENJOJO'!G54,'27.10 HOIMA-KYENJOJO'!G54,'29.10 HOIMA-KYENJOJO'!G54,'30.10 HOIMA-KYENJOJO'!G54,'26.10 HOIMA-KYENJOJO-24h'!G54,'28.10 HOIMA-KYENJOJO-24h'!G54,'31.10 HOIMA-KYENJOJO'!G54)</f>
        <v>0</v>
      </c>
      <c r="H54" s="49">
        <f>AVERAGE('25.10 HOIMA-KYENJOJO'!H54,'27.10 HOIMA-KYENJOJO'!H54,'29.10 HOIMA-KYENJOJO'!H54,'30.10 HOIMA-KYENJOJO'!H54,'26.10 HOIMA-KYENJOJO-24h'!H54,'28.10 HOIMA-KYENJOJO-24h'!H54,'31.10 HOIMA-KYENJOJO'!H54)</f>
        <v>0.14285714285714285</v>
      </c>
      <c r="I54" s="49">
        <f>AVERAGE('25.10 HOIMA-KYENJOJO'!I54,'27.10 HOIMA-KYENJOJO'!I54,'29.10 HOIMA-KYENJOJO'!I54,'30.10 HOIMA-KYENJOJO'!I54,'26.10 HOIMA-KYENJOJO-24h'!I54,'28.10 HOIMA-KYENJOJO-24h'!I54,'31.10 HOIMA-KYENJOJO'!I54)</f>
        <v>1.4285714285714286</v>
      </c>
      <c r="J54" s="49">
        <f>AVERAGE('25.10 HOIMA-KYENJOJO'!J54,'27.10 HOIMA-KYENJOJO'!J54,'29.10 HOIMA-KYENJOJO'!J54,'30.10 HOIMA-KYENJOJO'!J54,'26.10 HOIMA-KYENJOJO-24h'!J54,'28.10 HOIMA-KYENJOJO-24h'!J54,'31.10 HOIMA-KYENJOJO'!J54)</f>
        <v>0.5714285714285714</v>
      </c>
      <c r="K54" s="49">
        <f>AVERAGE('25.10 HOIMA-KYENJOJO'!K54,'27.10 HOIMA-KYENJOJO'!K54,'29.10 HOIMA-KYENJOJO'!K54,'30.10 HOIMA-KYENJOJO'!K54,'26.10 HOIMA-KYENJOJO-24h'!K54,'28.10 HOIMA-KYENJOJO-24h'!K54,'31.10 HOIMA-KYENJOJO'!K54)</f>
        <v>0.42857142857142855</v>
      </c>
      <c r="L54" s="49">
        <f>AVERAGE('25.10 HOIMA-KYENJOJO'!L54,'27.10 HOIMA-KYENJOJO'!L54,'29.10 HOIMA-KYENJOJO'!L54,'30.10 HOIMA-KYENJOJO'!L54,'26.10 HOIMA-KYENJOJO-24h'!L54,'28.10 HOIMA-KYENJOJO-24h'!L54,'31.10 HOIMA-KYENJOJO'!L54)</f>
        <v>0</v>
      </c>
      <c r="M54" s="49">
        <f>AVERAGE('25.10 HOIMA-KYENJOJO'!M54,'27.10 HOIMA-KYENJOJO'!M54,'29.10 HOIMA-KYENJOJO'!M54,'30.10 HOIMA-KYENJOJO'!M54,'26.10 HOIMA-KYENJOJO-24h'!M54,'28.10 HOIMA-KYENJOJO-24h'!M54,'31.10 HOIMA-KYENJOJO'!M54)</f>
        <v>38.571428571428569</v>
      </c>
      <c r="N54" s="49">
        <f>AVERAGE('25.10 HOIMA-KYENJOJO'!N54,'27.10 HOIMA-KYENJOJO'!N54,'29.10 HOIMA-KYENJOJO'!N54,'30.10 HOIMA-KYENJOJO'!N54,'26.10 HOIMA-KYENJOJO-24h'!N54,'28.10 HOIMA-KYENJOJO-24h'!N54,'31.10 HOIMA-KYENJOJO'!N54)</f>
        <v>0</v>
      </c>
      <c r="O54" s="15">
        <f t="shared" si="0"/>
        <v>12.428571428571427</v>
      </c>
      <c r="P54" s="15">
        <f t="shared" si="1"/>
        <v>51</v>
      </c>
      <c r="R54" s="8"/>
      <c r="T54"/>
    </row>
    <row r="55" spans="2:20" ht="23.1" customHeight="1" x14ac:dyDescent="0.25">
      <c r="B55" s="23" t="s">
        <v>82</v>
      </c>
      <c r="C55" s="49">
        <f>AVERAGE('25.10 HOIMA-KYENJOJO'!C55,'27.10 HOIMA-KYENJOJO'!C55,'29.10 HOIMA-KYENJOJO'!C55,'30.10 HOIMA-KYENJOJO'!C55,'26.10 HOIMA-KYENJOJO-24h'!C55,'28.10 HOIMA-KYENJOJO-24h'!C55,'31.10 HOIMA-KYENJOJO'!C55)</f>
        <v>5.5714285714285712</v>
      </c>
      <c r="D55" s="49">
        <f>AVERAGE('25.10 HOIMA-KYENJOJO'!D55,'27.10 HOIMA-KYENJOJO'!D55,'29.10 HOIMA-KYENJOJO'!D55,'30.10 HOIMA-KYENJOJO'!D55,'26.10 HOIMA-KYENJOJO-24h'!D55,'28.10 HOIMA-KYENJOJO-24h'!D55,'31.10 HOIMA-KYENJOJO'!D55)</f>
        <v>0</v>
      </c>
      <c r="E55" s="49">
        <f>AVERAGE('25.10 HOIMA-KYENJOJO'!E55,'27.10 HOIMA-KYENJOJO'!E55,'29.10 HOIMA-KYENJOJO'!E55,'30.10 HOIMA-KYENJOJO'!E55,'26.10 HOIMA-KYENJOJO-24h'!E55,'28.10 HOIMA-KYENJOJO-24h'!E55,'31.10 HOIMA-KYENJOJO'!E55)</f>
        <v>1</v>
      </c>
      <c r="F55" s="49">
        <f>AVERAGE('25.10 HOIMA-KYENJOJO'!F55,'27.10 HOIMA-KYENJOJO'!F55,'29.10 HOIMA-KYENJOJO'!F55,'30.10 HOIMA-KYENJOJO'!F55,'26.10 HOIMA-KYENJOJO-24h'!F55,'28.10 HOIMA-KYENJOJO-24h'!F55,'31.10 HOIMA-KYENJOJO'!F55)</f>
        <v>0.7142857142857143</v>
      </c>
      <c r="G55" s="49">
        <f>AVERAGE('25.10 HOIMA-KYENJOJO'!G55,'27.10 HOIMA-KYENJOJO'!G55,'29.10 HOIMA-KYENJOJO'!G55,'30.10 HOIMA-KYENJOJO'!G55,'26.10 HOIMA-KYENJOJO-24h'!G55,'28.10 HOIMA-KYENJOJO-24h'!G55,'31.10 HOIMA-KYENJOJO'!G55)</f>
        <v>0</v>
      </c>
      <c r="H55" s="49">
        <f>AVERAGE('25.10 HOIMA-KYENJOJO'!H55,'27.10 HOIMA-KYENJOJO'!H55,'29.10 HOIMA-KYENJOJO'!H55,'30.10 HOIMA-KYENJOJO'!H55,'26.10 HOIMA-KYENJOJO-24h'!H55,'28.10 HOIMA-KYENJOJO-24h'!H55,'31.10 HOIMA-KYENJOJO'!H55)</f>
        <v>0.14285714285714285</v>
      </c>
      <c r="I55" s="49">
        <f>AVERAGE('25.10 HOIMA-KYENJOJO'!I55,'27.10 HOIMA-KYENJOJO'!I55,'29.10 HOIMA-KYENJOJO'!I55,'30.10 HOIMA-KYENJOJO'!I55,'26.10 HOIMA-KYENJOJO-24h'!I55,'28.10 HOIMA-KYENJOJO-24h'!I55,'31.10 HOIMA-KYENJOJO'!I55)</f>
        <v>1.2857142857142858</v>
      </c>
      <c r="J55" s="49">
        <f>AVERAGE('25.10 HOIMA-KYENJOJO'!J55,'27.10 HOIMA-KYENJOJO'!J55,'29.10 HOIMA-KYENJOJO'!J55,'30.10 HOIMA-KYENJOJO'!J55,'26.10 HOIMA-KYENJOJO-24h'!J55,'28.10 HOIMA-KYENJOJO-24h'!J55,'31.10 HOIMA-KYENJOJO'!J55)</f>
        <v>0.8571428571428571</v>
      </c>
      <c r="K55" s="49">
        <f>AVERAGE('25.10 HOIMA-KYENJOJO'!K55,'27.10 HOIMA-KYENJOJO'!K55,'29.10 HOIMA-KYENJOJO'!K55,'30.10 HOIMA-KYENJOJO'!K55,'26.10 HOIMA-KYENJOJO-24h'!K55,'28.10 HOIMA-KYENJOJO-24h'!K55,'31.10 HOIMA-KYENJOJO'!K55)</f>
        <v>0.42857142857142855</v>
      </c>
      <c r="L55" s="49">
        <f>AVERAGE('25.10 HOIMA-KYENJOJO'!L55,'27.10 HOIMA-KYENJOJO'!L55,'29.10 HOIMA-KYENJOJO'!L55,'30.10 HOIMA-KYENJOJO'!L55,'26.10 HOIMA-KYENJOJO-24h'!L55,'28.10 HOIMA-KYENJOJO-24h'!L55,'31.10 HOIMA-KYENJOJO'!L55)</f>
        <v>0</v>
      </c>
      <c r="M55" s="49">
        <f>AVERAGE('25.10 HOIMA-KYENJOJO'!M55,'27.10 HOIMA-KYENJOJO'!M55,'29.10 HOIMA-KYENJOJO'!M55,'30.10 HOIMA-KYENJOJO'!M55,'26.10 HOIMA-KYENJOJO-24h'!M55,'28.10 HOIMA-KYENJOJO-24h'!M55,'31.10 HOIMA-KYENJOJO'!M55)</f>
        <v>34.142857142857146</v>
      </c>
      <c r="N55" s="49">
        <f>AVERAGE('25.10 HOIMA-KYENJOJO'!N55,'27.10 HOIMA-KYENJOJO'!N55,'29.10 HOIMA-KYENJOJO'!N55,'30.10 HOIMA-KYENJOJO'!N55,'26.10 HOIMA-KYENJOJO-24h'!N55,'28.10 HOIMA-KYENJOJO-24h'!N55,'31.10 HOIMA-KYENJOJO'!N55)</f>
        <v>0</v>
      </c>
      <c r="O55" s="15">
        <f t="shared" si="0"/>
        <v>10.000000000000002</v>
      </c>
      <c r="P55" s="15">
        <f t="shared" si="1"/>
        <v>44.142857142857146</v>
      </c>
      <c r="R55" s="8"/>
      <c r="T55"/>
    </row>
    <row r="56" spans="2:20" ht="23.1" customHeight="1" x14ac:dyDescent="0.25">
      <c r="B56" s="23" t="s">
        <v>83</v>
      </c>
      <c r="C56" s="49">
        <f>AVERAGE('25.10 HOIMA-KYENJOJO'!C56,'27.10 HOIMA-KYENJOJO'!C56,'29.10 HOIMA-KYENJOJO'!C56,'30.10 HOIMA-KYENJOJO'!C56,'26.10 HOIMA-KYENJOJO-24h'!C56,'28.10 HOIMA-KYENJOJO-24h'!C56,'31.10 HOIMA-KYENJOJO'!C56)</f>
        <v>6.2857142857142856</v>
      </c>
      <c r="D56" s="49">
        <f>AVERAGE('25.10 HOIMA-KYENJOJO'!D56,'27.10 HOIMA-KYENJOJO'!D56,'29.10 HOIMA-KYENJOJO'!D56,'30.10 HOIMA-KYENJOJO'!D56,'26.10 HOIMA-KYENJOJO-24h'!D56,'28.10 HOIMA-KYENJOJO-24h'!D56,'31.10 HOIMA-KYENJOJO'!D56)</f>
        <v>0.7142857142857143</v>
      </c>
      <c r="E56" s="49">
        <f>AVERAGE('25.10 HOIMA-KYENJOJO'!E56,'27.10 HOIMA-KYENJOJO'!E56,'29.10 HOIMA-KYENJOJO'!E56,'30.10 HOIMA-KYENJOJO'!E56,'26.10 HOIMA-KYENJOJO-24h'!E56,'28.10 HOIMA-KYENJOJO-24h'!E56,'31.10 HOIMA-KYENJOJO'!E56)</f>
        <v>1</v>
      </c>
      <c r="F56" s="49">
        <f>AVERAGE('25.10 HOIMA-KYENJOJO'!F56,'27.10 HOIMA-KYENJOJO'!F56,'29.10 HOIMA-KYENJOJO'!F56,'30.10 HOIMA-KYENJOJO'!F56,'26.10 HOIMA-KYENJOJO-24h'!F56,'28.10 HOIMA-KYENJOJO-24h'!F56,'31.10 HOIMA-KYENJOJO'!F56)</f>
        <v>1.1428571428571428</v>
      </c>
      <c r="G56" s="49">
        <f>AVERAGE('25.10 HOIMA-KYENJOJO'!G56,'27.10 HOIMA-KYENJOJO'!G56,'29.10 HOIMA-KYENJOJO'!G56,'30.10 HOIMA-KYENJOJO'!G56,'26.10 HOIMA-KYENJOJO-24h'!G56,'28.10 HOIMA-KYENJOJO-24h'!G56,'31.10 HOIMA-KYENJOJO'!G56)</f>
        <v>0</v>
      </c>
      <c r="H56" s="49">
        <f>AVERAGE('25.10 HOIMA-KYENJOJO'!H56,'27.10 HOIMA-KYENJOJO'!H56,'29.10 HOIMA-KYENJOJO'!H56,'30.10 HOIMA-KYENJOJO'!H56,'26.10 HOIMA-KYENJOJO-24h'!H56,'28.10 HOIMA-KYENJOJO-24h'!H56,'31.10 HOIMA-KYENJOJO'!H56)</f>
        <v>0</v>
      </c>
      <c r="I56" s="49">
        <f>AVERAGE('25.10 HOIMA-KYENJOJO'!I56,'27.10 HOIMA-KYENJOJO'!I56,'29.10 HOIMA-KYENJOJO'!I56,'30.10 HOIMA-KYENJOJO'!I56,'26.10 HOIMA-KYENJOJO-24h'!I56,'28.10 HOIMA-KYENJOJO-24h'!I56,'31.10 HOIMA-KYENJOJO'!I56)</f>
        <v>1</v>
      </c>
      <c r="J56" s="49">
        <f>AVERAGE('25.10 HOIMA-KYENJOJO'!J56,'27.10 HOIMA-KYENJOJO'!J56,'29.10 HOIMA-KYENJOJO'!J56,'30.10 HOIMA-KYENJOJO'!J56,'26.10 HOIMA-KYENJOJO-24h'!J56,'28.10 HOIMA-KYENJOJO-24h'!J56,'31.10 HOIMA-KYENJOJO'!J56)</f>
        <v>0.42857142857142855</v>
      </c>
      <c r="K56" s="49">
        <f>AVERAGE('25.10 HOIMA-KYENJOJO'!K56,'27.10 HOIMA-KYENJOJO'!K56,'29.10 HOIMA-KYENJOJO'!K56,'30.10 HOIMA-KYENJOJO'!K56,'26.10 HOIMA-KYENJOJO-24h'!K56,'28.10 HOIMA-KYENJOJO-24h'!K56,'31.10 HOIMA-KYENJOJO'!K56)</f>
        <v>0.7142857142857143</v>
      </c>
      <c r="L56" s="49">
        <f>AVERAGE('25.10 HOIMA-KYENJOJO'!L56,'27.10 HOIMA-KYENJOJO'!L56,'29.10 HOIMA-KYENJOJO'!L56,'30.10 HOIMA-KYENJOJO'!L56,'26.10 HOIMA-KYENJOJO-24h'!L56,'28.10 HOIMA-KYENJOJO-24h'!L56,'31.10 HOIMA-KYENJOJO'!L56)</f>
        <v>0</v>
      </c>
      <c r="M56" s="49">
        <f>AVERAGE('25.10 HOIMA-KYENJOJO'!M56,'27.10 HOIMA-KYENJOJO'!M56,'29.10 HOIMA-KYENJOJO'!M56,'30.10 HOIMA-KYENJOJO'!M56,'26.10 HOIMA-KYENJOJO-24h'!M56,'28.10 HOIMA-KYENJOJO-24h'!M56,'31.10 HOIMA-KYENJOJO'!M56)</f>
        <v>34.857142857142854</v>
      </c>
      <c r="N56" s="49">
        <f>AVERAGE('25.10 HOIMA-KYENJOJO'!N56,'27.10 HOIMA-KYENJOJO'!N56,'29.10 HOIMA-KYENJOJO'!N56,'30.10 HOIMA-KYENJOJO'!N56,'26.10 HOIMA-KYENJOJO-24h'!N56,'28.10 HOIMA-KYENJOJO-24h'!N56,'31.10 HOIMA-KYENJOJO'!N56)</f>
        <v>0</v>
      </c>
      <c r="O56" s="15">
        <f t="shared" si="0"/>
        <v>11.285714285714285</v>
      </c>
      <c r="P56" s="15">
        <f t="shared" si="1"/>
        <v>46.142857142857139</v>
      </c>
      <c r="R56" s="8"/>
      <c r="T56"/>
    </row>
    <row r="57" spans="2:20" ht="23.1" customHeight="1" x14ac:dyDescent="0.25">
      <c r="B57" s="23" t="s">
        <v>84</v>
      </c>
      <c r="C57" s="49">
        <f>AVERAGE('25.10 HOIMA-KYENJOJO'!C57,'27.10 HOIMA-KYENJOJO'!C57,'29.10 HOIMA-KYENJOJO'!C57,'30.10 HOIMA-KYENJOJO'!C57,'26.10 HOIMA-KYENJOJO-24h'!C57,'28.10 HOIMA-KYENJOJO-24h'!C57,'31.10 HOIMA-KYENJOJO'!C57)</f>
        <v>4.5714285714285712</v>
      </c>
      <c r="D57" s="49">
        <f>AVERAGE('25.10 HOIMA-KYENJOJO'!D57,'27.10 HOIMA-KYENJOJO'!D57,'29.10 HOIMA-KYENJOJO'!D57,'30.10 HOIMA-KYENJOJO'!D57,'26.10 HOIMA-KYENJOJO-24h'!D57,'28.10 HOIMA-KYENJOJO-24h'!D57,'31.10 HOIMA-KYENJOJO'!D57)</f>
        <v>1.2857142857142858</v>
      </c>
      <c r="E57" s="49">
        <f>AVERAGE('25.10 HOIMA-KYENJOJO'!E57,'27.10 HOIMA-KYENJOJO'!E57,'29.10 HOIMA-KYENJOJO'!E57,'30.10 HOIMA-KYENJOJO'!E57,'26.10 HOIMA-KYENJOJO-24h'!E57,'28.10 HOIMA-KYENJOJO-24h'!E57,'31.10 HOIMA-KYENJOJO'!E57)</f>
        <v>1.4285714285714286</v>
      </c>
      <c r="F57" s="49">
        <f>AVERAGE('25.10 HOIMA-KYENJOJO'!F57,'27.10 HOIMA-KYENJOJO'!F57,'29.10 HOIMA-KYENJOJO'!F57,'30.10 HOIMA-KYENJOJO'!F57,'26.10 HOIMA-KYENJOJO-24h'!F57,'28.10 HOIMA-KYENJOJO-24h'!F57,'31.10 HOIMA-KYENJOJO'!F57)</f>
        <v>1</v>
      </c>
      <c r="G57" s="49">
        <f>AVERAGE('25.10 HOIMA-KYENJOJO'!G57,'27.10 HOIMA-KYENJOJO'!G57,'29.10 HOIMA-KYENJOJO'!G57,'30.10 HOIMA-KYENJOJO'!G57,'26.10 HOIMA-KYENJOJO-24h'!G57,'28.10 HOIMA-KYENJOJO-24h'!G57,'31.10 HOIMA-KYENJOJO'!G57)</f>
        <v>0</v>
      </c>
      <c r="H57" s="49">
        <f>AVERAGE('25.10 HOIMA-KYENJOJO'!H57,'27.10 HOIMA-KYENJOJO'!H57,'29.10 HOIMA-KYENJOJO'!H57,'30.10 HOIMA-KYENJOJO'!H57,'26.10 HOIMA-KYENJOJO-24h'!H57,'28.10 HOIMA-KYENJOJO-24h'!H57,'31.10 HOIMA-KYENJOJO'!H57)</f>
        <v>0</v>
      </c>
      <c r="I57" s="49">
        <f>AVERAGE('25.10 HOIMA-KYENJOJO'!I57,'27.10 HOIMA-KYENJOJO'!I57,'29.10 HOIMA-KYENJOJO'!I57,'30.10 HOIMA-KYENJOJO'!I57,'26.10 HOIMA-KYENJOJO-24h'!I57,'28.10 HOIMA-KYENJOJO-24h'!I57,'31.10 HOIMA-KYENJOJO'!I57)</f>
        <v>0.14285714285714285</v>
      </c>
      <c r="J57" s="49">
        <f>AVERAGE('25.10 HOIMA-KYENJOJO'!J57,'27.10 HOIMA-KYENJOJO'!J57,'29.10 HOIMA-KYENJOJO'!J57,'30.10 HOIMA-KYENJOJO'!J57,'26.10 HOIMA-KYENJOJO-24h'!J57,'28.10 HOIMA-KYENJOJO-24h'!J57,'31.10 HOIMA-KYENJOJO'!J57)</f>
        <v>1</v>
      </c>
      <c r="K57" s="49">
        <f>AVERAGE('25.10 HOIMA-KYENJOJO'!K57,'27.10 HOIMA-KYENJOJO'!K57,'29.10 HOIMA-KYENJOJO'!K57,'30.10 HOIMA-KYENJOJO'!K57,'26.10 HOIMA-KYENJOJO-24h'!K57,'28.10 HOIMA-KYENJOJO-24h'!K57,'31.10 HOIMA-KYENJOJO'!K57)</f>
        <v>1</v>
      </c>
      <c r="L57" s="49">
        <f>AVERAGE('25.10 HOIMA-KYENJOJO'!L57,'27.10 HOIMA-KYENJOJO'!L57,'29.10 HOIMA-KYENJOJO'!L57,'30.10 HOIMA-KYENJOJO'!L57,'26.10 HOIMA-KYENJOJO-24h'!L57,'28.10 HOIMA-KYENJOJO-24h'!L57,'31.10 HOIMA-KYENJOJO'!L57)</f>
        <v>0</v>
      </c>
      <c r="M57" s="49">
        <f>AVERAGE('25.10 HOIMA-KYENJOJO'!M57,'27.10 HOIMA-KYENJOJO'!M57,'29.10 HOIMA-KYENJOJO'!M57,'30.10 HOIMA-KYENJOJO'!M57,'26.10 HOIMA-KYENJOJO-24h'!M57,'28.10 HOIMA-KYENJOJO-24h'!M57,'31.10 HOIMA-KYENJOJO'!M57)</f>
        <v>35</v>
      </c>
      <c r="N57" s="49">
        <f>AVERAGE('25.10 HOIMA-KYENJOJO'!N57,'27.10 HOIMA-KYENJOJO'!N57,'29.10 HOIMA-KYENJOJO'!N57,'30.10 HOIMA-KYENJOJO'!N57,'26.10 HOIMA-KYENJOJO-24h'!N57,'28.10 HOIMA-KYENJOJO-24h'!N57,'31.10 HOIMA-KYENJOJO'!N57)</f>
        <v>0</v>
      </c>
      <c r="O57" s="15">
        <f t="shared" si="0"/>
        <v>10.428571428571427</v>
      </c>
      <c r="P57" s="15">
        <f t="shared" si="1"/>
        <v>45.428571428571431</v>
      </c>
      <c r="R57" s="8"/>
      <c r="T57"/>
    </row>
    <row r="58" spans="2:20" ht="23.1" customHeight="1" x14ac:dyDescent="0.25">
      <c r="B58" s="23" t="s">
        <v>99</v>
      </c>
      <c r="C58" s="49">
        <f>AVERAGE('26.10 HOIMA-KYENJOJO-24h'!C58,'28.10 HOIMA-KYENJOJO-24h'!C58)</f>
        <v>5</v>
      </c>
      <c r="D58" s="49">
        <f>AVERAGE('26.10 HOIMA-KYENJOJO-24h'!D58,'28.10 HOIMA-KYENJOJO-24h'!D58)</f>
        <v>0</v>
      </c>
      <c r="E58" s="49">
        <f>AVERAGE('26.10 HOIMA-KYENJOJO-24h'!E58,'28.10 HOIMA-KYENJOJO-24h'!E58)</f>
        <v>1</v>
      </c>
      <c r="F58" s="49">
        <f>AVERAGE('26.10 HOIMA-KYENJOJO-24h'!F58,'28.10 HOIMA-KYENJOJO-24h'!F58)</f>
        <v>0.5</v>
      </c>
      <c r="G58" s="49">
        <f>AVERAGE('26.10 HOIMA-KYENJOJO-24h'!G58,'28.10 HOIMA-KYENJOJO-24h'!G58)</f>
        <v>0</v>
      </c>
      <c r="H58" s="49">
        <f>AVERAGE('26.10 HOIMA-KYENJOJO-24h'!H58,'28.10 HOIMA-KYENJOJO-24h'!H58)</f>
        <v>0</v>
      </c>
      <c r="I58" s="49">
        <f>AVERAGE('26.10 HOIMA-KYENJOJO-24h'!I58,'28.10 HOIMA-KYENJOJO-24h'!I58)</f>
        <v>1</v>
      </c>
      <c r="J58" s="49">
        <f>AVERAGE('26.10 HOIMA-KYENJOJO-24h'!J58,'28.10 HOIMA-KYENJOJO-24h'!J58)</f>
        <v>0</v>
      </c>
      <c r="K58" s="49">
        <f>AVERAGE('26.10 HOIMA-KYENJOJO-24h'!K58,'28.10 HOIMA-KYENJOJO-24h'!K58)</f>
        <v>0.5</v>
      </c>
      <c r="L58" s="49">
        <f>AVERAGE('26.10 HOIMA-KYENJOJO-24h'!L58,'28.10 HOIMA-KYENJOJO-24h'!L58)</f>
        <v>0</v>
      </c>
      <c r="M58" s="49">
        <f>AVERAGE('26.10 HOIMA-KYENJOJO-24h'!M58,'28.10 HOIMA-KYENJOJO-24h'!M58)</f>
        <v>35.5</v>
      </c>
      <c r="N58" s="49">
        <f>AVERAGE('26.10 HOIMA-KYENJOJO-24h'!N58,'28.10 HOIMA-KYENJOJO-24h'!N58)</f>
        <v>0</v>
      </c>
      <c r="O58" s="15">
        <f t="shared" si="0"/>
        <v>8</v>
      </c>
      <c r="P58" s="15">
        <f t="shared" si="1"/>
        <v>43.5</v>
      </c>
      <c r="R58" s="8"/>
      <c r="T58"/>
    </row>
    <row r="59" spans="2:20" ht="23.1" customHeight="1" x14ac:dyDescent="0.25">
      <c r="B59" s="23" t="s">
        <v>100</v>
      </c>
      <c r="C59" s="49">
        <f>AVERAGE('26.10 HOIMA-KYENJOJO-24h'!C59,'28.10 HOIMA-KYENJOJO-24h'!C59)</f>
        <v>10.5</v>
      </c>
      <c r="D59" s="49">
        <f>AVERAGE('26.10 HOIMA-KYENJOJO-24h'!D59,'28.10 HOIMA-KYENJOJO-24h'!D59)</f>
        <v>0.5</v>
      </c>
      <c r="E59" s="49">
        <f>AVERAGE('26.10 HOIMA-KYENJOJO-24h'!E59,'28.10 HOIMA-KYENJOJO-24h'!E59)</f>
        <v>1.5</v>
      </c>
      <c r="F59" s="49">
        <f>AVERAGE('26.10 HOIMA-KYENJOJO-24h'!F59,'28.10 HOIMA-KYENJOJO-24h'!F59)</f>
        <v>2.5</v>
      </c>
      <c r="G59" s="49">
        <f>AVERAGE('26.10 HOIMA-KYENJOJO-24h'!G59,'28.10 HOIMA-KYENJOJO-24h'!G59)</f>
        <v>0</v>
      </c>
      <c r="H59" s="49">
        <f>AVERAGE('26.10 HOIMA-KYENJOJO-24h'!H59,'28.10 HOIMA-KYENJOJO-24h'!H59)</f>
        <v>0</v>
      </c>
      <c r="I59" s="49">
        <f>AVERAGE('26.10 HOIMA-KYENJOJO-24h'!I59,'28.10 HOIMA-KYENJOJO-24h'!I59)</f>
        <v>1</v>
      </c>
      <c r="J59" s="49">
        <f>AVERAGE('26.10 HOIMA-KYENJOJO-24h'!J59,'28.10 HOIMA-KYENJOJO-24h'!J59)</f>
        <v>1.5</v>
      </c>
      <c r="K59" s="49">
        <f>AVERAGE('26.10 HOIMA-KYENJOJO-24h'!K59,'28.10 HOIMA-KYENJOJO-24h'!K59)</f>
        <v>0.5</v>
      </c>
      <c r="L59" s="49">
        <f>AVERAGE('26.10 HOIMA-KYENJOJO-24h'!L59,'28.10 HOIMA-KYENJOJO-24h'!L59)</f>
        <v>0</v>
      </c>
      <c r="M59" s="49">
        <f>AVERAGE('26.10 HOIMA-KYENJOJO-24h'!M59,'28.10 HOIMA-KYENJOJO-24h'!M59)</f>
        <v>32</v>
      </c>
      <c r="N59" s="49">
        <f>AVERAGE('26.10 HOIMA-KYENJOJO-24h'!N59,'28.10 HOIMA-KYENJOJO-24h'!N59)</f>
        <v>0</v>
      </c>
      <c r="O59" s="15">
        <f t="shared" si="0"/>
        <v>18</v>
      </c>
      <c r="P59" s="15">
        <f t="shared" si="1"/>
        <v>50</v>
      </c>
      <c r="R59" s="8"/>
      <c r="T59"/>
    </row>
    <row r="60" spans="2:20" ht="23.1" customHeight="1" x14ac:dyDescent="0.25">
      <c r="B60" s="23" t="s">
        <v>101</v>
      </c>
      <c r="C60" s="49">
        <f>AVERAGE('26.10 HOIMA-KYENJOJO-24h'!C60,'28.10 HOIMA-KYENJOJO-24h'!C60)</f>
        <v>6</v>
      </c>
      <c r="D60" s="49">
        <f>AVERAGE('26.10 HOIMA-KYENJOJO-24h'!D60,'28.10 HOIMA-KYENJOJO-24h'!D60)</f>
        <v>0</v>
      </c>
      <c r="E60" s="49">
        <f>AVERAGE('26.10 HOIMA-KYENJOJO-24h'!E60,'28.10 HOIMA-KYENJOJO-24h'!E60)</f>
        <v>0</v>
      </c>
      <c r="F60" s="49">
        <f>AVERAGE('26.10 HOIMA-KYENJOJO-24h'!F60,'28.10 HOIMA-KYENJOJO-24h'!F60)</f>
        <v>1.5</v>
      </c>
      <c r="G60" s="49">
        <f>AVERAGE('26.10 HOIMA-KYENJOJO-24h'!G60,'28.10 HOIMA-KYENJOJO-24h'!G60)</f>
        <v>0</v>
      </c>
      <c r="H60" s="49">
        <f>AVERAGE('26.10 HOIMA-KYENJOJO-24h'!H60,'28.10 HOIMA-KYENJOJO-24h'!H60)</f>
        <v>0</v>
      </c>
      <c r="I60" s="49">
        <f>AVERAGE('26.10 HOIMA-KYENJOJO-24h'!I60,'28.10 HOIMA-KYENJOJO-24h'!I60)</f>
        <v>0</v>
      </c>
      <c r="J60" s="49">
        <f>AVERAGE('26.10 HOIMA-KYENJOJO-24h'!J60,'28.10 HOIMA-KYENJOJO-24h'!J60)</f>
        <v>0.5</v>
      </c>
      <c r="K60" s="49">
        <f>AVERAGE('26.10 HOIMA-KYENJOJO-24h'!K60,'28.10 HOIMA-KYENJOJO-24h'!K60)</f>
        <v>1.5</v>
      </c>
      <c r="L60" s="49">
        <f>AVERAGE('26.10 HOIMA-KYENJOJO-24h'!L60,'28.10 HOIMA-KYENJOJO-24h'!L60)</f>
        <v>0</v>
      </c>
      <c r="M60" s="49">
        <f>AVERAGE('26.10 HOIMA-KYENJOJO-24h'!M60,'28.10 HOIMA-KYENJOJO-24h'!M60)</f>
        <v>31</v>
      </c>
      <c r="N60" s="49">
        <f>AVERAGE('26.10 HOIMA-KYENJOJO-24h'!N60,'28.10 HOIMA-KYENJOJO-24h'!N60)</f>
        <v>0</v>
      </c>
      <c r="O60" s="15">
        <f t="shared" si="0"/>
        <v>9.5</v>
      </c>
      <c r="P60" s="15">
        <f t="shared" si="1"/>
        <v>40.5</v>
      </c>
      <c r="R60" s="8"/>
      <c r="T60"/>
    </row>
    <row r="61" spans="2:20" ht="23.1" customHeight="1" x14ac:dyDescent="0.25">
      <c r="B61" s="23" t="s">
        <v>102</v>
      </c>
      <c r="C61" s="49">
        <f>AVERAGE('26.10 HOIMA-KYENJOJO-24h'!C61,'28.10 HOIMA-KYENJOJO-24h'!C61)</f>
        <v>4</v>
      </c>
      <c r="D61" s="49">
        <f>AVERAGE('26.10 HOIMA-KYENJOJO-24h'!D61,'28.10 HOIMA-KYENJOJO-24h'!D61)</f>
        <v>1</v>
      </c>
      <c r="E61" s="49">
        <f>AVERAGE('26.10 HOIMA-KYENJOJO-24h'!E61,'28.10 HOIMA-KYENJOJO-24h'!E61)</f>
        <v>0.5</v>
      </c>
      <c r="F61" s="49">
        <f>AVERAGE('26.10 HOIMA-KYENJOJO-24h'!F61,'28.10 HOIMA-KYENJOJO-24h'!F61)</f>
        <v>0</v>
      </c>
      <c r="G61" s="49">
        <f>AVERAGE('26.10 HOIMA-KYENJOJO-24h'!G61,'28.10 HOIMA-KYENJOJO-24h'!G61)</f>
        <v>0</v>
      </c>
      <c r="H61" s="49">
        <f>AVERAGE('26.10 HOIMA-KYENJOJO-24h'!H61,'28.10 HOIMA-KYENJOJO-24h'!H61)</f>
        <v>0</v>
      </c>
      <c r="I61" s="49">
        <f>AVERAGE('26.10 HOIMA-KYENJOJO-24h'!I61,'28.10 HOIMA-KYENJOJO-24h'!I61)</f>
        <v>0.5</v>
      </c>
      <c r="J61" s="49">
        <f>AVERAGE('26.10 HOIMA-KYENJOJO-24h'!J61,'28.10 HOIMA-KYENJOJO-24h'!J61)</f>
        <v>0.5</v>
      </c>
      <c r="K61" s="49">
        <f>AVERAGE('26.10 HOIMA-KYENJOJO-24h'!K61,'28.10 HOIMA-KYENJOJO-24h'!K61)</f>
        <v>0.5</v>
      </c>
      <c r="L61" s="49">
        <f>AVERAGE('26.10 HOIMA-KYENJOJO-24h'!L61,'28.10 HOIMA-KYENJOJO-24h'!L61)</f>
        <v>0</v>
      </c>
      <c r="M61" s="49">
        <f>AVERAGE('26.10 HOIMA-KYENJOJO-24h'!M61,'28.10 HOIMA-KYENJOJO-24h'!M61)</f>
        <v>28.5</v>
      </c>
      <c r="N61" s="49">
        <f>AVERAGE('26.10 HOIMA-KYENJOJO-24h'!N61,'28.10 HOIMA-KYENJOJO-24h'!N61)</f>
        <v>0</v>
      </c>
      <c r="O61" s="15">
        <f t="shared" si="0"/>
        <v>7</v>
      </c>
      <c r="P61" s="15">
        <f t="shared" si="1"/>
        <v>35.5</v>
      </c>
      <c r="R61" s="8"/>
      <c r="T61"/>
    </row>
    <row r="62" spans="2:20" ht="23.1" customHeight="1" x14ac:dyDescent="0.25">
      <c r="B62" s="23" t="s">
        <v>107</v>
      </c>
      <c r="C62" s="49">
        <f>AVERAGE('26.10 HOIMA-KYENJOJO-24h'!C62,'28.10 HOIMA-KYENJOJO-24h'!C62)</f>
        <v>3.5</v>
      </c>
      <c r="D62" s="49">
        <f>AVERAGE('26.10 HOIMA-KYENJOJO-24h'!D62,'28.10 HOIMA-KYENJOJO-24h'!D62)</f>
        <v>0.5</v>
      </c>
      <c r="E62" s="49">
        <f>AVERAGE('26.10 HOIMA-KYENJOJO-24h'!E62,'28.10 HOIMA-KYENJOJO-24h'!E62)</f>
        <v>1</v>
      </c>
      <c r="F62" s="49">
        <f>AVERAGE('26.10 HOIMA-KYENJOJO-24h'!F62,'28.10 HOIMA-KYENJOJO-24h'!F62)</f>
        <v>2</v>
      </c>
      <c r="G62" s="49">
        <f>AVERAGE('26.10 HOIMA-KYENJOJO-24h'!G62,'28.10 HOIMA-KYENJOJO-24h'!G62)</f>
        <v>0</v>
      </c>
      <c r="H62" s="49">
        <f>AVERAGE('26.10 HOIMA-KYENJOJO-24h'!H62,'28.10 HOIMA-KYENJOJO-24h'!H62)</f>
        <v>0</v>
      </c>
      <c r="I62" s="49">
        <f>AVERAGE('26.10 HOIMA-KYENJOJO-24h'!I62,'28.10 HOIMA-KYENJOJO-24h'!I62)</f>
        <v>1</v>
      </c>
      <c r="J62" s="49">
        <f>AVERAGE('26.10 HOIMA-KYENJOJO-24h'!J62,'28.10 HOIMA-KYENJOJO-24h'!J62)</f>
        <v>1</v>
      </c>
      <c r="K62" s="49">
        <f>AVERAGE('26.10 HOIMA-KYENJOJO-24h'!K62,'28.10 HOIMA-KYENJOJO-24h'!K62)</f>
        <v>0.5</v>
      </c>
      <c r="L62" s="49">
        <f>AVERAGE('26.10 HOIMA-KYENJOJO-24h'!L62,'28.10 HOIMA-KYENJOJO-24h'!L62)</f>
        <v>0</v>
      </c>
      <c r="M62" s="49">
        <f>AVERAGE('26.10 HOIMA-KYENJOJO-24h'!M62,'28.10 HOIMA-KYENJOJO-24h'!M62)</f>
        <v>17.5</v>
      </c>
      <c r="N62" s="49">
        <f>AVERAGE('26.10 HOIMA-KYENJOJO-24h'!N62,'28.10 HOIMA-KYENJOJO-24h'!N62)</f>
        <v>0</v>
      </c>
      <c r="O62" s="15">
        <f t="shared" si="0"/>
        <v>9.5</v>
      </c>
      <c r="P62" s="15">
        <f t="shared" si="1"/>
        <v>27</v>
      </c>
      <c r="R62" s="8"/>
      <c r="T62"/>
    </row>
    <row r="63" spans="2:20" ht="23.1" customHeight="1" x14ac:dyDescent="0.25">
      <c r="B63" s="23" t="s">
        <v>108</v>
      </c>
      <c r="C63" s="49">
        <f>AVERAGE('26.10 HOIMA-KYENJOJO-24h'!C63,'28.10 HOIMA-KYENJOJO-24h'!C63)</f>
        <v>3</v>
      </c>
      <c r="D63" s="49">
        <f>AVERAGE('26.10 HOIMA-KYENJOJO-24h'!D63,'28.10 HOIMA-KYENJOJO-24h'!D63)</f>
        <v>0</v>
      </c>
      <c r="E63" s="49">
        <f>AVERAGE('26.10 HOIMA-KYENJOJO-24h'!E63,'28.10 HOIMA-KYENJOJO-24h'!E63)</f>
        <v>1</v>
      </c>
      <c r="F63" s="49">
        <f>AVERAGE('26.10 HOIMA-KYENJOJO-24h'!F63,'28.10 HOIMA-KYENJOJO-24h'!F63)</f>
        <v>0</v>
      </c>
      <c r="G63" s="49">
        <f>AVERAGE('26.10 HOIMA-KYENJOJO-24h'!G63,'28.10 HOIMA-KYENJOJO-24h'!G63)</f>
        <v>0</v>
      </c>
      <c r="H63" s="49">
        <f>AVERAGE('26.10 HOIMA-KYENJOJO-24h'!H63,'28.10 HOIMA-KYENJOJO-24h'!H63)</f>
        <v>0</v>
      </c>
      <c r="I63" s="49">
        <f>AVERAGE('26.10 HOIMA-KYENJOJO-24h'!I63,'28.10 HOIMA-KYENJOJO-24h'!I63)</f>
        <v>0</v>
      </c>
      <c r="J63" s="49">
        <f>AVERAGE('26.10 HOIMA-KYENJOJO-24h'!J63,'28.10 HOIMA-KYENJOJO-24h'!J63)</f>
        <v>0</v>
      </c>
      <c r="K63" s="49">
        <f>AVERAGE('26.10 HOIMA-KYENJOJO-24h'!K63,'28.10 HOIMA-KYENJOJO-24h'!K63)</f>
        <v>0.5</v>
      </c>
      <c r="L63" s="49">
        <f>AVERAGE('26.10 HOIMA-KYENJOJO-24h'!L63,'28.10 HOIMA-KYENJOJO-24h'!L63)</f>
        <v>0.5</v>
      </c>
      <c r="M63" s="49">
        <f>AVERAGE('26.10 HOIMA-KYENJOJO-24h'!M63,'28.10 HOIMA-KYENJOJO-24h'!M63)</f>
        <v>23.5</v>
      </c>
      <c r="N63" s="49">
        <f>AVERAGE('26.10 HOIMA-KYENJOJO-24h'!N63,'28.10 HOIMA-KYENJOJO-24h'!N63)</f>
        <v>0</v>
      </c>
      <c r="O63" s="15">
        <f t="shared" si="0"/>
        <v>5</v>
      </c>
      <c r="P63" s="15">
        <f t="shared" si="1"/>
        <v>28.5</v>
      </c>
      <c r="R63" s="8"/>
      <c r="T63"/>
    </row>
    <row r="64" spans="2:20" ht="23.1" customHeight="1" x14ac:dyDescent="0.25">
      <c r="B64" s="23" t="s">
        <v>109</v>
      </c>
      <c r="C64" s="49">
        <f>AVERAGE('26.10 HOIMA-KYENJOJO-24h'!C64,'28.10 HOIMA-KYENJOJO-24h'!C64)</f>
        <v>5</v>
      </c>
      <c r="D64" s="49">
        <f>AVERAGE('26.10 HOIMA-KYENJOJO-24h'!D64,'28.10 HOIMA-KYENJOJO-24h'!D64)</f>
        <v>0</v>
      </c>
      <c r="E64" s="49">
        <f>AVERAGE('26.10 HOIMA-KYENJOJO-24h'!E64,'28.10 HOIMA-KYENJOJO-24h'!E64)</f>
        <v>0</v>
      </c>
      <c r="F64" s="49">
        <f>AVERAGE('26.10 HOIMA-KYENJOJO-24h'!F64,'28.10 HOIMA-KYENJOJO-24h'!F64)</f>
        <v>0</v>
      </c>
      <c r="G64" s="49">
        <f>AVERAGE('26.10 HOIMA-KYENJOJO-24h'!G64,'28.10 HOIMA-KYENJOJO-24h'!G64)</f>
        <v>0</v>
      </c>
      <c r="H64" s="49">
        <f>AVERAGE('26.10 HOIMA-KYENJOJO-24h'!H64,'28.10 HOIMA-KYENJOJO-24h'!H64)</f>
        <v>0</v>
      </c>
      <c r="I64" s="49">
        <f>AVERAGE('26.10 HOIMA-KYENJOJO-24h'!I64,'28.10 HOIMA-KYENJOJO-24h'!I64)</f>
        <v>0.5</v>
      </c>
      <c r="J64" s="49">
        <f>AVERAGE('26.10 HOIMA-KYENJOJO-24h'!J64,'28.10 HOIMA-KYENJOJO-24h'!J64)</f>
        <v>0.5</v>
      </c>
      <c r="K64" s="49">
        <f>AVERAGE('26.10 HOIMA-KYENJOJO-24h'!K64,'28.10 HOIMA-KYENJOJO-24h'!K64)</f>
        <v>0</v>
      </c>
      <c r="L64" s="49">
        <f>AVERAGE('26.10 HOIMA-KYENJOJO-24h'!L64,'28.10 HOIMA-KYENJOJO-24h'!L64)</f>
        <v>0</v>
      </c>
      <c r="M64" s="49">
        <f>AVERAGE('26.10 HOIMA-KYENJOJO-24h'!M64,'28.10 HOIMA-KYENJOJO-24h'!M64)</f>
        <v>22.5</v>
      </c>
      <c r="N64" s="49">
        <f>AVERAGE('26.10 HOIMA-KYENJOJO-24h'!N64,'28.10 HOIMA-KYENJOJO-24h'!N64)</f>
        <v>0</v>
      </c>
      <c r="O64" s="15">
        <f t="shared" si="0"/>
        <v>6</v>
      </c>
      <c r="P64" s="15">
        <f t="shared" si="1"/>
        <v>28.5</v>
      </c>
      <c r="R64" s="8"/>
      <c r="T64"/>
    </row>
    <row r="65" spans="2:20" ht="23.1" customHeight="1" x14ac:dyDescent="0.25">
      <c r="B65" s="23" t="s">
        <v>158</v>
      </c>
      <c r="C65" s="49">
        <f>AVERAGE('26.10 HOIMA-KYENJOJO-24h'!C65,'28.10 HOIMA-KYENJOJO-24h'!C65)</f>
        <v>1.5</v>
      </c>
      <c r="D65" s="49">
        <f>AVERAGE('26.10 HOIMA-KYENJOJO-24h'!D65,'28.10 HOIMA-KYENJOJO-24h'!D65)</f>
        <v>0.5</v>
      </c>
      <c r="E65" s="49">
        <f>AVERAGE('26.10 HOIMA-KYENJOJO-24h'!E65,'28.10 HOIMA-KYENJOJO-24h'!E65)</f>
        <v>1</v>
      </c>
      <c r="F65" s="49">
        <f>AVERAGE('26.10 HOIMA-KYENJOJO-24h'!F65,'28.10 HOIMA-KYENJOJO-24h'!F65)</f>
        <v>0</v>
      </c>
      <c r="G65" s="49">
        <f>AVERAGE('26.10 HOIMA-KYENJOJO-24h'!G65,'28.10 HOIMA-KYENJOJO-24h'!G65)</f>
        <v>0</v>
      </c>
      <c r="H65" s="49">
        <f>AVERAGE('26.10 HOIMA-KYENJOJO-24h'!H65,'28.10 HOIMA-KYENJOJO-24h'!H65)</f>
        <v>0</v>
      </c>
      <c r="I65" s="49">
        <f>AVERAGE('26.10 HOIMA-KYENJOJO-24h'!I65,'28.10 HOIMA-KYENJOJO-24h'!I65)</f>
        <v>0</v>
      </c>
      <c r="J65" s="49">
        <f>AVERAGE('26.10 HOIMA-KYENJOJO-24h'!J65,'28.10 HOIMA-KYENJOJO-24h'!J65)</f>
        <v>0</v>
      </c>
      <c r="K65" s="49">
        <f>AVERAGE('26.10 HOIMA-KYENJOJO-24h'!K65,'28.10 HOIMA-KYENJOJO-24h'!K65)</f>
        <v>0</v>
      </c>
      <c r="L65" s="49">
        <f>AVERAGE('26.10 HOIMA-KYENJOJO-24h'!L65,'28.10 HOIMA-KYENJOJO-24h'!L65)</f>
        <v>0</v>
      </c>
      <c r="M65" s="49">
        <f>AVERAGE('26.10 HOIMA-KYENJOJO-24h'!M65,'28.10 HOIMA-KYENJOJO-24h'!M65)</f>
        <v>10</v>
      </c>
      <c r="N65" s="49">
        <f>AVERAGE('26.10 HOIMA-KYENJOJO-24h'!N65,'28.10 HOIMA-KYENJOJO-24h'!N65)</f>
        <v>0</v>
      </c>
      <c r="O65" s="15">
        <f t="shared" si="0"/>
        <v>3</v>
      </c>
      <c r="P65" s="15">
        <f t="shared" si="1"/>
        <v>13</v>
      </c>
      <c r="R65" s="8"/>
      <c r="T65"/>
    </row>
    <row r="66" spans="2:20" ht="23.1" customHeight="1" x14ac:dyDescent="0.25">
      <c r="B66" s="23" t="s">
        <v>103</v>
      </c>
      <c r="C66" s="49">
        <f>AVERAGE('26.10 HOIMA-KYENJOJO-24h'!C66,'28.10 HOIMA-KYENJOJO-24h'!C66)</f>
        <v>0.5</v>
      </c>
      <c r="D66" s="49">
        <f>AVERAGE('26.10 HOIMA-KYENJOJO-24h'!D66,'28.10 HOIMA-KYENJOJO-24h'!D66)</f>
        <v>0.5</v>
      </c>
      <c r="E66" s="49">
        <f>AVERAGE('26.10 HOIMA-KYENJOJO-24h'!E66,'28.10 HOIMA-KYENJOJO-24h'!E66)</f>
        <v>0</v>
      </c>
      <c r="F66" s="49">
        <f>AVERAGE('26.10 HOIMA-KYENJOJO-24h'!F66,'28.10 HOIMA-KYENJOJO-24h'!F66)</f>
        <v>0.5</v>
      </c>
      <c r="G66" s="49">
        <f>AVERAGE('26.10 HOIMA-KYENJOJO-24h'!G66,'28.10 HOIMA-KYENJOJO-24h'!G66)</f>
        <v>0</v>
      </c>
      <c r="H66" s="49">
        <f>AVERAGE('26.10 HOIMA-KYENJOJO-24h'!H66,'28.10 HOIMA-KYENJOJO-24h'!H66)</f>
        <v>0</v>
      </c>
      <c r="I66" s="49">
        <f>AVERAGE('26.10 HOIMA-KYENJOJO-24h'!I66,'28.10 HOIMA-KYENJOJO-24h'!I66)</f>
        <v>0.5</v>
      </c>
      <c r="J66" s="49">
        <f>AVERAGE('26.10 HOIMA-KYENJOJO-24h'!J66,'28.10 HOIMA-KYENJOJO-24h'!J66)</f>
        <v>0.5</v>
      </c>
      <c r="K66" s="49">
        <f>AVERAGE('26.10 HOIMA-KYENJOJO-24h'!K66,'28.10 HOIMA-KYENJOJO-24h'!K66)</f>
        <v>0</v>
      </c>
      <c r="L66" s="49">
        <f>AVERAGE('26.10 HOIMA-KYENJOJO-24h'!L66,'28.10 HOIMA-KYENJOJO-24h'!L66)</f>
        <v>0</v>
      </c>
      <c r="M66" s="49">
        <f>AVERAGE('26.10 HOIMA-KYENJOJO-24h'!M66,'28.10 HOIMA-KYENJOJO-24h'!M66)</f>
        <v>14</v>
      </c>
      <c r="N66" s="49">
        <f>AVERAGE('26.10 HOIMA-KYENJOJO-24h'!N66,'28.10 HOIMA-KYENJOJO-24h'!N66)</f>
        <v>0</v>
      </c>
      <c r="O66" s="15">
        <f t="shared" si="0"/>
        <v>2.5</v>
      </c>
      <c r="P66" s="15">
        <f t="shared" si="1"/>
        <v>16.5</v>
      </c>
      <c r="R66" s="8"/>
      <c r="T66"/>
    </row>
    <row r="67" spans="2:20" ht="23.1" customHeight="1" x14ac:dyDescent="0.25">
      <c r="B67" s="23" t="s">
        <v>104</v>
      </c>
      <c r="C67" s="49">
        <f>AVERAGE('26.10 HOIMA-KYENJOJO-24h'!C67,'28.10 HOIMA-KYENJOJO-24h'!C67)</f>
        <v>2</v>
      </c>
      <c r="D67" s="49">
        <f>AVERAGE('26.10 HOIMA-KYENJOJO-24h'!D67,'28.10 HOIMA-KYENJOJO-24h'!D67)</f>
        <v>0</v>
      </c>
      <c r="E67" s="49">
        <f>AVERAGE('26.10 HOIMA-KYENJOJO-24h'!E67,'28.10 HOIMA-KYENJOJO-24h'!E67)</f>
        <v>0.5</v>
      </c>
      <c r="F67" s="49">
        <f>AVERAGE('26.10 HOIMA-KYENJOJO-24h'!F67,'28.10 HOIMA-KYENJOJO-24h'!F67)</f>
        <v>0.5</v>
      </c>
      <c r="G67" s="49">
        <f>AVERAGE('26.10 HOIMA-KYENJOJO-24h'!G67,'28.10 HOIMA-KYENJOJO-24h'!G67)</f>
        <v>0</v>
      </c>
      <c r="H67" s="49">
        <f>AVERAGE('26.10 HOIMA-KYENJOJO-24h'!H67,'28.10 HOIMA-KYENJOJO-24h'!H67)</f>
        <v>0</v>
      </c>
      <c r="I67" s="49">
        <f>AVERAGE('26.10 HOIMA-KYENJOJO-24h'!I67,'28.10 HOIMA-KYENJOJO-24h'!I67)</f>
        <v>0</v>
      </c>
      <c r="J67" s="49">
        <f>AVERAGE('26.10 HOIMA-KYENJOJO-24h'!J67,'28.10 HOIMA-KYENJOJO-24h'!J67)</f>
        <v>0</v>
      </c>
      <c r="K67" s="49">
        <f>AVERAGE('26.10 HOIMA-KYENJOJO-24h'!K67,'28.10 HOIMA-KYENJOJO-24h'!K67)</f>
        <v>0</v>
      </c>
      <c r="L67" s="49">
        <f>AVERAGE('26.10 HOIMA-KYENJOJO-24h'!L67,'28.10 HOIMA-KYENJOJO-24h'!L67)</f>
        <v>0</v>
      </c>
      <c r="M67" s="49">
        <f>AVERAGE('26.10 HOIMA-KYENJOJO-24h'!M67,'28.10 HOIMA-KYENJOJO-24h'!M67)</f>
        <v>12.5</v>
      </c>
      <c r="N67" s="49">
        <f>AVERAGE('26.10 HOIMA-KYENJOJO-24h'!N67,'28.10 HOIMA-KYENJOJO-24h'!N67)</f>
        <v>0</v>
      </c>
      <c r="O67" s="15">
        <f t="shared" si="0"/>
        <v>3</v>
      </c>
      <c r="P67" s="15">
        <f t="shared" si="1"/>
        <v>15.5</v>
      </c>
      <c r="R67" s="8"/>
      <c r="T67"/>
    </row>
    <row r="68" spans="2:20" ht="23.1" customHeight="1" x14ac:dyDescent="0.25">
      <c r="B68" s="23" t="s">
        <v>105</v>
      </c>
      <c r="C68" s="49">
        <f>AVERAGE('26.10 HOIMA-KYENJOJO-24h'!C68,'28.10 HOIMA-KYENJOJO-24h'!C68)</f>
        <v>4</v>
      </c>
      <c r="D68" s="49">
        <f>AVERAGE('26.10 HOIMA-KYENJOJO-24h'!D68,'28.10 HOIMA-KYENJOJO-24h'!D68)</f>
        <v>1</v>
      </c>
      <c r="E68" s="49">
        <f>AVERAGE('26.10 HOIMA-KYENJOJO-24h'!E68,'28.10 HOIMA-KYENJOJO-24h'!E68)</f>
        <v>0.5</v>
      </c>
      <c r="F68" s="49">
        <f>AVERAGE('26.10 HOIMA-KYENJOJO-24h'!F68,'28.10 HOIMA-KYENJOJO-24h'!F68)</f>
        <v>0</v>
      </c>
      <c r="G68" s="49">
        <f>AVERAGE('26.10 HOIMA-KYENJOJO-24h'!G68,'28.10 HOIMA-KYENJOJO-24h'!G68)</f>
        <v>0</v>
      </c>
      <c r="H68" s="49">
        <f>AVERAGE('26.10 HOIMA-KYENJOJO-24h'!H68,'28.10 HOIMA-KYENJOJO-24h'!H68)</f>
        <v>0</v>
      </c>
      <c r="I68" s="49">
        <f>AVERAGE('26.10 HOIMA-KYENJOJO-24h'!I68,'28.10 HOIMA-KYENJOJO-24h'!I68)</f>
        <v>0</v>
      </c>
      <c r="J68" s="49">
        <f>AVERAGE('26.10 HOIMA-KYENJOJO-24h'!J68,'28.10 HOIMA-KYENJOJO-24h'!J68)</f>
        <v>0.5</v>
      </c>
      <c r="K68" s="49">
        <f>AVERAGE('26.10 HOIMA-KYENJOJO-24h'!K68,'28.10 HOIMA-KYENJOJO-24h'!K68)</f>
        <v>0.5</v>
      </c>
      <c r="L68" s="49">
        <f>AVERAGE('26.10 HOIMA-KYENJOJO-24h'!L68,'28.10 HOIMA-KYENJOJO-24h'!L68)</f>
        <v>0</v>
      </c>
      <c r="M68" s="49">
        <f>AVERAGE('26.10 HOIMA-KYENJOJO-24h'!M68,'28.10 HOIMA-KYENJOJO-24h'!M68)</f>
        <v>12</v>
      </c>
      <c r="N68" s="49">
        <f>AVERAGE('26.10 HOIMA-KYENJOJO-24h'!N68,'28.10 HOIMA-KYENJOJO-24h'!N68)</f>
        <v>0</v>
      </c>
      <c r="O68" s="15">
        <f t="shared" si="0"/>
        <v>6.5</v>
      </c>
      <c r="P68" s="15">
        <f t="shared" si="1"/>
        <v>18.5</v>
      </c>
      <c r="R68" s="8"/>
      <c r="T68"/>
    </row>
    <row r="69" spans="2:20" ht="23.1" customHeight="1" x14ac:dyDescent="0.25">
      <c r="B69" s="23" t="s">
        <v>106</v>
      </c>
      <c r="C69" s="49">
        <f>AVERAGE('26.10 HOIMA-KYENJOJO-24h'!C69,'28.10 HOIMA-KYENJOJO-24h'!C69)</f>
        <v>3.5</v>
      </c>
      <c r="D69" s="49">
        <f>AVERAGE('26.10 HOIMA-KYENJOJO-24h'!D69,'28.10 HOIMA-KYENJOJO-24h'!D69)</f>
        <v>0</v>
      </c>
      <c r="E69" s="49">
        <f>AVERAGE('26.10 HOIMA-KYENJOJO-24h'!E69,'28.10 HOIMA-KYENJOJO-24h'!E69)</f>
        <v>0</v>
      </c>
      <c r="F69" s="49">
        <f>AVERAGE('26.10 HOIMA-KYENJOJO-24h'!F69,'28.10 HOIMA-KYENJOJO-24h'!F69)</f>
        <v>0</v>
      </c>
      <c r="G69" s="49">
        <f>AVERAGE('26.10 HOIMA-KYENJOJO-24h'!G69,'28.10 HOIMA-KYENJOJO-24h'!G69)</f>
        <v>0</v>
      </c>
      <c r="H69" s="49">
        <f>AVERAGE('26.10 HOIMA-KYENJOJO-24h'!H69,'28.10 HOIMA-KYENJOJO-24h'!H69)</f>
        <v>0</v>
      </c>
      <c r="I69" s="49">
        <f>AVERAGE('26.10 HOIMA-KYENJOJO-24h'!I69,'28.10 HOIMA-KYENJOJO-24h'!I69)</f>
        <v>0</v>
      </c>
      <c r="J69" s="49">
        <f>AVERAGE('26.10 HOIMA-KYENJOJO-24h'!J69,'28.10 HOIMA-KYENJOJO-24h'!J69)</f>
        <v>0</v>
      </c>
      <c r="K69" s="49">
        <f>AVERAGE('26.10 HOIMA-KYENJOJO-24h'!K69,'28.10 HOIMA-KYENJOJO-24h'!K69)</f>
        <v>0</v>
      </c>
      <c r="L69" s="49">
        <f>AVERAGE('26.10 HOIMA-KYENJOJO-24h'!L69,'28.10 HOIMA-KYENJOJO-24h'!L69)</f>
        <v>0</v>
      </c>
      <c r="M69" s="49">
        <f>AVERAGE('26.10 HOIMA-KYENJOJO-24h'!M69,'28.10 HOIMA-KYENJOJO-24h'!M69)</f>
        <v>12</v>
      </c>
      <c r="N69" s="49">
        <f>AVERAGE('26.10 HOIMA-KYENJOJO-24h'!N69,'28.10 HOIMA-KYENJOJO-24h'!N69)</f>
        <v>0</v>
      </c>
      <c r="O69" s="15">
        <f t="shared" si="0"/>
        <v>3.5</v>
      </c>
      <c r="P69" s="15">
        <f t="shared" si="1"/>
        <v>15.5</v>
      </c>
      <c r="R69" s="8"/>
      <c r="T69"/>
    </row>
    <row r="70" spans="2:20" ht="23.1" customHeight="1" x14ac:dyDescent="0.25">
      <c r="B70" s="23" t="s">
        <v>110</v>
      </c>
      <c r="C70" s="49">
        <f>AVERAGE('26.10 HOIMA-KYENJOJO-24h'!C70,'28.10 HOIMA-KYENJOJO-24h'!C70)</f>
        <v>2</v>
      </c>
      <c r="D70" s="49">
        <f>AVERAGE('26.10 HOIMA-KYENJOJO-24h'!D70,'28.10 HOIMA-KYENJOJO-24h'!D70)</f>
        <v>0</v>
      </c>
      <c r="E70" s="49">
        <f>AVERAGE('26.10 HOIMA-KYENJOJO-24h'!E70,'28.10 HOIMA-KYENJOJO-24h'!E70)</f>
        <v>0</v>
      </c>
      <c r="F70" s="49">
        <f>AVERAGE('26.10 HOIMA-KYENJOJO-24h'!F70,'28.10 HOIMA-KYENJOJO-24h'!F70)</f>
        <v>0</v>
      </c>
      <c r="G70" s="49">
        <f>AVERAGE('26.10 HOIMA-KYENJOJO-24h'!G70,'28.10 HOIMA-KYENJOJO-24h'!G70)</f>
        <v>0</v>
      </c>
      <c r="H70" s="49">
        <f>AVERAGE('26.10 HOIMA-KYENJOJO-24h'!H70,'28.10 HOIMA-KYENJOJO-24h'!H70)</f>
        <v>0</v>
      </c>
      <c r="I70" s="49">
        <f>AVERAGE('26.10 HOIMA-KYENJOJO-24h'!I70,'28.10 HOIMA-KYENJOJO-24h'!I70)</f>
        <v>0.5</v>
      </c>
      <c r="J70" s="49">
        <f>AVERAGE('26.10 HOIMA-KYENJOJO-24h'!J70,'28.10 HOIMA-KYENJOJO-24h'!J70)</f>
        <v>0.5</v>
      </c>
      <c r="K70" s="49">
        <f>AVERAGE('26.10 HOIMA-KYENJOJO-24h'!K70,'28.10 HOIMA-KYENJOJO-24h'!K70)</f>
        <v>0</v>
      </c>
      <c r="L70" s="49">
        <f>AVERAGE('26.10 HOIMA-KYENJOJO-24h'!L70,'28.10 HOIMA-KYENJOJO-24h'!L70)</f>
        <v>0</v>
      </c>
      <c r="M70" s="49">
        <f>AVERAGE('26.10 HOIMA-KYENJOJO-24h'!M70,'28.10 HOIMA-KYENJOJO-24h'!M70)</f>
        <v>10.5</v>
      </c>
      <c r="N70" s="49">
        <f>AVERAGE('26.10 HOIMA-KYENJOJO-24h'!N70,'28.10 HOIMA-KYENJOJO-24h'!N70)</f>
        <v>0</v>
      </c>
      <c r="O70" s="15">
        <f t="shared" si="0"/>
        <v>3</v>
      </c>
      <c r="P70" s="15">
        <f t="shared" si="1"/>
        <v>13.5</v>
      </c>
      <c r="R70" s="8"/>
      <c r="T70"/>
    </row>
    <row r="71" spans="2:20" ht="23.1" customHeight="1" x14ac:dyDescent="0.25">
      <c r="B71" s="23" t="s">
        <v>111</v>
      </c>
      <c r="C71" s="49">
        <f>AVERAGE('26.10 HOIMA-KYENJOJO-24h'!C71,'28.10 HOIMA-KYENJOJO-24h'!C71)</f>
        <v>0.5</v>
      </c>
      <c r="D71" s="49">
        <f>AVERAGE('26.10 HOIMA-KYENJOJO-24h'!D71,'28.10 HOIMA-KYENJOJO-24h'!D71)</f>
        <v>0</v>
      </c>
      <c r="E71" s="49">
        <f>AVERAGE('26.10 HOIMA-KYENJOJO-24h'!E71,'28.10 HOIMA-KYENJOJO-24h'!E71)</f>
        <v>1.5</v>
      </c>
      <c r="F71" s="49">
        <f>AVERAGE('26.10 HOIMA-KYENJOJO-24h'!F71,'28.10 HOIMA-KYENJOJO-24h'!F71)</f>
        <v>0</v>
      </c>
      <c r="G71" s="49">
        <f>AVERAGE('26.10 HOIMA-KYENJOJO-24h'!G71,'28.10 HOIMA-KYENJOJO-24h'!G71)</f>
        <v>0</v>
      </c>
      <c r="H71" s="49">
        <f>AVERAGE('26.10 HOIMA-KYENJOJO-24h'!H71,'28.10 HOIMA-KYENJOJO-24h'!H71)</f>
        <v>0</v>
      </c>
      <c r="I71" s="49">
        <f>AVERAGE('26.10 HOIMA-KYENJOJO-24h'!I71,'28.10 HOIMA-KYENJOJO-24h'!I71)</f>
        <v>0</v>
      </c>
      <c r="J71" s="49">
        <f>AVERAGE('26.10 HOIMA-KYENJOJO-24h'!J71,'28.10 HOIMA-KYENJOJO-24h'!J71)</f>
        <v>0</v>
      </c>
      <c r="K71" s="49">
        <f>AVERAGE('26.10 HOIMA-KYENJOJO-24h'!K71,'28.10 HOIMA-KYENJOJO-24h'!K71)</f>
        <v>0.5</v>
      </c>
      <c r="L71" s="49">
        <f>AVERAGE('26.10 HOIMA-KYENJOJO-24h'!L71,'28.10 HOIMA-KYENJOJO-24h'!L71)</f>
        <v>0</v>
      </c>
      <c r="M71" s="49">
        <f>AVERAGE('26.10 HOIMA-KYENJOJO-24h'!M71,'28.10 HOIMA-KYENJOJO-24h'!M71)</f>
        <v>9.5</v>
      </c>
      <c r="N71" s="49">
        <f>AVERAGE('26.10 HOIMA-KYENJOJO-24h'!N71,'28.10 HOIMA-KYENJOJO-24h'!N71)</f>
        <v>0</v>
      </c>
      <c r="O71" s="15">
        <f t="shared" si="0"/>
        <v>2.5</v>
      </c>
      <c r="P71" s="15">
        <f t="shared" si="1"/>
        <v>12</v>
      </c>
      <c r="R71" s="8"/>
      <c r="T71"/>
    </row>
    <row r="72" spans="2:20" ht="23.1" customHeight="1" x14ac:dyDescent="0.25">
      <c r="B72" s="23" t="s">
        <v>112</v>
      </c>
      <c r="C72" s="49">
        <f>AVERAGE('26.10 HOIMA-KYENJOJO-24h'!C72,'28.10 HOIMA-KYENJOJO-24h'!C72)</f>
        <v>1.5</v>
      </c>
      <c r="D72" s="49">
        <f>AVERAGE('26.10 HOIMA-KYENJOJO-24h'!D72,'28.10 HOIMA-KYENJOJO-24h'!D72)</f>
        <v>0</v>
      </c>
      <c r="E72" s="49">
        <f>AVERAGE('26.10 HOIMA-KYENJOJO-24h'!E72,'28.10 HOIMA-KYENJOJO-24h'!E72)</f>
        <v>0</v>
      </c>
      <c r="F72" s="49">
        <f>AVERAGE('26.10 HOIMA-KYENJOJO-24h'!F72,'28.10 HOIMA-KYENJOJO-24h'!F72)</f>
        <v>0.5</v>
      </c>
      <c r="G72" s="49">
        <f>AVERAGE('26.10 HOIMA-KYENJOJO-24h'!G72,'28.10 HOIMA-KYENJOJO-24h'!G72)</f>
        <v>0</v>
      </c>
      <c r="H72" s="49">
        <f>AVERAGE('26.10 HOIMA-KYENJOJO-24h'!H72,'28.10 HOIMA-KYENJOJO-24h'!H72)</f>
        <v>0</v>
      </c>
      <c r="I72" s="49">
        <f>AVERAGE('26.10 HOIMA-KYENJOJO-24h'!I72,'28.10 HOIMA-KYENJOJO-24h'!I72)</f>
        <v>0.5</v>
      </c>
      <c r="J72" s="49">
        <f>AVERAGE('26.10 HOIMA-KYENJOJO-24h'!J72,'28.10 HOIMA-KYENJOJO-24h'!J72)</f>
        <v>0</v>
      </c>
      <c r="K72" s="49">
        <f>AVERAGE('26.10 HOIMA-KYENJOJO-24h'!K72,'28.10 HOIMA-KYENJOJO-24h'!K72)</f>
        <v>0</v>
      </c>
      <c r="L72" s="49">
        <f>AVERAGE('26.10 HOIMA-KYENJOJO-24h'!L72,'28.10 HOIMA-KYENJOJO-24h'!L72)</f>
        <v>0</v>
      </c>
      <c r="M72" s="49">
        <f>AVERAGE('26.10 HOIMA-KYENJOJO-24h'!M72,'28.10 HOIMA-KYENJOJO-24h'!M72)</f>
        <v>7.5</v>
      </c>
      <c r="N72" s="49">
        <f>AVERAGE('26.10 HOIMA-KYENJOJO-24h'!N72,'28.10 HOIMA-KYENJOJO-24h'!N72)</f>
        <v>0</v>
      </c>
      <c r="O72" s="15">
        <f t="shared" si="0"/>
        <v>2.5</v>
      </c>
      <c r="P72" s="15">
        <f t="shared" si="1"/>
        <v>10</v>
      </c>
      <c r="R72" s="8"/>
      <c r="T72"/>
    </row>
    <row r="73" spans="2:20" ht="23.1" customHeight="1" x14ac:dyDescent="0.25">
      <c r="B73" s="23" t="s">
        <v>113</v>
      </c>
      <c r="C73" s="49">
        <f>AVERAGE('26.10 HOIMA-KYENJOJO-24h'!C73,'28.10 HOIMA-KYENJOJO-24h'!C73)</f>
        <v>2</v>
      </c>
      <c r="D73" s="49">
        <f>AVERAGE('26.10 HOIMA-KYENJOJO-24h'!D73,'28.10 HOIMA-KYENJOJO-24h'!D73)</f>
        <v>0.5</v>
      </c>
      <c r="E73" s="49">
        <f>AVERAGE('26.10 HOIMA-KYENJOJO-24h'!E73,'28.10 HOIMA-KYENJOJO-24h'!E73)</f>
        <v>0</v>
      </c>
      <c r="F73" s="49">
        <f>AVERAGE('26.10 HOIMA-KYENJOJO-24h'!F73,'28.10 HOIMA-KYENJOJO-24h'!F73)</f>
        <v>0</v>
      </c>
      <c r="G73" s="49">
        <f>AVERAGE('26.10 HOIMA-KYENJOJO-24h'!G73,'28.10 HOIMA-KYENJOJO-24h'!G73)</f>
        <v>0</v>
      </c>
      <c r="H73" s="49">
        <f>AVERAGE('26.10 HOIMA-KYENJOJO-24h'!H73,'28.10 HOIMA-KYENJOJO-24h'!H73)</f>
        <v>0</v>
      </c>
      <c r="I73" s="49">
        <f>AVERAGE('26.10 HOIMA-KYENJOJO-24h'!I73,'28.10 HOIMA-KYENJOJO-24h'!I73)</f>
        <v>1</v>
      </c>
      <c r="J73" s="49">
        <f>AVERAGE('26.10 HOIMA-KYENJOJO-24h'!J73,'28.10 HOIMA-KYENJOJO-24h'!J73)</f>
        <v>0</v>
      </c>
      <c r="K73" s="49">
        <f>AVERAGE('26.10 HOIMA-KYENJOJO-24h'!K73,'28.10 HOIMA-KYENJOJO-24h'!K73)</f>
        <v>0</v>
      </c>
      <c r="L73" s="49">
        <f>AVERAGE('26.10 HOIMA-KYENJOJO-24h'!L73,'28.10 HOIMA-KYENJOJO-24h'!L73)</f>
        <v>0</v>
      </c>
      <c r="M73" s="49">
        <f>AVERAGE('26.10 HOIMA-KYENJOJO-24h'!M73,'28.10 HOIMA-KYENJOJO-24h'!M73)</f>
        <v>3</v>
      </c>
      <c r="N73" s="49">
        <f>AVERAGE('26.10 HOIMA-KYENJOJO-24h'!N73,'28.10 HOIMA-KYENJOJO-24h'!N73)</f>
        <v>0</v>
      </c>
      <c r="O73" s="15">
        <f t="shared" si="0"/>
        <v>3.5</v>
      </c>
      <c r="P73" s="15">
        <f t="shared" si="1"/>
        <v>6.5</v>
      </c>
      <c r="R73" s="8"/>
      <c r="T73"/>
    </row>
    <row r="74" spans="2:20" ht="23.1" customHeight="1" x14ac:dyDescent="0.25">
      <c r="B74" s="23" t="s">
        <v>114</v>
      </c>
      <c r="C74" s="49">
        <f>AVERAGE('26.10 HOIMA-KYENJOJO-24h'!C74,'28.10 HOIMA-KYENJOJO-24h'!C74)</f>
        <v>3</v>
      </c>
      <c r="D74" s="49">
        <f>AVERAGE('26.10 HOIMA-KYENJOJO-24h'!D74,'28.10 HOIMA-KYENJOJO-24h'!D74)</f>
        <v>0.5</v>
      </c>
      <c r="E74" s="49">
        <f>AVERAGE('26.10 HOIMA-KYENJOJO-24h'!E74,'28.10 HOIMA-KYENJOJO-24h'!E74)</f>
        <v>0.5</v>
      </c>
      <c r="F74" s="49">
        <f>AVERAGE('26.10 HOIMA-KYENJOJO-24h'!F74,'28.10 HOIMA-KYENJOJO-24h'!F74)</f>
        <v>0.5</v>
      </c>
      <c r="G74" s="49">
        <f>AVERAGE('26.10 HOIMA-KYENJOJO-24h'!G74,'28.10 HOIMA-KYENJOJO-24h'!G74)</f>
        <v>0</v>
      </c>
      <c r="H74" s="49">
        <f>AVERAGE('26.10 HOIMA-KYENJOJO-24h'!H74,'28.10 HOIMA-KYENJOJO-24h'!H74)</f>
        <v>0</v>
      </c>
      <c r="I74" s="49">
        <f>AVERAGE('26.10 HOIMA-KYENJOJO-24h'!I74,'28.10 HOIMA-KYENJOJO-24h'!I74)</f>
        <v>0</v>
      </c>
      <c r="J74" s="49">
        <f>AVERAGE('26.10 HOIMA-KYENJOJO-24h'!J74,'28.10 HOIMA-KYENJOJO-24h'!J74)</f>
        <v>0</v>
      </c>
      <c r="K74" s="49">
        <f>AVERAGE('26.10 HOIMA-KYENJOJO-24h'!K74,'28.10 HOIMA-KYENJOJO-24h'!K74)</f>
        <v>0.5</v>
      </c>
      <c r="L74" s="49">
        <f>AVERAGE('26.10 HOIMA-KYENJOJO-24h'!L74,'28.10 HOIMA-KYENJOJO-24h'!L74)</f>
        <v>0</v>
      </c>
      <c r="M74" s="49">
        <f>AVERAGE('26.10 HOIMA-KYENJOJO-24h'!M74,'28.10 HOIMA-KYENJOJO-24h'!M74)</f>
        <v>8.5</v>
      </c>
      <c r="N74" s="49">
        <f>AVERAGE('26.10 HOIMA-KYENJOJO-24h'!N74,'28.10 HOIMA-KYENJOJO-24h'!N74)</f>
        <v>0</v>
      </c>
      <c r="O74" s="15">
        <f t="shared" ref="O74:O105" si="35">SUM(C74:L74,N74)</f>
        <v>5</v>
      </c>
      <c r="P74" s="15">
        <f t="shared" ref="P74:P105" si="36">SUM(C74:N74)</f>
        <v>13.5</v>
      </c>
      <c r="R74" s="8"/>
      <c r="T74"/>
    </row>
    <row r="75" spans="2:20" ht="23.1" customHeight="1" x14ac:dyDescent="0.25">
      <c r="B75" s="23" t="s">
        <v>115</v>
      </c>
      <c r="C75" s="49">
        <f>AVERAGE('26.10 HOIMA-KYENJOJO-24h'!C75,'28.10 HOIMA-KYENJOJO-24h'!C75)</f>
        <v>0</v>
      </c>
      <c r="D75" s="49">
        <f>AVERAGE('26.10 HOIMA-KYENJOJO-24h'!D75,'28.10 HOIMA-KYENJOJO-24h'!D75)</f>
        <v>0</v>
      </c>
      <c r="E75" s="49">
        <f>AVERAGE('26.10 HOIMA-KYENJOJO-24h'!E75,'28.10 HOIMA-KYENJOJO-24h'!E75)</f>
        <v>0</v>
      </c>
      <c r="F75" s="49">
        <f>AVERAGE('26.10 HOIMA-KYENJOJO-24h'!F75,'28.10 HOIMA-KYENJOJO-24h'!F75)</f>
        <v>0</v>
      </c>
      <c r="G75" s="49">
        <f>AVERAGE('26.10 HOIMA-KYENJOJO-24h'!G75,'28.10 HOIMA-KYENJOJO-24h'!G75)</f>
        <v>0</v>
      </c>
      <c r="H75" s="49">
        <f>AVERAGE('26.10 HOIMA-KYENJOJO-24h'!H75,'28.10 HOIMA-KYENJOJO-24h'!H75)</f>
        <v>0</v>
      </c>
      <c r="I75" s="49">
        <f>AVERAGE('26.10 HOIMA-KYENJOJO-24h'!I75,'28.10 HOIMA-KYENJOJO-24h'!I75)</f>
        <v>0</v>
      </c>
      <c r="J75" s="49">
        <f>AVERAGE('26.10 HOIMA-KYENJOJO-24h'!J75,'28.10 HOIMA-KYENJOJO-24h'!J75)</f>
        <v>0</v>
      </c>
      <c r="K75" s="49">
        <f>AVERAGE('26.10 HOIMA-KYENJOJO-24h'!K75,'28.10 HOIMA-KYENJOJO-24h'!K75)</f>
        <v>0</v>
      </c>
      <c r="L75" s="49">
        <f>AVERAGE('26.10 HOIMA-KYENJOJO-24h'!L75,'28.10 HOIMA-KYENJOJO-24h'!L75)</f>
        <v>0</v>
      </c>
      <c r="M75" s="49">
        <f>AVERAGE('26.10 HOIMA-KYENJOJO-24h'!M75,'28.10 HOIMA-KYENJOJO-24h'!M75)</f>
        <v>4.5</v>
      </c>
      <c r="N75" s="49">
        <f>AVERAGE('26.10 HOIMA-KYENJOJO-24h'!N75,'28.10 HOIMA-KYENJOJO-24h'!N75)</f>
        <v>0</v>
      </c>
      <c r="O75" s="15">
        <f t="shared" si="35"/>
        <v>0</v>
      </c>
      <c r="P75" s="15">
        <f t="shared" si="36"/>
        <v>4.5</v>
      </c>
      <c r="R75" s="8"/>
      <c r="T75"/>
    </row>
    <row r="76" spans="2:20" ht="23.1" customHeight="1" x14ac:dyDescent="0.25">
      <c r="B76" s="23" t="s">
        <v>116</v>
      </c>
      <c r="C76" s="49">
        <f>AVERAGE('26.10 HOIMA-KYENJOJO-24h'!C76,'28.10 HOIMA-KYENJOJO-24h'!C76)</f>
        <v>0.5</v>
      </c>
      <c r="D76" s="49">
        <f>AVERAGE('26.10 HOIMA-KYENJOJO-24h'!D76,'28.10 HOIMA-KYENJOJO-24h'!D76)</f>
        <v>0</v>
      </c>
      <c r="E76" s="49">
        <f>AVERAGE('26.10 HOIMA-KYENJOJO-24h'!E76,'28.10 HOIMA-KYENJOJO-24h'!E76)</f>
        <v>0</v>
      </c>
      <c r="F76" s="49">
        <f>AVERAGE('26.10 HOIMA-KYENJOJO-24h'!F76,'28.10 HOIMA-KYENJOJO-24h'!F76)</f>
        <v>0</v>
      </c>
      <c r="G76" s="49">
        <f>AVERAGE('26.10 HOIMA-KYENJOJO-24h'!G76,'28.10 HOIMA-KYENJOJO-24h'!G76)</f>
        <v>0</v>
      </c>
      <c r="H76" s="49">
        <f>AVERAGE('26.10 HOIMA-KYENJOJO-24h'!H76,'28.10 HOIMA-KYENJOJO-24h'!H76)</f>
        <v>0</v>
      </c>
      <c r="I76" s="49">
        <f>AVERAGE('26.10 HOIMA-KYENJOJO-24h'!I76,'28.10 HOIMA-KYENJOJO-24h'!I76)</f>
        <v>0</v>
      </c>
      <c r="J76" s="49">
        <f>AVERAGE('26.10 HOIMA-KYENJOJO-24h'!J76,'28.10 HOIMA-KYENJOJO-24h'!J76)</f>
        <v>0</v>
      </c>
      <c r="K76" s="49">
        <f>AVERAGE('26.10 HOIMA-KYENJOJO-24h'!K76,'28.10 HOIMA-KYENJOJO-24h'!K76)</f>
        <v>0</v>
      </c>
      <c r="L76" s="49">
        <f>AVERAGE('26.10 HOIMA-KYENJOJO-24h'!L76,'28.10 HOIMA-KYENJOJO-24h'!L76)</f>
        <v>0</v>
      </c>
      <c r="M76" s="49">
        <f>AVERAGE('26.10 HOIMA-KYENJOJO-24h'!M76,'28.10 HOIMA-KYENJOJO-24h'!M76)</f>
        <v>3.5</v>
      </c>
      <c r="N76" s="49">
        <f>AVERAGE('26.10 HOIMA-KYENJOJO-24h'!N76,'28.10 HOIMA-KYENJOJO-24h'!N76)</f>
        <v>0</v>
      </c>
      <c r="O76" s="15">
        <f t="shared" si="35"/>
        <v>0.5</v>
      </c>
      <c r="P76" s="15">
        <f t="shared" si="36"/>
        <v>4</v>
      </c>
      <c r="R76" s="8"/>
      <c r="T76"/>
    </row>
    <row r="77" spans="2:20" ht="23.1" customHeight="1" x14ac:dyDescent="0.25">
      <c r="B77" s="23" t="s">
        <v>117</v>
      </c>
      <c r="C77" s="49">
        <f>AVERAGE('26.10 HOIMA-KYENJOJO-24h'!C77,'28.10 HOIMA-KYENJOJO-24h'!C77)</f>
        <v>0.5</v>
      </c>
      <c r="D77" s="49">
        <f>AVERAGE('26.10 HOIMA-KYENJOJO-24h'!D77,'28.10 HOIMA-KYENJOJO-24h'!D77)</f>
        <v>0</v>
      </c>
      <c r="E77" s="49">
        <f>AVERAGE('26.10 HOIMA-KYENJOJO-24h'!E77,'28.10 HOIMA-KYENJOJO-24h'!E77)</f>
        <v>0</v>
      </c>
      <c r="F77" s="49">
        <f>AVERAGE('26.10 HOIMA-KYENJOJO-24h'!F77,'28.10 HOIMA-KYENJOJO-24h'!F77)</f>
        <v>0</v>
      </c>
      <c r="G77" s="49">
        <f>AVERAGE('26.10 HOIMA-KYENJOJO-24h'!G77,'28.10 HOIMA-KYENJOJO-24h'!G77)</f>
        <v>0</v>
      </c>
      <c r="H77" s="49">
        <f>AVERAGE('26.10 HOIMA-KYENJOJO-24h'!H77,'28.10 HOIMA-KYENJOJO-24h'!H77)</f>
        <v>0</v>
      </c>
      <c r="I77" s="49">
        <f>AVERAGE('26.10 HOIMA-KYENJOJO-24h'!I77,'28.10 HOIMA-KYENJOJO-24h'!I77)</f>
        <v>0</v>
      </c>
      <c r="J77" s="49">
        <f>AVERAGE('26.10 HOIMA-KYENJOJO-24h'!J77,'28.10 HOIMA-KYENJOJO-24h'!J77)</f>
        <v>0</v>
      </c>
      <c r="K77" s="49">
        <f>AVERAGE('26.10 HOIMA-KYENJOJO-24h'!K77,'28.10 HOIMA-KYENJOJO-24h'!K77)</f>
        <v>0</v>
      </c>
      <c r="L77" s="49">
        <f>AVERAGE('26.10 HOIMA-KYENJOJO-24h'!L77,'28.10 HOIMA-KYENJOJO-24h'!L77)</f>
        <v>0</v>
      </c>
      <c r="M77" s="49">
        <f>AVERAGE('26.10 HOIMA-KYENJOJO-24h'!M77,'28.10 HOIMA-KYENJOJO-24h'!M77)</f>
        <v>1.5</v>
      </c>
      <c r="N77" s="49">
        <f>AVERAGE('26.10 HOIMA-KYENJOJO-24h'!N77,'28.10 HOIMA-KYENJOJO-24h'!N77)</f>
        <v>0</v>
      </c>
      <c r="O77" s="15">
        <f t="shared" si="35"/>
        <v>0.5</v>
      </c>
      <c r="P77" s="15">
        <f t="shared" si="36"/>
        <v>2</v>
      </c>
      <c r="R77" s="8"/>
      <c r="T77"/>
    </row>
    <row r="78" spans="2:20" ht="23.1" customHeight="1" x14ac:dyDescent="0.25">
      <c r="B78" s="24" t="s">
        <v>118</v>
      </c>
      <c r="C78" s="49">
        <f>AVERAGE('26.10 HOIMA-KYENJOJO-24h'!C78,'28.10 HOIMA-KYENJOJO-24h'!C78)</f>
        <v>0</v>
      </c>
      <c r="D78" s="49">
        <f>AVERAGE('26.10 HOIMA-KYENJOJO-24h'!D78,'28.10 HOIMA-KYENJOJO-24h'!D78)</f>
        <v>0</v>
      </c>
      <c r="E78" s="49">
        <f>AVERAGE('26.10 HOIMA-KYENJOJO-24h'!E78,'28.10 HOIMA-KYENJOJO-24h'!E78)</f>
        <v>0</v>
      </c>
      <c r="F78" s="49">
        <f>AVERAGE('26.10 HOIMA-KYENJOJO-24h'!F78,'28.10 HOIMA-KYENJOJO-24h'!F78)</f>
        <v>0</v>
      </c>
      <c r="G78" s="49">
        <f>AVERAGE('26.10 HOIMA-KYENJOJO-24h'!G78,'28.10 HOIMA-KYENJOJO-24h'!G78)</f>
        <v>0</v>
      </c>
      <c r="H78" s="49">
        <f>AVERAGE('26.10 HOIMA-KYENJOJO-24h'!H78,'28.10 HOIMA-KYENJOJO-24h'!H78)</f>
        <v>0</v>
      </c>
      <c r="I78" s="49">
        <f>AVERAGE('26.10 HOIMA-KYENJOJO-24h'!I78,'28.10 HOIMA-KYENJOJO-24h'!I78)</f>
        <v>0</v>
      </c>
      <c r="J78" s="49">
        <f>AVERAGE('26.10 HOIMA-KYENJOJO-24h'!J78,'28.10 HOIMA-KYENJOJO-24h'!J78)</f>
        <v>0</v>
      </c>
      <c r="K78" s="49">
        <f>AVERAGE('26.10 HOIMA-KYENJOJO-24h'!K78,'28.10 HOIMA-KYENJOJO-24h'!K78)</f>
        <v>0</v>
      </c>
      <c r="L78" s="49">
        <f>AVERAGE('26.10 HOIMA-KYENJOJO-24h'!L78,'28.10 HOIMA-KYENJOJO-24h'!L78)</f>
        <v>0</v>
      </c>
      <c r="M78" s="49">
        <f>AVERAGE('26.10 HOIMA-KYENJOJO-24h'!M78,'28.10 HOIMA-KYENJOJO-24h'!M78)</f>
        <v>2.5</v>
      </c>
      <c r="N78" s="49">
        <f>AVERAGE('26.10 HOIMA-KYENJOJO-24h'!N78,'28.10 HOIMA-KYENJOJO-24h'!N78)</f>
        <v>0</v>
      </c>
      <c r="O78" s="15">
        <f t="shared" si="35"/>
        <v>0</v>
      </c>
      <c r="P78" s="15">
        <f t="shared" si="36"/>
        <v>2.5</v>
      </c>
      <c r="R78" s="8"/>
      <c r="T78"/>
    </row>
    <row r="79" spans="2:20" ht="23.1" customHeight="1" x14ac:dyDescent="0.25">
      <c r="B79" s="23" t="s">
        <v>119</v>
      </c>
      <c r="C79" s="49">
        <f>AVERAGE('26.10 HOIMA-KYENJOJO-24h'!C79,'28.10 HOIMA-KYENJOJO-24h'!C79)</f>
        <v>0.5</v>
      </c>
      <c r="D79" s="49">
        <f>AVERAGE('26.10 HOIMA-KYENJOJO-24h'!D79,'28.10 HOIMA-KYENJOJO-24h'!D79)</f>
        <v>0</v>
      </c>
      <c r="E79" s="49">
        <f>AVERAGE('26.10 HOIMA-KYENJOJO-24h'!E79,'28.10 HOIMA-KYENJOJO-24h'!E79)</f>
        <v>0</v>
      </c>
      <c r="F79" s="49">
        <f>AVERAGE('26.10 HOIMA-KYENJOJO-24h'!F79,'28.10 HOIMA-KYENJOJO-24h'!F79)</f>
        <v>0</v>
      </c>
      <c r="G79" s="49">
        <f>AVERAGE('26.10 HOIMA-KYENJOJO-24h'!G79,'28.10 HOIMA-KYENJOJO-24h'!G79)</f>
        <v>0</v>
      </c>
      <c r="H79" s="49">
        <f>AVERAGE('26.10 HOIMA-KYENJOJO-24h'!H79,'28.10 HOIMA-KYENJOJO-24h'!H79)</f>
        <v>0</v>
      </c>
      <c r="I79" s="49">
        <f>AVERAGE('26.10 HOIMA-KYENJOJO-24h'!I79,'28.10 HOIMA-KYENJOJO-24h'!I79)</f>
        <v>0</v>
      </c>
      <c r="J79" s="49">
        <f>AVERAGE('26.10 HOIMA-KYENJOJO-24h'!J79,'28.10 HOIMA-KYENJOJO-24h'!J79)</f>
        <v>0</v>
      </c>
      <c r="K79" s="49">
        <f>AVERAGE('26.10 HOIMA-KYENJOJO-24h'!K79,'28.10 HOIMA-KYENJOJO-24h'!K79)</f>
        <v>0</v>
      </c>
      <c r="L79" s="49">
        <f>AVERAGE('26.10 HOIMA-KYENJOJO-24h'!L79,'28.10 HOIMA-KYENJOJO-24h'!L79)</f>
        <v>0</v>
      </c>
      <c r="M79" s="49">
        <f>AVERAGE('26.10 HOIMA-KYENJOJO-24h'!M79,'28.10 HOIMA-KYENJOJO-24h'!M79)</f>
        <v>1.5</v>
      </c>
      <c r="N79" s="49">
        <f>AVERAGE('26.10 HOIMA-KYENJOJO-24h'!N79,'28.10 HOIMA-KYENJOJO-24h'!N79)</f>
        <v>0</v>
      </c>
      <c r="O79" s="15">
        <f t="shared" si="35"/>
        <v>0.5</v>
      </c>
      <c r="P79" s="15">
        <f t="shared" si="36"/>
        <v>2</v>
      </c>
      <c r="R79" s="8"/>
      <c r="T79"/>
    </row>
    <row r="80" spans="2:20" ht="23.1" customHeight="1" x14ac:dyDescent="0.25">
      <c r="B80" s="25" t="s">
        <v>120</v>
      </c>
      <c r="C80" s="49">
        <f>AVERAGE('26.10 HOIMA-KYENJOJO-24h'!C80,'28.10 HOIMA-KYENJOJO-24h'!C80)</f>
        <v>0.5</v>
      </c>
      <c r="D80" s="49">
        <f>AVERAGE('26.10 HOIMA-KYENJOJO-24h'!D80,'28.10 HOIMA-KYENJOJO-24h'!D80)</f>
        <v>0</v>
      </c>
      <c r="E80" s="49">
        <f>AVERAGE('26.10 HOIMA-KYENJOJO-24h'!E80,'28.10 HOIMA-KYENJOJO-24h'!E80)</f>
        <v>0</v>
      </c>
      <c r="F80" s="49">
        <f>AVERAGE('26.10 HOIMA-KYENJOJO-24h'!F80,'28.10 HOIMA-KYENJOJO-24h'!F80)</f>
        <v>0</v>
      </c>
      <c r="G80" s="49">
        <f>AVERAGE('26.10 HOIMA-KYENJOJO-24h'!G80,'28.10 HOIMA-KYENJOJO-24h'!G80)</f>
        <v>0</v>
      </c>
      <c r="H80" s="49">
        <f>AVERAGE('26.10 HOIMA-KYENJOJO-24h'!H80,'28.10 HOIMA-KYENJOJO-24h'!H80)</f>
        <v>0</v>
      </c>
      <c r="I80" s="49">
        <f>AVERAGE('26.10 HOIMA-KYENJOJO-24h'!I80,'28.10 HOIMA-KYENJOJO-24h'!I80)</f>
        <v>0.5</v>
      </c>
      <c r="J80" s="49">
        <f>AVERAGE('26.10 HOIMA-KYENJOJO-24h'!J80,'28.10 HOIMA-KYENJOJO-24h'!J80)</f>
        <v>0</v>
      </c>
      <c r="K80" s="49">
        <f>AVERAGE('26.10 HOIMA-KYENJOJO-24h'!K80,'28.10 HOIMA-KYENJOJO-24h'!K80)</f>
        <v>0</v>
      </c>
      <c r="L80" s="49">
        <f>AVERAGE('26.10 HOIMA-KYENJOJO-24h'!L80,'28.10 HOIMA-KYENJOJO-24h'!L80)</f>
        <v>0</v>
      </c>
      <c r="M80" s="49">
        <f>AVERAGE('26.10 HOIMA-KYENJOJO-24h'!M80,'28.10 HOIMA-KYENJOJO-24h'!M80)</f>
        <v>2.5</v>
      </c>
      <c r="N80" s="49">
        <f>AVERAGE('26.10 HOIMA-KYENJOJO-24h'!N80,'28.10 HOIMA-KYENJOJO-24h'!N80)</f>
        <v>0</v>
      </c>
      <c r="O80" s="15">
        <f t="shared" si="35"/>
        <v>1</v>
      </c>
      <c r="P80" s="15">
        <f t="shared" si="36"/>
        <v>3.5</v>
      </c>
      <c r="R80" s="8"/>
      <c r="T80"/>
    </row>
    <row r="81" spans="2:20" ht="23.1" customHeight="1" x14ac:dyDescent="0.25">
      <c r="B81" s="23" t="s">
        <v>121</v>
      </c>
      <c r="C81" s="49">
        <f>AVERAGE('26.10 HOIMA-KYENJOJO-24h'!C81,'28.10 HOIMA-KYENJOJO-24h'!C81)</f>
        <v>0.5</v>
      </c>
      <c r="D81" s="49">
        <f>AVERAGE('26.10 HOIMA-KYENJOJO-24h'!D81,'28.10 HOIMA-KYENJOJO-24h'!D81)</f>
        <v>0</v>
      </c>
      <c r="E81" s="49">
        <f>AVERAGE('26.10 HOIMA-KYENJOJO-24h'!E81,'28.10 HOIMA-KYENJOJO-24h'!E81)</f>
        <v>0</v>
      </c>
      <c r="F81" s="49">
        <f>AVERAGE('26.10 HOIMA-KYENJOJO-24h'!F81,'28.10 HOIMA-KYENJOJO-24h'!F81)</f>
        <v>0</v>
      </c>
      <c r="G81" s="49">
        <f>AVERAGE('26.10 HOIMA-KYENJOJO-24h'!G81,'28.10 HOIMA-KYENJOJO-24h'!G81)</f>
        <v>0</v>
      </c>
      <c r="H81" s="49">
        <f>AVERAGE('26.10 HOIMA-KYENJOJO-24h'!H81,'28.10 HOIMA-KYENJOJO-24h'!H81)</f>
        <v>0</v>
      </c>
      <c r="I81" s="49">
        <f>AVERAGE('26.10 HOIMA-KYENJOJO-24h'!I81,'28.10 HOIMA-KYENJOJO-24h'!I81)</f>
        <v>0</v>
      </c>
      <c r="J81" s="49">
        <f>AVERAGE('26.10 HOIMA-KYENJOJO-24h'!J81,'28.10 HOIMA-KYENJOJO-24h'!J81)</f>
        <v>0</v>
      </c>
      <c r="K81" s="49">
        <f>AVERAGE('26.10 HOIMA-KYENJOJO-24h'!K81,'28.10 HOIMA-KYENJOJO-24h'!K81)</f>
        <v>0</v>
      </c>
      <c r="L81" s="49">
        <f>AVERAGE('26.10 HOIMA-KYENJOJO-24h'!L81,'28.10 HOIMA-KYENJOJO-24h'!L81)</f>
        <v>0</v>
      </c>
      <c r="M81" s="49">
        <f>AVERAGE('26.10 HOIMA-KYENJOJO-24h'!M81,'28.10 HOIMA-KYENJOJO-24h'!M81)</f>
        <v>3</v>
      </c>
      <c r="N81" s="49">
        <f>AVERAGE('26.10 HOIMA-KYENJOJO-24h'!N81,'28.10 HOIMA-KYENJOJO-24h'!N81)</f>
        <v>0</v>
      </c>
      <c r="O81" s="15">
        <f t="shared" si="35"/>
        <v>0.5</v>
      </c>
      <c r="P81" s="15">
        <f t="shared" si="36"/>
        <v>3.5</v>
      </c>
      <c r="R81" s="8"/>
      <c r="T81"/>
    </row>
    <row r="82" spans="2:20" ht="23.1" customHeight="1" x14ac:dyDescent="0.25">
      <c r="B82" s="24" t="s">
        <v>122</v>
      </c>
      <c r="C82" s="49">
        <f>AVERAGE('26.10 HOIMA-KYENJOJO-24h'!C82,'28.10 HOIMA-KYENJOJO-24h'!C82)</f>
        <v>0</v>
      </c>
      <c r="D82" s="49">
        <f>AVERAGE('26.10 HOIMA-KYENJOJO-24h'!D82,'28.10 HOIMA-KYENJOJO-24h'!D82)</f>
        <v>0</v>
      </c>
      <c r="E82" s="49">
        <f>AVERAGE('26.10 HOIMA-KYENJOJO-24h'!E82,'28.10 HOIMA-KYENJOJO-24h'!E82)</f>
        <v>0</v>
      </c>
      <c r="F82" s="49">
        <f>AVERAGE('26.10 HOIMA-KYENJOJO-24h'!F82,'28.10 HOIMA-KYENJOJO-24h'!F82)</f>
        <v>0</v>
      </c>
      <c r="G82" s="49">
        <f>AVERAGE('26.10 HOIMA-KYENJOJO-24h'!G82,'28.10 HOIMA-KYENJOJO-24h'!G82)</f>
        <v>0</v>
      </c>
      <c r="H82" s="49">
        <f>AVERAGE('26.10 HOIMA-KYENJOJO-24h'!H82,'28.10 HOIMA-KYENJOJO-24h'!H82)</f>
        <v>0</v>
      </c>
      <c r="I82" s="49">
        <f>AVERAGE('26.10 HOIMA-KYENJOJO-24h'!I82,'28.10 HOIMA-KYENJOJO-24h'!I82)</f>
        <v>0</v>
      </c>
      <c r="J82" s="49">
        <f>AVERAGE('26.10 HOIMA-KYENJOJO-24h'!J82,'28.10 HOIMA-KYENJOJO-24h'!J82)</f>
        <v>0</v>
      </c>
      <c r="K82" s="49">
        <f>AVERAGE('26.10 HOIMA-KYENJOJO-24h'!K82,'28.10 HOIMA-KYENJOJO-24h'!K82)</f>
        <v>0.5</v>
      </c>
      <c r="L82" s="49">
        <f>AVERAGE('26.10 HOIMA-KYENJOJO-24h'!L82,'28.10 HOIMA-KYENJOJO-24h'!L82)</f>
        <v>0</v>
      </c>
      <c r="M82" s="49">
        <f>AVERAGE('26.10 HOIMA-KYENJOJO-24h'!M82,'28.10 HOIMA-KYENJOJO-24h'!M82)</f>
        <v>3</v>
      </c>
      <c r="N82" s="49">
        <f>AVERAGE('26.10 HOIMA-KYENJOJO-24h'!N82,'28.10 HOIMA-KYENJOJO-24h'!N82)</f>
        <v>0</v>
      </c>
      <c r="O82" s="15">
        <f t="shared" si="35"/>
        <v>0.5</v>
      </c>
      <c r="P82" s="15">
        <f t="shared" si="36"/>
        <v>3.5</v>
      </c>
      <c r="R82" s="8"/>
      <c r="T82"/>
    </row>
    <row r="83" spans="2:20" ht="23.1" customHeight="1" x14ac:dyDescent="0.25">
      <c r="B83" s="23" t="s">
        <v>123</v>
      </c>
      <c r="C83" s="49">
        <f>AVERAGE('26.10 HOIMA-KYENJOJO-24h'!C83,'28.10 HOIMA-KYENJOJO-24h'!C83)</f>
        <v>0</v>
      </c>
      <c r="D83" s="49">
        <f>AVERAGE('26.10 HOIMA-KYENJOJO-24h'!D83,'28.10 HOIMA-KYENJOJO-24h'!D83)</f>
        <v>0</v>
      </c>
      <c r="E83" s="49">
        <f>AVERAGE('26.10 HOIMA-KYENJOJO-24h'!E83,'28.10 HOIMA-KYENJOJO-24h'!E83)</f>
        <v>0</v>
      </c>
      <c r="F83" s="49">
        <f>AVERAGE('26.10 HOIMA-KYENJOJO-24h'!F83,'28.10 HOIMA-KYENJOJO-24h'!F83)</f>
        <v>0</v>
      </c>
      <c r="G83" s="49">
        <f>AVERAGE('26.10 HOIMA-KYENJOJO-24h'!G83,'28.10 HOIMA-KYENJOJO-24h'!G83)</f>
        <v>0</v>
      </c>
      <c r="H83" s="49">
        <f>AVERAGE('26.10 HOIMA-KYENJOJO-24h'!H83,'28.10 HOIMA-KYENJOJO-24h'!H83)</f>
        <v>0</v>
      </c>
      <c r="I83" s="49">
        <f>AVERAGE('26.10 HOIMA-KYENJOJO-24h'!I83,'28.10 HOIMA-KYENJOJO-24h'!I83)</f>
        <v>0</v>
      </c>
      <c r="J83" s="49">
        <f>AVERAGE('26.10 HOIMA-KYENJOJO-24h'!J83,'28.10 HOIMA-KYENJOJO-24h'!J83)</f>
        <v>0</v>
      </c>
      <c r="K83" s="49">
        <f>AVERAGE('26.10 HOIMA-KYENJOJO-24h'!K83,'28.10 HOIMA-KYENJOJO-24h'!K83)</f>
        <v>0</v>
      </c>
      <c r="L83" s="49">
        <f>AVERAGE('26.10 HOIMA-KYENJOJO-24h'!L83,'28.10 HOIMA-KYENJOJO-24h'!L83)</f>
        <v>0</v>
      </c>
      <c r="M83" s="49">
        <f>AVERAGE('26.10 HOIMA-KYENJOJO-24h'!M83,'28.10 HOIMA-KYENJOJO-24h'!M83)</f>
        <v>1.5</v>
      </c>
      <c r="N83" s="49">
        <f>AVERAGE('26.10 HOIMA-KYENJOJO-24h'!N83,'28.10 HOIMA-KYENJOJO-24h'!N83)</f>
        <v>0</v>
      </c>
      <c r="O83" s="15">
        <f t="shared" si="35"/>
        <v>0</v>
      </c>
      <c r="P83" s="15">
        <f t="shared" si="36"/>
        <v>1.5</v>
      </c>
      <c r="R83" s="8"/>
      <c r="T83"/>
    </row>
    <row r="84" spans="2:20" ht="23.1" customHeight="1" x14ac:dyDescent="0.25">
      <c r="B84" s="25" t="s">
        <v>124</v>
      </c>
      <c r="C84" s="49">
        <f>AVERAGE('26.10 HOIMA-KYENJOJO-24h'!C84,'28.10 HOIMA-KYENJOJO-24h'!C84)</f>
        <v>0.5</v>
      </c>
      <c r="D84" s="49">
        <f>AVERAGE('26.10 HOIMA-KYENJOJO-24h'!D84,'28.10 HOIMA-KYENJOJO-24h'!D84)</f>
        <v>0</v>
      </c>
      <c r="E84" s="49">
        <f>AVERAGE('26.10 HOIMA-KYENJOJO-24h'!E84,'28.10 HOIMA-KYENJOJO-24h'!E84)</f>
        <v>0</v>
      </c>
      <c r="F84" s="49">
        <f>AVERAGE('26.10 HOIMA-KYENJOJO-24h'!F84,'28.10 HOIMA-KYENJOJO-24h'!F84)</f>
        <v>0</v>
      </c>
      <c r="G84" s="49">
        <f>AVERAGE('26.10 HOIMA-KYENJOJO-24h'!G84,'28.10 HOIMA-KYENJOJO-24h'!G84)</f>
        <v>0</v>
      </c>
      <c r="H84" s="49">
        <f>AVERAGE('26.10 HOIMA-KYENJOJO-24h'!H84,'28.10 HOIMA-KYENJOJO-24h'!H84)</f>
        <v>0</v>
      </c>
      <c r="I84" s="49">
        <f>AVERAGE('26.10 HOIMA-KYENJOJO-24h'!I84,'28.10 HOIMA-KYENJOJO-24h'!I84)</f>
        <v>0</v>
      </c>
      <c r="J84" s="49">
        <f>AVERAGE('26.10 HOIMA-KYENJOJO-24h'!J84,'28.10 HOIMA-KYENJOJO-24h'!J84)</f>
        <v>0</v>
      </c>
      <c r="K84" s="49">
        <f>AVERAGE('26.10 HOIMA-KYENJOJO-24h'!K84,'28.10 HOIMA-KYENJOJO-24h'!K84)</f>
        <v>0</v>
      </c>
      <c r="L84" s="49">
        <f>AVERAGE('26.10 HOIMA-KYENJOJO-24h'!L84,'28.10 HOIMA-KYENJOJO-24h'!L84)</f>
        <v>0</v>
      </c>
      <c r="M84" s="49">
        <f>AVERAGE('26.10 HOIMA-KYENJOJO-24h'!M84,'28.10 HOIMA-KYENJOJO-24h'!M84)</f>
        <v>0.5</v>
      </c>
      <c r="N84" s="49">
        <f>AVERAGE('26.10 HOIMA-KYENJOJO-24h'!N84,'28.10 HOIMA-KYENJOJO-24h'!N84)</f>
        <v>0</v>
      </c>
      <c r="O84" s="15">
        <f t="shared" si="35"/>
        <v>0.5</v>
      </c>
      <c r="P84" s="15">
        <f t="shared" si="36"/>
        <v>1</v>
      </c>
      <c r="R84" s="8"/>
      <c r="T84"/>
    </row>
    <row r="85" spans="2:20" ht="23.1" customHeight="1" x14ac:dyDescent="0.25">
      <c r="B85" s="23" t="s">
        <v>125</v>
      </c>
      <c r="C85" s="49">
        <f>AVERAGE('26.10 HOIMA-KYENJOJO-24h'!C85,'28.10 HOIMA-KYENJOJO-24h'!C85)</f>
        <v>0</v>
      </c>
      <c r="D85" s="49">
        <f>AVERAGE('26.10 HOIMA-KYENJOJO-24h'!D85,'28.10 HOIMA-KYENJOJO-24h'!D85)</f>
        <v>0</v>
      </c>
      <c r="E85" s="49">
        <f>AVERAGE('26.10 HOIMA-KYENJOJO-24h'!E85,'28.10 HOIMA-KYENJOJO-24h'!E85)</f>
        <v>0</v>
      </c>
      <c r="F85" s="49">
        <f>AVERAGE('26.10 HOIMA-KYENJOJO-24h'!F85,'28.10 HOIMA-KYENJOJO-24h'!F85)</f>
        <v>0</v>
      </c>
      <c r="G85" s="49">
        <f>AVERAGE('26.10 HOIMA-KYENJOJO-24h'!G85,'28.10 HOIMA-KYENJOJO-24h'!G85)</f>
        <v>0</v>
      </c>
      <c r="H85" s="49">
        <f>AVERAGE('26.10 HOIMA-KYENJOJO-24h'!H85,'28.10 HOIMA-KYENJOJO-24h'!H85)</f>
        <v>0</v>
      </c>
      <c r="I85" s="49">
        <f>AVERAGE('26.10 HOIMA-KYENJOJO-24h'!I85,'28.10 HOIMA-KYENJOJO-24h'!I85)</f>
        <v>0</v>
      </c>
      <c r="J85" s="49">
        <f>AVERAGE('26.10 HOIMA-KYENJOJO-24h'!J85,'28.10 HOIMA-KYENJOJO-24h'!J85)</f>
        <v>0</v>
      </c>
      <c r="K85" s="49">
        <f>AVERAGE('26.10 HOIMA-KYENJOJO-24h'!K85,'28.10 HOIMA-KYENJOJO-24h'!K85)</f>
        <v>0</v>
      </c>
      <c r="L85" s="49">
        <f>AVERAGE('26.10 HOIMA-KYENJOJO-24h'!L85,'28.10 HOIMA-KYENJOJO-24h'!L85)</f>
        <v>0</v>
      </c>
      <c r="M85" s="49">
        <f>AVERAGE('26.10 HOIMA-KYENJOJO-24h'!M85,'28.10 HOIMA-KYENJOJO-24h'!M85)</f>
        <v>0.5</v>
      </c>
      <c r="N85" s="49">
        <f>AVERAGE('26.10 HOIMA-KYENJOJO-24h'!N85,'28.10 HOIMA-KYENJOJO-24h'!N85)</f>
        <v>0</v>
      </c>
      <c r="O85" s="15">
        <f t="shared" si="35"/>
        <v>0</v>
      </c>
      <c r="P85" s="15">
        <f t="shared" si="36"/>
        <v>0.5</v>
      </c>
      <c r="R85" s="8"/>
      <c r="T85"/>
    </row>
    <row r="86" spans="2:20" ht="23.1" customHeight="1" x14ac:dyDescent="0.25">
      <c r="B86" s="24" t="s">
        <v>126</v>
      </c>
      <c r="C86" s="49">
        <f>AVERAGE('26.10 HOIMA-KYENJOJO-24h'!C86,'28.10 HOIMA-KYENJOJO-24h'!C86)</f>
        <v>0</v>
      </c>
      <c r="D86" s="49">
        <f>AVERAGE('26.10 HOIMA-KYENJOJO-24h'!D86,'28.10 HOIMA-KYENJOJO-24h'!D86)</f>
        <v>0</v>
      </c>
      <c r="E86" s="49">
        <f>AVERAGE('26.10 HOIMA-KYENJOJO-24h'!E86,'28.10 HOIMA-KYENJOJO-24h'!E86)</f>
        <v>0</v>
      </c>
      <c r="F86" s="49">
        <f>AVERAGE('26.10 HOIMA-KYENJOJO-24h'!F86,'28.10 HOIMA-KYENJOJO-24h'!F86)</f>
        <v>0</v>
      </c>
      <c r="G86" s="49">
        <f>AVERAGE('26.10 HOIMA-KYENJOJO-24h'!G86,'28.10 HOIMA-KYENJOJO-24h'!G86)</f>
        <v>0</v>
      </c>
      <c r="H86" s="49">
        <f>AVERAGE('26.10 HOIMA-KYENJOJO-24h'!H86,'28.10 HOIMA-KYENJOJO-24h'!H86)</f>
        <v>0</v>
      </c>
      <c r="I86" s="49">
        <f>AVERAGE('26.10 HOIMA-KYENJOJO-24h'!I86,'28.10 HOIMA-KYENJOJO-24h'!I86)</f>
        <v>0</v>
      </c>
      <c r="J86" s="49">
        <f>AVERAGE('26.10 HOIMA-KYENJOJO-24h'!J86,'28.10 HOIMA-KYENJOJO-24h'!J86)</f>
        <v>0</v>
      </c>
      <c r="K86" s="49">
        <f>AVERAGE('26.10 HOIMA-KYENJOJO-24h'!K86,'28.10 HOIMA-KYENJOJO-24h'!K86)</f>
        <v>0</v>
      </c>
      <c r="L86" s="49">
        <f>AVERAGE('26.10 HOIMA-KYENJOJO-24h'!L86,'28.10 HOIMA-KYENJOJO-24h'!L86)</f>
        <v>0</v>
      </c>
      <c r="M86" s="49">
        <f>AVERAGE('26.10 HOIMA-KYENJOJO-24h'!M86,'28.10 HOIMA-KYENJOJO-24h'!M86)</f>
        <v>1.5</v>
      </c>
      <c r="N86" s="49">
        <f>AVERAGE('26.10 HOIMA-KYENJOJO-24h'!N86,'28.10 HOIMA-KYENJOJO-24h'!N86)</f>
        <v>0</v>
      </c>
      <c r="O86" s="15">
        <f t="shared" si="35"/>
        <v>0</v>
      </c>
      <c r="P86" s="15">
        <f t="shared" si="36"/>
        <v>1.5</v>
      </c>
      <c r="R86" s="8"/>
      <c r="T86"/>
    </row>
    <row r="87" spans="2:20" ht="23.1" customHeight="1" x14ac:dyDescent="0.25">
      <c r="B87" s="23" t="s">
        <v>127</v>
      </c>
      <c r="C87" s="49">
        <f>AVERAGE('26.10 HOIMA-KYENJOJO-24h'!C87,'28.10 HOIMA-KYENJOJO-24h'!C87)</f>
        <v>0</v>
      </c>
      <c r="D87" s="49">
        <f>AVERAGE('26.10 HOIMA-KYENJOJO-24h'!D87,'28.10 HOIMA-KYENJOJO-24h'!D87)</f>
        <v>0</v>
      </c>
      <c r="E87" s="49">
        <f>AVERAGE('26.10 HOIMA-KYENJOJO-24h'!E87,'28.10 HOIMA-KYENJOJO-24h'!E87)</f>
        <v>0</v>
      </c>
      <c r="F87" s="49">
        <f>AVERAGE('26.10 HOIMA-KYENJOJO-24h'!F87,'28.10 HOIMA-KYENJOJO-24h'!F87)</f>
        <v>0</v>
      </c>
      <c r="G87" s="49">
        <f>AVERAGE('26.10 HOIMA-KYENJOJO-24h'!G87,'28.10 HOIMA-KYENJOJO-24h'!G87)</f>
        <v>0</v>
      </c>
      <c r="H87" s="49">
        <f>AVERAGE('26.10 HOIMA-KYENJOJO-24h'!H87,'28.10 HOIMA-KYENJOJO-24h'!H87)</f>
        <v>0</v>
      </c>
      <c r="I87" s="49">
        <f>AVERAGE('26.10 HOIMA-KYENJOJO-24h'!I87,'28.10 HOIMA-KYENJOJO-24h'!I87)</f>
        <v>0</v>
      </c>
      <c r="J87" s="49">
        <f>AVERAGE('26.10 HOIMA-KYENJOJO-24h'!J87,'28.10 HOIMA-KYENJOJO-24h'!J87)</f>
        <v>0</v>
      </c>
      <c r="K87" s="49">
        <f>AVERAGE('26.10 HOIMA-KYENJOJO-24h'!K87,'28.10 HOIMA-KYENJOJO-24h'!K87)</f>
        <v>0</v>
      </c>
      <c r="L87" s="49">
        <f>AVERAGE('26.10 HOIMA-KYENJOJO-24h'!L87,'28.10 HOIMA-KYENJOJO-24h'!L87)</f>
        <v>0</v>
      </c>
      <c r="M87" s="49">
        <f>AVERAGE('26.10 HOIMA-KYENJOJO-24h'!M87,'28.10 HOIMA-KYENJOJO-24h'!M87)</f>
        <v>1</v>
      </c>
      <c r="N87" s="49">
        <f>AVERAGE('26.10 HOIMA-KYENJOJO-24h'!N87,'28.10 HOIMA-KYENJOJO-24h'!N87)</f>
        <v>0</v>
      </c>
      <c r="O87" s="15">
        <f t="shared" si="35"/>
        <v>0</v>
      </c>
      <c r="P87" s="15">
        <f t="shared" si="36"/>
        <v>1</v>
      </c>
      <c r="R87" s="8"/>
      <c r="T87"/>
    </row>
    <row r="88" spans="2:20" ht="23.1" customHeight="1" x14ac:dyDescent="0.25">
      <c r="B88" s="25" t="s">
        <v>128</v>
      </c>
      <c r="C88" s="49">
        <f>AVERAGE('26.10 HOIMA-KYENJOJO-24h'!C88,'28.10 HOIMA-KYENJOJO-24h'!C88)</f>
        <v>0</v>
      </c>
      <c r="D88" s="49">
        <f>AVERAGE('26.10 HOIMA-KYENJOJO-24h'!D88,'28.10 HOIMA-KYENJOJO-24h'!D88)</f>
        <v>0</v>
      </c>
      <c r="E88" s="49">
        <f>AVERAGE('26.10 HOIMA-KYENJOJO-24h'!E88,'28.10 HOIMA-KYENJOJO-24h'!E88)</f>
        <v>0</v>
      </c>
      <c r="F88" s="49">
        <f>AVERAGE('26.10 HOIMA-KYENJOJO-24h'!F88,'28.10 HOIMA-KYENJOJO-24h'!F88)</f>
        <v>0</v>
      </c>
      <c r="G88" s="49">
        <f>AVERAGE('26.10 HOIMA-KYENJOJO-24h'!G88,'28.10 HOIMA-KYENJOJO-24h'!G88)</f>
        <v>0</v>
      </c>
      <c r="H88" s="49">
        <f>AVERAGE('26.10 HOIMA-KYENJOJO-24h'!H88,'28.10 HOIMA-KYENJOJO-24h'!H88)</f>
        <v>0</v>
      </c>
      <c r="I88" s="49">
        <f>AVERAGE('26.10 HOIMA-KYENJOJO-24h'!I88,'28.10 HOIMA-KYENJOJO-24h'!I88)</f>
        <v>0</v>
      </c>
      <c r="J88" s="49">
        <f>AVERAGE('26.10 HOIMA-KYENJOJO-24h'!J88,'28.10 HOIMA-KYENJOJO-24h'!J88)</f>
        <v>0</v>
      </c>
      <c r="K88" s="49">
        <f>AVERAGE('26.10 HOIMA-KYENJOJO-24h'!K88,'28.10 HOIMA-KYENJOJO-24h'!K88)</f>
        <v>0</v>
      </c>
      <c r="L88" s="49">
        <f>AVERAGE('26.10 HOIMA-KYENJOJO-24h'!L88,'28.10 HOIMA-KYENJOJO-24h'!L88)</f>
        <v>0</v>
      </c>
      <c r="M88" s="49">
        <f>AVERAGE('26.10 HOIMA-KYENJOJO-24h'!M88,'28.10 HOIMA-KYENJOJO-24h'!M88)</f>
        <v>0</v>
      </c>
      <c r="N88" s="49">
        <f>AVERAGE('26.10 HOIMA-KYENJOJO-24h'!N88,'28.10 HOIMA-KYENJOJO-24h'!N88)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AVERAGE('26.10 HOIMA-KYENJOJO-24h'!C89,'28.10 HOIMA-KYENJOJO-24h'!C89)</f>
        <v>0</v>
      </c>
      <c r="D89" s="49">
        <f>AVERAGE('26.10 HOIMA-KYENJOJO-24h'!D89,'28.10 HOIMA-KYENJOJO-24h'!D89)</f>
        <v>0</v>
      </c>
      <c r="E89" s="49">
        <f>AVERAGE('26.10 HOIMA-KYENJOJO-24h'!E89,'28.10 HOIMA-KYENJOJO-24h'!E89)</f>
        <v>0</v>
      </c>
      <c r="F89" s="49">
        <f>AVERAGE('26.10 HOIMA-KYENJOJO-24h'!F89,'28.10 HOIMA-KYENJOJO-24h'!F89)</f>
        <v>0</v>
      </c>
      <c r="G89" s="49">
        <f>AVERAGE('26.10 HOIMA-KYENJOJO-24h'!G89,'28.10 HOIMA-KYENJOJO-24h'!G89)</f>
        <v>0</v>
      </c>
      <c r="H89" s="49">
        <f>AVERAGE('26.10 HOIMA-KYENJOJO-24h'!H89,'28.10 HOIMA-KYENJOJO-24h'!H89)</f>
        <v>0</v>
      </c>
      <c r="I89" s="49">
        <f>AVERAGE('26.10 HOIMA-KYENJOJO-24h'!I89,'28.10 HOIMA-KYENJOJO-24h'!I89)</f>
        <v>0</v>
      </c>
      <c r="J89" s="49">
        <f>AVERAGE('26.10 HOIMA-KYENJOJO-24h'!J89,'28.10 HOIMA-KYENJOJO-24h'!J89)</f>
        <v>0</v>
      </c>
      <c r="K89" s="49">
        <f>AVERAGE('26.10 HOIMA-KYENJOJO-24h'!K89,'28.10 HOIMA-KYENJOJO-24h'!K89)</f>
        <v>0</v>
      </c>
      <c r="L89" s="49">
        <f>AVERAGE('26.10 HOIMA-KYENJOJO-24h'!L89,'28.10 HOIMA-KYENJOJO-24h'!L89)</f>
        <v>0</v>
      </c>
      <c r="M89" s="49">
        <f>AVERAGE('26.10 HOIMA-KYENJOJO-24h'!M89,'28.10 HOIMA-KYENJOJO-24h'!M89)</f>
        <v>0</v>
      </c>
      <c r="N89" s="49">
        <f>AVERAGE('26.10 HOIMA-KYENJOJO-24h'!N89,'28.10 HOIMA-KYENJOJO-24h'!N89)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49">
        <f>AVERAGE('26.10 HOIMA-KYENJOJO-24h'!C90,'28.10 HOIMA-KYENJOJO-24h'!C90)</f>
        <v>0</v>
      </c>
      <c r="D90" s="49">
        <f>AVERAGE('26.10 HOIMA-KYENJOJO-24h'!D90,'28.10 HOIMA-KYENJOJO-24h'!D90)</f>
        <v>0</v>
      </c>
      <c r="E90" s="49">
        <f>AVERAGE('26.10 HOIMA-KYENJOJO-24h'!E90,'28.10 HOIMA-KYENJOJO-24h'!E90)</f>
        <v>0</v>
      </c>
      <c r="F90" s="49">
        <f>AVERAGE('26.10 HOIMA-KYENJOJO-24h'!F90,'28.10 HOIMA-KYENJOJO-24h'!F90)</f>
        <v>0</v>
      </c>
      <c r="G90" s="49">
        <f>AVERAGE('26.10 HOIMA-KYENJOJO-24h'!G90,'28.10 HOIMA-KYENJOJO-24h'!G90)</f>
        <v>0</v>
      </c>
      <c r="H90" s="49">
        <f>AVERAGE('26.10 HOIMA-KYENJOJO-24h'!H90,'28.10 HOIMA-KYENJOJO-24h'!H90)</f>
        <v>0</v>
      </c>
      <c r="I90" s="49">
        <f>AVERAGE('26.10 HOIMA-KYENJOJO-24h'!I90,'28.10 HOIMA-KYENJOJO-24h'!I90)</f>
        <v>0</v>
      </c>
      <c r="J90" s="49">
        <f>AVERAGE('26.10 HOIMA-KYENJOJO-24h'!J90,'28.10 HOIMA-KYENJOJO-24h'!J90)</f>
        <v>0</v>
      </c>
      <c r="K90" s="49">
        <f>AVERAGE('26.10 HOIMA-KYENJOJO-24h'!K90,'28.10 HOIMA-KYENJOJO-24h'!K90)</f>
        <v>0</v>
      </c>
      <c r="L90" s="49">
        <f>AVERAGE('26.10 HOIMA-KYENJOJO-24h'!L90,'28.10 HOIMA-KYENJOJO-24h'!L90)</f>
        <v>0</v>
      </c>
      <c r="M90" s="49">
        <f>AVERAGE('26.10 HOIMA-KYENJOJO-24h'!M90,'28.10 HOIMA-KYENJOJO-24h'!M90)</f>
        <v>0.5</v>
      </c>
      <c r="N90" s="49">
        <f>AVERAGE('26.10 HOIMA-KYENJOJO-24h'!N90,'28.10 HOIMA-KYENJOJO-24h'!N90)</f>
        <v>0</v>
      </c>
      <c r="O90" s="15">
        <f t="shared" si="35"/>
        <v>0</v>
      </c>
      <c r="P90" s="15">
        <f t="shared" si="36"/>
        <v>0.5</v>
      </c>
      <c r="R90" s="8"/>
      <c r="T90"/>
    </row>
    <row r="91" spans="2:20" ht="23.1" customHeight="1" x14ac:dyDescent="0.25">
      <c r="B91" s="23" t="s">
        <v>131</v>
      </c>
      <c r="C91" s="49">
        <f>AVERAGE('26.10 HOIMA-KYENJOJO-24h'!C91,'28.10 HOIMA-KYENJOJO-24h'!C91)</f>
        <v>0</v>
      </c>
      <c r="D91" s="49">
        <f>AVERAGE('26.10 HOIMA-KYENJOJO-24h'!D91,'28.10 HOIMA-KYENJOJO-24h'!D91)</f>
        <v>0</v>
      </c>
      <c r="E91" s="49">
        <f>AVERAGE('26.10 HOIMA-KYENJOJO-24h'!E91,'28.10 HOIMA-KYENJOJO-24h'!E91)</f>
        <v>0</v>
      </c>
      <c r="F91" s="49">
        <f>AVERAGE('26.10 HOIMA-KYENJOJO-24h'!F91,'28.10 HOIMA-KYENJOJO-24h'!F91)</f>
        <v>0.5</v>
      </c>
      <c r="G91" s="49">
        <f>AVERAGE('26.10 HOIMA-KYENJOJO-24h'!G91,'28.10 HOIMA-KYENJOJO-24h'!G91)</f>
        <v>0</v>
      </c>
      <c r="H91" s="49">
        <f>AVERAGE('26.10 HOIMA-KYENJOJO-24h'!H91,'28.10 HOIMA-KYENJOJO-24h'!H91)</f>
        <v>0</v>
      </c>
      <c r="I91" s="49">
        <f>AVERAGE('26.10 HOIMA-KYENJOJO-24h'!I91,'28.10 HOIMA-KYENJOJO-24h'!I91)</f>
        <v>0</v>
      </c>
      <c r="J91" s="49">
        <f>AVERAGE('26.10 HOIMA-KYENJOJO-24h'!J91,'28.10 HOIMA-KYENJOJO-24h'!J91)</f>
        <v>0</v>
      </c>
      <c r="K91" s="49">
        <f>AVERAGE('26.10 HOIMA-KYENJOJO-24h'!K91,'28.10 HOIMA-KYENJOJO-24h'!K91)</f>
        <v>0</v>
      </c>
      <c r="L91" s="49">
        <f>AVERAGE('26.10 HOIMA-KYENJOJO-24h'!L91,'28.10 HOIMA-KYENJOJO-24h'!L91)</f>
        <v>0</v>
      </c>
      <c r="M91" s="49">
        <f>AVERAGE('26.10 HOIMA-KYENJOJO-24h'!M91,'28.10 HOIMA-KYENJOJO-24h'!M91)</f>
        <v>0.5</v>
      </c>
      <c r="N91" s="49">
        <f>AVERAGE('26.10 HOIMA-KYENJOJO-24h'!N91,'28.10 HOIMA-KYENJOJO-24h'!N91)</f>
        <v>0</v>
      </c>
      <c r="O91" s="15">
        <f t="shared" si="35"/>
        <v>0.5</v>
      </c>
      <c r="P91" s="15">
        <f t="shared" si="36"/>
        <v>1</v>
      </c>
      <c r="R91" s="8"/>
      <c r="T91"/>
    </row>
    <row r="92" spans="2:20" ht="23.1" customHeight="1" x14ac:dyDescent="0.25">
      <c r="B92" s="25" t="s">
        <v>132</v>
      </c>
      <c r="C92" s="49">
        <f>AVERAGE('26.10 HOIMA-KYENJOJO-24h'!C92,'28.10 HOIMA-KYENJOJO-24h'!C92)</f>
        <v>0</v>
      </c>
      <c r="D92" s="49">
        <f>AVERAGE('26.10 HOIMA-KYENJOJO-24h'!D92,'28.10 HOIMA-KYENJOJO-24h'!D92)</f>
        <v>0</v>
      </c>
      <c r="E92" s="49">
        <f>AVERAGE('26.10 HOIMA-KYENJOJO-24h'!E92,'28.10 HOIMA-KYENJOJO-24h'!E92)</f>
        <v>0</v>
      </c>
      <c r="F92" s="49">
        <f>AVERAGE('26.10 HOIMA-KYENJOJO-24h'!F92,'28.10 HOIMA-KYENJOJO-24h'!F92)</f>
        <v>0</v>
      </c>
      <c r="G92" s="49">
        <f>AVERAGE('26.10 HOIMA-KYENJOJO-24h'!G92,'28.10 HOIMA-KYENJOJO-24h'!G92)</f>
        <v>0</v>
      </c>
      <c r="H92" s="49">
        <f>AVERAGE('26.10 HOIMA-KYENJOJO-24h'!H92,'28.10 HOIMA-KYENJOJO-24h'!H92)</f>
        <v>0</v>
      </c>
      <c r="I92" s="49">
        <f>AVERAGE('26.10 HOIMA-KYENJOJO-24h'!I92,'28.10 HOIMA-KYENJOJO-24h'!I92)</f>
        <v>0</v>
      </c>
      <c r="J92" s="49">
        <f>AVERAGE('26.10 HOIMA-KYENJOJO-24h'!J92,'28.10 HOIMA-KYENJOJO-24h'!J92)</f>
        <v>0</v>
      </c>
      <c r="K92" s="49">
        <f>AVERAGE('26.10 HOIMA-KYENJOJO-24h'!K92,'28.10 HOIMA-KYENJOJO-24h'!K92)</f>
        <v>0</v>
      </c>
      <c r="L92" s="49">
        <f>AVERAGE('26.10 HOIMA-KYENJOJO-24h'!L92,'28.10 HOIMA-KYENJOJO-24h'!L92)</f>
        <v>0</v>
      </c>
      <c r="M92" s="49">
        <f>AVERAGE('26.10 HOIMA-KYENJOJO-24h'!M92,'28.10 HOIMA-KYENJOJO-24h'!M92)</f>
        <v>0</v>
      </c>
      <c r="N92" s="49">
        <f>AVERAGE('26.10 HOIMA-KYENJOJO-24h'!N92,'28.10 HOIMA-KYENJOJO-24h'!N92)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AVERAGE('26.10 HOIMA-KYENJOJO-24h'!C93,'28.10 HOIMA-KYENJOJO-24h'!C93)</f>
        <v>0</v>
      </c>
      <c r="D93" s="49">
        <f>AVERAGE('26.10 HOIMA-KYENJOJO-24h'!D93,'28.10 HOIMA-KYENJOJO-24h'!D93)</f>
        <v>0</v>
      </c>
      <c r="E93" s="49">
        <f>AVERAGE('26.10 HOIMA-KYENJOJO-24h'!E93,'28.10 HOIMA-KYENJOJO-24h'!E93)</f>
        <v>0</v>
      </c>
      <c r="F93" s="49">
        <f>AVERAGE('26.10 HOIMA-KYENJOJO-24h'!F93,'28.10 HOIMA-KYENJOJO-24h'!F93)</f>
        <v>0</v>
      </c>
      <c r="G93" s="49">
        <f>AVERAGE('26.10 HOIMA-KYENJOJO-24h'!G93,'28.10 HOIMA-KYENJOJO-24h'!G93)</f>
        <v>0</v>
      </c>
      <c r="H93" s="49">
        <f>AVERAGE('26.10 HOIMA-KYENJOJO-24h'!H93,'28.10 HOIMA-KYENJOJO-24h'!H93)</f>
        <v>0</v>
      </c>
      <c r="I93" s="49">
        <f>AVERAGE('26.10 HOIMA-KYENJOJO-24h'!I93,'28.10 HOIMA-KYENJOJO-24h'!I93)</f>
        <v>0</v>
      </c>
      <c r="J93" s="49">
        <f>AVERAGE('26.10 HOIMA-KYENJOJO-24h'!J93,'28.10 HOIMA-KYENJOJO-24h'!J93)</f>
        <v>0</v>
      </c>
      <c r="K93" s="49">
        <f>AVERAGE('26.10 HOIMA-KYENJOJO-24h'!K93,'28.10 HOIMA-KYENJOJO-24h'!K93)</f>
        <v>0</v>
      </c>
      <c r="L93" s="49">
        <f>AVERAGE('26.10 HOIMA-KYENJOJO-24h'!L93,'28.10 HOIMA-KYENJOJO-24h'!L93)</f>
        <v>0</v>
      </c>
      <c r="M93" s="49">
        <f>AVERAGE('26.10 HOIMA-KYENJOJO-24h'!M93,'28.10 HOIMA-KYENJOJO-24h'!M93)</f>
        <v>0</v>
      </c>
      <c r="N93" s="49">
        <f>AVERAGE('26.10 HOIMA-KYENJOJO-24h'!N93,'28.10 HOIMA-KYENJOJO-24h'!N93)</f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24" t="s">
        <v>134</v>
      </c>
      <c r="C94" s="49">
        <f>AVERAGE('26.10 HOIMA-KYENJOJO-24h'!C94,'28.10 HOIMA-KYENJOJO-24h'!C94)</f>
        <v>0</v>
      </c>
      <c r="D94" s="49">
        <f>AVERAGE('26.10 HOIMA-KYENJOJO-24h'!D94,'28.10 HOIMA-KYENJOJO-24h'!D94)</f>
        <v>0.5</v>
      </c>
      <c r="E94" s="49">
        <f>AVERAGE('26.10 HOIMA-KYENJOJO-24h'!E94,'28.10 HOIMA-KYENJOJO-24h'!E94)</f>
        <v>0</v>
      </c>
      <c r="F94" s="49">
        <f>AVERAGE('26.10 HOIMA-KYENJOJO-24h'!F94,'28.10 HOIMA-KYENJOJO-24h'!F94)</f>
        <v>0</v>
      </c>
      <c r="G94" s="49">
        <f>AVERAGE('26.10 HOIMA-KYENJOJO-24h'!G94,'28.10 HOIMA-KYENJOJO-24h'!G94)</f>
        <v>0</v>
      </c>
      <c r="H94" s="49">
        <f>AVERAGE('26.10 HOIMA-KYENJOJO-24h'!H94,'28.10 HOIMA-KYENJOJO-24h'!H94)</f>
        <v>0</v>
      </c>
      <c r="I94" s="49">
        <f>AVERAGE('26.10 HOIMA-KYENJOJO-24h'!I94,'28.10 HOIMA-KYENJOJO-24h'!I94)</f>
        <v>0</v>
      </c>
      <c r="J94" s="49">
        <f>AVERAGE('26.10 HOIMA-KYENJOJO-24h'!J94,'28.10 HOIMA-KYENJOJO-24h'!J94)</f>
        <v>0</v>
      </c>
      <c r="K94" s="49">
        <f>AVERAGE('26.10 HOIMA-KYENJOJO-24h'!K94,'28.10 HOIMA-KYENJOJO-24h'!K94)</f>
        <v>0</v>
      </c>
      <c r="L94" s="49">
        <f>AVERAGE('26.10 HOIMA-KYENJOJO-24h'!L94,'28.10 HOIMA-KYENJOJO-24h'!L94)</f>
        <v>0</v>
      </c>
      <c r="M94" s="49">
        <f>AVERAGE('26.10 HOIMA-KYENJOJO-24h'!M94,'28.10 HOIMA-KYENJOJO-24h'!M94)</f>
        <v>0</v>
      </c>
      <c r="N94" s="49">
        <f>AVERAGE('26.10 HOIMA-KYENJOJO-24h'!N94,'28.10 HOIMA-KYENJOJO-24h'!N94)</f>
        <v>0</v>
      </c>
      <c r="O94" s="15">
        <f t="shared" si="35"/>
        <v>0.5</v>
      </c>
      <c r="P94" s="15">
        <f t="shared" si="36"/>
        <v>0.5</v>
      </c>
      <c r="R94" s="8"/>
      <c r="T94"/>
    </row>
    <row r="95" spans="2:20" ht="23.1" customHeight="1" x14ac:dyDescent="0.25">
      <c r="B95" s="23" t="s">
        <v>135</v>
      </c>
      <c r="C95" s="49">
        <f>AVERAGE('26.10 HOIMA-KYENJOJO-24h'!C95,'28.10 HOIMA-KYENJOJO-24h'!C95)</f>
        <v>1</v>
      </c>
      <c r="D95" s="49">
        <f>AVERAGE('26.10 HOIMA-KYENJOJO-24h'!D95,'28.10 HOIMA-KYENJOJO-24h'!D95)</f>
        <v>0</v>
      </c>
      <c r="E95" s="49">
        <f>AVERAGE('26.10 HOIMA-KYENJOJO-24h'!E95,'28.10 HOIMA-KYENJOJO-24h'!E95)</f>
        <v>0</v>
      </c>
      <c r="F95" s="49">
        <f>AVERAGE('26.10 HOIMA-KYENJOJO-24h'!F95,'28.10 HOIMA-KYENJOJO-24h'!F95)</f>
        <v>0</v>
      </c>
      <c r="G95" s="49">
        <f>AVERAGE('26.10 HOIMA-KYENJOJO-24h'!G95,'28.10 HOIMA-KYENJOJO-24h'!G95)</f>
        <v>0</v>
      </c>
      <c r="H95" s="49">
        <f>AVERAGE('26.10 HOIMA-KYENJOJO-24h'!H95,'28.10 HOIMA-KYENJOJO-24h'!H95)</f>
        <v>0</v>
      </c>
      <c r="I95" s="49">
        <f>AVERAGE('26.10 HOIMA-KYENJOJO-24h'!I95,'28.10 HOIMA-KYENJOJO-24h'!I95)</f>
        <v>0</v>
      </c>
      <c r="J95" s="49">
        <f>AVERAGE('26.10 HOIMA-KYENJOJO-24h'!J95,'28.10 HOIMA-KYENJOJO-24h'!J95)</f>
        <v>0</v>
      </c>
      <c r="K95" s="49">
        <f>AVERAGE('26.10 HOIMA-KYENJOJO-24h'!K95,'28.10 HOIMA-KYENJOJO-24h'!K95)</f>
        <v>0</v>
      </c>
      <c r="L95" s="49">
        <f>AVERAGE('26.10 HOIMA-KYENJOJO-24h'!L95,'28.10 HOIMA-KYENJOJO-24h'!L95)</f>
        <v>0</v>
      </c>
      <c r="M95" s="49">
        <f>AVERAGE('26.10 HOIMA-KYENJOJO-24h'!M95,'28.10 HOIMA-KYENJOJO-24h'!M95)</f>
        <v>0</v>
      </c>
      <c r="N95" s="49">
        <f>AVERAGE('26.10 HOIMA-KYENJOJO-24h'!N95,'28.10 HOIMA-KYENJOJO-24h'!N95)</f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25" t="s">
        <v>136</v>
      </c>
      <c r="C96" s="49">
        <f>AVERAGE('26.10 HOIMA-KYENJOJO-24h'!C96,'28.10 HOIMA-KYENJOJO-24h'!C96)</f>
        <v>0</v>
      </c>
      <c r="D96" s="49">
        <f>AVERAGE('26.10 HOIMA-KYENJOJO-24h'!D96,'28.10 HOIMA-KYENJOJO-24h'!D96)</f>
        <v>0</v>
      </c>
      <c r="E96" s="49">
        <f>AVERAGE('26.10 HOIMA-KYENJOJO-24h'!E96,'28.10 HOIMA-KYENJOJO-24h'!E96)</f>
        <v>0</v>
      </c>
      <c r="F96" s="49">
        <f>AVERAGE('26.10 HOIMA-KYENJOJO-24h'!F96,'28.10 HOIMA-KYENJOJO-24h'!F96)</f>
        <v>0</v>
      </c>
      <c r="G96" s="49">
        <f>AVERAGE('26.10 HOIMA-KYENJOJO-24h'!G96,'28.10 HOIMA-KYENJOJO-24h'!G96)</f>
        <v>0</v>
      </c>
      <c r="H96" s="49">
        <f>AVERAGE('26.10 HOIMA-KYENJOJO-24h'!H96,'28.10 HOIMA-KYENJOJO-24h'!H96)</f>
        <v>0</v>
      </c>
      <c r="I96" s="49">
        <f>AVERAGE('26.10 HOIMA-KYENJOJO-24h'!I96,'28.10 HOIMA-KYENJOJO-24h'!I96)</f>
        <v>0.5</v>
      </c>
      <c r="J96" s="49">
        <f>AVERAGE('26.10 HOIMA-KYENJOJO-24h'!J96,'28.10 HOIMA-KYENJOJO-24h'!J96)</f>
        <v>0</v>
      </c>
      <c r="K96" s="49">
        <f>AVERAGE('26.10 HOIMA-KYENJOJO-24h'!K96,'28.10 HOIMA-KYENJOJO-24h'!K96)</f>
        <v>0</v>
      </c>
      <c r="L96" s="49">
        <f>AVERAGE('26.10 HOIMA-KYENJOJO-24h'!L96,'28.10 HOIMA-KYENJOJO-24h'!L96)</f>
        <v>0</v>
      </c>
      <c r="M96" s="49">
        <f>AVERAGE('26.10 HOIMA-KYENJOJO-24h'!M96,'28.10 HOIMA-KYENJOJO-24h'!M96)</f>
        <v>0.5</v>
      </c>
      <c r="N96" s="49">
        <f>AVERAGE('26.10 HOIMA-KYENJOJO-24h'!N96,'28.10 HOIMA-KYENJOJO-24h'!N96)</f>
        <v>0</v>
      </c>
      <c r="O96" s="15">
        <f t="shared" si="35"/>
        <v>0.5</v>
      </c>
      <c r="P96" s="15">
        <f t="shared" si="36"/>
        <v>1</v>
      </c>
      <c r="R96" s="8"/>
      <c r="T96"/>
    </row>
    <row r="97" spans="2:20" ht="23.1" customHeight="1" x14ac:dyDescent="0.25">
      <c r="B97" s="23" t="s">
        <v>137</v>
      </c>
      <c r="C97" s="49">
        <f>AVERAGE('26.10 HOIMA-KYENJOJO-24h'!C97,'28.10 HOIMA-KYENJOJO-24h'!C97)</f>
        <v>0</v>
      </c>
      <c r="D97" s="49">
        <f>AVERAGE('26.10 HOIMA-KYENJOJO-24h'!D97,'28.10 HOIMA-KYENJOJO-24h'!D97)</f>
        <v>0</v>
      </c>
      <c r="E97" s="49">
        <f>AVERAGE('26.10 HOIMA-KYENJOJO-24h'!E97,'28.10 HOIMA-KYENJOJO-24h'!E97)</f>
        <v>0</v>
      </c>
      <c r="F97" s="49">
        <f>AVERAGE('26.10 HOIMA-KYENJOJO-24h'!F97,'28.10 HOIMA-KYENJOJO-24h'!F97)</f>
        <v>0</v>
      </c>
      <c r="G97" s="49">
        <f>AVERAGE('26.10 HOIMA-KYENJOJO-24h'!G97,'28.10 HOIMA-KYENJOJO-24h'!G97)</f>
        <v>0</v>
      </c>
      <c r="H97" s="49">
        <f>AVERAGE('26.10 HOIMA-KYENJOJO-24h'!H97,'28.10 HOIMA-KYENJOJO-24h'!H97)</f>
        <v>0</v>
      </c>
      <c r="I97" s="49">
        <f>AVERAGE('26.10 HOIMA-KYENJOJO-24h'!I97,'28.10 HOIMA-KYENJOJO-24h'!I97)</f>
        <v>0</v>
      </c>
      <c r="J97" s="49">
        <f>AVERAGE('26.10 HOIMA-KYENJOJO-24h'!J97,'28.10 HOIMA-KYENJOJO-24h'!J97)</f>
        <v>0</v>
      </c>
      <c r="K97" s="49">
        <f>AVERAGE('26.10 HOIMA-KYENJOJO-24h'!K97,'28.10 HOIMA-KYENJOJO-24h'!K97)</f>
        <v>0</v>
      </c>
      <c r="L97" s="49">
        <f>AVERAGE('26.10 HOIMA-KYENJOJO-24h'!L97,'28.10 HOIMA-KYENJOJO-24h'!L97)</f>
        <v>0</v>
      </c>
      <c r="M97" s="49">
        <f>AVERAGE('26.10 HOIMA-KYENJOJO-24h'!M97,'28.10 HOIMA-KYENJOJO-24h'!M97)</f>
        <v>0</v>
      </c>
      <c r="N97" s="49">
        <f>AVERAGE('26.10 HOIMA-KYENJOJO-24h'!N97,'28.10 HOIMA-KYENJOJO-24h'!N97)</f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24" t="s">
        <v>138</v>
      </c>
      <c r="C98" s="49">
        <f>AVERAGE('26.10 HOIMA-KYENJOJO-24h'!C98,'28.10 HOIMA-KYENJOJO-24h'!C98)</f>
        <v>1.5</v>
      </c>
      <c r="D98" s="49">
        <f>AVERAGE('26.10 HOIMA-KYENJOJO-24h'!D98,'28.10 HOIMA-KYENJOJO-24h'!D98)</f>
        <v>0.5</v>
      </c>
      <c r="E98" s="49">
        <f>AVERAGE('26.10 HOIMA-KYENJOJO-24h'!E98,'28.10 HOIMA-KYENJOJO-24h'!E98)</f>
        <v>0.5</v>
      </c>
      <c r="F98" s="49">
        <f>AVERAGE('26.10 HOIMA-KYENJOJO-24h'!F98,'28.10 HOIMA-KYENJOJO-24h'!F98)</f>
        <v>0</v>
      </c>
      <c r="G98" s="49">
        <f>AVERAGE('26.10 HOIMA-KYENJOJO-24h'!G98,'28.10 HOIMA-KYENJOJO-24h'!G98)</f>
        <v>0</v>
      </c>
      <c r="H98" s="49">
        <f>AVERAGE('26.10 HOIMA-KYENJOJO-24h'!H98,'28.10 HOIMA-KYENJOJO-24h'!H98)</f>
        <v>0</v>
      </c>
      <c r="I98" s="49">
        <f>AVERAGE('26.10 HOIMA-KYENJOJO-24h'!I98,'28.10 HOIMA-KYENJOJO-24h'!I98)</f>
        <v>0</v>
      </c>
      <c r="J98" s="49">
        <f>AVERAGE('26.10 HOIMA-KYENJOJO-24h'!J98,'28.10 HOIMA-KYENJOJO-24h'!J98)</f>
        <v>0.5</v>
      </c>
      <c r="K98" s="49">
        <f>AVERAGE('26.10 HOIMA-KYENJOJO-24h'!K98,'28.10 HOIMA-KYENJOJO-24h'!K98)</f>
        <v>1</v>
      </c>
      <c r="L98" s="49">
        <f>AVERAGE('26.10 HOIMA-KYENJOJO-24h'!L98,'28.10 HOIMA-KYENJOJO-24h'!L98)</f>
        <v>0</v>
      </c>
      <c r="M98" s="49">
        <f>AVERAGE('26.10 HOIMA-KYENJOJO-24h'!M98,'28.10 HOIMA-KYENJOJO-24h'!M98)</f>
        <v>2.5</v>
      </c>
      <c r="N98" s="49">
        <f>AVERAGE('26.10 HOIMA-KYENJOJO-24h'!N98,'28.10 HOIMA-KYENJOJO-24h'!N98)</f>
        <v>0</v>
      </c>
      <c r="O98" s="15">
        <f t="shared" si="35"/>
        <v>4</v>
      </c>
      <c r="P98" s="15">
        <f t="shared" si="36"/>
        <v>6.5</v>
      </c>
      <c r="R98" s="8"/>
      <c r="T98"/>
    </row>
    <row r="99" spans="2:20" ht="23.1" customHeight="1" x14ac:dyDescent="0.25">
      <c r="B99" s="23" t="s">
        <v>139</v>
      </c>
      <c r="C99" s="49">
        <f>AVERAGE('26.10 HOIMA-KYENJOJO-24h'!C99,'28.10 HOIMA-KYENJOJO-24h'!C99)</f>
        <v>0.5</v>
      </c>
      <c r="D99" s="49">
        <f>AVERAGE('26.10 HOIMA-KYENJOJO-24h'!D99,'28.10 HOIMA-KYENJOJO-24h'!D99)</f>
        <v>0</v>
      </c>
      <c r="E99" s="49">
        <f>AVERAGE('26.10 HOIMA-KYENJOJO-24h'!E99,'28.10 HOIMA-KYENJOJO-24h'!E99)</f>
        <v>0</v>
      </c>
      <c r="F99" s="49">
        <f>AVERAGE('26.10 HOIMA-KYENJOJO-24h'!F99,'28.10 HOIMA-KYENJOJO-24h'!F99)</f>
        <v>0.5</v>
      </c>
      <c r="G99" s="49">
        <f>AVERAGE('26.10 HOIMA-KYENJOJO-24h'!G99,'28.10 HOIMA-KYENJOJO-24h'!G99)</f>
        <v>0</v>
      </c>
      <c r="H99" s="49">
        <f>AVERAGE('26.10 HOIMA-KYENJOJO-24h'!H99,'28.10 HOIMA-KYENJOJO-24h'!H99)</f>
        <v>0</v>
      </c>
      <c r="I99" s="49">
        <f>AVERAGE('26.10 HOIMA-KYENJOJO-24h'!I99,'28.10 HOIMA-KYENJOJO-24h'!I99)</f>
        <v>0</v>
      </c>
      <c r="J99" s="49">
        <f>AVERAGE('26.10 HOIMA-KYENJOJO-24h'!J99,'28.10 HOIMA-KYENJOJO-24h'!J99)</f>
        <v>0</v>
      </c>
      <c r="K99" s="49">
        <f>AVERAGE('26.10 HOIMA-KYENJOJO-24h'!K99,'28.10 HOIMA-KYENJOJO-24h'!K99)</f>
        <v>0</v>
      </c>
      <c r="L99" s="49">
        <f>AVERAGE('26.10 HOIMA-KYENJOJO-24h'!L99,'28.10 HOIMA-KYENJOJO-24h'!L99)</f>
        <v>0</v>
      </c>
      <c r="M99" s="49">
        <f>AVERAGE('26.10 HOIMA-KYENJOJO-24h'!M99,'28.10 HOIMA-KYENJOJO-24h'!M99)</f>
        <v>1</v>
      </c>
      <c r="N99" s="49">
        <f>AVERAGE('26.10 HOIMA-KYENJOJO-24h'!N99,'28.10 HOIMA-KYENJOJO-24h'!N99)</f>
        <v>0</v>
      </c>
      <c r="O99" s="15">
        <f t="shared" si="35"/>
        <v>1</v>
      </c>
      <c r="P99" s="15">
        <f t="shared" si="36"/>
        <v>2</v>
      </c>
      <c r="R99" s="8"/>
      <c r="T99"/>
    </row>
    <row r="100" spans="2:20" ht="23.1" customHeight="1" x14ac:dyDescent="0.25">
      <c r="B100" s="25" t="s">
        <v>140</v>
      </c>
      <c r="C100" s="49">
        <f>AVERAGE('26.10 HOIMA-KYENJOJO-24h'!C100,'28.10 HOIMA-KYENJOJO-24h'!C100)</f>
        <v>0</v>
      </c>
      <c r="D100" s="49">
        <f>AVERAGE('26.10 HOIMA-KYENJOJO-24h'!D100,'28.10 HOIMA-KYENJOJO-24h'!D100)</f>
        <v>0</v>
      </c>
      <c r="E100" s="49">
        <f>AVERAGE('26.10 HOIMA-KYENJOJO-24h'!E100,'28.10 HOIMA-KYENJOJO-24h'!E100)</f>
        <v>0</v>
      </c>
      <c r="F100" s="49">
        <f>AVERAGE('26.10 HOIMA-KYENJOJO-24h'!F100,'28.10 HOIMA-KYENJOJO-24h'!F100)</f>
        <v>0</v>
      </c>
      <c r="G100" s="49">
        <f>AVERAGE('26.10 HOIMA-KYENJOJO-24h'!G100,'28.10 HOIMA-KYENJOJO-24h'!G100)</f>
        <v>0</v>
      </c>
      <c r="H100" s="49">
        <f>AVERAGE('26.10 HOIMA-KYENJOJO-24h'!H100,'28.10 HOIMA-KYENJOJO-24h'!H100)</f>
        <v>0</v>
      </c>
      <c r="I100" s="49">
        <f>AVERAGE('26.10 HOIMA-KYENJOJO-24h'!I100,'28.10 HOIMA-KYENJOJO-24h'!I100)</f>
        <v>0</v>
      </c>
      <c r="J100" s="49">
        <f>AVERAGE('26.10 HOIMA-KYENJOJO-24h'!J100,'28.10 HOIMA-KYENJOJO-24h'!J100)</f>
        <v>0</v>
      </c>
      <c r="K100" s="49">
        <f>AVERAGE('26.10 HOIMA-KYENJOJO-24h'!K100,'28.10 HOIMA-KYENJOJO-24h'!K100)</f>
        <v>0</v>
      </c>
      <c r="L100" s="49">
        <f>AVERAGE('26.10 HOIMA-KYENJOJO-24h'!L100,'28.10 HOIMA-KYENJOJO-24h'!L100)</f>
        <v>0</v>
      </c>
      <c r="M100" s="49">
        <f>AVERAGE('26.10 HOIMA-KYENJOJO-24h'!M100,'28.10 HOIMA-KYENJOJO-24h'!M100)</f>
        <v>0.5</v>
      </c>
      <c r="N100" s="49">
        <f>AVERAGE('26.10 HOIMA-KYENJOJO-24h'!N100,'28.10 HOIMA-KYENJOJO-24h'!N100)</f>
        <v>0</v>
      </c>
      <c r="O100" s="15">
        <f t="shared" si="35"/>
        <v>0</v>
      </c>
      <c r="P100" s="15">
        <f t="shared" si="36"/>
        <v>0.5</v>
      </c>
      <c r="R100" s="8"/>
      <c r="T100"/>
    </row>
    <row r="101" spans="2:20" ht="23.1" customHeight="1" x14ac:dyDescent="0.25">
      <c r="B101" s="23" t="s">
        <v>141</v>
      </c>
      <c r="C101" s="49">
        <f>AVERAGE('26.10 HOIMA-KYENJOJO-24h'!C101,'28.10 HOIMA-KYENJOJO-24h'!C101)</f>
        <v>0</v>
      </c>
      <c r="D101" s="49">
        <f>AVERAGE('26.10 HOIMA-KYENJOJO-24h'!D101,'28.10 HOIMA-KYENJOJO-24h'!D101)</f>
        <v>0</v>
      </c>
      <c r="E101" s="49">
        <f>AVERAGE('26.10 HOIMA-KYENJOJO-24h'!E101,'28.10 HOIMA-KYENJOJO-24h'!E101)</f>
        <v>0</v>
      </c>
      <c r="F101" s="49">
        <f>AVERAGE('26.10 HOIMA-KYENJOJO-24h'!F101,'28.10 HOIMA-KYENJOJO-24h'!F101)</f>
        <v>0</v>
      </c>
      <c r="G101" s="49">
        <f>AVERAGE('26.10 HOIMA-KYENJOJO-24h'!G101,'28.10 HOIMA-KYENJOJO-24h'!G101)</f>
        <v>0</v>
      </c>
      <c r="H101" s="49">
        <f>AVERAGE('26.10 HOIMA-KYENJOJO-24h'!H101,'28.10 HOIMA-KYENJOJO-24h'!H101)</f>
        <v>0</v>
      </c>
      <c r="I101" s="49">
        <f>AVERAGE('26.10 HOIMA-KYENJOJO-24h'!I101,'28.10 HOIMA-KYENJOJO-24h'!I101)</f>
        <v>0</v>
      </c>
      <c r="J101" s="49">
        <f>AVERAGE('26.10 HOIMA-KYENJOJO-24h'!J101,'28.10 HOIMA-KYENJOJO-24h'!J101)</f>
        <v>0</v>
      </c>
      <c r="K101" s="49">
        <f>AVERAGE('26.10 HOIMA-KYENJOJO-24h'!K101,'28.10 HOIMA-KYENJOJO-24h'!K101)</f>
        <v>0</v>
      </c>
      <c r="L101" s="49">
        <f>AVERAGE('26.10 HOIMA-KYENJOJO-24h'!L101,'28.10 HOIMA-KYENJOJO-24h'!L101)</f>
        <v>0</v>
      </c>
      <c r="M101" s="49">
        <f>AVERAGE('26.10 HOIMA-KYENJOJO-24h'!M101,'28.10 HOIMA-KYENJOJO-24h'!M101)</f>
        <v>1</v>
      </c>
      <c r="N101" s="49">
        <f>AVERAGE('26.10 HOIMA-KYENJOJO-24h'!N101,'28.10 HOIMA-KYENJOJO-24h'!N101)</f>
        <v>0</v>
      </c>
      <c r="O101" s="15">
        <f t="shared" si="35"/>
        <v>0</v>
      </c>
      <c r="P101" s="15">
        <f t="shared" si="36"/>
        <v>1</v>
      </c>
      <c r="R101" s="8"/>
      <c r="T101"/>
    </row>
    <row r="102" spans="2:20" ht="23.1" customHeight="1" x14ac:dyDescent="0.25">
      <c r="B102" s="24" t="s">
        <v>142</v>
      </c>
      <c r="C102" s="49">
        <f>AVERAGE('26.10 HOIMA-KYENJOJO-24h'!C102,'28.10 HOIMA-KYENJOJO-24h'!C102)</f>
        <v>1.5</v>
      </c>
      <c r="D102" s="49">
        <f>AVERAGE('26.10 HOIMA-KYENJOJO-24h'!D102,'28.10 HOIMA-KYENJOJO-24h'!D102)</f>
        <v>0.5</v>
      </c>
      <c r="E102" s="49">
        <f>AVERAGE('26.10 HOIMA-KYENJOJO-24h'!E102,'28.10 HOIMA-KYENJOJO-24h'!E102)</f>
        <v>0</v>
      </c>
      <c r="F102" s="49">
        <f>AVERAGE('26.10 HOIMA-KYENJOJO-24h'!F102,'28.10 HOIMA-KYENJOJO-24h'!F102)</f>
        <v>0</v>
      </c>
      <c r="G102" s="49">
        <f>AVERAGE('26.10 HOIMA-KYENJOJO-24h'!G102,'28.10 HOIMA-KYENJOJO-24h'!G102)</f>
        <v>0</v>
      </c>
      <c r="H102" s="49">
        <f>AVERAGE('26.10 HOIMA-KYENJOJO-24h'!H102,'28.10 HOIMA-KYENJOJO-24h'!H102)</f>
        <v>0</v>
      </c>
      <c r="I102" s="49">
        <f>AVERAGE('26.10 HOIMA-KYENJOJO-24h'!I102,'28.10 HOIMA-KYENJOJO-24h'!I102)</f>
        <v>0</v>
      </c>
      <c r="J102" s="49">
        <f>AVERAGE('26.10 HOIMA-KYENJOJO-24h'!J102,'28.10 HOIMA-KYENJOJO-24h'!J102)</f>
        <v>0</v>
      </c>
      <c r="K102" s="49">
        <f>AVERAGE('26.10 HOIMA-KYENJOJO-24h'!K102,'28.10 HOIMA-KYENJOJO-24h'!K102)</f>
        <v>0</v>
      </c>
      <c r="L102" s="49">
        <f>AVERAGE('26.10 HOIMA-KYENJOJO-24h'!L102,'28.10 HOIMA-KYENJOJO-24h'!L102)</f>
        <v>0</v>
      </c>
      <c r="M102" s="49">
        <f>AVERAGE('26.10 HOIMA-KYENJOJO-24h'!M102,'28.10 HOIMA-KYENJOJO-24h'!M102)</f>
        <v>5.5</v>
      </c>
      <c r="N102" s="49">
        <f>AVERAGE('26.10 HOIMA-KYENJOJO-24h'!N102,'28.10 HOIMA-KYENJOJO-24h'!N102)</f>
        <v>0</v>
      </c>
      <c r="O102" s="15">
        <f t="shared" si="35"/>
        <v>2</v>
      </c>
      <c r="P102" s="15">
        <f t="shared" si="36"/>
        <v>7.5</v>
      </c>
      <c r="R102" s="8"/>
      <c r="T102"/>
    </row>
    <row r="103" spans="2:20" ht="23.1" customHeight="1" x14ac:dyDescent="0.25">
      <c r="B103" s="23" t="s">
        <v>143</v>
      </c>
      <c r="C103" s="49">
        <f>AVERAGE('26.10 HOIMA-KYENJOJO-24h'!C103,'28.10 HOIMA-KYENJOJO-24h'!C103)</f>
        <v>2</v>
      </c>
      <c r="D103" s="49">
        <f>AVERAGE('26.10 HOIMA-KYENJOJO-24h'!D103,'28.10 HOIMA-KYENJOJO-24h'!D103)</f>
        <v>0</v>
      </c>
      <c r="E103" s="49">
        <f>AVERAGE('26.10 HOIMA-KYENJOJO-24h'!E103,'28.10 HOIMA-KYENJOJO-24h'!E103)</f>
        <v>0</v>
      </c>
      <c r="F103" s="49">
        <f>AVERAGE('26.10 HOIMA-KYENJOJO-24h'!F103,'28.10 HOIMA-KYENJOJO-24h'!F103)</f>
        <v>0</v>
      </c>
      <c r="G103" s="49">
        <f>AVERAGE('26.10 HOIMA-KYENJOJO-24h'!G103,'28.10 HOIMA-KYENJOJO-24h'!G103)</f>
        <v>0</v>
      </c>
      <c r="H103" s="49">
        <f>AVERAGE('26.10 HOIMA-KYENJOJO-24h'!H103,'28.10 HOIMA-KYENJOJO-24h'!H103)</f>
        <v>0</v>
      </c>
      <c r="I103" s="49">
        <f>AVERAGE('26.10 HOIMA-KYENJOJO-24h'!I103,'28.10 HOIMA-KYENJOJO-24h'!I103)</f>
        <v>0</v>
      </c>
      <c r="J103" s="49">
        <f>AVERAGE('26.10 HOIMA-KYENJOJO-24h'!J103,'28.10 HOIMA-KYENJOJO-24h'!J103)</f>
        <v>0</v>
      </c>
      <c r="K103" s="49">
        <f>AVERAGE('26.10 HOIMA-KYENJOJO-24h'!K103,'28.10 HOIMA-KYENJOJO-24h'!K103)</f>
        <v>0.5</v>
      </c>
      <c r="L103" s="49">
        <f>AVERAGE('26.10 HOIMA-KYENJOJO-24h'!L103,'28.10 HOIMA-KYENJOJO-24h'!L103)</f>
        <v>0</v>
      </c>
      <c r="M103" s="49">
        <f>AVERAGE('26.10 HOIMA-KYENJOJO-24h'!M103,'28.10 HOIMA-KYENJOJO-24h'!M103)</f>
        <v>3.5</v>
      </c>
      <c r="N103" s="49">
        <f>AVERAGE('26.10 HOIMA-KYENJOJO-24h'!N103,'28.10 HOIMA-KYENJOJO-24h'!N103)</f>
        <v>0</v>
      </c>
      <c r="O103" s="15">
        <f t="shared" si="35"/>
        <v>2.5</v>
      </c>
      <c r="P103" s="15">
        <f t="shared" si="36"/>
        <v>6</v>
      </c>
      <c r="R103" s="8"/>
      <c r="T103"/>
    </row>
    <row r="104" spans="2:20" ht="23.1" customHeight="1" x14ac:dyDescent="0.25">
      <c r="B104" s="25" t="s">
        <v>144</v>
      </c>
      <c r="C104" s="49">
        <f>AVERAGE('26.10 HOIMA-KYENJOJO-24h'!C104,'28.10 HOIMA-KYENJOJO-24h'!C104)</f>
        <v>1</v>
      </c>
      <c r="D104" s="49">
        <f>AVERAGE('26.10 HOIMA-KYENJOJO-24h'!D104,'28.10 HOIMA-KYENJOJO-24h'!D104)</f>
        <v>1</v>
      </c>
      <c r="E104" s="49">
        <f>AVERAGE('26.10 HOIMA-KYENJOJO-24h'!E104,'28.10 HOIMA-KYENJOJO-24h'!E104)</f>
        <v>0</v>
      </c>
      <c r="F104" s="49">
        <f>AVERAGE('26.10 HOIMA-KYENJOJO-24h'!F104,'28.10 HOIMA-KYENJOJO-24h'!F104)</f>
        <v>0</v>
      </c>
      <c r="G104" s="49">
        <f>AVERAGE('26.10 HOIMA-KYENJOJO-24h'!G104,'28.10 HOIMA-KYENJOJO-24h'!G104)</f>
        <v>0</v>
      </c>
      <c r="H104" s="49">
        <f>AVERAGE('26.10 HOIMA-KYENJOJO-24h'!H104,'28.10 HOIMA-KYENJOJO-24h'!H104)</f>
        <v>0</v>
      </c>
      <c r="I104" s="49">
        <f>AVERAGE('26.10 HOIMA-KYENJOJO-24h'!I104,'28.10 HOIMA-KYENJOJO-24h'!I104)</f>
        <v>0</v>
      </c>
      <c r="J104" s="49">
        <f>AVERAGE('26.10 HOIMA-KYENJOJO-24h'!J104,'28.10 HOIMA-KYENJOJO-24h'!J104)</f>
        <v>0</v>
      </c>
      <c r="K104" s="49">
        <f>AVERAGE('26.10 HOIMA-KYENJOJO-24h'!K104,'28.10 HOIMA-KYENJOJO-24h'!K104)</f>
        <v>0</v>
      </c>
      <c r="L104" s="49">
        <f>AVERAGE('26.10 HOIMA-KYENJOJO-24h'!L104,'28.10 HOIMA-KYENJOJO-24h'!L104)</f>
        <v>0</v>
      </c>
      <c r="M104" s="49">
        <f>AVERAGE('26.10 HOIMA-KYENJOJO-24h'!M104,'28.10 HOIMA-KYENJOJO-24h'!M104)</f>
        <v>8.5</v>
      </c>
      <c r="N104" s="49">
        <f>AVERAGE('26.10 HOIMA-KYENJOJO-24h'!N104,'28.10 HOIMA-KYENJOJO-24h'!N104)</f>
        <v>0</v>
      </c>
      <c r="O104" s="15">
        <f t="shared" si="35"/>
        <v>2</v>
      </c>
      <c r="P104" s="15">
        <f t="shared" si="36"/>
        <v>10.5</v>
      </c>
      <c r="R104" s="8"/>
      <c r="T104"/>
    </row>
    <row r="105" spans="2:20" ht="23.1" customHeight="1" x14ac:dyDescent="0.25">
      <c r="B105" s="23" t="s">
        <v>145</v>
      </c>
      <c r="C105" s="49">
        <f>AVERAGE('26.10 HOIMA-KYENJOJO-24h'!C105,'28.10 HOIMA-KYENJOJO-24h'!C105)</f>
        <v>2</v>
      </c>
      <c r="D105" s="49">
        <f>AVERAGE('26.10 HOIMA-KYENJOJO-24h'!D105,'28.10 HOIMA-KYENJOJO-24h'!D105)</f>
        <v>0.5</v>
      </c>
      <c r="E105" s="49">
        <f>AVERAGE('26.10 HOIMA-KYENJOJO-24h'!E105,'28.10 HOIMA-KYENJOJO-24h'!E105)</f>
        <v>0</v>
      </c>
      <c r="F105" s="49">
        <f>AVERAGE('26.10 HOIMA-KYENJOJO-24h'!F105,'28.10 HOIMA-KYENJOJO-24h'!F105)</f>
        <v>0</v>
      </c>
      <c r="G105" s="49">
        <f>AVERAGE('26.10 HOIMA-KYENJOJO-24h'!G105,'28.10 HOIMA-KYENJOJO-24h'!G105)</f>
        <v>0</v>
      </c>
      <c r="H105" s="49">
        <f>AVERAGE('26.10 HOIMA-KYENJOJO-24h'!H105,'28.10 HOIMA-KYENJOJO-24h'!H105)</f>
        <v>0</v>
      </c>
      <c r="I105" s="49">
        <f>AVERAGE('26.10 HOIMA-KYENJOJO-24h'!I105,'28.10 HOIMA-KYENJOJO-24h'!I105)</f>
        <v>0</v>
      </c>
      <c r="J105" s="49">
        <f>AVERAGE('26.10 HOIMA-KYENJOJO-24h'!J105,'28.10 HOIMA-KYENJOJO-24h'!J105)</f>
        <v>0</v>
      </c>
      <c r="K105" s="49">
        <f>AVERAGE('26.10 HOIMA-KYENJOJO-24h'!K105,'28.10 HOIMA-KYENJOJO-24h'!K105)</f>
        <v>0</v>
      </c>
      <c r="L105" s="49">
        <f>AVERAGE('26.10 HOIMA-KYENJOJO-24h'!L105,'28.10 HOIMA-KYENJOJO-24h'!L105)</f>
        <v>0</v>
      </c>
      <c r="M105" s="49">
        <f>AVERAGE('26.10 HOIMA-KYENJOJO-24h'!M105,'28.10 HOIMA-KYENJOJO-24h'!M105)</f>
        <v>12</v>
      </c>
      <c r="N105" s="49">
        <f>AVERAGE('26.10 HOIMA-KYENJOJO-24h'!N105,'28.10 HOIMA-KYENJOJO-24h'!N105)</f>
        <v>0</v>
      </c>
      <c r="O105" s="15">
        <f t="shared" si="35"/>
        <v>2.5</v>
      </c>
      <c r="P105" s="15">
        <f t="shared" si="36"/>
        <v>14.5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326.85714285714283</v>
      </c>
      <c r="D106" s="16">
        <f t="shared" ref="D106:P106" si="37">SUM(D10:D105)</f>
        <v>40.71428571428573</v>
      </c>
      <c r="E106" s="16">
        <f t="shared" si="37"/>
        <v>54.928571428571431</v>
      </c>
      <c r="F106" s="16">
        <f t="shared" si="37"/>
        <v>47.785714285714285</v>
      </c>
      <c r="G106" s="16">
        <f t="shared" si="37"/>
        <v>1.5714285714285712</v>
      </c>
      <c r="H106" s="16">
        <f t="shared" si="37"/>
        <v>2.1428571428571428</v>
      </c>
      <c r="I106" s="16">
        <f t="shared" si="37"/>
        <v>45.071428571428577</v>
      </c>
      <c r="J106" s="16">
        <f t="shared" si="37"/>
        <v>39.571428571428577</v>
      </c>
      <c r="K106" s="16">
        <f t="shared" si="37"/>
        <v>21.214285714285715</v>
      </c>
      <c r="L106" s="16">
        <f t="shared" si="37"/>
        <v>1.9285714285714282</v>
      </c>
      <c r="M106" s="16">
        <f t="shared" si="37"/>
        <v>1917.4285714285713</v>
      </c>
      <c r="N106" s="16">
        <f t="shared" si="37"/>
        <v>0.71428571428571419</v>
      </c>
      <c r="O106" s="16">
        <f t="shared" si="37"/>
        <v>582.5</v>
      </c>
      <c r="P106" s="16">
        <f t="shared" si="37"/>
        <v>2499.9285714285716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0.13074659275979311</v>
      </c>
      <c r="D107" s="43">
        <f t="shared" si="38"/>
        <v>1.6286179605131582E-2</v>
      </c>
      <c r="E107" s="43">
        <f t="shared" si="38"/>
        <v>2.1972056344466983E-2</v>
      </c>
      <c r="F107" s="43">
        <f t="shared" si="38"/>
        <v>1.9114831852338636E-2</v>
      </c>
      <c r="G107" s="43">
        <f t="shared" si="38"/>
        <v>6.2858938826823607E-4</v>
      </c>
      <c r="H107" s="43">
        <f t="shared" si="38"/>
        <v>8.5716734763850385E-4</v>
      </c>
      <c r="I107" s="43">
        <f t="shared" si="38"/>
        <v>1.8029086545329868E-2</v>
      </c>
      <c r="J107" s="43">
        <f t="shared" si="38"/>
        <v>1.5829023686391042E-2</v>
      </c>
      <c r="K107" s="43">
        <f t="shared" si="38"/>
        <v>8.4859567416211892E-3</v>
      </c>
      <c r="L107" s="43">
        <f t="shared" si="38"/>
        <v>7.7145061287465339E-4</v>
      </c>
      <c r="M107" s="43">
        <f t="shared" si="38"/>
        <v>0.76699334266693331</v>
      </c>
      <c r="N107" s="43">
        <f t="shared" si="38"/>
        <v>2.857224492128346E-4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0.56112814224402208</v>
      </c>
      <c r="D108" s="44">
        <f t="shared" ref="D108:N108" si="39">D106/$O$106</f>
        <v>6.9895769466584948E-2</v>
      </c>
      <c r="E108" s="44">
        <f t="shared" si="39"/>
        <v>9.4297976701410186E-2</v>
      </c>
      <c r="F108" s="44">
        <f t="shared" si="39"/>
        <v>8.2035561005518079E-2</v>
      </c>
      <c r="G108" s="44">
        <f t="shared" si="39"/>
        <v>2.6977314530962594E-3</v>
      </c>
      <c r="H108" s="44">
        <f t="shared" si="39"/>
        <v>3.678724708767627E-3</v>
      </c>
      <c r="I108" s="44">
        <f t="shared" si="39"/>
        <v>7.7375843041079098E-2</v>
      </c>
      <c r="J108" s="44">
        <f t="shared" si="39"/>
        <v>6.7933782955242189E-2</v>
      </c>
      <c r="K108" s="44">
        <f t="shared" si="39"/>
        <v>3.6419374616799512E-2</v>
      </c>
      <c r="L108" s="44">
        <f t="shared" si="39"/>
        <v>3.3108522378908637E-3</v>
      </c>
      <c r="M108" s="44"/>
      <c r="N108" s="44">
        <f t="shared" si="39"/>
        <v>1.226241569589209E-3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L51" zoomScale="60" workbookViewId="0">
      <selection activeCell="X95" sqref="X9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'31.10 HOIMA-KYENJOJO'!C3:G3</f>
        <v>MCC - C4 - STN108 -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164</v>
      </c>
      <c r="E5" s="66"/>
      <c r="F5" s="41" t="s">
        <v>1</v>
      </c>
      <c r="G5" s="63" t="str">
        <f>'Avg Week Hoima-Kyenjojo'!G5:H5</f>
        <v>KYENJOJO</v>
      </c>
      <c r="H5" s="64"/>
      <c r="I5" s="14"/>
      <c r="J5" s="2" t="s">
        <v>5</v>
      </c>
      <c r="K5" s="63" t="str">
        <f>'Avg Week Hoima-Kyenjojo'!K5:L5</f>
        <v>STEVEN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Hoima-Kyenjojo'!K6:L6</f>
        <v>FELIX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Kyenjojo-Hoima'!C10+'Avg Week Hoima-Kyenjojo'!C10</f>
        <v>4</v>
      </c>
      <c r="D10" s="49">
        <f>'Avg Week Kyenjojo-Hoima'!D10+'Avg Week Hoima-Kyenjojo'!D10</f>
        <v>0.2857142857142857</v>
      </c>
      <c r="E10" s="49">
        <f>'Avg Week Kyenjojo-Hoima'!E10+'Avg Week Hoima-Kyenjojo'!E10</f>
        <v>0.14285714285714285</v>
      </c>
      <c r="F10" s="49">
        <f>'Avg Week Kyenjojo-Hoima'!F10+'Avg Week Hoima-Kyenjojo'!F10</f>
        <v>0.2857142857142857</v>
      </c>
      <c r="G10" s="49">
        <f>'Avg Week Kyenjojo-Hoima'!G10+'Avg Week Hoima-Kyenjojo'!G10</f>
        <v>0</v>
      </c>
      <c r="H10" s="49">
        <f>'Avg Week Kyenjojo-Hoima'!H10+'Avg Week Hoima-Kyenjojo'!H10</f>
        <v>0</v>
      </c>
      <c r="I10" s="49">
        <f>'Avg Week Kyenjojo-Hoima'!I10+'Avg Week Hoima-Kyenjojo'!I10</f>
        <v>0.14285714285714285</v>
      </c>
      <c r="J10" s="49">
        <f>'Avg Week Kyenjojo-Hoima'!J10+'Avg Week Hoima-Kyenjojo'!J10</f>
        <v>2</v>
      </c>
      <c r="K10" s="49">
        <f>'Avg Week Kyenjojo-Hoima'!K10+'Avg Week Hoima-Kyenjojo'!K10</f>
        <v>0.42857142857142855</v>
      </c>
      <c r="L10" s="49">
        <f>'Avg Week Kyenjojo-Hoima'!L10+'Avg Week Hoima-Kyenjojo'!L10</f>
        <v>0.14285714285714285</v>
      </c>
      <c r="M10" s="49">
        <f>'Avg Week Kyenjojo-Hoima'!M10+'Avg Week Hoima-Kyenjojo'!M10</f>
        <v>18.428571428571431</v>
      </c>
      <c r="N10" s="49">
        <f>'Avg Week Kyenjojo-Hoima'!N10+'Avg Week Hoima-Kyenjojo'!N10</f>
        <v>0</v>
      </c>
      <c r="O10" s="15">
        <f t="shared" ref="O10:O73" si="0">SUM(C10:L10,N10)</f>
        <v>7.4285714285714297</v>
      </c>
      <c r="P10" s="15">
        <f t="shared" ref="P10:P73" si="1">SUM(C10:N10)</f>
        <v>25.857142857142861</v>
      </c>
      <c r="R10" s="1" t="s">
        <v>6</v>
      </c>
      <c r="S10" s="17">
        <f t="shared" ref="S10:AF10" si="2">SUM(C10:C13)</f>
        <v>24.571428571428569</v>
      </c>
      <c r="T10" s="17">
        <f t="shared" si="2"/>
        <v>4.1428571428571423</v>
      </c>
      <c r="U10" s="17">
        <f t="shared" si="2"/>
        <v>3.4285714285714284</v>
      </c>
      <c r="V10" s="17">
        <f t="shared" si="2"/>
        <v>5.2857142857142856</v>
      </c>
      <c r="W10" s="17">
        <f t="shared" si="2"/>
        <v>0.2857142857142857</v>
      </c>
      <c r="X10" s="17">
        <f t="shared" si="2"/>
        <v>0</v>
      </c>
      <c r="Y10" s="17">
        <f t="shared" si="2"/>
        <v>3.9999999999999996</v>
      </c>
      <c r="Z10" s="17">
        <f t="shared" si="2"/>
        <v>3.714285714285714</v>
      </c>
      <c r="AA10" s="17">
        <f t="shared" si="2"/>
        <v>0.5714285714285714</v>
      </c>
      <c r="AB10" s="17">
        <f t="shared" si="2"/>
        <v>0.85714285714285698</v>
      </c>
      <c r="AC10" s="17">
        <f t="shared" si="2"/>
        <v>159.71428571428569</v>
      </c>
      <c r="AD10" s="17">
        <f t="shared" si="2"/>
        <v>0</v>
      </c>
      <c r="AE10" s="31">
        <f t="shared" si="2"/>
        <v>46.857142857142861</v>
      </c>
      <c r="AF10" s="31">
        <f t="shared" si="2"/>
        <v>206.57142857142856</v>
      </c>
    </row>
    <row r="11" spans="2:32" s="6" customFormat="1" ht="23.1" customHeight="1" x14ac:dyDescent="0.25">
      <c r="B11" s="23" t="s">
        <v>38</v>
      </c>
      <c r="C11" s="49">
        <f>'Avg Week Kyenjojo-Hoima'!C11+'Avg Week Hoima-Kyenjojo'!C11</f>
        <v>6.8571428571428577</v>
      </c>
      <c r="D11" s="49">
        <f>'Avg Week Kyenjojo-Hoima'!D11+'Avg Week Hoima-Kyenjojo'!D11</f>
        <v>1.4285714285714284</v>
      </c>
      <c r="E11" s="49">
        <f>'Avg Week Kyenjojo-Hoima'!E11+'Avg Week Hoima-Kyenjojo'!E11</f>
        <v>0.85714285714285721</v>
      </c>
      <c r="F11" s="49">
        <f>'Avg Week Kyenjojo-Hoima'!F11+'Avg Week Hoima-Kyenjojo'!F11</f>
        <v>1.5714285714285714</v>
      </c>
      <c r="G11" s="49">
        <f>'Avg Week Kyenjojo-Hoima'!G11+'Avg Week Hoima-Kyenjojo'!G11</f>
        <v>0.14285714285714285</v>
      </c>
      <c r="H11" s="49">
        <f>'Avg Week Kyenjojo-Hoima'!H11+'Avg Week Hoima-Kyenjojo'!H11</f>
        <v>0</v>
      </c>
      <c r="I11" s="49">
        <f>'Avg Week Kyenjojo-Hoima'!I11+'Avg Week Hoima-Kyenjojo'!I11</f>
        <v>0.5714285714285714</v>
      </c>
      <c r="J11" s="49">
        <f>'Avg Week Kyenjojo-Hoima'!J11+'Avg Week Hoima-Kyenjojo'!J11</f>
        <v>1.1428571428571428</v>
      </c>
      <c r="K11" s="49">
        <f>'Avg Week Kyenjojo-Hoima'!K11+'Avg Week Hoima-Kyenjojo'!K11</f>
        <v>0.14285714285714285</v>
      </c>
      <c r="L11" s="49">
        <f>'Avg Week Kyenjojo-Hoima'!L11+'Avg Week Hoima-Kyenjojo'!L11</f>
        <v>0.5714285714285714</v>
      </c>
      <c r="M11" s="49">
        <f>'Avg Week Kyenjojo-Hoima'!M11+'Avg Week Hoima-Kyenjojo'!M11</f>
        <v>44.857142857142854</v>
      </c>
      <c r="N11" s="49">
        <f>'Avg Week Kyenjojo-Hoima'!N11+'Avg Week Hoima-Kyenjojo'!N11</f>
        <v>0</v>
      </c>
      <c r="O11" s="15">
        <f t="shared" si="0"/>
        <v>13.285714285714285</v>
      </c>
      <c r="P11" s="15">
        <f t="shared" si="1"/>
        <v>58.142857142857139</v>
      </c>
      <c r="R11" s="1" t="s">
        <v>7</v>
      </c>
      <c r="S11" s="17">
        <f t="shared" ref="S11:AF11" si="3">SUM(C14:C17)</f>
        <v>44.571428571428569</v>
      </c>
      <c r="T11" s="17">
        <f t="shared" si="3"/>
        <v>4.1428571428571423</v>
      </c>
      <c r="U11" s="17">
        <f t="shared" si="3"/>
        <v>7.2857142857142856</v>
      </c>
      <c r="V11" s="17">
        <f t="shared" si="3"/>
        <v>4.7142857142857144</v>
      </c>
      <c r="W11" s="17">
        <f t="shared" si="3"/>
        <v>0.14285714285714285</v>
      </c>
      <c r="X11" s="17">
        <f t="shared" si="3"/>
        <v>0.42857142857142855</v>
      </c>
      <c r="Y11" s="17">
        <f t="shared" si="3"/>
        <v>6.4285714285714279</v>
      </c>
      <c r="Z11" s="17">
        <f t="shared" si="3"/>
        <v>4.1428571428571423</v>
      </c>
      <c r="AA11" s="17">
        <f t="shared" si="3"/>
        <v>0.5714285714285714</v>
      </c>
      <c r="AB11" s="17">
        <f t="shared" si="3"/>
        <v>0.5714285714285714</v>
      </c>
      <c r="AC11" s="17">
        <f t="shared" si="3"/>
        <v>222.28571428571428</v>
      </c>
      <c r="AD11" s="17">
        <f t="shared" si="3"/>
        <v>0</v>
      </c>
      <c r="AE11" s="31">
        <f t="shared" si="3"/>
        <v>73</v>
      </c>
      <c r="AF11" s="31">
        <f t="shared" si="3"/>
        <v>295.28571428571428</v>
      </c>
    </row>
    <row r="12" spans="2:32" ht="23.1" customHeight="1" x14ac:dyDescent="0.25">
      <c r="B12" s="23" t="s">
        <v>39</v>
      </c>
      <c r="C12" s="49">
        <f>'Avg Week Kyenjojo-Hoima'!C12+'Avg Week Hoima-Kyenjojo'!C12</f>
        <v>6.1428571428571423</v>
      </c>
      <c r="D12" s="49">
        <f>'Avg Week Kyenjojo-Hoima'!D12+'Avg Week Hoima-Kyenjojo'!D12</f>
        <v>2</v>
      </c>
      <c r="E12" s="49">
        <f>'Avg Week Kyenjojo-Hoima'!E12+'Avg Week Hoima-Kyenjojo'!E12</f>
        <v>1</v>
      </c>
      <c r="F12" s="49">
        <f>'Avg Week Kyenjojo-Hoima'!F12+'Avg Week Hoima-Kyenjojo'!F12</f>
        <v>1.7142857142857142</v>
      </c>
      <c r="G12" s="49">
        <f>'Avg Week Kyenjojo-Hoima'!G12+'Avg Week Hoima-Kyenjojo'!G12</f>
        <v>0.14285714285714285</v>
      </c>
      <c r="H12" s="49">
        <f>'Avg Week Kyenjojo-Hoima'!H12+'Avg Week Hoima-Kyenjojo'!H12</f>
        <v>0</v>
      </c>
      <c r="I12" s="49">
        <f>'Avg Week Kyenjojo-Hoima'!I12+'Avg Week Hoima-Kyenjojo'!I12</f>
        <v>1.4285714285714284</v>
      </c>
      <c r="J12" s="49">
        <f>'Avg Week Kyenjojo-Hoima'!J12+'Avg Week Hoima-Kyenjojo'!J12</f>
        <v>0.42857142857142855</v>
      </c>
      <c r="K12" s="49">
        <f>'Avg Week Kyenjojo-Hoima'!K12+'Avg Week Hoima-Kyenjojo'!K12</f>
        <v>0</v>
      </c>
      <c r="L12" s="49">
        <f>'Avg Week Kyenjojo-Hoima'!L12+'Avg Week Hoima-Kyenjojo'!L12</f>
        <v>0.14285714285714285</v>
      </c>
      <c r="M12" s="49">
        <f>'Avg Week Kyenjojo-Hoima'!M12+'Avg Week Hoima-Kyenjojo'!M12</f>
        <v>44.142857142857139</v>
      </c>
      <c r="N12" s="49">
        <f>'Avg Week Kyenjojo-Hoima'!N12+'Avg Week Hoima-Kyenjojo'!N12</f>
        <v>0</v>
      </c>
      <c r="O12" s="15">
        <f t="shared" si="0"/>
        <v>12.999999999999998</v>
      </c>
      <c r="P12" s="15">
        <f t="shared" si="1"/>
        <v>57.142857142857139</v>
      </c>
      <c r="R12" s="1" t="s">
        <v>8</v>
      </c>
      <c r="S12" s="17">
        <f t="shared" ref="S12:AF12" si="4">SUM(C18:C21)</f>
        <v>40.142857142857139</v>
      </c>
      <c r="T12" s="17">
        <f t="shared" si="4"/>
        <v>4.7142857142857135</v>
      </c>
      <c r="U12" s="17">
        <f t="shared" si="4"/>
        <v>8.1428571428571423</v>
      </c>
      <c r="V12" s="17">
        <f t="shared" si="4"/>
        <v>5.2857142857142865</v>
      </c>
      <c r="W12" s="17">
        <f t="shared" si="4"/>
        <v>0</v>
      </c>
      <c r="X12" s="17">
        <f t="shared" si="4"/>
        <v>0</v>
      </c>
      <c r="Y12" s="17">
        <f t="shared" si="4"/>
        <v>5.7142857142857135</v>
      </c>
      <c r="Z12" s="17">
        <f t="shared" si="4"/>
        <v>4.5714285714285712</v>
      </c>
      <c r="AA12" s="17">
        <f t="shared" si="4"/>
        <v>0.71428571428571419</v>
      </c>
      <c r="AB12" s="17">
        <f t="shared" si="4"/>
        <v>0.14285714285714285</v>
      </c>
      <c r="AC12" s="17">
        <f t="shared" si="4"/>
        <v>221.57142857142856</v>
      </c>
      <c r="AD12" s="17">
        <f t="shared" si="4"/>
        <v>0.14285714285714285</v>
      </c>
      <c r="AE12" s="31">
        <f t="shared" si="4"/>
        <v>69.571428571428569</v>
      </c>
      <c r="AF12" s="31">
        <f t="shared" si="4"/>
        <v>291.14285714285711</v>
      </c>
    </row>
    <row r="13" spans="2:32" ht="23.1" customHeight="1" x14ac:dyDescent="0.25">
      <c r="B13" s="23" t="s">
        <v>40</v>
      </c>
      <c r="C13" s="49">
        <f>'Avg Week Kyenjojo-Hoima'!C13+'Avg Week Hoima-Kyenjojo'!C13</f>
        <v>7.5714285714285712</v>
      </c>
      <c r="D13" s="49">
        <f>'Avg Week Kyenjojo-Hoima'!D13+'Avg Week Hoima-Kyenjojo'!D13</f>
        <v>0.42857142857142855</v>
      </c>
      <c r="E13" s="49">
        <f>'Avg Week Kyenjojo-Hoima'!E13+'Avg Week Hoima-Kyenjojo'!E13</f>
        <v>1.4285714285714284</v>
      </c>
      <c r="F13" s="49">
        <f>'Avg Week Kyenjojo-Hoima'!F13+'Avg Week Hoima-Kyenjojo'!F13</f>
        <v>1.7142857142857144</v>
      </c>
      <c r="G13" s="49">
        <f>'Avg Week Kyenjojo-Hoima'!G13+'Avg Week Hoima-Kyenjojo'!G13</f>
        <v>0</v>
      </c>
      <c r="H13" s="49">
        <f>'Avg Week Kyenjojo-Hoima'!H13+'Avg Week Hoima-Kyenjojo'!H13</f>
        <v>0</v>
      </c>
      <c r="I13" s="49">
        <f>'Avg Week Kyenjojo-Hoima'!I13+'Avg Week Hoima-Kyenjojo'!I13</f>
        <v>1.8571428571428572</v>
      </c>
      <c r="J13" s="49">
        <f>'Avg Week Kyenjojo-Hoima'!J13+'Avg Week Hoima-Kyenjojo'!J13</f>
        <v>0.14285714285714285</v>
      </c>
      <c r="K13" s="49">
        <f>'Avg Week Kyenjojo-Hoima'!K13+'Avg Week Hoima-Kyenjojo'!K13</f>
        <v>0</v>
      </c>
      <c r="L13" s="49">
        <f>'Avg Week Kyenjojo-Hoima'!L13+'Avg Week Hoima-Kyenjojo'!L13</f>
        <v>0</v>
      </c>
      <c r="M13" s="49">
        <f>'Avg Week Kyenjojo-Hoima'!M13+'Avg Week Hoima-Kyenjojo'!M13</f>
        <v>52.285714285714278</v>
      </c>
      <c r="N13" s="49">
        <f>'Avg Week Kyenjojo-Hoima'!N13+'Avg Week Hoima-Kyenjojo'!N13</f>
        <v>0</v>
      </c>
      <c r="O13" s="15">
        <f t="shared" si="0"/>
        <v>13.142857142857142</v>
      </c>
      <c r="P13" s="15">
        <f t="shared" si="1"/>
        <v>65.428571428571416</v>
      </c>
      <c r="R13" s="1" t="s">
        <v>9</v>
      </c>
      <c r="S13" s="17">
        <f t="shared" ref="S13:AF13" si="5">SUM(C22:C25)</f>
        <v>52.571428571428569</v>
      </c>
      <c r="T13" s="17">
        <f t="shared" si="5"/>
        <v>4.4285714285714279</v>
      </c>
      <c r="U13" s="17">
        <f t="shared" si="5"/>
        <v>12.285714285714285</v>
      </c>
      <c r="V13" s="17">
        <f t="shared" si="5"/>
        <v>6.5714285714285712</v>
      </c>
      <c r="W13" s="17">
        <f t="shared" si="5"/>
        <v>0</v>
      </c>
      <c r="X13" s="17">
        <f t="shared" si="5"/>
        <v>0.14285714285714285</v>
      </c>
      <c r="Y13" s="17">
        <f t="shared" si="5"/>
        <v>6.5714285714285712</v>
      </c>
      <c r="Z13" s="17">
        <f t="shared" si="5"/>
        <v>4.7142857142857144</v>
      </c>
      <c r="AA13" s="17">
        <f t="shared" si="5"/>
        <v>1.8571428571428572</v>
      </c>
      <c r="AB13" s="17">
        <f t="shared" si="5"/>
        <v>0.5714285714285714</v>
      </c>
      <c r="AC13" s="17">
        <f t="shared" si="5"/>
        <v>270.71428571428572</v>
      </c>
      <c r="AD13" s="17">
        <f t="shared" si="5"/>
        <v>0.2857142857142857</v>
      </c>
      <c r="AE13" s="31">
        <f t="shared" si="5"/>
        <v>90</v>
      </c>
      <c r="AF13" s="31">
        <f t="shared" si="5"/>
        <v>360.71428571428567</v>
      </c>
    </row>
    <row r="14" spans="2:32" ht="23.1" customHeight="1" x14ac:dyDescent="0.25">
      <c r="B14" s="23" t="s">
        <v>41</v>
      </c>
      <c r="C14" s="49">
        <f>'Avg Week Kyenjojo-Hoima'!C14+'Avg Week Hoima-Kyenjojo'!C14</f>
        <v>6.2857142857142856</v>
      </c>
      <c r="D14" s="49">
        <f>'Avg Week Kyenjojo-Hoima'!D14+'Avg Week Hoima-Kyenjojo'!D14</f>
        <v>1.1428571428571428</v>
      </c>
      <c r="E14" s="49">
        <f>'Avg Week Kyenjojo-Hoima'!E14+'Avg Week Hoima-Kyenjojo'!E14</f>
        <v>1.2857142857142856</v>
      </c>
      <c r="F14" s="49">
        <f>'Avg Week Kyenjojo-Hoima'!F14+'Avg Week Hoima-Kyenjojo'!F14</f>
        <v>1.2857142857142856</v>
      </c>
      <c r="G14" s="49">
        <f>'Avg Week Kyenjojo-Hoima'!G14+'Avg Week Hoima-Kyenjojo'!G14</f>
        <v>0</v>
      </c>
      <c r="H14" s="49">
        <f>'Avg Week Kyenjojo-Hoima'!H14+'Avg Week Hoima-Kyenjojo'!H14</f>
        <v>0.14285714285714285</v>
      </c>
      <c r="I14" s="49">
        <f>'Avg Week Kyenjojo-Hoima'!I14+'Avg Week Hoima-Kyenjojo'!I14</f>
        <v>2.2857142857142856</v>
      </c>
      <c r="J14" s="49">
        <f>'Avg Week Kyenjojo-Hoima'!J14+'Avg Week Hoima-Kyenjojo'!J14</f>
        <v>0.5714285714285714</v>
      </c>
      <c r="K14" s="49">
        <f>'Avg Week Kyenjojo-Hoima'!K14+'Avg Week Hoima-Kyenjojo'!K14</f>
        <v>0</v>
      </c>
      <c r="L14" s="49">
        <f>'Avg Week Kyenjojo-Hoima'!L14+'Avg Week Hoima-Kyenjojo'!L14</f>
        <v>0.2857142857142857</v>
      </c>
      <c r="M14" s="49">
        <f>'Avg Week Kyenjojo-Hoima'!M14+'Avg Week Hoima-Kyenjojo'!M14</f>
        <v>53.142857142857139</v>
      </c>
      <c r="N14" s="49">
        <f>'Avg Week Kyenjojo-Hoima'!N14+'Avg Week Hoima-Kyenjojo'!N14</f>
        <v>0</v>
      </c>
      <c r="O14" s="15">
        <f t="shared" si="0"/>
        <v>13.285714285714285</v>
      </c>
      <c r="P14" s="15">
        <f t="shared" si="1"/>
        <v>66.428571428571416</v>
      </c>
      <c r="R14" s="1" t="s">
        <v>10</v>
      </c>
      <c r="S14" s="17">
        <f t="shared" ref="S14:AF14" si="6">SUM(C26:C29)</f>
        <v>45.714285714285715</v>
      </c>
      <c r="T14" s="17">
        <f t="shared" si="6"/>
        <v>4.4285714285714288</v>
      </c>
      <c r="U14" s="17">
        <f t="shared" si="6"/>
        <v>8.5714285714285712</v>
      </c>
      <c r="V14" s="17">
        <f t="shared" si="6"/>
        <v>4.4285714285714288</v>
      </c>
      <c r="W14" s="17">
        <f t="shared" si="6"/>
        <v>0</v>
      </c>
      <c r="X14" s="17">
        <f t="shared" si="6"/>
        <v>0.14285714285714285</v>
      </c>
      <c r="Y14" s="17">
        <f t="shared" si="6"/>
        <v>6.5714285714285721</v>
      </c>
      <c r="Z14" s="17">
        <f t="shared" si="6"/>
        <v>6.1428571428571432</v>
      </c>
      <c r="AA14" s="17">
        <f t="shared" si="6"/>
        <v>1.1428571428571428</v>
      </c>
      <c r="AB14" s="17">
        <f t="shared" si="6"/>
        <v>0.42857142857142855</v>
      </c>
      <c r="AC14" s="17">
        <f t="shared" si="6"/>
        <v>281.14285714285711</v>
      </c>
      <c r="AD14" s="17">
        <f t="shared" si="6"/>
        <v>0.5714285714285714</v>
      </c>
      <c r="AE14" s="31">
        <f t="shared" si="6"/>
        <v>78.142857142857139</v>
      </c>
      <c r="AF14" s="31">
        <f t="shared" si="6"/>
        <v>359.28571428571428</v>
      </c>
    </row>
    <row r="15" spans="2:32" ht="23.1" customHeight="1" x14ac:dyDescent="0.25">
      <c r="B15" s="23" t="s">
        <v>42</v>
      </c>
      <c r="C15" s="49">
        <f>'Avg Week Kyenjojo-Hoima'!C15+'Avg Week Hoima-Kyenjojo'!C15</f>
        <v>12</v>
      </c>
      <c r="D15" s="49">
        <f>'Avg Week Kyenjojo-Hoima'!D15+'Avg Week Hoima-Kyenjojo'!D15</f>
        <v>1.5714285714285714</v>
      </c>
      <c r="E15" s="49">
        <f>'Avg Week Kyenjojo-Hoima'!E15+'Avg Week Hoima-Kyenjojo'!E15</f>
        <v>2.8571428571428572</v>
      </c>
      <c r="F15" s="49">
        <f>'Avg Week Kyenjojo-Hoima'!F15+'Avg Week Hoima-Kyenjojo'!F15</f>
        <v>1</v>
      </c>
      <c r="G15" s="49">
        <f>'Avg Week Kyenjojo-Hoima'!G15+'Avg Week Hoima-Kyenjojo'!G15</f>
        <v>0.14285714285714285</v>
      </c>
      <c r="H15" s="49">
        <f>'Avg Week Kyenjojo-Hoima'!H15+'Avg Week Hoima-Kyenjojo'!H15</f>
        <v>0.2857142857142857</v>
      </c>
      <c r="I15" s="49">
        <f>'Avg Week Kyenjojo-Hoima'!I15+'Avg Week Hoima-Kyenjojo'!I15</f>
        <v>1.2857142857142856</v>
      </c>
      <c r="J15" s="49">
        <f>'Avg Week Kyenjojo-Hoima'!J15+'Avg Week Hoima-Kyenjojo'!J15</f>
        <v>0.71428571428571419</v>
      </c>
      <c r="K15" s="49">
        <f>'Avg Week Kyenjojo-Hoima'!K15+'Avg Week Hoima-Kyenjojo'!K15</f>
        <v>0.2857142857142857</v>
      </c>
      <c r="L15" s="49">
        <f>'Avg Week Kyenjojo-Hoima'!L15+'Avg Week Hoima-Kyenjojo'!L15</f>
        <v>0</v>
      </c>
      <c r="M15" s="49">
        <f>'Avg Week Kyenjojo-Hoima'!M15+'Avg Week Hoima-Kyenjojo'!M15</f>
        <v>57.142857142857139</v>
      </c>
      <c r="N15" s="49">
        <f>'Avg Week Kyenjojo-Hoima'!N15+'Avg Week Hoima-Kyenjojo'!N15</f>
        <v>0</v>
      </c>
      <c r="O15" s="15">
        <f t="shared" si="0"/>
        <v>20.142857142857139</v>
      </c>
      <c r="P15" s="15">
        <f t="shared" si="1"/>
        <v>77.285714285714278</v>
      </c>
      <c r="R15" s="1" t="s">
        <v>11</v>
      </c>
      <c r="S15" s="17">
        <f t="shared" ref="S15:AF15" si="7">SUM(C30:C33)</f>
        <v>45.142857142857146</v>
      </c>
      <c r="T15" s="17">
        <f t="shared" si="7"/>
        <v>6.4285714285714288</v>
      </c>
      <c r="U15" s="17">
        <f t="shared" si="7"/>
        <v>9</v>
      </c>
      <c r="V15" s="17">
        <f t="shared" si="7"/>
        <v>6</v>
      </c>
      <c r="W15" s="17">
        <f t="shared" si="7"/>
        <v>0.2857142857142857</v>
      </c>
      <c r="X15" s="17">
        <f t="shared" si="7"/>
        <v>0.14285714285714285</v>
      </c>
      <c r="Y15" s="17">
        <f t="shared" si="7"/>
        <v>5.8571428571428577</v>
      </c>
      <c r="Z15" s="17">
        <f t="shared" si="7"/>
        <v>3.1428571428571428</v>
      </c>
      <c r="AA15" s="17">
        <f t="shared" si="7"/>
        <v>0.71428571428571419</v>
      </c>
      <c r="AB15" s="17">
        <f t="shared" si="7"/>
        <v>0.5714285714285714</v>
      </c>
      <c r="AC15" s="17">
        <f t="shared" si="7"/>
        <v>285.71428571428572</v>
      </c>
      <c r="AD15" s="17">
        <f t="shared" si="7"/>
        <v>0.14285714285714285</v>
      </c>
      <c r="AE15" s="31">
        <f t="shared" si="7"/>
        <v>77.428571428571431</v>
      </c>
      <c r="AF15" s="31">
        <f t="shared" si="7"/>
        <v>363.14285714285711</v>
      </c>
    </row>
    <row r="16" spans="2:32" ht="23.1" customHeight="1" x14ac:dyDescent="0.25">
      <c r="B16" s="23" t="s">
        <v>43</v>
      </c>
      <c r="C16" s="49">
        <f>'Avg Week Kyenjojo-Hoima'!C16+'Avg Week Hoima-Kyenjojo'!C16</f>
        <v>15.714285714285714</v>
      </c>
      <c r="D16" s="49">
        <f>'Avg Week Kyenjojo-Hoima'!D16+'Avg Week Hoima-Kyenjojo'!D16</f>
        <v>0.5714285714285714</v>
      </c>
      <c r="E16" s="49">
        <f>'Avg Week Kyenjojo-Hoima'!E16+'Avg Week Hoima-Kyenjojo'!E16</f>
        <v>1.4285714285714286</v>
      </c>
      <c r="F16" s="49">
        <f>'Avg Week Kyenjojo-Hoima'!F16+'Avg Week Hoima-Kyenjojo'!F16</f>
        <v>1.7142857142857144</v>
      </c>
      <c r="G16" s="49">
        <f>'Avg Week Kyenjojo-Hoima'!G16+'Avg Week Hoima-Kyenjojo'!G16</f>
        <v>0</v>
      </c>
      <c r="H16" s="49">
        <f>'Avg Week Kyenjojo-Hoima'!H16+'Avg Week Hoima-Kyenjojo'!H16</f>
        <v>0</v>
      </c>
      <c r="I16" s="49">
        <f>'Avg Week Kyenjojo-Hoima'!I16+'Avg Week Hoima-Kyenjojo'!I16</f>
        <v>1.1428571428571428</v>
      </c>
      <c r="J16" s="49">
        <f>'Avg Week Kyenjojo-Hoima'!J16+'Avg Week Hoima-Kyenjojo'!J16</f>
        <v>1.7142857142857144</v>
      </c>
      <c r="K16" s="49">
        <f>'Avg Week Kyenjojo-Hoima'!K16+'Avg Week Hoima-Kyenjojo'!K16</f>
        <v>0.2857142857142857</v>
      </c>
      <c r="L16" s="49">
        <f>'Avg Week Kyenjojo-Hoima'!L16+'Avg Week Hoima-Kyenjojo'!L16</f>
        <v>0.14285714285714285</v>
      </c>
      <c r="M16" s="49">
        <f>'Avg Week Kyenjojo-Hoima'!M16+'Avg Week Hoima-Kyenjojo'!M16</f>
        <v>59.857142857142861</v>
      </c>
      <c r="N16" s="49">
        <f>'Avg Week Kyenjojo-Hoima'!N16+'Avg Week Hoima-Kyenjojo'!N16</f>
        <v>0</v>
      </c>
      <c r="O16" s="15">
        <f t="shared" si="0"/>
        <v>22.714285714285712</v>
      </c>
      <c r="P16" s="15">
        <f t="shared" si="1"/>
        <v>82.571428571428569</v>
      </c>
      <c r="R16" s="1" t="s">
        <v>12</v>
      </c>
      <c r="S16" s="17">
        <f t="shared" ref="S16:AF16" si="8">SUM(C34:C37)</f>
        <v>44.428571428571431</v>
      </c>
      <c r="T16" s="17">
        <f t="shared" si="8"/>
        <v>5.7142857142857144</v>
      </c>
      <c r="U16" s="17">
        <f t="shared" si="8"/>
        <v>8.7142857142857135</v>
      </c>
      <c r="V16" s="17">
        <f t="shared" si="8"/>
        <v>5.5714285714285712</v>
      </c>
      <c r="W16" s="17">
        <f t="shared" si="8"/>
        <v>0.14285714285714285</v>
      </c>
      <c r="X16" s="17">
        <f t="shared" si="8"/>
        <v>0</v>
      </c>
      <c r="Y16" s="17">
        <f t="shared" si="8"/>
        <v>5.4285714285714279</v>
      </c>
      <c r="Z16" s="17">
        <f t="shared" si="8"/>
        <v>6.2857142857142856</v>
      </c>
      <c r="AA16" s="17">
        <f t="shared" si="8"/>
        <v>2.7142857142857144</v>
      </c>
      <c r="AB16" s="17">
        <f t="shared" si="8"/>
        <v>0.71428571428571419</v>
      </c>
      <c r="AC16" s="17">
        <f t="shared" si="8"/>
        <v>276.28571428571428</v>
      </c>
      <c r="AD16" s="17">
        <f t="shared" si="8"/>
        <v>0</v>
      </c>
      <c r="AE16" s="31">
        <f t="shared" si="8"/>
        <v>79.714285714285708</v>
      </c>
      <c r="AF16" s="31">
        <f t="shared" si="8"/>
        <v>356</v>
      </c>
    </row>
    <row r="17" spans="2:32" ht="23.1" customHeight="1" x14ac:dyDescent="0.25">
      <c r="B17" s="23" t="s">
        <v>44</v>
      </c>
      <c r="C17" s="49">
        <f>'Avg Week Kyenjojo-Hoima'!C17+'Avg Week Hoima-Kyenjojo'!C17</f>
        <v>10.571428571428571</v>
      </c>
      <c r="D17" s="49">
        <f>'Avg Week Kyenjojo-Hoima'!D17+'Avg Week Hoima-Kyenjojo'!D17</f>
        <v>0.8571428571428571</v>
      </c>
      <c r="E17" s="49">
        <f>'Avg Week Kyenjojo-Hoima'!E17+'Avg Week Hoima-Kyenjojo'!E17</f>
        <v>1.7142857142857142</v>
      </c>
      <c r="F17" s="49">
        <f>'Avg Week Kyenjojo-Hoima'!F17+'Avg Week Hoima-Kyenjojo'!F17</f>
        <v>0.71428571428571419</v>
      </c>
      <c r="G17" s="49">
        <f>'Avg Week Kyenjojo-Hoima'!G17+'Avg Week Hoima-Kyenjojo'!G17</f>
        <v>0</v>
      </c>
      <c r="H17" s="49">
        <f>'Avg Week Kyenjojo-Hoima'!H17+'Avg Week Hoima-Kyenjojo'!H17</f>
        <v>0</v>
      </c>
      <c r="I17" s="49">
        <f>'Avg Week Kyenjojo-Hoima'!I17+'Avg Week Hoima-Kyenjojo'!I17</f>
        <v>1.7142857142857144</v>
      </c>
      <c r="J17" s="49">
        <f>'Avg Week Kyenjojo-Hoima'!J17+'Avg Week Hoima-Kyenjojo'!J17</f>
        <v>1.1428571428571428</v>
      </c>
      <c r="K17" s="49">
        <f>'Avg Week Kyenjojo-Hoima'!K17+'Avg Week Hoima-Kyenjojo'!K17</f>
        <v>0</v>
      </c>
      <c r="L17" s="49">
        <f>'Avg Week Kyenjojo-Hoima'!L17+'Avg Week Hoima-Kyenjojo'!L17</f>
        <v>0.14285714285714285</v>
      </c>
      <c r="M17" s="49">
        <f>'Avg Week Kyenjojo-Hoima'!M17+'Avg Week Hoima-Kyenjojo'!M17</f>
        <v>52.142857142857139</v>
      </c>
      <c r="N17" s="49">
        <f>'Avg Week Kyenjojo-Hoima'!N17+'Avg Week Hoima-Kyenjojo'!N17</f>
        <v>0</v>
      </c>
      <c r="O17" s="15">
        <f t="shared" si="0"/>
        <v>16.857142857142854</v>
      </c>
      <c r="P17" s="15">
        <f t="shared" si="1"/>
        <v>69</v>
      </c>
      <c r="R17" s="1" t="s">
        <v>13</v>
      </c>
      <c r="S17" s="17">
        <f t="shared" ref="S17:AF17" si="9">SUM(C38:C41)</f>
        <v>40.714285714285715</v>
      </c>
      <c r="T17" s="17">
        <f t="shared" si="9"/>
        <v>3.8571428571428568</v>
      </c>
      <c r="U17" s="17">
        <f t="shared" si="9"/>
        <v>5.7142857142857135</v>
      </c>
      <c r="V17" s="17">
        <f t="shared" si="9"/>
        <v>7.5714285714285712</v>
      </c>
      <c r="W17" s="17">
        <f t="shared" si="9"/>
        <v>0</v>
      </c>
      <c r="X17" s="17">
        <f t="shared" si="9"/>
        <v>0</v>
      </c>
      <c r="Y17" s="17">
        <f t="shared" si="9"/>
        <v>9.4285714285714288</v>
      </c>
      <c r="Z17" s="17">
        <f t="shared" si="9"/>
        <v>5</v>
      </c>
      <c r="AA17" s="17">
        <f t="shared" si="9"/>
        <v>2</v>
      </c>
      <c r="AB17" s="17">
        <f t="shared" si="9"/>
        <v>0.42857142857142855</v>
      </c>
      <c r="AC17" s="17">
        <f t="shared" si="9"/>
        <v>264.57142857142856</v>
      </c>
      <c r="AD17" s="17">
        <f t="shared" si="9"/>
        <v>0</v>
      </c>
      <c r="AE17" s="31">
        <f t="shared" si="9"/>
        <v>74.714285714285694</v>
      </c>
      <c r="AF17" s="31">
        <f t="shared" si="9"/>
        <v>339.28571428571422</v>
      </c>
    </row>
    <row r="18" spans="2:32" ht="23.1" customHeight="1" x14ac:dyDescent="0.25">
      <c r="B18" s="23" t="s">
        <v>45</v>
      </c>
      <c r="C18" s="49">
        <f>'Avg Week Kyenjojo-Hoima'!C18+'Avg Week Hoima-Kyenjojo'!C18</f>
        <v>10.428571428571429</v>
      </c>
      <c r="D18" s="49">
        <f>'Avg Week Kyenjojo-Hoima'!D18+'Avg Week Hoima-Kyenjojo'!D18</f>
        <v>1.5714285714285714</v>
      </c>
      <c r="E18" s="49">
        <f>'Avg Week Kyenjojo-Hoima'!E18+'Avg Week Hoima-Kyenjojo'!E18</f>
        <v>1.4285714285714284</v>
      </c>
      <c r="F18" s="49">
        <f>'Avg Week Kyenjojo-Hoima'!F18+'Avg Week Hoima-Kyenjojo'!F18</f>
        <v>1.5714285714285714</v>
      </c>
      <c r="G18" s="49">
        <f>'Avg Week Kyenjojo-Hoima'!G18+'Avg Week Hoima-Kyenjojo'!G18</f>
        <v>0</v>
      </c>
      <c r="H18" s="49">
        <f>'Avg Week Kyenjojo-Hoima'!H18+'Avg Week Hoima-Kyenjojo'!H18</f>
        <v>0</v>
      </c>
      <c r="I18" s="49">
        <f>'Avg Week Kyenjojo-Hoima'!I18+'Avg Week Hoima-Kyenjojo'!I18</f>
        <v>1.5714285714285714</v>
      </c>
      <c r="J18" s="49">
        <f>'Avg Week Kyenjojo-Hoima'!J18+'Avg Week Hoima-Kyenjojo'!J18</f>
        <v>1.4285714285714286</v>
      </c>
      <c r="K18" s="49">
        <f>'Avg Week Kyenjojo-Hoima'!K18+'Avg Week Hoima-Kyenjojo'!K18</f>
        <v>0</v>
      </c>
      <c r="L18" s="49">
        <f>'Avg Week Kyenjojo-Hoima'!L18+'Avg Week Hoima-Kyenjojo'!L18</f>
        <v>0.14285714285714285</v>
      </c>
      <c r="M18" s="49">
        <f>'Avg Week Kyenjojo-Hoima'!M18+'Avg Week Hoima-Kyenjojo'!M18</f>
        <v>50.714285714285708</v>
      </c>
      <c r="N18" s="49">
        <f>'Avg Week Kyenjojo-Hoima'!N18+'Avg Week Hoima-Kyenjojo'!N18</f>
        <v>0</v>
      </c>
      <c r="O18" s="15">
        <f t="shared" si="0"/>
        <v>18.142857142857142</v>
      </c>
      <c r="P18" s="15">
        <f t="shared" si="1"/>
        <v>68.857142857142847</v>
      </c>
      <c r="R18" s="1" t="s">
        <v>14</v>
      </c>
      <c r="S18" s="17">
        <f t="shared" ref="S18:AF18" si="10">SUM(C42:C45)</f>
        <v>42.857142857142854</v>
      </c>
      <c r="T18" s="17">
        <f t="shared" si="10"/>
        <v>3.7142857142857144</v>
      </c>
      <c r="U18" s="17">
        <f t="shared" si="10"/>
        <v>8.4285714285714288</v>
      </c>
      <c r="V18" s="17">
        <f t="shared" si="10"/>
        <v>6.8571428571428568</v>
      </c>
      <c r="W18" s="17">
        <f t="shared" si="10"/>
        <v>0.42857142857142855</v>
      </c>
      <c r="X18" s="17">
        <f t="shared" si="10"/>
        <v>0.2857142857142857</v>
      </c>
      <c r="Y18" s="17">
        <f t="shared" si="10"/>
        <v>7.4285714285714288</v>
      </c>
      <c r="Z18" s="17">
        <f t="shared" si="10"/>
        <v>4.4285714285714288</v>
      </c>
      <c r="AA18" s="17">
        <f t="shared" si="10"/>
        <v>1.1428571428571428</v>
      </c>
      <c r="AB18" s="17">
        <f t="shared" si="10"/>
        <v>0.71428571428571419</v>
      </c>
      <c r="AC18" s="17">
        <f t="shared" si="10"/>
        <v>263</v>
      </c>
      <c r="AD18" s="17">
        <f t="shared" si="10"/>
        <v>0</v>
      </c>
      <c r="AE18" s="31">
        <f t="shared" si="10"/>
        <v>76.285714285714278</v>
      </c>
      <c r="AF18" s="31">
        <f t="shared" si="10"/>
        <v>339.28571428571428</v>
      </c>
    </row>
    <row r="19" spans="2:32" ht="23.1" customHeight="1" x14ac:dyDescent="0.25">
      <c r="B19" s="23" t="s">
        <v>46</v>
      </c>
      <c r="C19" s="49">
        <f>'Avg Week Kyenjojo-Hoima'!C19+'Avg Week Hoima-Kyenjojo'!C19</f>
        <v>10.285714285714285</v>
      </c>
      <c r="D19" s="49">
        <f>'Avg Week Kyenjojo-Hoima'!D19+'Avg Week Hoima-Kyenjojo'!D19</f>
        <v>1.7142857142857144</v>
      </c>
      <c r="E19" s="49">
        <f>'Avg Week Kyenjojo-Hoima'!E19+'Avg Week Hoima-Kyenjojo'!E19</f>
        <v>3.2857142857142856</v>
      </c>
      <c r="F19" s="49">
        <f>'Avg Week Kyenjojo-Hoima'!F19+'Avg Week Hoima-Kyenjojo'!F19</f>
        <v>0.85714285714285721</v>
      </c>
      <c r="G19" s="49">
        <f>'Avg Week Kyenjojo-Hoima'!G19+'Avg Week Hoima-Kyenjojo'!G19</f>
        <v>0</v>
      </c>
      <c r="H19" s="49">
        <f>'Avg Week Kyenjojo-Hoima'!H19+'Avg Week Hoima-Kyenjojo'!H19</f>
        <v>0</v>
      </c>
      <c r="I19" s="49">
        <f>'Avg Week Kyenjojo-Hoima'!I19+'Avg Week Hoima-Kyenjojo'!I19</f>
        <v>1.7142857142857144</v>
      </c>
      <c r="J19" s="49">
        <f>'Avg Week Kyenjojo-Hoima'!J19+'Avg Week Hoima-Kyenjojo'!J19</f>
        <v>1.2857142857142856</v>
      </c>
      <c r="K19" s="49">
        <f>'Avg Week Kyenjojo-Hoima'!K19+'Avg Week Hoima-Kyenjojo'!K19</f>
        <v>0.2857142857142857</v>
      </c>
      <c r="L19" s="49">
        <f>'Avg Week Kyenjojo-Hoima'!L19+'Avg Week Hoima-Kyenjojo'!L19</f>
        <v>0</v>
      </c>
      <c r="M19" s="49">
        <f>'Avg Week Kyenjojo-Hoima'!M19+'Avg Week Hoima-Kyenjojo'!M19</f>
        <v>53.142857142857146</v>
      </c>
      <c r="N19" s="49">
        <f>'Avg Week Kyenjojo-Hoima'!N19+'Avg Week Hoima-Kyenjojo'!N19</f>
        <v>0</v>
      </c>
      <c r="O19" s="15">
        <f t="shared" si="0"/>
        <v>19.428571428571427</v>
      </c>
      <c r="P19" s="15">
        <f t="shared" si="1"/>
        <v>72.571428571428569</v>
      </c>
      <c r="R19" s="1" t="s">
        <v>15</v>
      </c>
      <c r="S19" s="17">
        <f t="shared" ref="S19:AF19" si="11">SUM(C46:C49)</f>
        <v>52.571428571428569</v>
      </c>
      <c r="T19" s="17">
        <f t="shared" si="11"/>
        <v>4.5714285714285712</v>
      </c>
      <c r="U19" s="17">
        <f t="shared" si="11"/>
        <v>8</v>
      </c>
      <c r="V19" s="17">
        <f t="shared" si="11"/>
        <v>8</v>
      </c>
      <c r="W19" s="17">
        <f t="shared" si="11"/>
        <v>1.1428571428571428</v>
      </c>
      <c r="X19" s="17">
        <f t="shared" si="11"/>
        <v>0.14285714285714285</v>
      </c>
      <c r="Y19" s="17">
        <f t="shared" si="11"/>
        <v>6.2857142857142865</v>
      </c>
      <c r="Z19" s="17">
        <f t="shared" si="11"/>
        <v>4.8571428571428568</v>
      </c>
      <c r="AA19" s="17">
        <f t="shared" si="11"/>
        <v>1.714285714285714</v>
      </c>
      <c r="AB19" s="17">
        <f t="shared" si="11"/>
        <v>1.2857142857142856</v>
      </c>
      <c r="AC19" s="17">
        <f t="shared" si="11"/>
        <v>284.85714285714283</v>
      </c>
      <c r="AD19" s="17">
        <f t="shared" si="11"/>
        <v>0</v>
      </c>
      <c r="AE19" s="31">
        <f t="shared" si="11"/>
        <v>88.571428571428569</v>
      </c>
      <c r="AF19" s="31">
        <f t="shared" si="11"/>
        <v>373.42857142857144</v>
      </c>
    </row>
    <row r="20" spans="2:32" ht="23.1" customHeight="1" x14ac:dyDescent="0.25">
      <c r="B20" s="23" t="s">
        <v>47</v>
      </c>
      <c r="C20" s="49">
        <f>'Avg Week Kyenjojo-Hoima'!C20+'Avg Week Hoima-Kyenjojo'!C20</f>
        <v>9.2857142857142847</v>
      </c>
      <c r="D20" s="49">
        <f>'Avg Week Kyenjojo-Hoima'!D20+'Avg Week Hoima-Kyenjojo'!D20</f>
        <v>0.42857142857142855</v>
      </c>
      <c r="E20" s="49">
        <f>'Avg Week Kyenjojo-Hoima'!E20+'Avg Week Hoima-Kyenjojo'!E20</f>
        <v>1.5714285714285714</v>
      </c>
      <c r="F20" s="49">
        <f>'Avg Week Kyenjojo-Hoima'!F20+'Avg Week Hoima-Kyenjojo'!F20</f>
        <v>1.4285714285714286</v>
      </c>
      <c r="G20" s="49">
        <f>'Avg Week Kyenjojo-Hoima'!G20+'Avg Week Hoima-Kyenjojo'!G20</f>
        <v>0</v>
      </c>
      <c r="H20" s="49">
        <f>'Avg Week Kyenjojo-Hoima'!H20+'Avg Week Hoima-Kyenjojo'!H20</f>
        <v>0</v>
      </c>
      <c r="I20" s="49">
        <f>'Avg Week Kyenjojo-Hoima'!I20+'Avg Week Hoima-Kyenjojo'!I20</f>
        <v>1.5714285714285714</v>
      </c>
      <c r="J20" s="49">
        <f>'Avg Week Kyenjojo-Hoima'!J20+'Avg Week Hoima-Kyenjojo'!J20</f>
        <v>0.42857142857142855</v>
      </c>
      <c r="K20" s="49">
        <f>'Avg Week Kyenjojo-Hoima'!K20+'Avg Week Hoima-Kyenjojo'!K20</f>
        <v>0.14285714285714285</v>
      </c>
      <c r="L20" s="49">
        <f>'Avg Week Kyenjojo-Hoima'!L20+'Avg Week Hoima-Kyenjojo'!L20</f>
        <v>0</v>
      </c>
      <c r="M20" s="49">
        <f>'Avg Week Kyenjojo-Hoima'!M20+'Avg Week Hoima-Kyenjojo'!M20</f>
        <v>60.428571428571431</v>
      </c>
      <c r="N20" s="49">
        <f>'Avg Week Kyenjojo-Hoima'!N20+'Avg Week Hoima-Kyenjojo'!N20</f>
        <v>0.14285714285714285</v>
      </c>
      <c r="O20" s="15">
        <f t="shared" si="0"/>
        <v>14.999999999999998</v>
      </c>
      <c r="P20" s="15">
        <f t="shared" si="1"/>
        <v>75.428571428571431</v>
      </c>
      <c r="R20" s="1" t="s">
        <v>16</v>
      </c>
      <c r="S20" s="17">
        <f t="shared" ref="S20:AF20" si="12">SUM(C50:C53)</f>
        <v>49.857142857142861</v>
      </c>
      <c r="T20" s="17">
        <f t="shared" si="12"/>
        <v>6</v>
      </c>
      <c r="U20" s="17">
        <f t="shared" si="12"/>
        <v>10.857142857142858</v>
      </c>
      <c r="V20" s="17">
        <f t="shared" si="12"/>
        <v>4.1428571428571423</v>
      </c>
      <c r="W20" s="17">
        <f t="shared" si="12"/>
        <v>0.71428571428571419</v>
      </c>
      <c r="X20" s="17">
        <f t="shared" si="12"/>
        <v>1</v>
      </c>
      <c r="Y20" s="17">
        <f t="shared" si="12"/>
        <v>7.8571428571428568</v>
      </c>
      <c r="Z20" s="17">
        <f t="shared" si="12"/>
        <v>6.5714285714285721</v>
      </c>
      <c r="AA20" s="17">
        <f t="shared" si="12"/>
        <v>1.9999999999999998</v>
      </c>
      <c r="AB20" s="17">
        <f t="shared" si="12"/>
        <v>0.8571428571428571</v>
      </c>
      <c r="AC20" s="17">
        <f t="shared" si="12"/>
        <v>289.85714285714289</v>
      </c>
      <c r="AD20" s="17">
        <f t="shared" si="12"/>
        <v>0</v>
      </c>
      <c r="AE20" s="31">
        <f t="shared" si="12"/>
        <v>89.857142857142861</v>
      </c>
      <c r="AF20" s="31">
        <f t="shared" si="12"/>
        <v>379.71428571428567</v>
      </c>
    </row>
    <row r="21" spans="2:32" ht="23.1" customHeight="1" x14ac:dyDescent="0.25">
      <c r="B21" s="23" t="s">
        <v>48</v>
      </c>
      <c r="C21" s="49">
        <f>'Avg Week Kyenjojo-Hoima'!C21+'Avg Week Hoima-Kyenjojo'!C21</f>
        <v>10.142857142857142</v>
      </c>
      <c r="D21" s="49">
        <f>'Avg Week Kyenjojo-Hoima'!D21+'Avg Week Hoima-Kyenjojo'!D21</f>
        <v>1</v>
      </c>
      <c r="E21" s="49">
        <f>'Avg Week Kyenjojo-Hoima'!E21+'Avg Week Hoima-Kyenjojo'!E21</f>
        <v>1.8571428571428572</v>
      </c>
      <c r="F21" s="49">
        <f>'Avg Week Kyenjojo-Hoima'!F21+'Avg Week Hoima-Kyenjojo'!F21</f>
        <v>1.4285714285714284</v>
      </c>
      <c r="G21" s="49">
        <f>'Avg Week Kyenjojo-Hoima'!G21+'Avg Week Hoima-Kyenjojo'!G21</f>
        <v>0</v>
      </c>
      <c r="H21" s="49">
        <f>'Avg Week Kyenjojo-Hoima'!H21+'Avg Week Hoima-Kyenjojo'!H21</f>
        <v>0</v>
      </c>
      <c r="I21" s="49">
        <f>'Avg Week Kyenjojo-Hoima'!I21+'Avg Week Hoima-Kyenjojo'!I21</f>
        <v>0.8571428571428571</v>
      </c>
      <c r="J21" s="49">
        <f>'Avg Week Kyenjojo-Hoima'!J21+'Avg Week Hoima-Kyenjojo'!J21</f>
        <v>1.4285714285714286</v>
      </c>
      <c r="K21" s="49">
        <f>'Avg Week Kyenjojo-Hoima'!K21+'Avg Week Hoima-Kyenjojo'!K21</f>
        <v>0.2857142857142857</v>
      </c>
      <c r="L21" s="49">
        <f>'Avg Week Kyenjojo-Hoima'!L21+'Avg Week Hoima-Kyenjojo'!L21</f>
        <v>0</v>
      </c>
      <c r="M21" s="49">
        <f>'Avg Week Kyenjojo-Hoima'!M21+'Avg Week Hoima-Kyenjojo'!M21</f>
        <v>57.285714285714278</v>
      </c>
      <c r="N21" s="49">
        <f>'Avg Week Kyenjojo-Hoima'!N21+'Avg Week Hoima-Kyenjojo'!N21</f>
        <v>0</v>
      </c>
      <c r="O21" s="15">
        <f t="shared" si="0"/>
        <v>17</v>
      </c>
      <c r="P21" s="15">
        <f t="shared" si="1"/>
        <v>74.285714285714278</v>
      </c>
      <c r="R21" s="36" t="s">
        <v>20</v>
      </c>
      <c r="S21" s="34">
        <f t="shared" ref="S21:AF21" si="13">SUM(C54:C57)</f>
        <v>48.285714285714292</v>
      </c>
      <c r="T21" s="17">
        <f t="shared" si="13"/>
        <v>4.8571428571428568</v>
      </c>
      <c r="U21" s="17">
        <f t="shared" si="13"/>
        <v>8.2857142857142865</v>
      </c>
      <c r="V21" s="17">
        <f t="shared" si="13"/>
        <v>6.1428571428571423</v>
      </c>
      <c r="W21" s="17">
        <f t="shared" si="13"/>
        <v>0</v>
      </c>
      <c r="X21" s="17">
        <f t="shared" si="13"/>
        <v>0.2857142857142857</v>
      </c>
      <c r="Y21" s="17">
        <f t="shared" si="13"/>
        <v>5.7142857142857144</v>
      </c>
      <c r="Z21" s="17">
        <f t="shared" si="13"/>
        <v>4.2857142857142847</v>
      </c>
      <c r="AA21" s="17">
        <f t="shared" si="13"/>
        <v>2.5714285714285712</v>
      </c>
      <c r="AB21" s="17">
        <f t="shared" si="13"/>
        <v>0.42857142857142855</v>
      </c>
      <c r="AC21" s="17">
        <f t="shared" si="13"/>
        <v>299</v>
      </c>
      <c r="AD21" s="17">
        <f t="shared" si="13"/>
        <v>0</v>
      </c>
      <c r="AE21" s="31">
        <f t="shared" si="13"/>
        <v>80.857142857142847</v>
      </c>
      <c r="AF21" s="31">
        <f t="shared" si="13"/>
        <v>379.85714285714289</v>
      </c>
    </row>
    <row r="22" spans="2:32" ht="23.1" customHeight="1" x14ac:dyDescent="0.25">
      <c r="B22" s="23" t="s">
        <v>49</v>
      </c>
      <c r="C22" s="49">
        <f>'Avg Week Kyenjojo-Hoima'!C22+'Avg Week Hoima-Kyenjojo'!C22</f>
        <v>12</v>
      </c>
      <c r="D22" s="49">
        <f>'Avg Week Kyenjojo-Hoima'!D22+'Avg Week Hoima-Kyenjojo'!D22</f>
        <v>1.2857142857142856</v>
      </c>
      <c r="E22" s="49">
        <f>'Avg Week Kyenjojo-Hoima'!E22+'Avg Week Hoima-Kyenjojo'!E22</f>
        <v>3.4285714285714288</v>
      </c>
      <c r="F22" s="49">
        <f>'Avg Week Kyenjojo-Hoima'!F22+'Avg Week Hoima-Kyenjojo'!F22</f>
        <v>1.8571428571428572</v>
      </c>
      <c r="G22" s="49">
        <f>'Avg Week Kyenjojo-Hoima'!G22+'Avg Week Hoima-Kyenjojo'!G22</f>
        <v>0</v>
      </c>
      <c r="H22" s="49">
        <f>'Avg Week Kyenjojo-Hoima'!H22+'Avg Week Hoima-Kyenjojo'!H22</f>
        <v>0.14285714285714285</v>
      </c>
      <c r="I22" s="49">
        <f>'Avg Week Kyenjojo-Hoima'!I22+'Avg Week Hoima-Kyenjojo'!I22</f>
        <v>0.42857142857142855</v>
      </c>
      <c r="J22" s="49">
        <f>'Avg Week Kyenjojo-Hoima'!J22+'Avg Week Hoima-Kyenjojo'!J22</f>
        <v>1</v>
      </c>
      <c r="K22" s="49">
        <f>'Avg Week Kyenjojo-Hoima'!K22+'Avg Week Hoima-Kyenjojo'!K22</f>
        <v>1.5714285714285716</v>
      </c>
      <c r="L22" s="49">
        <f>'Avg Week Kyenjojo-Hoima'!L22+'Avg Week Hoima-Kyenjojo'!L22</f>
        <v>0.14285714285714285</v>
      </c>
      <c r="M22" s="49">
        <f>'Avg Week Kyenjojo-Hoima'!M22+'Avg Week Hoima-Kyenjojo'!M22</f>
        <v>63.714285714285722</v>
      </c>
      <c r="N22" s="49">
        <f>'Avg Week Kyenjojo-Hoima'!N22+'Avg Week Hoima-Kyenjojo'!N22</f>
        <v>0</v>
      </c>
      <c r="O22" s="15">
        <f t="shared" si="0"/>
        <v>21.857142857142858</v>
      </c>
      <c r="P22" s="15">
        <f t="shared" si="1"/>
        <v>85.571428571428584</v>
      </c>
      <c r="R22" s="1" t="s">
        <v>146</v>
      </c>
      <c r="S22" s="34">
        <f>SUM(C58:C61)</f>
        <v>54</v>
      </c>
      <c r="T22" s="34">
        <f t="shared" ref="T22:AF22" si="14">SUM(D58:D61)</f>
        <v>6.5</v>
      </c>
      <c r="U22" s="34">
        <f t="shared" si="14"/>
        <v>6</v>
      </c>
      <c r="V22" s="34">
        <f t="shared" si="14"/>
        <v>11</v>
      </c>
      <c r="W22" s="34">
        <f t="shared" si="14"/>
        <v>0</v>
      </c>
      <c r="X22" s="34">
        <f t="shared" si="14"/>
        <v>1</v>
      </c>
      <c r="Y22" s="34">
        <f t="shared" si="14"/>
        <v>10</v>
      </c>
      <c r="Z22" s="34">
        <f t="shared" si="14"/>
        <v>5</v>
      </c>
      <c r="AA22" s="34">
        <f t="shared" si="14"/>
        <v>7</v>
      </c>
      <c r="AB22" s="34">
        <f t="shared" si="14"/>
        <v>0.5</v>
      </c>
      <c r="AC22" s="34">
        <f t="shared" si="14"/>
        <v>259</v>
      </c>
      <c r="AD22" s="34">
        <f t="shared" si="14"/>
        <v>0</v>
      </c>
      <c r="AE22" s="31">
        <f t="shared" si="14"/>
        <v>101</v>
      </c>
      <c r="AF22" s="31">
        <f t="shared" si="14"/>
        <v>360</v>
      </c>
    </row>
    <row r="23" spans="2:32" ht="23.1" customHeight="1" x14ac:dyDescent="0.25">
      <c r="B23" s="23" t="s">
        <v>50</v>
      </c>
      <c r="C23" s="49">
        <f>'Avg Week Kyenjojo-Hoima'!C23+'Avg Week Hoima-Kyenjojo'!C23</f>
        <v>13.571428571428571</v>
      </c>
      <c r="D23" s="49">
        <f>'Avg Week Kyenjojo-Hoima'!D23+'Avg Week Hoima-Kyenjojo'!D23</f>
        <v>1</v>
      </c>
      <c r="E23" s="49">
        <f>'Avg Week Kyenjojo-Hoima'!E23+'Avg Week Hoima-Kyenjojo'!E23</f>
        <v>3.7142857142857144</v>
      </c>
      <c r="F23" s="49">
        <f>'Avg Week Kyenjojo-Hoima'!F23+'Avg Week Hoima-Kyenjojo'!F23</f>
        <v>1.8571428571428572</v>
      </c>
      <c r="G23" s="49">
        <f>'Avg Week Kyenjojo-Hoima'!G23+'Avg Week Hoima-Kyenjojo'!G23</f>
        <v>0</v>
      </c>
      <c r="H23" s="49">
        <f>'Avg Week Kyenjojo-Hoima'!H23+'Avg Week Hoima-Kyenjojo'!H23</f>
        <v>0</v>
      </c>
      <c r="I23" s="49">
        <f>'Avg Week Kyenjojo-Hoima'!I23+'Avg Week Hoima-Kyenjojo'!I23</f>
        <v>2.1428571428571428</v>
      </c>
      <c r="J23" s="49">
        <f>'Avg Week Kyenjojo-Hoima'!J23+'Avg Week Hoima-Kyenjojo'!J23</f>
        <v>0.71428571428571419</v>
      </c>
      <c r="K23" s="49">
        <f>'Avg Week Kyenjojo-Hoima'!K23+'Avg Week Hoima-Kyenjojo'!K23</f>
        <v>0.14285714285714285</v>
      </c>
      <c r="L23" s="49">
        <f>'Avg Week Kyenjojo-Hoima'!L23+'Avg Week Hoima-Kyenjojo'!L23</f>
        <v>0</v>
      </c>
      <c r="M23" s="49">
        <f>'Avg Week Kyenjojo-Hoima'!M23+'Avg Week Hoima-Kyenjojo'!M23</f>
        <v>66.857142857142861</v>
      </c>
      <c r="N23" s="49">
        <f>'Avg Week Kyenjojo-Hoima'!N23+'Avg Week Hoima-Kyenjojo'!N23</f>
        <v>0</v>
      </c>
      <c r="O23" s="15">
        <f t="shared" si="0"/>
        <v>23.142857142857142</v>
      </c>
      <c r="P23" s="15">
        <f t="shared" si="1"/>
        <v>90</v>
      </c>
      <c r="R23" s="1" t="s">
        <v>147</v>
      </c>
      <c r="S23" s="34">
        <f>SUM(C62:C65)</f>
        <v>28.5</v>
      </c>
      <c r="T23" s="34">
        <f t="shared" ref="T23:AF23" si="15">SUM(D62:D65)</f>
        <v>7.5</v>
      </c>
      <c r="U23" s="34">
        <f t="shared" si="15"/>
        <v>9</v>
      </c>
      <c r="V23" s="34">
        <f t="shared" si="15"/>
        <v>5</v>
      </c>
      <c r="W23" s="34">
        <f t="shared" si="15"/>
        <v>1</v>
      </c>
      <c r="X23" s="34">
        <f t="shared" si="15"/>
        <v>0</v>
      </c>
      <c r="Y23" s="34">
        <f t="shared" si="15"/>
        <v>6</v>
      </c>
      <c r="Z23" s="34">
        <f t="shared" si="15"/>
        <v>5.5</v>
      </c>
      <c r="AA23" s="34">
        <f t="shared" si="15"/>
        <v>2</v>
      </c>
      <c r="AB23" s="34">
        <f t="shared" si="15"/>
        <v>0.5</v>
      </c>
      <c r="AC23" s="34">
        <f t="shared" si="15"/>
        <v>144</v>
      </c>
      <c r="AD23" s="34">
        <f t="shared" si="15"/>
        <v>0</v>
      </c>
      <c r="AE23" s="31">
        <f t="shared" si="15"/>
        <v>65</v>
      </c>
      <c r="AF23" s="31">
        <f t="shared" si="15"/>
        <v>209</v>
      </c>
    </row>
    <row r="24" spans="2:32" ht="23.1" customHeight="1" x14ac:dyDescent="0.25">
      <c r="B24" s="23" t="s">
        <v>51</v>
      </c>
      <c r="C24" s="49">
        <f>'Avg Week Kyenjojo-Hoima'!C24+'Avg Week Hoima-Kyenjojo'!C24</f>
        <v>14.142857142857142</v>
      </c>
      <c r="D24" s="49">
        <f>'Avg Week Kyenjojo-Hoima'!D24+'Avg Week Hoima-Kyenjojo'!D24</f>
        <v>1.4285714285714284</v>
      </c>
      <c r="E24" s="49">
        <f>'Avg Week Kyenjojo-Hoima'!E24+'Avg Week Hoima-Kyenjojo'!E24</f>
        <v>2</v>
      </c>
      <c r="F24" s="49">
        <f>'Avg Week Kyenjojo-Hoima'!F24+'Avg Week Hoima-Kyenjojo'!F24</f>
        <v>1</v>
      </c>
      <c r="G24" s="49">
        <f>'Avg Week Kyenjojo-Hoima'!G24+'Avg Week Hoima-Kyenjojo'!G24</f>
        <v>0</v>
      </c>
      <c r="H24" s="49">
        <f>'Avg Week Kyenjojo-Hoima'!H24+'Avg Week Hoima-Kyenjojo'!H24</f>
        <v>0</v>
      </c>
      <c r="I24" s="49">
        <f>'Avg Week Kyenjojo-Hoima'!I24+'Avg Week Hoima-Kyenjojo'!I24</f>
        <v>1.8571428571428572</v>
      </c>
      <c r="J24" s="49">
        <f>'Avg Week Kyenjojo-Hoima'!J24+'Avg Week Hoima-Kyenjojo'!J24</f>
        <v>2</v>
      </c>
      <c r="K24" s="49">
        <f>'Avg Week Kyenjojo-Hoima'!K24+'Avg Week Hoima-Kyenjojo'!K24</f>
        <v>0.14285714285714285</v>
      </c>
      <c r="L24" s="49">
        <f>'Avg Week Kyenjojo-Hoima'!L24+'Avg Week Hoima-Kyenjojo'!L24</f>
        <v>0.2857142857142857</v>
      </c>
      <c r="M24" s="49">
        <f>'Avg Week Kyenjojo-Hoima'!M24+'Avg Week Hoima-Kyenjojo'!M24</f>
        <v>75</v>
      </c>
      <c r="N24" s="49">
        <f>'Avg Week Kyenjojo-Hoima'!N24+'Avg Week Hoima-Kyenjojo'!N24</f>
        <v>0.14285714285714285</v>
      </c>
      <c r="O24" s="15">
        <f t="shared" si="0"/>
        <v>22.999999999999996</v>
      </c>
      <c r="P24" s="15">
        <f t="shared" si="1"/>
        <v>98</v>
      </c>
      <c r="R24" s="1" t="s">
        <v>148</v>
      </c>
      <c r="S24" s="34">
        <f>SUM(C66:C69)</f>
        <v>23.5</v>
      </c>
      <c r="T24" s="34">
        <f t="shared" ref="T24:AF24" si="16">SUM(D66:D69)</f>
        <v>5</v>
      </c>
      <c r="U24" s="34">
        <f t="shared" si="16"/>
        <v>4.5</v>
      </c>
      <c r="V24" s="34">
        <f t="shared" si="16"/>
        <v>3</v>
      </c>
      <c r="W24" s="34">
        <f t="shared" si="16"/>
        <v>1.5</v>
      </c>
      <c r="X24" s="34">
        <f t="shared" si="16"/>
        <v>0</v>
      </c>
      <c r="Y24" s="34">
        <f t="shared" si="16"/>
        <v>3</v>
      </c>
      <c r="Z24" s="34">
        <f t="shared" si="16"/>
        <v>2</v>
      </c>
      <c r="AA24" s="34">
        <f t="shared" si="16"/>
        <v>0.5</v>
      </c>
      <c r="AB24" s="34">
        <f t="shared" si="16"/>
        <v>0</v>
      </c>
      <c r="AC24" s="34">
        <f t="shared" si="16"/>
        <v>119</v>
      </c>
      <c r="AD24" s="34">
        <f t="shared" si="16"/>
        <v>0</v>
      </c>
      <c r="AE24" s="31">
        <f t="shared" si="16"/>
        <v>43</v>
      </c>
      <c r="AF24" s="31">
        <f t="shared" si="16"/>
        <v>162</v>
      </c>
    </row>
    <row r="25" spans="2:32" ht="23.1" customHeight="1" x14ac:dyDescent="0.25">
      <c r="B25" s="23" t="s">
        <v>52</v>
      </c>
      <c r="C25" s="49">
        <f>'Avg Week Kyenjojo-Hoima'!C25+'Avg Week Hoima-Kyenjojo'!C25</f>
        <v>12.857142857142858</v>
      </c>
      <c r="D25" s="49">
        <f>'Avg Week Kyenjojo-Hoima'!D25+'Avg Week Hoima-Kyenjojo'!D25</f>
        <v>0.71428571428571419</v>
      </c>
      <c r="E25" s="49">
        <f>'Avg Week Kyenjojo-Hoima'!E25+'Avg Week Hoima-Kyenjojo'!E25</f>
        <v>3.1428571428571432</v>
      </c>
      <c r="F25" s="49">
        <f>'Avg Week Kyenjojo-Hoima'!F25+'Avg Week Hoima-Kyenjojo'!F25</f>
        <v>1.8571428571428572</v>
      </c>
      <c r="G25" s="49">
        <f>'Avg Week Kyenjojo-Hoima'!G25+'Avg Week Hoima-Kyenjojo'!G25</f>
        <v>0</v>
      </c>
      <c r="H25" s="49">
        <f>'Avg Week Kyenjojo-Hoima'!H25+'Avg Week Hoima-Kyenjojo'!H25</f>
        <v>0</v>
      </c>
      <c r="I25" s="49">
        <f>'Avg Week Kyenjojo-Hoima'!I25+'Avg Week Hoima-Kyenjojo'!I25</f>
        <v>2.1428571428571428</v>
      </c>
      <c r="J25" s="49">
        <f>'Avg Week Kyenjojo-Hoima'!J25+'Avg Week Hoima-Kyenjojo'!J25</f>
        <v>1</v>
      </c>
      <c r="K25" s="49">
        <f>'Avg Week Kyenjojo-Hoima'!K25+'Avg Week Hoima-Kyenjojo'!K25</f>
        <v>0</v>
      </c>
      <c r="L25" s="49">
        <f>'Avg Week Kyenjojo-Hoima'!L25+'Avg Week Hoima-Kyenjojo'!L25</f>
        <v>0.14285714285714285</v>
      </c>
      <c r="M25" s="49">
        <f>'Avg Week Kyenjojo-Hoima'!M25+'Avg Week Hoima-Kyenjojo'!M25</f>
        <v>65.142857142857139</v>
      </c>
      <c r="N25" s="49">
        <f>'Avg Week Kyenjojo-Hoima'!N25+'Avg Week Hoima-Kyenjojo'!N25</f>
        <v>0.14285714285714285</v>
      </c>
      <c r="O25" s="15">
        <f t="shared" si="0"/>
        <v>22</v>
      </c>
      <c r="P25" s="15">
        <f t="shared" si="1"/>
        <v>87.142857142857139</v>
      </c>
      <c r="R25" s="1" t="s">
        <v>149</v>
      </c>
      <c r="S25" s="34">
        <f>SUM(C70:C73)</f>
        <v>14.5</v>
      </c>
      <c r="T25" s="34">
        <f t="shared" ref="T25:AF25" si="17">SUM(D70:D73)</f>
        <v>3</v>
      </c>
      <c r="U25" s="34">
        <f t="shared" si="17"/>
        <v>3.5</v>
      </c>
      <c r="V25" s="34">
        <f t="shared" si="17"/>
        <v>1.5</v>
      </c>
      <c r="W25" s="34">
        <f t="shared" si="17"/>
        <v>0</v>
      </c>
      <c r="X25" s="34">
        <f t="shared" si="17"/>
        <v>0</v>
      </c>
      <c r="Y25" s="34">
        <f t="shared" si="17"/>
        <v>3.5</v>
      </c>
      <c r="Z25" s="34">
        <f t="shared" si="17"/>
        <v>1</v>
      </c>
      <c r="AA25" s="34">
        <f t="shared" si="17"/>
        <v>1.5</v>
      </c>
      <c r="AB25" s="34">
        <f t="shared" si="17"/>
        <v>0</v>
      </c>
      <c r="AC25" s="34">
        <f t="shared" si="17"/>
        <v>60</v>
      </c>
      <c r="AD25" s="34">
        <f t="shared" si="17"/>
        <v>0</v>
      </c>
      <c r="AE25" s="31">
        <f t="shared" si="17"/>
        <v>28.5</v>
      </c>
      <c r="AF25" s="31">
        <f t="shared" si="17"/>
        <v>88.5</v>
      </c>
    </row>
    <row r="26" spans="2:32" ht="23.1" customHeight="1" x14ac:dyDescent="0.25">
      <c r="B26" s="23" t="s">
        <v>53</v>
      </c>
      <c r="C26" s="49">
        <f>'Avg Week Kyenjojo-Hoima'!C26+'Avg Week Hoima-Kyenjojo'!C26</f>
        <v>12.714285714285715</v>
      </c>
      <c r="D26" s="49">
        <f>'Avg Week Kyenjojo-Hoima'!D26+'Avg Week Hoima-Kyenjojo'!D26</f>
        <v>1.5714285714285716</v>
      </c>
      <c r="E26" s="49">
        <f>'Avg Week Kyenjojo-Hoima'!E26+'Avg Week Hoima-Kyenjojo'!E26</f>
        <v>2.4285714285714288</v>
      </c>
      <c r="F26" s="49">
        <f>'Avg Week Kyenjojo-Hoima'!F26+'Avg Week Hoima-Kyenjojo'!F26</f>
        <v>1.1428571428571428</v>
      </c>
      <c r="G26" s="49">
        <f>'Avg Week Kyenjojo-Hoima'!G26+'Avg Week Hoima-Kyenjojo'!G26</f>
        <v>0</v>
      </c>
      <c r="H26" s="49">
        <f>'Avg Week Kyenjojo-Hoima'!H26+'Avg Week Hoima-Kyenjojo'!H26</f>
        <v>0</v>
      </c>
      <c r="I26" s="49">
        <f>'Avg Week Kyenjojo-Hoima'!I26+'Avg Week Hoima-Kyenjojo'!I26</f>
        <v>1.8571428571428572</v>
      </c>
      <c r="J26" s="49">
        <f>'Avg Week Kyenjojo-Hoima'!J26+'Avg Week Hoima-Kyenjojo'!J26</f>
        <v>2</v>
      </c>
      <c r="K26" s="49">
        <f>'Avg Week Kyenjojo-Hoima'!K26+'Avg Week Hoima-Kyenjojo'!K26</f>
        <v>0.5714285714285714</v>
      </c>
      <c r="L26" s="49">
        <f>'Avg Week Kyenjojo-Hoima'!L26+'Avg Week Hoima-Kyenjojo'!L26</f>
        <v>0</v>
      </c>
      <c r="M26" s="49">
        <f>'Avg Week Kyenjojo-Hoima'!M26+'Avg Week Hoima-Kyenjojo'!M26</f>
        <v>70.428571428571416</v>
      </c>
      <c r="N26" s="49">
        <f>'Avg Week Kyenjojo-Hoima'!N26+'Avg Week Hoima-Kyenjojo'!N26</f>
        <v>0.2857142857142857</v>
      </c>
      <c r="O26" s="15">
        <f t="shared" si="0"/>
        <v>22.571428571428573</v>
      </c>
      <c r="P26" s="15">
        <f t="shared" si="1"/>
        <v>93</v>
      </c>
      <c r="R26" s="1" t="s">
        <v>150</v>
      </c>
      <c r="S26" s="34">
        <f>SUM(C74:C77)</f>
        <v>9.5</v>
      </c>
      <c r="T26" s="34">
        <f t="shared" ref="T26:AF26" si="18">SUM(D74:D77)</f>
        <v>1.5</v>
      </c>
      <c r="U26" s="34">
        <f t="shared" si="18"/>
        <v>1.5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0.5</v>
      </c>
      <c r="Z26" s="34">
        <f t="shared" si="18"/>
        <v>0</v>
      </c>
      <c r="AA26" s="34">
        <f t="shared" si="18"/>
        <v>1</v>
      </c>
      <c r="AB26" s="34">
        <f t="shared" si="18"/>
        <v>0</v>
      </c>
      <c r="AC26" s="34">
        <f t="shared" si="18"/>
        <v>34</v>
      </c>
      <c r="AD26" s="34">
        <f t="shared" si="18"/>
        <v>0</v>
      </c>
      <c r="AE26" s="31">
        <f t="shared" si="18"/>
        <v>16</v>
      </c>
      <c r="AF26" s="31">
        <f t="shared" si="18"/>
        <v>50</v>
      </c>
    </row>
    <row r="27" spans="2:32" ht="23.1" customHeight="1" x14ac:dyDescent="0.25">
      <c r="B27" s="23" t="s">
        <v>54</v>
      </c>
      <c r="C27" s="49">
        <f>'Avg Week Kyenjojo-Hoima'!C27+'Avg Week Hoima-Kyenjojo'!C27</f>
        <v>11.428571428571427</v>
      </c>
      <c r="D27" s="49">
        <f>'Avg Week Kyenjojo-Hoima'!D27+'Avg Week Hoima-Kyenjojo'!D27</f>
        <v>0.5714285714285714</v>
      </c>
      <c r="E27" s="49">
        <f>'Avg Week Kyenjojo-Hoima'!E27+'Avg Week Hoima-Kyenjojo'!E27</f>
        <v>1.2857142857142856</v>
      </c>
      <c r="F27" s="49">
        <f>'Avg Week Kyenjojo-Hoima'!F27+'Avg Week Hoima-Kyenjojo'!F27</f>
        <v>1.7142857142857144</v>
      </c>
      <c r="G27" s="49">
        <f>'Avg Week Kyenjojo-Hoima'!G27+'Avg Week Hoima-Kyenjojo'!G27</f>
        <v>0</v>
      </c>
      <c r="H27" s="49">
        <f>'Avg Week Kyenjojo-Hoima'!H27+'Avg Week Hoima-Kyenjojo'!H27</f>
        <v>0</v>
      </c>
      <c r="I27" s="49">
        <f>'Avg Week Kyenjojo-Hoima'!I27+'Avg Week Hoima-Kyenjojo'!I27</f>
        <v>1</v>
      </c>
      <c r="J27" s="49">
        <f>'Avg Week Kyenjojo-Hoima'!J27+'Avg Week Hoima-Kyenjojo'!J27</f>
        <v>2</v>
      </c>
      <c r="K27" s="49">
        <f>'Avg Week Kyenjojo-Hoima'!K27+'Avg Week Hoima-Kyenjojo'!K27</f>
        <v>0.2857142857142857</v>
      </c>
      <c r="L27" s="49">
        <f>'Avg Week Kyenjojo-Hoima'!L27+'Avg Week Hoima-Kyenjojo'!L27</f>
        <v>0.14285714285714285</v>
      </c>
      <c r="M27" s="49">
        <f>'Avg Week Kyenjojo-Hoima'!M27+'Avg Week Hoima-Kyenjojo'!M27</f>
        <v>69.142857142857139</v>
      </c>
      <c r="N27" s="49">
        <f>'Avg Week Kyenjojo-Hoima'!N27+'Avg Week Hoima-Kyenjojo'!N27</f>
        <v>0</v>
      </c>
      <c r="O27" s="15">
        <f t="shared" si="0"/>
        <v>18.428571428571427</v>
      </c>
      <c r="P27" s="15">
        <f t="shared" si="1"/>
        <v>87.571428571428569</v>
      </c>
      <c r="R27" s="1" t="s">
        <v>151</v>
      </c>
      <c r="S27" s="34">
        <f>SUM(C78:C81)</f>
        <v>4</v>
      </c>
      <c r="T27" s="34">
        <f t="shared" ref="T27:AF27" si="19">SUM(D78:D81)</f>
        <v>0.5</v>
      </c>
      <c r="U27" s="34">
        <f t="shared" si="19"/>
        <v>0</v>
      </c>
      <c r="V27" s="34">
        <f t="shared" si="19"/>
        <v>0.5</v>
      </c>
      <c r="W27" s="34">
        <f t="shared" si="19"/>
        <v>0</v>
      </c>
      <c r="X27" s="34">
        <f t="shared" si="19"/>
        <v>0</v>
      </c>
      <c r="Y27" s="34">
        <f t="shared" si="19"/>
        <v>0.5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21.5</v>
      </c>
      <c r="AD27" s="34">
        <f t="shared" si="19"/>
        <v>0</v>
      </c>
      <c r="AE27" s="31">
        <f t="shared" si="19"/>
        <v>5.5</v>
      </c>
      <c r="AF27" s="31">
        <f t="shared" si="19"/>
        <v>27</v>
      </c>
    </row>
    <row r="28" spans="2:32" ht="23.1" customHeight="1" x14ac:dyDescent="0.25">
      <c r="B28" s="23" t="s">
        <v>55</v>
      </c>
      <c r="C28" s="49">
        <f>'Avg Week Kyenjojo-Hoima'!C28+'Avg Week Hoima-Kyenjojo'!C28</f>
        <v>12.857142857142858</v>
      </c>
      <c r="D28" s="49">
        <f>'Avg Week Kyenjojo-Hoima'!D28+'Avg Week Hoima-Kyenjojo'!D28</f>
        <v>1.5714285714285714</v>
      </c>
      <c r="E28" s="49">
        <f>'Avg Week Kyenjojo-Hoima'!E28+'Avg Week Hoima-Kyenjojo'!E28</f>
        <v>2</v>
      </c>
      <c r="F28" s="49">
        <f>'Avg Week Kyenjojo-Hoima'!F28+'Avg Week Hoima-Kyenjojo'!F28</f>
        <v>0.85714285714285721</v>
      </c>
      <c r="G28" s="49">
        <f>'Avg Week Kyenjojo-Hoima'!G28+'Avg Week Hoima-Kyenjojo'!G28</f>
        <v>0</v>
      </c>
      <c r="H28" s="49">
        <f>'Avg Week Kyenjojo-Hoima'!H28+'Avg Week Hoima-Kyenjojo'!H28</f>
        <v>0</v>
      </c>
      <c r="I28" s="49">
        <f>'Avg Week Kyenjojo-Hoima'!I28+'Avg Week Hoima-Kyenjojo'!I28</f>
        <v>2</v>
      </c>
      <c r="J28" s="49">
        <f>'Avg Week Kyenjojo-Hoima'!J28+'Avg Week Hoima-Kyenjojo'!J28</f>
        <v>1.4285714285714286</v>
      </c>
      <c r="K28" s="49">
        <f>'Avg Week Kyenjojo-Hoima'!K28+'Avg Week Hoima-Kyenjojo'!K28</f>
        <v>0</v>
      </c>
      <c r="L28" s="49">
        <f>'Avg Week Kyenjojo-Hoima'!L28+'Avg Week Hoima-Kyenjojo'!L28</f>
        <v>0</v>
      </c>
      <c r="M28" s="49">
        <f>'Avg Week Kyenjojo-Hoima'!M28+'Avg Week Hoima-Kyenjojo'!M28</f>
        <v>71</v>
      </c>
      <c r="N28" s="49">
        <f>'Avg Week Kyenjojo-Hoima'!N28+'Avg Week Hoima-Kyenjojo'!N28</f>
        <v>0.14285714285714285</v>
      </c>
      <c r="O28" s="15">
        <f t="shared" si="0"/>
        <v>20.857142857142858</v>
      </c>
      <c r="P28" s="15">
        <f t="shared" si="1"/>
        <v>91.857142857142861</v>
      </c>
      <c r="R28" s="1" t="s">
        <v>152</v>
      </c>
      <c r="S28" s="34">
        <f>SUM(C82:C85)</f>
        <v>2.5</v>
      </c>
      <c r="T28" s="34">
        <f t="shared" ref="T28:AF28" si="20">SUM(D82:D85)</f>
        <v>1</v>
      </c>
      <c r="U28" s="34">
        <f t="shared" si="20"/>
        <v>0</v>
      </c>
      <c r="V28" s="34">
        <f t="shared" si="20"/>
        <v>1.5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0.5</v>
      </c>
      <c r="AA28" s="34">
        <f t="shared" si="20"/>
        <v>0.5</v>
      </c>
      <c r="AB28" s="34">
        <f t="shared" si="20"/>
        <v>0</v>
      </c>
      <c r="AC28" s="34">
        <f t="shared" si="20"/>
        <v>12</v>
      </c>
      <c r="AD28" s="34">
        <f t="shared" si="20"/>
        <v>0</v>
      </c>
      <c r="AE28" s="31">
        <f t="shared" si="20"/>
        <v>6</v>
      </c>
      <c r="AF28" s="31">
        <f t="shared" si="20"/>
        <v>18</v>
      </c>
    </row>
    <row r="29" spans="2:32" ht="23.1" customHeight="1" x14ac:dyDescent="0.25">
      <c r="B29" s="23" t="s">
        <v>56</v>
      </c>
      <c r="C29" s="49">
        <f>'Avg Week Kyenjojo-Hoima'!C29+'Avg Week Hoima-Kyenjojo'!C29</f>
        <v>8.7142857142857153</v>
      </c>
      <c r="D29" s="49">
        <f>'Avg Week Kyenjojo-Hoima'!D29+'Avg Week Hoima-Kyenjojo'!D29</f>
        <v>0.71428571428571419</v>
      </c>
      <c r="E29" s="49">
        <f>'Avg Week Kyenjojo-Hoima'!E29+'Avg Week Hoima-Kyenjojo'!E29</f>
        <v>2.8571428571428572</v>
      </c>
      <c r="F29" s="49">
        <f>'Avg Week Kyenjojo-Hoima'!F29+'Avg Week Hoima-Kyenjojo'!F29</f>
        <v>0.71428571428571419</v>
      </c>
      <c r="G29" s="49">
        <f>'Avg Week Kyenjojo-Hoima'!G29+'Avg Week Hoima-Kyenjojo'!G29</f>
        <v>0</v>
      </c>
      <c r="H29" s="49">
        <f>'Avg Week Kyenjojo-Hoima'!H29+'Avg Week Hoima-Kyenjojo'!H29</f>
        <v>0.14285714285714285</v>
      </c>
      <c r="I29" s="49">
        <f>'Avg Week Kyenjojo-Hoima'!I29+'Avg Week Hoima-Kyenjojo'!I29</f>
        <v>1.7142857142857144</v>
      </c>
      <c r="J29" s="49">
        <f>'Avg Week Kyenjojo-Hoima'!J29+'Avg Week Hoima-Kyenjojo'!J29</f>
        <v>0.71428571428571419</v>
      </c>
      <c r="K29" s="49">
        <f>'Avg Week Kyenjojo-Hoima'!K29+'Avg Week Hoima-Kyenjojo'!K29</f>
        <v>0.2857142857142857</v>
      </c>
      <c r="L29" s="49">
        <f>'Avg Week Kyenjojo-Hoima'!L29+'Avg Week Hoima-Kyenjojo'!L29</f>
        <v>0.2857142857142857</v>
      </c>
      <c r="M29" s="49">
        <f>'Avg Week Kyenjojo-Hoima'!M29+'Avg Week Hoima-Kyenjojo'!M29</f>
        <v>70.571428571428569</v>
      </c>
      <c r="N29" s="49">
        <f>'Avg Week Kyenjojo-Hoima'!N29+'Avg Week Hoima-Kyenjojo'!N29</f>
        <v>0.14285714285714285</v>
      </c>
      <c r="O29" s="15">
        <f t="shared" si="0"/>
        <v>16.285714285714285</v>
      </c>
      <c r="P29" s="15">
        <f t="shared" si="1"/>
        <v>86.857142857142847</v>
      </c>
      <c r="R29" s="1" t="s">
        <v>153</v>
      </c>
      <c r="S29" s="34">
        <f>SUM(C86:C89)</f>
        <v>1.5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4.5</v>
      </c>
      <c r="AD29" s="34">
        <f t="shared" si="21"/>
        <v>0</v>
      </c>
      <c r="AE29" s="31">
        <f t="shared" si="21"/>
        <v>2.5</v>
      </c>
      <c r="AF29" s="31">
        <f t="shared" si="21"/>
        <v>7</v>
      </c>
    </row>
    <row r="30" spans="2:32" ht="23.1" customHeight="1" x14ac:dyDescent="0.25">
      <c r="B30" s="23" t="s">
        <v>57</v>
      </c>
      <c r="C30" s="49">
        <f>'Avg Week Kyenjojo-Hoima'!C30+'Avg Week Hoima-Kyenjojo'!C30</f>
        <v>10.571428571428573</v>
      </c>
      <c r="D30" s="49">
        <f>'Avg Week Kyenjojo-Hoima'!D30+'Avg Week Hoima-Kyenjojo'!D30</f>
        <v>1.8571428571428572</v>
      </c>
      <c r="E30" s="49">
        <f>'Avg Week Kyenjojo-Hoima'!E30+'Avg Week Hoima-Kyenjojo'!E30</f>
        <v>2.1428571428571428</v>
      </c>
      <c r="F30" s="49">
        <f>'Avg Week Kyenjojo-Hoima'!F30+'Avg Week Hoima-Kyenjojo'!F30</f>
        <v>1.7142857142857142</v>
      </c>
      <c r="G30" s="49">
        <f>'Avg Week Kyenjojo-Hoima'!G30+'Avg Week Hoima-Kyenjojo'!G30</f>
        <v>0</v>
      </c>
      <c r="H30" s="49">
        <f>'Avg Week Kyenjojo-Hoima'!H30+'Avg Week Hoima-Kyenjojo'!H30</f>
        <v>0</v>
      </c>
      <c r="I30" s="49">
        <f>'Avg Week Kyenjojo-Hoima'!I30+'Avg Week Hoima-Kyenjojo'!I30</f>
        <v>1.8571428571428572</v>
      </c>
      <c r="J30" s="49">
        <f>'Avg Week Kyenjojo-Hoima'!J30+'Avg Week Hoima-Kyenjojo'!J30</f>
        <v>0.5714285714285714</v>
      </c>
      <c r="K30" s="49">
        <f>'Avg Week Kyenjojo-Hoima'!K30+'Avg Week Hoima-Kyenjojo'!K30</f>
        <v>0</v>
      </c>
      <c r="L30" s="49">
        <f>'Avg Week Kyenjojo-Hoima'!L30+'Avg Week Hoima-Kyenjojo'!L30</f>
        <v>0.2857142857142857</v>
      </c>
      <c r="M30" s="49">
        <f>'Avg Week Kyenjojo-Hoima'!M30+'Avg Week Hoima-Kyenjojo'!M30</f>
        <v>75.285714285714278</v>
      </c>
      <c r="N30" s="49">
        <f>'Avg Week Kyenjojo-Hoima'!N30+'Avg Week Hoima-Kyenjojo'!N30</f>
        <v>0.14285714285714285</v>
      </c>
      <c r="O30" s="15">
        <f t="shared" si="0"/>
        <v>19.142857142857146</v>
      </c>
      <c r="P30" s="15">
        <f t="shared" si="1"/>
        <v>94.428571428571416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0.5</v>
      </c>
      <c r="W30" s="34">
        <f t="shared" si="22"/>
        <v>0.5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2.5</v>
      </c>
      <c r="AD30" s="34">
        <f t="shared" si="22"/>
        <v>0</v>
      </c>
      <c r="AE30" s="31">
        <f t="shared" si="22"/>
        <v>1.5</v>
      </c>
      <c r="AF30" s="31">
        <f t="shared" si="22"/>
        <v>4</v>
      </c>
    </row>
    <row r="31" spans="2:32" ht="23.1" customHeight="1" x14ac:dyDescent="0.25">
      <c r="B31" s="24" t="s">
        <v>58</v>
      </c>
      <c r="C31" s="49">
        <f>'Avg Week Kyenjojo-Hoima'!C31+'Avg Week Hoima-Kyenjojo'!C31</f>
        <v>12.857142857142858</v>
      </c>
      <c r="D31" s="49">
        <f>'Avg Week Kyenjojo-Hoima'!D31+'Avg Week Hoima-Kyenjojo'!D31</f>
        <v>1</v>
      </c>
      <c r="E31" s="49">
        <f>'Avg Week Kyenjojo-Hoima'!E31+'Avg Week Hoima-Kyenjojo'!E31</f>
        <v>1.4285714285714286</v>
      </c>
      <c r="F31" s="49">
        <f>'Avg Week Kyenjojo-Hoima'!F31+'Avg Week Hoima-Kyenjojo'!F31</f>
        <v>2</v>
      </c>
      <c r="G31" s="49">
        <f>'Avg Week Kyenjojo-Hoima'!G31+'Avg Week Hoima-Kyenjojo'!G31</f>
        <v>0</v>
      </c>
      <c r="H31" s="49">
        <f>'Avg Week Kyenjojo-Hoima'!H31+'Avg Week Hoima-Kyenjojo'!H31</f>
        <v>0</v>
      </c>
      <c r="I31" s="49">
        <f>'Avg Week Kyenjojo-Hoima'!I31+'Avg Week Hoima-Kyenjojo'!I31</f>
        <v>0.2857142857142857</v>
      </c>
      <c r="J31" s="49">
        <f>'Avg Week Kyenjojo-Hoima'!J31+'Avg Week Hoima-Kyenjojo'!J31</f>
        <v>0.5714285714285714</v>
      </c>
      <c r="K31" s="49">
        <f>'Avg Week Kyenjojo-Hoima'!K31+'Avg Week Hoima-Kyenjojo'!K31</f>
        <v>0.14285714285714285</v>
      </c>
      <c r="L31" s="49">
        <f>'Avg Week Kyenjojo-Hoima'!L31+'Avg Week Hoima-Kyenjojo'!L31</f>
        <v>0</v>
      </c>
      <c r="M31" s="49">
        <f>'Avg Week Kyenjojo-Hoima'!M31+'Avg Week Hoima-Kyenjojo'!M31</f>
        <v>65.428571428571431</v>
      </c>
      <c r="N31" s="49">
        <f>'Avg Week Kyenjojo-Hoima'!N31+'Avg Week Hoima-Kyenjojo'!N31</f>
        <v>0</v>
      </c>
      <c r="O31" s="15">
        <f t="shared" si="0"/>
        <v>18.285714285714285</v>
      </c>
      <c r="P31" s="15">
        <f t="shared" si="1"/>
        <v>83.714285714285722</v>
      </c>
      <c r="R31" s="1" t="s">
        <v>155</v>
      </c>
      <c r="S31" s="34">
        <f>SUM(C94:C97)</f>
        <v>4</v>
      </c>
      <c r="T31" s="34">
        <f t="shared" ref="T31:AF31" si="23">SUM(D94:D97)</f>
        <v>0.5</v>
      </c>
      <c r="U31" s="34">
        <f t="shared" si="23"/>
        <v>0</v>
      </c>
      <c r="V31" s="34">
        <f t="shared" si="23"/>
        <v>0.5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0.5</v>
      </c>
      <c r="AB31" s="34">
        <f t="shared" si="23"/>
        <v>0</v>
      </c>
      <c r="AC31" s="34">
        <f t="shared" si="23"/>
        <v>7.5</v>
      </c>
      <c r="AD31" s="34">
        <f t="shared" si="23"/>
        <v>0</v>
      </c>
      <c r="AE31" s="31">
        <f t="shared" si="23"/>
        <v>7.5</v>
      </c>
      <c r="AF31" s="31">
        <f t="shared" si="23"/>
        <v>15</v>
      </c>
    </row>
    <row r="32" spans="2:32" ht="23.1" customHeight="1" x14ac:dyDescent="0.25">
      <c r="B32" s="24" t="s">
        <v>59</v>
      </c>
      <c r="C32" s="49">
        <f>'Avg Week Kyenjojo-Hoima'!C32+'Avg Week Hoima-Kyenjojo'!C32</f>
        <v>10.714285714285715</v>
      </c>
      <c r="D32" s="49">
        <f>'Avg Week Kyenjojo-Hoima'!D32+'Avg Week Hoima-Kyenjojo'!D32</f>
        <v>1.4285714285714286</v>
      </c>
      <c r="E32" s="49">
        <f>'Avg Week Kyenjojo-Hoima'!E32+'Avg Week Hoima-Kyenjojo'!E32</f>
        <v>2.8571428571428572</v>
      </c>
      <c r="F32" s="49">
        <f>'Avg Week Kyenjojo-Hoima'!F32+'Avg Week Hoima-Kyenjojo'!F32</f>
        <v>0.71428571428571419</v>
      </c>
      <c r="G32" s="49">
        <f>'Avg Week Kyenjojo-Hoima'!G32+'Avg Week Hoima-Kyenjojo'!G32</f>
        <v>0.14285714285714285</v>
      </c>
      <c r="H32" s="49">
        <f>'Avg Week Kyenjojo-Hoima'!H32+'Avg Week Hoima-Kyenjojo'!H32</f>
        <v>0.14285714285714285</v>
      </c>
      <c r="I32" s="49">
        <f>'Avg Week Kyenjojo-Hoima'!I32+'Avg Week Hoima-Kyenjojo'!I32</f>
        <v>1.7142857142857144</v>
      </c>
      <c r="J32" s="49">
        <f>'Avg Week Kyenjojo-Hoima'!J32+'Avg Week Hoima-Kyenjojo'!J32</f>
        <v>0.42857142857142855</v>
      </c>
      <c r="K32" s="49">
        <f>'Avg Week Kyenjojo-Hoima'!K32+'Avg Week Hoima-Kyenjojo'!K32</f>
        <v>0.42857142857142855</v>
      </c>
      <c r="L32" s="49">
        <f>'Avg Week Kyenjojo-Hoima'!L32+'Avg Week Hoima-Kyenjojo'!L32</f>
        <v>0</v>
      </c>
      <c r="M32" s="49">
        <f>'Avg Week Kyenjojo-Hoima'!M32+'Avg Week Hoima-Kyenjojo'!M32</f>
        <v>78.428571428571431</v>
      </c>
      <c r="N32" s="49">
        <f>'Avg Week Kyenjojo-Hoima'!N32+'Avg Week Hoima-Kyenjojo'!N32</f>
        <v>0</v>
      </c>
      <c r="O32" s="15">
        <f t="shared" si="0"/>
        <v>18.571428571428569</v>
      </c>
      <c r="P32" s="15">
        <f t="shared" si="1"/>
        <v>97</v>
      </c>
      <c r="R32" s="1" t="s">
        <v>156</v>
      </c>
      <c r="S32" s="34">
        <f>SUM(C98:C101)</f>
        <v>4</v>
      </c>
      <c r="T32" s="34">
        <f t="shared" ref="T32:AF32" si="24">SUM(D98:D101)</f>
        <v>0.5</v>
      </c>
      <c r="U32" s="34">
        <f t="shared" si="24"/>
        <v>2.5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2.5</v>
      </c>
      <c r="Z32" s="34">
        <f t="shared" si="24"/>
        <v>0.5</v>
      </c>
      <c r="AA32" s="34">
        <f t="shared" si="24"/>
        <v>2</v>
      </c>
      <c r="AB32" s="34">
        <f t="shared" si="24"/>
        <v>1</v>
      </c>
      <c r="AC32" s="34">
        <f t="shared" si="24"/>
        <v>12</v>
      </c>
      <c r="AD32" s="34">
        <f t="shared" si="24"/>
        <v>0</v>
      </c>
      <c r="AE32" s="31">
        <f t="shared" si="24"/>
        <v>14</v>
      </c>
      <c r="AF32" s="31">
        <f t="shared" si="24"/>
        <v>26</v>
      </c>
    </row>
    <row r="33" spans="2:32" ht="23.1" customHeight="1" x14ac:dyDescent="0.25">
      <c r="B33" s="23" t="s">
        <v>60</v>
      </c>
      <c r="C33" s="49">
        <f>'Avg Week Kyenjojo-Hoima'!C33+'Avg Week Hoima-Kyenjojo'!C33</f>
        <v>11</v>
      </c>
      <c r="D33" s="49">
        <f>'Avg Week Kyenjojo-Hoima'!D33+'Avg Week Hoima-Kyenjojo'!D33</f>
        <v>2.1428571428571428</v>
      </c>
      <c r="E33" s="49">
        <f>'Avg Week Kyenjojo-Hoima'!E33+'Avg Week Hoima-Kyenjojo'!E33</f>
        <v>2.5714285714285712</v>
      </c>
      <c r="F33" s="49">
        <f>'Avg Week Kyenjojo-Hoima'!F33+'Avg Week Hoima-Kyenjojo'!F33</f>
        <v>1.5714285714285714</v>
      </c>
      <c r="G33" s="49">
        <f>'Avg Week Kyenjojo-Hoima'!G33+'Avg Week Hoima-Kyenjojo'!G33</f>
        <v>0.14285714285714285</v>
      </c>
      <c r="H33" s="49">
        <f>'Avg Week Kyenjojo-Hoima'!H33+'Avg Week Hoima-Kyenjojo'!H33</f>
        <v>0</v>
      </c>
      <c r="I33" s="49">
        <f>'Avg Week Kyenjojo-Hoima'!I33+'Avg Week Hoima-Kyenjojo'!I33</f>
        <v>2</v>
      </c>
      <c r="J33" s="49">
        <f>'Avg Week Kyenjojo-Hoima'!J33+'Avg Week Hoima-Kyenjojo'!J33</f>
        <v>1.5714285714285714</v>
      </c>
      <c r="K33" s="49">
        <f>'Avg Week Kyenjojo-Hoima'!K33+'Avg Week Hoima-Kyenjojo'!K33</f>
        <v>0.14285714285714285</v>
      </c>
      <c r="L33" s="49">
        <f>'Avg Week Kyenjojo-Hoima'!L33+'Avg Week Hoima-Kyenjojo'!L33</f>
        <v>0.2857142857142857</v>
      </c>
      <c r="M33" s="49">
        <f>'Avg Week Kyenjojo-Hoima'!M33+'Avg Week Hoima-Kyenjojo'!M33</f>
        <v>66.571428571428569</v>
      </c>
      <c r="N33" s="49">
        <f>'Avg Week Kyenjojo-Hoima'!N33+'Avg Week Hoima-Kyenjojo'!N33</f>
        <v>0</v>
      </c>
      <c r="O33" s="15">
        <f t="shared" si="0"/>
        <v>21.428571428571427</v>
      </c>
      <c r="P33" s="15">
        <f t="shared" si="1"/>
        <v>88</v>
      </c>
      <c r="R33" s="1" t="s">
        <v>157</v>
      </c>
      <c r="S33" s="34">
        <f>SUM(C102:C105)</f>
        <v>8.5</v>
      </c>
      <c r="T33" s="34">
        <f t="shared" ref="T33:AF33" si="25">SUM(D102:D105)</f>
        <v>2</v>
      </c>
      <c r="U33" s="34">
        <f t="shared" si="25"/>
        <v>2</v>
      </c>
      <c r="V33" s="34">
        <f t="shared" si="25"/>
        <v>2</v>
      </c>
      <c r="W33" s="34">
        <f t="shared" si="25"/>
        <v>0</v>
      </c>
      <c r="X33" s="34">
        <f t="shared" si="25"/>
        <v>0.5</v>
      </c>
      <c r="Y33" s="34">
        <f t="shared" si="25"/>
        <v>1.5</v>
      </c>
      <c r="Z33" s="34">
        <f t="shared" si="25"/>
        <v>0.5</v>
      </c>
      <c r="AA33" s="34">
        <f t="shared" si="25"/>
        <v>0.5</v>
      </c>
      <c r="AB33" s="34">
        <f t="shared" si="25"/>
        <v>0</v>
      </c>
      <c r="AC33" s="34">
        <f t="shared" si="25"/>
        <v>42</v>
      </c>
      <c r="AD33" s="34">
        <f t="shared" si="25"/>
        <v>0</v>
      </c>
      <c r="AE33" s="31">
        <f t="shared" si="25"/>
        <v>17.5</v>
      </c>
      <c r="AF33" s="31">
        <f t="shared" si="25"/>
        <v>59.5</v>
      </c>
    </row>
    <row r="34" spans="2:32" ht="23.1" customHeight="1" x14ac:dyDescent="0.25">
      <c r="B34" s="24" t="s">
        <v>61</v>
      </c>
      <c r="C34" s="49">
        <f>'Avg Week Kyenjojo-Hoima'!C34+'Avg Week Hoima-Kyenjojo'!C34</f>
        <v>9</v>
      </c>
      <c r="D34" s="49">
        <f>'Avg Week Kyenjojo-Hoima'!D34+'Avg Week Hoima-Kyenjojo'!D34</f>
        <v>1.4285714285714286</v>
      </c>
      <c r="E34" s="49">
        <f>'Avg Week Kyenjojo-Hoima'!E34+'Avg Week Hoima-Kyenjojo'!E34</f>
        <v>2.2857142857142856</v>
      </c>
      <c r="F34" s="49">
        <f>'Avg Week Kyenjojo-Hoima'!F34+'Avg Week Hoima-Kyenjojo'!F34</f>
        <v>1.5714285714285714</v>
      </c>
      <c r="G34" s="49">
        <f>'Avg Week Kyenjojo-Hoima'!G34+'Avg Week Hoima-Kyenjojo'!G34</f>
        <v>0.14285714285714285</v>
      </c>
      <c r="H34" s="49">
        <f>'Avg Week Kyenjojo-Hoima'!H34+'Avg Week Hoima-Kyenjojo'!H34</f>
        <v>0</v>
      </c>
      <c r="I34" s="49">
        <f>'Avg Week Kyenjojo-Hoima'!I34+'Avg Week Hoima-Kyenjojo'!I34</f>
        <v>0.8571428571428571</v>
      </c>
      <c r="J34" s="49">
        <f>'Avg Week Kyenjojo-Hoima'!J34+'Avg Week Hoima-Kyenjojo'!J34</f>
        <v>2</v>
      </c>
      <c r="K34" s="49">
        <f>'Avg Week Kyenjojo-Hoima'!K34+'Avg Week Hoima-Kyenjojo'!K34</f>
        <v>0.8571428571428571</v>
      </c>
      <c r="L34" s="49">
        <f>'Avg Week Kyenjojo-Hoima'!L34+'Avg Week Hoima-Kyenjojo'!L34</f>
        <v>0</v>
      </c>
      <c r="M34" s="49">
        <f>'Avg Week Kyenjojo-Hoima'!M34+'Avg Week Hoima-Kyenjojo'!M34</f>
        <v>66.142857142857139</v>
      </c>
      <c r="N34" s="49">
        <f>'Avg Week Kyenjojo-Hoima'!N34+'Avg Week Hoima-Kyenjojo'!N34</f>
        <v>0</v>
      </c>
      <c r="O34" s="15">
        <f t="shared" si="0"/>
        <v>18.142857142857142</v>
      </c>
      <c r="P34" s="15">
        <f t="shared" si="1"/>
        <v>84.285714285714278</v>
      </c>
      <c r="R34" s="38" t="s">
        <v>90</v>
      </c>
      <c r="S34" s="39">
        <f t="shared" ref="S34:AF34" si="26">MAX(S10:S12)</f>
        <v>44.571428571428569</v>
      </c>
      <c r="T34" s="39">
        <f t="shared" si="26"/>
        <v>4.7142857142857135</v>
      </c>
      <c r="U34" s="39">
        <f t="shared" si="26"/>
        <v>8.1428571428571423</v>
      </c>
      <c r="V34" s="39">
        <f t="shared" si="26"/>
        <v>5.2857142857142865</v>
      </c>
      <c r="W34" s="39">
        <f t="shared" si="26"/>
        <v>0.2857142857142857</v>
      </c>
      <c r="X34" s="39">
        <f t="shared" si="26"/>
        <v>0.42857142857142855</v>
      </c>
      <c r="Y34" s="39">
        <f t="shared" si="26"/>
        <v>6.4285714285714279</v>
      </c>
      <c r="Z34" s="39">
        <f t="shared" si="26"/>
        <v>4.5714285714285712</v>
      </c>
      <c r="AA34" s="39">
        <f t="shared" si="26"/>
        <v>0.71428571428571419</v>
      </c>
      <c r="AB34" s="39">
        <f t="shared" si="26"/>
        <v>0.85714285714285698</v>
      </c>
      <c r="AC34" s="39">
        <f t="shared" si="26"/>
        <v>222.28571428571428</v>
      </c>
      <c r="AD34" s="39">
        <f t="shared" si="26"/>
        <v>0.14285714285714285</v>
      </c>
      <c r="AE34" s="40">
        <f t="shared" si="26"/>
        <v>73</v>
      </c>
      <c r="AF34" s="40">
        <f t="shared" si="26"/>
        <v>295.28571428571428</v>
      </c>
    </row>
    <row r="35" spans="2:32" ht="23.1" customHeight="1" x14ac:dyDescent="0.25">
      <c r="B35" s="24" t="s">
        <v>62</v>
      </c>
      <c r="C35" s="49">
        <f>'Avg Week Kyenjojo-Hoima'!C35+'Avg Week Hoima-Kyenjojo'!C35</f>
        <v>9.5714285714285712</v>
      </c>
      <c r="D35" s="49">
        <f>'Avg Week Kyenjojo-Hoima'!D35+'Avg Week Hoima-Kyenjojo'!D35</f>
        <v>1.5714285714285714</v>
      </c>
      <c r="E35" s="49">
        <f>'Avg Week Kyenjojo-Hoima'!E35+'Avg Week Hoima-Kyenjojo'!E35</f>
        <v>1.1428571428571428</v>
      </c>
      <c r="F35" s="49">
        <f>'Avg Week Kyenjojo-Hoima'!F35+'Avg Week Hoima-Kyenjojo'!F35</f>
        <v>1.4285714285714284</v>
      </c>
      <c r="G35" s="49">
        <f>'Avg Week Kyenjojo-Hoima'!G35+'Avg Week Hoima-Kyenjojo'!G35</f>
        <v>0</v>
      </c>
      <c r="H35" s="49">
        <f>'Avg Week Kyenjojo-Hoima'!H35+'Avg Week Hoima-Kyenjojo'!H35</f>
        <v>0</v>
      </c>
      <c r="I35" s="49">
        <f>'Avg Week Kyenjojo-Hoima'!I35+'Avg Week Hoima-Kyenjojo'!I35</f>
        <v>0.71428571428571419</v>
      </c>
      <c r="J35" s="49">
        <f>'Avg Week Kyenjojo-Hoima'!J35+'Avg Week Hoima-Kyenjojo'!J35</f>
        <v>0.8571428571428571</v>
      </c>
      <c r="K35" s="49">
        <f>'Avg Week Kyenjojo-Hoima'!K35+'Avg Week Hoima-Kyenjojo'!K35</f>
        <v>0.42857142857142855</v>
      </c>
      <c r="L35" s="49">
        <f>'Avg Week Kyenjojo-Hoima'!L35+'Avg Week Hoima-Kyenjojo'!L35</f>
        <v>0</v>
      </c>
      <c r="M35" s="49">
        <f>'Avg Week Kyenjojo-Hoima'!M35+'Avg Week Hoima-Kyenjojo'!M35</f>
        <v>70.428571428571431</v>
      </c>
      <c r="N35" s="49">
        <f>'Avg Week Kyenjojo-Hoima'!N35+'Avg Week Hoima-Kyenjojo'!N35</f>
        <v>0</v>
      </c>
      <c r="O35" s="15">
        <f t="shared" si="0"/>
        <v>15.714285714285714</v>
      </c>
      <c r="P35" s="15">
        <f t="shared" si="1"/>
        <v>86.142857142857139</v>
      </c>
      <c r="R35" s="38" t="s">
        <v>91</v>
      </c>
      <c r="S35" s="39">
        <f t="shared" ref="S35:AF35" si="27">MAX(S13:S18)</f>
        <v>52.571428571428569</v>
      </c>
      <c r="T35" s="39">
        <f t="shared" si="27"/>
        <v>6.4285714285714288</v>
      </c>
      <c r="U35" s="39">
        <f t="shared" si="27"/>
        <v>12.285714285714285</v>
      </c>
      <c r="V35" s="39">
        <f t="shared" si="27"/>
        <v>7.5714285714285712</v>
      </c>
      <c r="W35" s="39">
        <f t="shared" si="27"/>
        <v>0.42857142857142855</v>
      </c>
      <c r="X35" s="39">
        <f t="shared" si="27"/>
        <v>0.2857142857142857</v>
      </c>
      <c r="Y35" s="39">
        <f t="shared" si="27"/>
        <v>9.4285714285714288</v>
      </c>
      <c r="Z35" s="39">
        <f t="shared" si="27"/>
        <v>6.2857142857142856</v>
      </c>
      <c r="AA35" s="39">
        <f t="shared" si="27"/>
        <v>2.7142857142857144</v>
      </c>
      <c r="AB35" s="39">
        <f t="shared" si="27"/>
        <v>0.71428571428571419</v>
      </c>
      <c r="AC35" s="39">
        <f t="shared" si="27"/>
        <v>285.71428571428572</v>
      </c>
      <c r="AD35" s="39">
        <f t="shared" si="27"/>
        <v>0.5714285714285714</v>
      </c>
      <c r="AE35" s="40">
        <f t="shared" si="27"/>
        <v>90</v>
      </c>
      <c r="AF35" s="40">
        <f t="shared" si="27"/>
        <v>363.14285714285711</v>
      </c>
    </row>
    <row r="36" spans="2:32" ht="23.1" customHeight="1" x14ac:dyDescent="0.25">
      <c r="B36" s="24" t="s">
        <v>63</v>
      </c>
      <c r="C36" s="49">
        <f>'Avg Week Kyenjojo-Hoima'!C36+'Avg Week Hoima-Kyenjojo'!C36</f>
        <v>12.428571428571429</v>
      </c>
      <c r="D36" s="49">
        <f>'Avg Week Kyenjojo-Hoima'!D36+'Avg Week Hoima-Kyenjojo'!D36</f>
        <v>1.7142857142857144</v>
      </c>
      <c r="E36" s="49">
        <f>'Avg Week Kyenjojo-Hoima'!E36+'Avg Week Hoima-Kyenjojo'!E36</f>
        <v>3.8571428571428568</v>
      </c>
      <c r="F36" s="49">
        <f>'Avg Week Kyenjojo-Hoima'!F36+'Avg Week Hoima-Kyenjojo'!F36</f>
        <v>1.2857142857142856</v>
      </c>
      <c r="G36" s="49">
        <f>'Avg Week Kyenjojo-Hoima'!G36+'Avg Week Hoima-Kyenjojo'!G36</f>
        <v>0</v>
      </c>
      <c r="H36" s="49">
        <f>'Avg Week Kyenjojo-Hoima'!H36+'Avg Week Hoima-Kyenjojo'!H36</f>
        <v>0</v>
      </c>
      <c r="I36" s="49">
        <f>'Avg Week Kyenjojo-Hoima'!I36+'Avg Week Hoima-Kyenjojo'!I36</f>
        <v>1.2857142857142856</v>
      </c>
      <c r="J36" s="49">
        <f>'Avg Week Kyenjojo-Hoima'!J36+'Avg Week Hoima-Kyenjojo'!J36</f>
        <v>1.4285714285714284</v>
      </c>
      <c r="K36" s="49">
        <f>'Avg Week Kyenjojo-Hoima'!K36+'Avg Week Hoima-Kyenjojo'!K36</f>
        <v>0.8571428571428571</v>
      </c>
      <c r="L36" s="49">
        <f>'Avg Week Kyenjojo-Hoima'!L36+'Avg Week Hoima-Kyenjojo'!L36</f>
        <v>0.14285714285714285</v>
      </c>
      <c r="M36" s="49">
        <f>'Avg Week Kyenjojo-Hoima'!M36+'Avg Week Hoima-Kyenjojo'!M36</f>
        <v>62.428571428571431</v>
      </c>
      <c r="N36" s="49">
        <f>'Avg Week Kyenjojo-Hoima'!N36+'Avg Week Hoima-Kyenjojo'!N36</f>
        <v>0</v>
      </c>
      <c r="O36" s="15">
        <f t="shared" si="0"/>
        <v>22.999999999999996</v>
      </c>
      <c r="P36" s="15">
        <f t="shared" si="1"/>
        <v>85.428571428571431</v>
      </c>
      <c r="R36" s="38" t="s">
        <v>92</v>
      </c>
      <c r="S36" s="39">
        <f t="shared" ref="S36:AF36" si="28">MAX(S19:S21)</f>
        <v>52.571428571428569</v>
      </c>
      <c r="T36" s="39">
        <f t="shared" si="28"/>
        <v>6</v>
      </c>
      <c r="U36" s="39">
        <f t="shared" si="28"/>
        <v>10.857142857142858</v>
      </c>
      <c r="V36" s="39">
        <f t="shared" si="28"/>
        <v>8</v>
      </c>
      <c r="W36" s="39">
        <f t="shared" si="28"/>
        <v>1.1428571428571428</v>
      </c>
      <c r="X36" s="39">
        <f t="shared" si="28"/>
        <v>1</v>
      </c>
      <c r="Y36" s="39">
        <f t="shared" si="28"/>
        <v>7.8571428571428568</v>
      </c>
      <c r="Z36" s="39">
        <f t="shared" si="28"/>
        <v>6.5714285714285721</v>
      </c>
      <c r="AA36" s="39">
        <f t="shared" si="28"/>
        <v>2.5714285714285712</v>
      </c>
      <c r="AB36" s="39">
        <f t="shared" si="28"/>
        <v>1.2857142857142856</v>
      </c>
      <c r="AC36" s="39">
        <f t="shared" si="28"/>
        <v>299</v>
      </c>
      <c r="AD36" s="39">
        <f t="shared" si="28"/>
        <v>0</v>
      </c>
      <c r="AE36" s="40">
        <f t="shared" si="28"/>
        <v>89.857142857142861</v>
      </c>
      <c r="AF36" s="40">
        <f t="shared" si="28"/>
        <v>379.85714285714289</v>
      </c>
    </row>
    <row r="37" spans="2:32" ht="23.1" customHeight="1" x14ac:dyDescent="0.25">
      <c r="B37" s="23" t="s">
        <v>64</v>
      </c>
      <c r="C37" s="49">
        <f>'Avg Week Kyenjojo-Hoima'!C37+'Avg Week Hoima-Kyenjojo'!C37</f>
        <v>13.428571428571427</v>
      </c>
      <c r="D37" s="49">
        <f>'Avg Week Kyenjojo-Hoima'!D37+'Avg Week Hoima-Kyenjojo'!D37</f>
        <v>1</v>
      </c>
      <c r="E37" s="49">
        <f>'Avg Week Kyenjojo-Hoima'!E37+'Avg Week Hoima-Kyenjojo'!E37</f>
        <v>1.4285714285714286</v>
      </c>
      <c r="F37" s="49">
        <f>'Avg Week Kyenjojo-Hoima'!F37+'Avg Week Hoima-Kyenjojo'!F37</f>
        <v>1.2857142857142856</v>
      </c>
      <c r="G37" s="49">
        <f>'Avg Week Kyenjojo-Hoima'!G37+'Avg Week Hoima-Kyenjojo'!G37</f>
        <v>0</v>
      </c>
      <c r="H37" s="49">
        <f>'Avg Week Kyenjojo-Hoima'!H37+'Avg Week Hoima-Kyenjojo'!H37</f>
        <v>0</v>
      </c>
      <c r="I37" s="49">
        <f>'Avg Week Kyenjojo-Hoima'!I37+'Avg Week Hoima-Kyenjojo'!I37</f>
        <v>2.5714285714285712</v>
      </c>
      <c r="J37" s="49">
        <f>'Avg Week Kyenjojo-Hoima'!J37+'Avg Week Hoima-Kyenjojo'!J37</f>
        <v>2</v>
      </c>
      <c r="K37" s="49">
        <f>'Avg Week Kyenjojo-Hoima'!K37+'Avg Week Hoima-Kyenjojo'!K37</f>
        <v>0.5714285714285714</v>
      </c>
      <c r="L37" s="49">
        <f>'Avg Week Kyenjojo-Hoima'!L37+'Avg Week Hoima-Kyenjojo'!L37</f>
        <v>0.5714285714285714</v>
      </c>
      <c r="M37" s="49">
        <f>'Avg Week Kyenjojo-Hoima'!M37+'Avg Week Hoima-Kyenjojo'!M37</f>
        <v>77.285714285714278</v>
      </c>
      <c r="N37" s="49">
        <f>'Avg Week Kyenjojo-Hoima'!N37+'Avg Week Hoima-Kyenjojo'!N37</f>
        <v>0</v>
      </c>
      <c r="O37" s="15">
        <f t="shared" si="0"/>
        <v>22.857142857142861</v>
      </c>
      <c r="P37" s="15">
        <f t="shared" si="1"/>
        <v>100.14285714285714</v>
      </c>
      <c r="R37" s="37" t="s">
        <v>85</v>
      </c>
      <c r="S37" s="35">
        <f t="shared" ref="S37:AF37" si="29">SUM(S10:S12)</f>
        <v>109.28571428571428</v>
      </c>
      <c r="T37" s="16">
        <f t="shared" si="29"/>
        <v>12.999999999999998</v>
      </c>
      <c r="U37" s="16">
        <f t="shared" si="29"/>
        <v>18.857142857142854</v>
      </c>
      <c r="V37" s="16">
        <f t="shared" si="29"/>
        <v>15.285714285714286</v>
      </c>
      <c r="W37" s="16">
        <f t="shared" si="29"/>
        <v>0.42857142857142855</v>
      </c>
      <c r="X37" s="16">
        <f t="shared" si="29"/>
        <v>0.42857142857142855</v>
      </c>
      <c r="Y37" s="16">
        <f t="shared" si="29"/>
        <v>16.142857142857139</v>
      </c>
      <c r="Z37" s="16">
        <f t="shared" si="29"/>
        <v>12.428571428571427</v>
      </c>
      <c r="AA37" s="16">
        <f t="shared" si="29"/>
        <v>1.857142857142857</v>
      </c>
      <c r="AB37" s="16">
        <f t="shared" si="29"/>
        <v>1.5714285714285712</v>
      </c>
      <c r="AC37" s="16">
        <f t="shared" si="29"/>
        <v>603.57142857142856</v>
      </c>
      <c r="AD37" s="16">
        <f t="shared" si="29"/>
        <v>0.14285714285714285</v>
      </c>
      <c r="AE37" s="32">
        <f t="shared" si="29"/>
        <v>189.42857142857144</v>
      </c>
      <c r="AF37" s="32">
        <f t="shared" si="29"/>
        <v>793</v>
      </c>
    </row>
    <row r="38" spans="2:32" ht="23.1" customHeight="1" x14ac:dyDescent="0.25">
      <c r="B38" s="24" t="s">
        <v>65</v>
      </c>
      <c r="C38" s="49">
        <f>'Avg Week Kyenjojo-Hoima'!C38+'Avg Week Hoima-Kyenjojo'!C38</f>
        <v>14</v>
      </c>
      <c r="D38" s="49">
        <f>'Avg Week Kyenjojo-Hoima'!D38+'Avg Week Hoima-Kyenjojo'!D38</f>
        <v>0.71428571428571419</v>
      </c>
      <c r="E38" s="49">
        <f>'Avg Week Kyenjojo-Hoima'!E38+'Avg Week Hoima-Kyenjojo'!E38</f>
        <v>1.4285714285714286</v>
      </c>
      <c r="F38" s="49">
        <f>'Avg Week Kyenjojo-Hoima'!F38+'Avg Week Hoima-Kyenjojo'!F38</f>
        <v>3</v>
      </c>
      <c r="G38" s="49">
        <f>'Avg Week Kyenjojo-Hoima'!G38+'Avg Week Hoima-Kyenjojo'!G38</f>
        <v>0</v>
      </c>
      <c r="H38" s="49">
        <f>'Avg Week Kyenjojo-Hoima'!H38+'Avg Week Hoima-Kyenjojo'!H38</f>
        <v>0</v>
      </c>
      <c r="I38" s="49">
        <f>'Avg Week Kyenjojo-Hoima'!I38+'Avg Week Hoima-Kyenjojo'!I38</f>
        <v>2.4285714285714288</v>
      </c>
      <c r="J38" s="49">
        <f>'Avg Week Kyenjojo-Hoima'!J38+'Avg Week Hoima-Kyenjojo'!J38</f>
        <v>1.2857142857142856</v>
      </c>
      <c r="K38" s="49">
        <f>'Avg Week Kyenjojo-Hoima'!K38+'Avg Week Hoima-Kyenjojo'!K38</f>
        <v>0.14285714285714285</v>
      </c>
      <c r="L38" s="49">
        <f>'Avg Week Kyenjojo-Hoima'!L38+'Avg Week Hoima-Kyenjojo'!L38</f>
        <v>0</v>
      </c>
      <c r="M38" s="49">
        <f>'Avg Week Kyenjojo-Hoima'!M38+'Avg Week Hoima-Kyenjojo'!M38</f>
        <v>71.428571428571416</v>
      </c>
      <c r="N38" s="49">
        <f>'Avg Week Kyenjojo-Hoima'!N38+'Avg Week Hoima-Kyenjojo'!N38</f>
        <v>0</v>
      </c>
      <c r="O38" s="15">
        <f t="shared" si="0"/>
        <v>22.999999999999996</v>
      </c>
      <c r="P38" s="15">
        <f t="shared" si="1"/>
        <v>94.428571428571416</v>
      </c>
      <c r="R38" s="28" t="s">
        <v>86</v>
      </c>
      <c r="S38" s="16">
        <f t="shared" ref="S38:AF38" si="30">SUM(S13:S18)</f>
        <v>271.42857142857139</v>
      </c>
      <c r="T38" s="16">
        <f t="shared" si="30"/>
        <v>28.571428571428573</v>
      </c>
      <c r="U38" s="16">
        <f t="shared" si="30"/>
        <v>52.714285714285715</v>
      </c>
      <c r="V38" s="16">
        <f t="shared" si="30"/>
        <v>36.999999999999993</v>
      </c>
      <c r="W38" s="16">
        <f t="shared" si="30"/>
        <v>0.8571428571428571</v>
      </c>
      <c r="X38" s="16">
        <f t="shared" si="30"/>
        <v>0.71428571428571419</v>
      </c>
      <c r="Y38" s="16">
        <f t="shared" si="30"/>
        <v>41.285714285714285</v>
      </c>
      <c r="Z38" s="16">
        <f t="shared" si="30"/>
        <v>29.714285714285715</v>
      </c>
      <c r="AA38" s="16">
        <f t="shared" si="30"/>
        <v>9.5714285714285712</v>
      </c>
      <c r="AB38" s="16">
        <f t="shared" si="30"/>
        <v>3.4285714285714279</v>
      </c>
      <c r="AC38" s="16">
        <f t="shared" si="30"/>
        <v>1641.4285714285716</v>
      </c>
      <c r="AD38" s="16">
        <f t="shared" si="30"/>
        <v>1</v>
      </c>
      <c r="AE38" s="32">
        <f t="shared" si="30"/>
        <v>476.28571428571428</v>
      </c>
      <c r="AF38" s="32">
        <f t="shared" si="30"/>
        <v>2117.7142857142858</v>
      </c>
    </row>
    <row r="39" spans="2:32" ht="23.1" customHeight="1" x14ac:dyDescent="0.25">
      <c r="B39" s="24" t="s">
        <v>66</v>
      </c>
      <c r="C39" s="49">
        <f>'Avg Week Kyenjojo-Hoima'!C39+'Avg Week Hoima-Kyenjojo'!C39</f>
        <v>9.1428571428571423</v>
      </c>
      <c r="D39" s="49">
        <f>'Avg Week Kyenjojo-Hoima'!D39+'Avg Week Hoima-Kyenjojo'!D39</f>
        <v>1.2857142857142856</v>
      </c>
      <c r="E39" s="49">
        <f>'Avg Week Kyenjojo-Hoima'!E39+'Avg Week Hoima-Kyenjojo'!E39</f>
        <v>1.7142857142857144</v>
      </c>
      <c r="F39" s="49">
        <f>'Avg Week Kyenjojo-Hoima'!F39+'Avg Week Hoima-Kyenjojo'!F39</f>
        <v>1.5714285714285714</v>
      </c>
      <c r="G39" s="49">
        <f>'Avg Week Kyenjojo-Hoima'!G39+'Avg Week Hoima-Kyenjojo'!G39</f>
        <v>0</v>
      </c>
      <c r="H39" s="49">
        <f>'Avg Week Kyenjojo-Hoima'!H39+'Avg Week Hoima-Kyenjojo'!H39</f>
        <v>0</v>
      </c>
      <c r="I39" s="49">
        <f>'Avg Week Kyenjojo-Hoima'!I39+'Avg Week Hoima-Kyenjojo'!I39</f>
        <v>1.7142857142857144</v>
      </c>
      <c r="J39" s="49">
        <f>'Avg Week Kyenjojo-Hoima'!J39+'Avg Week Hoima-Kyenjojo'!J39</f>
        <v>1.1428571428571428</v>
      </c>
      <c r="K39" s="49">
        <f>'Avg Week Kyenjojo-Hoima'!K39+'Avg Week Hoima-Kyenjojo'!K39</f>
        <v>0.8571428571428571</v>
      </c>
      <c r="L39" s="49">
        <f>'Avg Week Kyenjojo-Hoima'!L39+'Avg Week Hoima-Kyenjojo'!L39</f>
        <v>0.42857142857142855</v>
      </c>
      <c r="M39" s="49">
        <f>'Avg Week Kyenjojo-Hoima'!M39+'Avg Week Hoima-Kyenjojo'!M39</f>
        <v>66.428571428571431</v>
      </c>
      <c r="N39" s="49">
        <f>'Avg Week Kyenjojo-Hoima'!N39+'Avg Week Hoima-Kyenjojo'!N39</f>
        <v>0</v>
      </c>
      <c r="O39" s="15">
        <f t="shared" si="0"/>
        <v>17.857142857142854</v>
      </c>
      <c r="P39" s="15">
        <f t="shared" si="1"/>
        <v>84.285714285714278</v>
      </c>
      <c r="R39" s="29" t="s">
        <v>87</v>
      </c>
      <c r="S39" s="16">
        <f t="shared" ref="S39:AF39" si="31">SUM(S19:S21)</f>
        <v>150.71428571428572</v>
      </c>
      <c r="T39" s="16">
        <f t="shared" si="31"/>
        <v>15.428571428571427</v>
      </c>
      <c r="U39" s="16">
        <f t="shared" si="31"/>
        <v>27.142857142857146</v>
      </c>
      <c r="V39" s="16">
        <f t="shared" si="31"/>
        <v>18.285714285714285</v>
      </c>
      <c r="W39" s="16">
        <f t="shared" si="31"/>
        <v>1.857142857142857</v>
      </c>
      <c r="X39" s="16">
        <f t="shared" si="31"/>
        <v>1.4285714285714284</v>
      </c>
      <c r="Y39" s="16">
        <f t="shared" si="31"/>
        <v>19.857142857142858</v>
      </c>
      <c r="Z39" s="16">
        <f t="shared" si="31"/>
        <v>15.714285714285714</v>
      </c>
      <c r="AA39" s="16">
        <f t="shared" si="31"/>
        <v>6.2857142857142847</v>
      </c>
      <c r="AB39" s="16">
        <f t="shared" si="31"/>
        <v>2.5714285714285712</v>
      </c>
      <c r="AC39" s="16">
        <f t="shared" si="31"/>
        <v>873.71428571428578</v>
      </c>
      <c r="AD39" s="16">
        <f t="shared" si="31"/>
        <v>0</v>
      </c>
      <c r="AE39" s="32">
        <f t="shared" si="31"/>
        <v>259.28571428571428</v>
      </c>
      <c r="AF39" s="32">
        <f t="shared" si="31"/>
        <v>1133</v>
      </c>
    </row>
    <row r="40" spans="2:32" ht="23.1" customHeight="1" x14ac:dyDescent="0.25">
      <c r="B40" s="24" t="s">
        <v>67</v>
      </c>
      <c r="C40" s="49">
        <f>'Avg Week Kyenjojo-Hoima'!C40+'Avg Week Hoima-Kyenjojo'!C40</f>
        <v>8.1428571428571423</v>
      </c>
      <c r="D40" s="49">
        <f>'Avg Week Kyenjojo-Hoima'!D40+'Avg Week Hoima-Kyenjojo'!D40</f>
        <v>0.71428571428571419</v>
      </c>
      <c r="E40" s="49">
        <f>'Avg Week Kyenjojo-Hoima'!E40+'Avg Week Hoima-Kyenjojo'!E40</f>
        <v>1.4285714285714284</v>
      </c>
      <c r="F40" s="49">
        <f>'Avg Week Kyenjojo-Hoima'!F40+'Avg Week Hoima-Kyenjojo'!F40</f>
        <v>1</v>
      </c>
      <c r="G40" s="49">
        <f>'Avg Week Kyenjojo-Hoima'!G40+'Avg Week Hoima-Kyenjojo'!G40</f>
        <v>0</v>
      </c>
      <c r="H40" s="49">
        <f>'Avg Week Kyenjojo-Hoima'!H40+'Avg Week Hoima-Kyenjojo'!H40</f>
        <v>0</v>
      </c>
      <c r="I40" s="49">
        <f>'Avg Week Kyenjojo-Hoima'!I40+'Avg Week Hoima-Kyenjojo'!I40</f>
        <v>3.1428571428571428</v>
      </c>
      <c r="J40" s="49">
        <f>'Avg Week Kyenjojo-Hoima'!J40+'Avg Week Hoima-Kyenjojo'!J40</f>
        <v>1</v>
      </c>
      <c r="K40" s="49">
        <f>'Avg Week Kyenjojo-Hoima'!K40+'Avg Week Hoima-Kyenjojo'!K40</f>
        <v>0.14285714285714285</v>
      </c>
      <c r="L40" s="49">
        <f>'Avg Week Kyenjojo-Hoima'!L40+'Avg Week Hoima-Kyenjojo'!L40</f>
        <v>0</v>
      </c>
      <c r="M40" s="49">
        <f>'Avg Week Kyenjojo-Hoima'!M40+'Avg Week Hoima-Kyenjojo'!M40</f>
        <v>62.571428571428569</v>
      </c>
      <c r="N40" s="49">
        <f>'Avg Week Kyenjojo-Hoima'!N40+'Avg Week Hoima-Kyenjojo'!N40</f>
        <v>0</v>
      </c>
      <c r="O40" s="15">
        <f t="shared" si="0"/>
        <v>15.571428571428569</v>
      </c>
      <c r="P40" s="15">
        <f t="shared" si="1"/>
        <v>78.142857142857139</v>
      </c>
      <c r="R40" s="5" t="s">
        <v>17</v>
      </c>
      <c r="S40" s="16">
        <f t="shared" ref="S40:AF40" si="32">SUM(S10:S21)</f>
        <v>531.42857142857144</v>
      </c>
      <c r="T40" s="16">
        <f t="shared" si="32"/>
        <v>56.999999999999993</v>
      </c>
      <c r="U40" s="16">
        <f t="shared" si="32"/>
        <v>98.714285714285722</v>
      </c>
      <c r="V40" s="16">
        <f t="shared" si="32"/>
        <v>70.571428571428555</v>
      </c>
      <c r="W40" s="16">
        <f t="shared" si="32"/>
        <v>3.1428571428571423</v>
      </c>
      <c r="X40" s="16">
        <f t="shared" si="32"/>
        <v>2.5714285714285712</v>
      </c>
      <c r="Y40" s="16">
        <f t="shared" si="32"/>
        <v>77.285714285714278</v>
      </c>
      <c r="Z40" s="16">
        <f t="shared" si="32"/>
        <v>57.857142857142854</v>
      </c>
      <c r="AA40" s="16">
        <f t="shared" si="32"/>
        <v>17.714285714285715</v>
      </c>
      <c r="AB40" s="16">
        <f t="shared" si="32"/>
        <v>7.5714285714285712</v>
      </c>
      <c r="AC40" s="16">
        <f t="shared" si="32"/>
        <v>3118.7142857142853</v>
      </c>
      <c r="AD40" s="16">
        <f t="shared" si="32"/>
        <v>1.1428571428571428</v>
      </c>
      <c r="AE40" s="32">
        <f t="shared" si="32"/>
        <v>924.99999999999989</v>
      </c>
      <c r="AF40" s="32">
        <f t="shared" si="32"/>
        <v>4043.7142857142853</v>
      </c>
    </row>
    <row r="41" spans="2:32" ht="23.1" customHeight="1" x14ac:dyDescent="0.25">
      <c r="B41" s="23" t="s">
        <v>68</v>
      </c>
      <c r="C41" s="49">
        <f>'Avg Week Kyenjojo-Hoima'!C41+'Avg Week Hoima-Kyenjojo'!C41</f>
        <v>9.4285714285714288</v>
      </c>
      <c r="D41" s="49">
        <f>'Avg Week Kyenjojo-Hoima'!D41+'Avg Week Hoima-Kyenjojo'!D41</f>
        <v>1.1428571428571428</v>
      </c>
      <c r="E41" s="49">
        <f>'Avg Week Kyenjojo-Hoima'!E41+'Avg Week Hoima-Kyenjojo'!E41</f>
        <v>1.1428571428571428</v>
      </c>
      <c r="F41" s="49">
        <f>'Avg Week Kyenjojo-Hoima'!F41+'Avg Week Hoima-Kyenjojo'!F41</f>
        <v>2</v>
      </c>
      <c r="G41" s="49">
        <f>'Avg Week Kyenjojo-Hoima'!G41+'Avg Week Hoima-Kyenjojo'!G41</f>
        <v>0</v>
      </c>
      <c r="H41" s="49">
        <f>'Avg Week Kyenjojo-Hoima'!H41+'Avg Week Hoima-Kyenjojo'!H41</f>
        <v>0</v>
      </c>
      <c r="I41" s="49">
        <f>'Avg Week Kyenjojo-Hoima'!I41+'Avg Week Hoima-Kyenjojo'!I41</f>
        <v>2.1428571428571428</v>
      </c>
      <c r="J41" s="49">
        <f>'Avg Week Kyenjojo-Hoima'!J41+'Avg Week Hoima-Kyenjojo'!J41</f>
        <v>1.5714285714285714</v>
      </c>
      <c r="K41" s="49">
        <f>'Avg Week Kyenjojo-Hoima'!K41+'Avg Week Hoima-Kyenjojo'!K41</f>
        <v>0.8571428571428571</v>
      </c>
      <c r="L41" s="49">
        <f>'Avg Week Kyenjojo-Hoima'!L41+'Avg Week Hoima-Kyenjojo'!L41</f>
        <v>0</v>
      </c>
      <c r="M41" s="49">
        <f>'Avg Week Kyenjojo-Hoima'!M41+'Avg Week Hoima-Kyenjojo'!M41</f>
        <v>64.142857142857139</v>
      </c>
      <c r="N41" s="49">
        <f>'Avg Week Kyenjojo-Hoima'!N41+'Avg Week Hoima-Kyenjojo'!N41</f>
        <v>0</v>
      </c>
      <c r="O41" s="15">
        <f t="shared" si="0"/>
        <v>18.285714285714285</v>
      </c>
      <c r="P41" s="15">
        <f t="shared" si="1"/>
        <v>82.428571428571416</v>
      </c>
      <c r="R41" s="5" t="s">
        <v>179</v>
      </c>
      <c r="S41" s="52">
        <f>SUM(S10:S33)</f>
        <v>685.92857142857144</v>
      </c>
      <c r="T41" s="52">
        <f t="shared" ref="T41:AD41" si="33">SUM(T10:T33)</f>
        <v>85</v>
      </c>
      <c r="U41" s="52">
        <f t="shared" si="33"/>
        <v>128.21428571428572</v>
      </c>
      <c r="V41" s="52">
        <f t="shared" si="33"/>
        <v>99.071428571428555</v>
      </c>
      <c r="W41" s="52">
        <f t="shared" si="33"/>
        <v>6.1428571428571423</v>
      </c>
      <c r="X41" s="52">
        <f t="shared" si="33"/>
        <v>4.0714285714285712</v>
      </c>
      <c r="Y41" s="52">
        <f t="shared" si="33"/>
        <v>106.78571428571428</v>
      </c>
      <c r="Z41" s="52">
        <f t="shared" si="33"/>
        <v>73.857142857142861</v>
      </c>
      <c r="AA41" s="52">
        <f t="shared" si="33"/>
        <v>33.214285714285715</v>
      </c>
      <c r="AB41" s="52">
        <f t="shared" si="33"/>
        <v>9.5714285714285712</v>
      </c>
      <c r="AC41" s="52">
        <f t="shared" si="33"/>
        <v>3836.7142857142853</v>
      </c>
      <c r="AD41" s="52">
        <f t="shared" si="33"/>
        <v>1.1428571428571428</v>
      </c>
      <c r="AE41" s="53">
        <f>SUM(AE10:AE33)</f>
        <v>1233</v>
      </c>
      <c r="AF41" s="53">
        <f>SUM(AF10:AF33)</f>
        <v>5069.7142857142853</v>
      </c>
    </row>
    <row r="42" spans="2:32" ht="23.1" customHeight="1" x14ac:dyDescent="0.25">
      <c r="B42" s="24" t="s">
        <v>69</v>
      </c>
      <c r="C42" s="49">
        <f>'Avg Week Kyenjojo-Hoima'!C42+'Avg Week Hoima-Kyenjojo'!C42</f>
        <v>12.285714285714285</v>
      </c>
      <c r="D42" s="49">
        <f>'Avg Week Kyenjojo-Hoima'!D42+'Avg Week Hoima-Kyenjojo'!D42</f>
        <v>1.1428571428571428</v>
      </c>
      <c r="E42" s="49">
        <f>'Avg Week Kyenjojo-Hoima'!E42+'Avg Week Hoima-Kyenjojo'!E42</f>
        <v>1.7142857142857142</v>
      </c>
      <c r="F42" s="49">
        <f>'Avg Week Kyenjojo-Hoima'!F42+'Avg Week Hoima-Kyenjojo'!F42</f>
        <v>1.2857142857142856</v>
      </c>
      <c r="G42" s="49">
        <f>'Avg Week Kyenjojo-Hoima'!G42+'Avg Week Hoima-Kyenjojo'!G42</f>
        <v>0.14285714285714285</v>
      </c>
      <c r="H42" s="49">
        <f>'Avg Week Kyenjojo-Hoima'!H42+'Avg Week Hoima-Kyenjojo'!H42</f>
        <v>0</v>
      </c>
      <c r="I42" s="49">
        <f>'Avg Week Kyenjojo-Hoima'!I42+'Avg Week Hoima-Kyenjojo'!I42</f>
        <v>2.2857142857142856</v>
      </c>
      <c r="J42" s="49">
        <f>'Avg Week Kyenjojo-Hoima'!J42+'Avg Week Hoima-Kyenjojo'!J42</f>
        <v>0.5714285714285714</v>
      </c>
      <c r="K42" s="49">
        <f>'Avg Week Kyenjojo-Hoima'!K42+'Avg Week Hoima-Kyenjojo'!K42</f>
        <v>0.14285714285714285</v>
      </c>
      <c r="L42" s="49">
        <f>'Avg Week Kyenjojo-Hoima'!L42+'Avg Week Hoima-Kyenjojo'!L42</f>
        <v>0.14285714285714285</v>
      </c>
      <c r="M42" s="49">
        <f>'Avg Week Kyenjojo-Hoima'!M42+'Avg Week Hoima-Kyenjojo'!M42</f>
        <v>67.428571428571416</v>
      </c>
      <c r="N42" s="49">
        <f>'Avg Week Kyenjojo-Hoima'!N42+'Avg Week Hoima-Kyenjojo'!N42</f>
        <v>0</v>
      </c>
      <c r="O42" s="15">
        <f t="shared" si="0"/>
        <v>19.714285714285712</v>
      </c>
      <c r="P42" s="15">
        <f t="shared" si="1"/>
        <v>87.142857142857125</v>
      </c>
      <c r="R42" s="5" t="s">
        <v>160</v>
      </c>
      <c r="S42" s="48">
        <f>S41/S40</f>
        <v>1.2907258064516129</v>
      </c>
      <c r="T42" s="48">
        <f t="shared" ref="T42:AF42" si="34">T41/T40</f>
        <v>1.4912280701754388</v>
      </c>
      <c r="U42" s="48">
        <f t="shared" si="34"/>
        <v>1.2988422575976846</v>
      </c>
      <c r="V42" s="48">
        <f t="shared" si="34"/>
        <v>1.403846153846154</v>
      </c>
      <c r="W42" s="48">
        <f t="shared" si="34"/>
        <v>1.9545454545454548</v>
      </c>
      <c r="X42" s="48">
        <f t="shared" si="34"/>
        <v>1.5833333333333335</v>
      </c>
      <c r="Y42" s="48">
        <f t="shared" si="34"/>
        <v>1.3817005545286507</v>
      </c>
      <c r="Z42" s="48">
        <f t="shared" si="34"/>
        <v>1.2765432098765432</v>
      </c>
      <c r="AA42" s="48">
        <f t="shared" si="34"/>
        <v>1.875</v>
      </c>
      <c r="AB42" s="48">
        <f t="shared" si="34"/>
        <v>1.2641509433962264</v>
      </c>
      <c r="AC42" s="48">
        <f t="shared" si="34"/>
        <v>1.2302230772754341</v>
      </c>
      <c r="AD42" s="48">
        <f t="shared" si="34"/>
        <v>1</v>
      </c>
      <c r="AE42" s="51">
        <f t="shared" si="34"/>
        <v>1.3329729729729731</v>
      </c>
      <c r="AF42" s="51">
        <f t="shared" si="34"/>
        <v>1.2537271249911679</v>
      </c>
    </row>
    <row r="43" spans="2:32" ht="23.1" customHeight="1" x14ac:dyDescent="0.25">
      <c r="B43" s="23" t="s">
        <v>70</v>
      </c>
      <c r="C43" s="49">
        <f>'Avg Week Kyenjojo-Hoima'!C43+'Avg Week Hoima-Kyenjojo'!C43</f>
        <v>10.428571428571429</v>
      </c>
      <c r="D43" s="49">
        <f>'Avg Week Kyenjojo-Hoima'!D43+'Avg Week Hoima-Kyenjojo'!D43</f>
        <v>0.85714285714285721</v>
      </c>
      <c r="E43" s="49">
        <f>'Avg Week Kyenjojo-Hoima'!E43+'Avg Week Hoima-Kyenjojo'!E43</f>
        <v>2.2857142857142856</v>
      </c>
      <c r="F43" s="49">
        <f>'Avg Week Kyenjojo-Hoima'!F43+'Avg Week Hoima-Kyenjojo'!F43</f>
        <v>1.5714285714285714</v>
      </c>
      <c r="G43" s="49">
        <f>'Avg Week Kyenjojo-Hoima'!G43+'Avg Week Hoima-Kyenjojo'!G43</f>
        <v>0.14285714285714285</v>
      </c>
      <c r="H43" s="49">
        <f>'Avg Week Kyenjojo-Hoima'!H43+'Avg Week Hoima-Kyenjojo'!H43</f>
        <v>0.2857142857142857</v>
      </c>
      <c r="I43" s="49">
        <f>'Avg Week Kyenjojo-Hoima'!I43+'Avg Week Hoima-Kyenjojo'!I43</f>
        <v>1.7142857142857144</v>
      </c>
      <c r="J43" s="49">
        <f>'Avg Week Kyenjojo-Hoima'!J43+'Avg Week Hoima-Kyenjojo'!J43</f>
        <v>1.1428571428571428</v>
      </c>
      <c r="K43" s="49">
        <f>'Avg Week Kyenjojo-Hoima'!K43+'Avg Week Hoima-Kyenjojo'!K43</f>
        <v>0.2857142857142857</v>
      </c>
      <c r="L43" s="49">
        <f>'Avg Week Kyenjojo-Hoima'!L43+'Avg Week Hoima-Kyenjojo'!L43</f>
        <v>0.2857142857142857</v>
      </c>
      <c r="M43" s="49">
        <f>'Avg Week Kyenjojo-Hoima'!M43+'Avg Week Hoima-Kyenjojo'!M43</f>
        <v>58</v>
      </c>
      <c r="N43" s="49">
        <f>'Avg Week Kyenjojo-Hoima'!N43+'Avg Week Hoima-Kyenjojo'!N43</f>
        <v>0</v>
      </c>
      <c r="O43" s="15">
        <f t="shared" si="0"/>
        <v>19</v>
      </c>
      <c r="P43" s="15">
        <f t="shared" si="1"/>
        <v>77</v>
      </c>
    </row>
    <row r="44" spans="2:32" ht="23.1" customHeight="1" x14ac:dyDescent="0.25">
      <c r="B44" s="25" t="s">
        <v>71</v>
      </c>
      <c r="C44" s="49">
        <f>'Avg Week Kyenjojo-Hoima'!C44+'Avg Week Hoima-Kyenjojo'!C44</f>
        <v>8.5714285714285712</v>
      </c>
      <c r="D44" s="49">
        <f>'Avg Week Kyenjojo-Hoima'!D44+'Avg Week Hoima-Kyenjojo'!D44</f>
        <v>1.1428571428571428</v>
      </c>
      <c r="E44" s="49">
        <f>'Avg Week Kyenjojo-Hoima'!E44+'Avg Week Hoima-Kyenjojo'!E44</f>
        <v>1.8571428571428572</v>
      </c>
      <c r="F44" s="49">
        <f>'Avg Week Kyenjojo-Hoima'!F44+'Avg Week Hoima-Kyenjojo'!F44</f>
        <v>2</v>
      </c>
      <c r="G44" s="49">
        <f>'Avg Week Kyenjojo-Hoima'!G44+'Avg Week Hoima-Kyenjojo'!G44</f>
        <v>0</v>
      </c>
      <c r="H44" s="49">
        <f>'Avg Week Kyenjojo-Hoima'!H44+'Avg Week Hoima-Kyenjojo'!H44</f>
        <v>0</v>
      </c>
      <c r="I44" s="49">
        <f>'Avg Week Kyenjojo-Hoima'!I44+'Avg Week Hoima-Kyenjojo'!I44</f>
        <v>1.7142857142857142</v>
      </c>
      <c r="J44" s="49">
        <f>'Avg Week Kyenjojo-Hoima'!J44+'Avg Week Hoima-Kyenjojo'!J44</f>
        <v>1.2857142857142856</v>
      </c>
      <c r="K44" s="49">
        <f>'Avg Week Kyenjojo-Hoima'!K44+'Avg Week Hoima-Kyenjojo'!K44</f>
        <v>0.42857142857142855</v>
      </c>
      <c r="L44" s="49">
        <f>'Avg Week Kyenjojo-Hoima'!L44+'Avg Week Hoima-Kyenjojo'!L44</f>
        <v>0.14285714285714285</v>
      </c>
      <c r="M44" s="49">
        <f>'Avg Week Kyenjojo-Hoima'!M44+'Avg Week Hoima-Kyenjojo'!M44</f>
        <v>62.571428571428569</v>
      </c>
      <c r="N44" s="49">
        <f>'Avg Week Kyenjojo-Hoima'!N44+'Avg Week Hoima-Kyenjojo'!N44</f>
        <v>0</v>
      </c>
      <c r="O44" s="15">
        <f t="shared" si="0"/>
        <v>17.142857142857139</v>
      </c>
      <c r="P44" s="15">
        <f t="shared" si="1"/>
        <v>79.714285714285708</v>
      </c>
    </row>
    <row r="45" spans="2:32" ht="23.1" customHeight="1" x14ac:dyDescent="0.25">
      <c r="B45" s="23" t="s">
        <v>72</v>
      </c>
      <c r="C45" s="49">
        <f>'Avg Week Kyenjojo-Hoima'!C45+'Avg Week Hoima-Kyenjojo'!C45</f>
        <v>11.571428571428571</v>
      </c>
      <c r="D45" s="49">
        <f>'Avg Week Kyenjojo-Hoima'!D45+'Avg Week Hoima-Kyenjojo'!D45</f>
        <v>0.5714285714285714</v>
      </c>
      <c r="E45" s="49">
        <f>'Avg Week Kyenjojo-Hoima'!E45+'Avg Week Hoima-Kyenjojo'!E45</f>
        <v>2.5714285714285712</v>
      </c>
      <c r="F45" s="49">
        <f>'Avg Week Kyenjojo-Hoima'!F45+'Avg Week Hoima-Kyenjojo'!F45</f>
        <v>2</v>
      </c>
      <c r="G45" s="49">
        <f>'Avg Week Kyenjojo-Hoima'!G45+'Avg Week Hoima-Kyenjojo'!G45</f>
        <v>0.14285714285714285</v>
      </c>
      <c r="H45" s="49">
        <f>'Avg Week Kyenjojo-Hoima'!H45+'Avg Week Hoima-Kyenjojo'!H45</f>
        <v>0</v>
      </c>
      <c r="I45" s="49">
        <f>'Avg Week Kyenjojo-Hoima'!I45+'Avg Week Hoima-Kyenjojo'!I45</f>
        <v>1.7142857142857142</v>
      </c>
      <c r="J45" s="49">
        <f>'Avg Week Kyenjojo-Hoima'!J45+'Avg Week Hoima-Kyenjojo'!J45</f>
        <v>1.4285714285714286</v>
      </c>
      <c r="K45" s="49">
        <f>'Avg Week Kyenjojo-Hoima'!K45+'Avg Week Hoima-Kyenjojo'!K45</f>
        <v>0.2857142857142857</v>
      </c>
      <c r="L45" s="49">
        <f>'Avg Week Kyenjojo-Hoima'!L45+'Avg Week Hoima-Kyenjojo'!L45</f>
        <v>0.14285714285714285</v>
      </c>
      <c r="M45" s="49">
        <f>'Avg Week Kyenjojo-Hoima'!M45+'Avg Week Hoima-Kyenjojo'!M45</f>
        <v>75</v>
      </c>
      <c r="N45" s="49">
        <f>'Avg Week Kyenjojo-Hoima'!N45+'Avg Week Hoima-Kyenjojo'!N45</f>
        <v>0</v>
      </c>
      <c r="O45" s="15">
        <f t="shared" si="0"/>
        <v>20.428571428571427</v>
      </c>
      <c r="P45" s="15">
        <f t="shared" si="1"/>
        <v>95.428571428571431</v>
      </c>
    </row>
    <row r="46" spans="2:32" ht="23.1" customHeight="1" x14ac:dyDescent="0.25">
      <c r="B46" s="24" t="s">
        <v>73</v>
      </c>
      <c r="C46" s="49">
        <f>'Avg Week Kyenjojo-Hoima'!C46+'Avg Week Hoima-Kyenjojo'!C46</f>
        <v>13.857142857142858</v>
      </c>
      <c r="D46" s="49">
        <f>'Avg Week Kyenjojo-Hoima'!D46+'Avg Week Hoima-Kyenjojo'!D46</f>
        <v>0.71428571428571419</v>
      </c>
      <c r="E46" s="49">
        <f>'Avg Week Kyenjojo-Hoima'!E46+'Avg Week Hoima-Kyenjojo'!E46</f>
        <v>1.7142857142857144</v>
      </c>
      <c r="F46" s="49">
        <f>'Avg Week Kyenjojo-Hoima'!F46+'Avg Week Hoima-Kyenjojo'!F46</f>
        <v>2.8571428571428572</v>
      </c>
      <c r="G46" s="49">
        <f>'Avg Week Kyenjojo-Hoima'!G46+'Avg Week Hoima-Kyenjojo'!G46</f>
        <v>0.2857142857142857</v>
      </c>
      <c r="H46" s="49">
        <f>'Avg Week Kyenjojo-Hoima'!H46+'Avg Week Hoima-Kyenjojo'!H46</f>
        <v>0.14285714285714285</v>
      </c>
      <c r="I46" s="49">
        <f>'Avg Week Kyenjojo-Hoima'!I46+'Avg Week Hoima-Kyenjojo'!I46</f>
        <v>1.8571428571428572</v>
      </c>
      <c r="J46" s="49">
        <f>'Avg Week Kyenjojo-Hoima'!J46+'Avg Week Hoima-Kyenjojo'!J46</f>
        <v>1.8571428571428572</v>
      </c>
      <c r="K46" s="49">
        <f>'Avg Week Kyenjojo-Hoima'!K46+'Avg Week Hoima-Kyenjojo'!K46</f>
        <v>0.2857142857142857</v>
      </c>
      <c r="L46" s="49">
        <f>'Avg Week Kyenjojo-Hoima'!L46+'Avg Week Hoima-Kyenjojo'!L46</f>
        <v>0.5714285714285714</v>
      </c>
      <c r="M46" s="49">
        <f>'Avg Week Kyenjojo-Hoima'!M46+'Avg Week Hoima-Kyenjojo'!M46</f>
        <v>61.571428571428569</v>
      </c>
      <c r="N46" s="49">
        <f>'Avg Week Kyenjojo-Hoima'!N46+'Avg Week Hoima-Kyenjojo'!N46</f>
        <v>0</v>
      </c>
      <c r="O46" s="15">
        <f t="shared" si="0"/>
        <v>24.142857142857142</v>
      </c>
      <c r="P46" s="15">
        <f t="shared" si="1"/>
        <v>85.714285714285708</v>
      </c>
      <c r="R46" s="8"/>
      <c r="T46"/>
    </row>
    <row r="47" spans="2:32" ht="23.1" customHeight="1" x14ac:dyDescent="0.25">
      <c r="B47" s="24" t="s">
        <v>74</v>
      </c>
      <c r="C47" s="49">
        <f>'Avg Week Kyenjojo-Hoima'!C47+'Avg Week Hoima-Kyenjojo'!C47</f>
        <v>12.428571428571429</v>
      </c>
      <c r="D47" s="49">
        <f>'Avg Week Kyenjojo-Hoima'!D47+'Avg Week Hoima-Kyenjojo'!D47</f>
        <v>1.7142857142857142</v>
      </c>
      <c r="E47" s="49">
        <f>'Avg Week Kyenjojo-Hoima'!E47+'Avg Week Hoima-Kyenjojo'!E47</f>
        <v>2.4285714285714284</v>
      </c>
      <c r="F47" s="49">
        <f>'Avg Week Kyenjojo-Hoima'!F47+'Avg Week Hoima-Kyenjojo'!F47</f>
        <v>2</v>
      </c>
      <c r="G47" s="49">
        <f>'Avg Week Kyenjojo-Hoima'!G47+'Avg Week Hoima-Kyenjojo'!G47</f>
        <v>0.5714285714285714</v>
      </c>
      <c r="H47" s="49">
        <f>'Avg Week Kyenjojo-Hoima'!H47+'Avg Week Hoima-Kyenjojo'!H47</f>
        <v>0</v>
      </c>
      <c r="I47" s="49">
        <f>'Avg Week Kyenjojo-Hoima'!I47+'Avg Week Hoima-Kyenjojo'!I47</f>
        <v>1.7142857142857144</v>
      </c>
      <c r="J47" s="49">
        <f>'Avg Week Kyenjojo-Hoima'!J47+'Avg Week Hoima-Kyenjojo'!J47</f>
        <v>0.71428571428571419</v>
      </c>
      <c r="K47" s="49">
        <f>'Avg Week Kyenjojo-Hoima'!K47+'Avg Week Hoima-Kyenjojo'!K47</f>
        <v>0.42857142857142855</v>
      </c>
      <c r="L47" s="49">
        <f>'Avg Week Kyenjojo-Hoima'!L47+'Avg Week Hoima-Kyenjojo'!L47</f>
        <v>0.42857142857142855</v>
      </c>
      <c r="M47" s="49">
        <f>'Avg Week Kyenjojo-Hoima'!M47+'Avg Week Hoima-Kyenjojo'!M47</f>
        <v>74</v>
      </c>
      <c r="N47" s="49">
        <f>'Avg Week Kyenjojo-Hoima'!N47+'Avg Week Hoima-Kyenjojo'!N47</f>
        <v>0</v>
      </c>
      <c r="O47" s="15">
        <f t="shared" si="0"/>
        <v>22.428571428571427</v>
      </c>
      <c r="P47" s="15">
        <f t="shared" si="1"/>
        <v>96.428571428571431</v>
      </c>
      <c r="R47" s="8"/>
      <c r="T47"/>
    </row>
    <row r="48" spans="2:32" ht="23.1" customHeight="1" x14ac:dyDescent="0.25">
      <c r="B48" s="24" t="s">
        <v>75</v>
      </c>
      <c r="C48" s="49">
        <f>'Avg Week Kyenjojo-Hoima'!C48+'Avg Week Hoima-Kyenjojo'!C48</f>
        <v>11.571428571428571</v>
      </c>
      <c r="D48" s="49">
        <f>'Avg Week Kyenjojo-Hoima'!D48+'Avg Week Hoima-Kyenjojo'!D48</f>
        <v>1.1428571428571428</v>
      </c>
      <c r="E48" s="49">
        <f>'Avg Week Kyenjojo-Hoima'!E48+'Avg Week Hoima-Kyenjojo'!E48</f>
        <v>1.7142857142857144</v>
      </c>
      <c r="F48" s="49">
        <f>'Avg Week Kyenjojo-Hoima'!F48+'Avg Week Hoima-Kyenjojo'!F48</f>
        <v>1</v>
      </c>
      <c r="G48" s="49">
        <f>'Avg Week Kyenjojo-Hoima'!G48+'Avg Week Hoima-Kyenjojo'!G48</f>
        <v>0</v>
      </c>
      <c r="H48" s="49">
        <f>'Avg Week Kyenjojo-Hoima'!H48+'Avg Week Hoima-Kyenjojo'!H48</f>
        <v>0</v>
      </c>
      <c r="I48" s="49">
        <f>'Avg Week Kyenjojo-Hoima'!I48+'Avg Week Hoima-Kyenjojo'!I48</f>
        <v>1.8571428571428572</v>
      </c>
      <c r="J48" s="49">
        <f>'Avg Week Kyenjojo-Hoima'!J48+'Avg Week Hoima-Kyenjojo'!J48</f>
        <v>1.4285714285714286</v>
      </c>
      <c r="K48" s="49">
        <f>'Avg Week Kyenjojo-Hoima'!K48+'Avg Week Hoima-Kyenjojo'!K48</f>
        <v>0.71428571428571419</v>
      </c>
      <c r="L48" s="49">
        <f>'Avg Week Kyenjojo-Hoima'!L48+'Avg Week Hoima-Kyenjojo'!L48</f>
        <v>0.14285714285714285</v>
      </c>
      <c r="M48" s="49">
        <f>'Avg Week Kyenjojo-Hoima'!M48+'Avg Week Hoima-Kyenjojo'!M48</f>
        <v>73.857142857142861</v>
      </c>
      <c r="N48" s="49">
        <f>'Avg Week Kyenjojo-Hoima'!N48+'Avg Week Hoima-Kyenjojo'!N48</f>
        <v>0</v>
      </c>
      <c r="O48" s="15">
        <f t="shared" si="0"/>
        <v>19.571428571428569</v>
      </c>
      <c r="P48" s="15">
        <f t="shared" si="1"/>
        <v>93.428571428571431</v>
      </c>
      <c r="R48" s="8"/>
      <c r="T48"/>
    </row>
    <row r="49" spans="2:20" ht="23.1" customHeight="1" x14ac:dyDescent="0.25">
      <c r="B49" s="23" t="s">
        <v>76</v>
      </c>
      <c r="C49" s="49">
        <f>'Avg Week Kyenjojo-Hoima'!C49+'Avg Week Hoima-Kyenjojo'!C49</f>
        <v>14.714285714285714</v>
      </c>
      <c r="D49" s="49">
        <f>'Avg Week Kyenjojo-Hoima'!D49+'Avg Week Hoima-Kyenjojo'!D49</f>
        <v>1</v>
      </c>
      <c r="E49" s="49">
        <f>'Avg Week Kyenjojo-Hoima'!E49+'Avg Week Hoima-Kyenjojo'!E49</f>
        <v>2.1428571428571428</v>
      </c>
      <c r="F49" s="49">
        <f>'Avg Week Kyenjojo-Hoima'!F49+'Avg Week Hoima-Kyenjojo'!F49</f>
        <v>2.1428571428571428</v>
      </c>
      <c r="G49" s="49">
        <f>'Avg Week Kyenjojo-Hoima'!G49+'Avg Week Hoima-Kyenjojo'!G49</f>
        <v>0.2857142857142857</v>
      </c>
      <c r="H49" s="49">
        <f>'Avg Week Kyenjojo-Hoima'!H49+'Avg Week Hoima-Kyenjojo'!H49</f>
        <v>0</v>
      </c>
      <c r="I49" s="49">
        <f>'Avg Week Kyenjojo-Hoima'!I49+'Avg Week Hoima-Kyenjojo'!I49</f>
        <v>0.85714285714285721</v>
      </c>
      <c r="J49" s="49">
        <f>'Avg Week Kyenjojo-Hoima'!J49+'Avg Week Hoima-Kyenjojo'!J49</f>
        <v>0.8571428571428571</v>
      </c>
      <c r="K49" s="49">
        <f>'Avg Week Kyenjojo-Hoima'!K49+'Avg Week Hoima-Kyenjojo'!K49</f>
        <v>0.2857142857142857</v>
      </c>
      <c r="L49" s="49">
        <f>'Avg Week Kyenjojo-Hoima'!L49+'Avg Week Hoima-Kyenjojo'!L49</f>
        <v>0.14285714285714285</v>
      </c>
      <c r="M49" s="49">
        <f>'Avg Week Kyenjojo-Hoima'!M49+'Avg Week Hoima-Kyenjojo'!M49</f>
        <v>75.428571428571431</v>
      </c>
      <c r="N49" s="49">
        <f>'Avg Week Kyenjojo-Hoima'!N49+'Avg Week Hoima-Kyenjojo'!N49</f>
        <v>0</v>
      </c>
      <c r="O49" s="15">
        <f t="shared" si="0"/>
        <v>22.428571428571427</v>
      </c>
      <c r="P49" s="15">
        <f t="shared" si="1"/>
        <v>97.857142857142861</v>
      </c>
      <c r="R49" s="8"/>
      <c r="T49"/>
    </row>
    <row r="50" spans="2:20" ht="23.1" customHeight="1" x14ac:dyDescent="0.25">
      <c r="B50" s="24" t="s">
        <v>77</v>
      </c>
      <c r="C50" s="49">
        <f>'Avg Week Kyenjojo-Hoima'!C50+'Avg Week Hoima-Kyenjojo'!C50</f>
        <v>12.285714285714286</v>
      </c>
      <c r="D50" s="49">
        <f>'Avg Week Kyenjojo-Hoima'!D50+'Avg Week Hoima-Kyenjojo'!D50</f>
        <v>1.4285714285714284</v>
      </c>
      <c r="E50" s="49">
        <f>'Avg Week Kyenjojo-Hoima'!E50+'Avg Week Hoima-Kyenjojo'!E50</f>
        <v>1.5714285714285716</v>
      </c>
      <c r="F50" s="49">
        <f>'Avg Week Kyenjojo-Hoima'!F50+'Avg Week Hoima-Kyenjojo'!F50</f>
        <v>1.7142857142857144</v>
      </c>
      <c r="G50" s="49">
        <f>'Avg Week Kyenjojo-Hoima'!G50+'Avg Week Hoima-Kyenjojo'!G50</f>
        <v>0</v>
      </c>
      <c r="H50" s="49">
        <f>'Avg Week Kyenjojo-Hoima'!H50+'Avg Week Hoima-Kyenjojo'!H50</f>
        <v>0.14285714285714285</v>
      </c>
      <c r="I50" s="49">
        <f>'Avg Week Kyenjojo-Hoima'!I50+'Avg Week Hoima-Kyenjojo'!I50</f>
        <v>2.1428571428571428</v>
      </c>
      <c r="J50" s="49">
        <f>'Avg Week Kyenjojo-Hoima'!J50+'Avg Week Hoima-Kyenjojo'!J50</f>
        <v>1.1428571428571428</v>
      </c>
      <c r="K50" s="49">
        <f>'Avg Week Kyenjojo-Hoima'!K50+'Avg Week Hoima-Kyenjojo'!K50</f>
        <v>0.71428571428571419</v>
      </c>
      <c r="L50" s="49">
        <f>'Avg Week Kyenjojo-Hoima'!L50+'Avg Week Hoima-Kyenjojo'!L50</f>
        <v>0.14285714285714285</v>
      </c>
      <c r="M50" s="49">
        <f>'Avg Week Kyenjojo-Hoima'!M50+'Avg Week Hoima-Kyenjojo'!M50</f>
        <v>75.857142857142861</v>
      </c>
      <c r="N50" s="49">
        <f>'Avg Week Kyenjojo-Hoima'!N50+'Avg Week Hoima-Kyenjojo'!N50</f>
        <v>0</v>
      </c>
      <c r="O50" s="15">
        <f t="shared" si="0"/>
        <v>21.285714285714285</v>
      </c>
      <c r="P50" s="15">
        <f t="shared" si="1"/>
        <v>97.142857142857139</v>
      </c>
      <c r="R50" s="8"/>
      <c r="T50"/>
    </row>
    <row r="51" spans="2:20" ht="23.1" customHeight="1" x14ac:dyDescent="0.25">
      <c r="B51" s="24" t="s">
        <v>78</v>
      </c>
      <c r="C51" s="49">
        <f>'Avg Week Kyenjojo-Hoima'!C51+'Avg Week Hoima-Kyenjojo'!C51</f>
        <v>11.428571428571429</v>
      </c>
      <c r="D51" s="49">
        <f>'Avg Week Kyenjojo-Hoima'!D51+'Avg Week Hoima-Kyenjojo'!D51</f>
        <v>1.7142857142857144</v>
      </c>
      <c r="E51" s="49">
        <f>'Avg Week Kyenjojo-Hoima'!E51+'Avg Week Hoima-Kyenjojo'!E51</f>
        <v>3.285714285714286</v>
      </c>
      <c r="F51" s="49">
        <f>'Avg Week Kyenjojo-Hoima'!F51+'Avg Week Hoima-Kyenjojo'!F51</f>
        <v>1</v>
      </c>
      <c r="G51" s="49">
        <f>'Avg Week Kyenjojo-Hoima'!G51+'Avg Week Hoima-Kyenjojo'!G51</f>
        <v>0</v>
      </c>
      <c r="H51" s="49">
        <f>'Avg Week Kyenjojo-Hoima'!H51+'Avg Week Hoima-Kyenjojo'!H51</f>
        <v>0.2857142857142857</v>
      </c>
      <c r="I51" s="49">
        <f>'Avg Week Kyenjojo-Hoima'!I51+'Avg Week Hoima-Kyenjojo'!I51</f>
        <v>1.2857142857142856</v>
      </c>
      <c r="J51" s="49">
        <f>'Avg Week Kyenjojo-Hoima'!J51+'Avg Week Hoima-Kyenjojo'!J51</f>
        <v>2</v>
      </c>
      <c r="K51" s="49">
        <f>'Avg Week Kyenjojo-Hoima'!K51+'Avg Week Hoima-Kyenjojo'!K51</f>
        <v>0.5714285714285714</v>
      </c>
      <c r="L51" s="49">
        <f>'Avg Week Kyenjojo-Hoima'!L51+'Avg Week Hoima-Kyenjojo'!L51</f>
        <v>0.14285714285714285</v>
      </c>
      <c r="M51" s="49">
        <f>'Avg Week Kyenjojo-Hoima'!M51+'Avg Week Hoima-Kyenjojo'!M51</f>
        <v>75.571428571428569</v>
      </c>
      <c r="N51" s="49">
        <f>'Avg Week Kyenjojo-Hoima'!N51+'Avg Week Hoima-Kyenjojo'!N51</f>
        <v>0</v>
      </c>
      <c r="O51" s="15">
        <f t="shared" si="0"/>
        <v>21.714285714285712</v>
      </c>
      <c r="P51" s="15">
        <f t="shared" si="1"/>
        <v>97.285714285714278</v>
      </c>
      <c r="R51" s="8"/>
      <c r="T51"/>
    </row>
    <row r="52" spans="2:20" ht="23.1" customHeight="1" x14ac:dyDescent="0.25">
      <c r="B52" s="24" t="s">
        <v>79</v>
      </c>
      <c r="C52" s="49">
        <f>'Avg Week Kyenjojo-Hoima'!C52+'Avg Week Hoima-Kyenjojo'!C52</f>
        <v>12.428571428571429</v>
      </c>
      <c r="D52" s="49">
        <f>'Avg Week Kyenjojo-Hoima'!D52+'Avg Week Hoima-Kyenjojo'!D52</f>
        <v>1</v>
      </c>
      <c r="E52" s="49">
        <f>'Avg Week Kyenjojo-Hoima'!E52+'Avg Week Hoima-Kyenjojo'!E52</f>
        <v>2.8571428571428572</v>
      </c>
      <c r="F52" s="49">
        <f>'Avg Week Kyenjojo-Hoima'!F52+'Avg Week Hoima-Kyenjojo'!F52</f>
        <v>0.2857142857142857</v>
      </c>
      <c r="G52" s="49">
        <f>'Avg Week Kyenjojo-Hoima'!G52+'Avg Week Hoima-Kyenjojo'!G52</f>
        <v>0.42857142857142855</v>
      </c>
      <c r="H52" s="49">
        <f>'Avg Week Kyenjojo-Hoima'!H52+'Avg Week Hoima-Kyenjojo'!H52</f>
        <v>0.5714285714285714</v>
      </c>
      <c r="I52" s="49">
        <f>'Avg Week Kyenjojo-Hoima'!I52+'Avg Week Hoima-Kyenjojo'!I52</f>
        <v>2.1428571428571428</v>
      </c>
      <c r="J52" s="49">
        <f>'Avg Week Kyenjojo-Hoima'!J52+'Avg Week Hoima-Kyenjojo'!J52</f>
        <v>1.7142857142857144</v>
      </c>
      <c r="K52" s="49">
        <f>'Avg Week Kyenjojo-Hoima'!K52+'Avg Week Hoima-Kyenjojo'!K52</f>
        <v>0</v>
      </c>
      <c r="L52" s="49">
        <f>'Avg Week Kyenjojo-Hoima'!L52+'Avg Week Hoima-Kyenjojo'!L52</f>
        <v>0.14285714285714285</v>
      </c>
      <c r="M52" s="49">
        <f>'Avg Week Kyenjojo-Hoima'!M52+'Avg Week Hoima-Kyenjojo'!M52</f>
        <v>72.142857142857139</v>
      </c>
      <c r="N52" s="49">
        <f>'Avg Week Kyenjojo-Hoima'!N52+'Avg Week Hoima-Kyenjojo'!N52</f>
        <v>0</v>
      </c>
      <c r="O52" s="15">
        <f t="shared" si="0"/>
        <v>21.571428571428569</v>
      </c>
      <c r="P52" s="15">
        <f t="shared" si="1"/>
        <v>93.714285714285708</v>
      </c>
      <c r="R52" s="8"/>
      <c r="T52"/>
    </row>
    <row r="53" spans="2:20" ht="23.1" customHeight="1" x14ac:dyDescent="0.25">
      <c r="B53" s="23" t="s">
        <v>80</v>
      </c>
      <c r="C53" s="49">
        <f>'Avg Week Kyenjojo-Hoima'!C53+'Avg Week Hoima-Kyenjojo'!C53</f>
        <v>13.714285714285715</v>
      </c>
      <c r="D53" s="49">
        <f>'Avg Week Kyenjojo-Hoima'!D53+'Avg Week Hoima-Kyenjojo'!D53</f>
        <v>1.8571428571428572</v>
      </c>
      <c r="E53" s="49">
        <f>'Avg Week Kyenjojo-Hoima'!E53+'Avg Week Hoima-Kyenjojo'!E53</f>
        <v>3.1428571428571428</v>
      </c>
      <c r="F53" s="49">
        <f>'Avg Week Kyenjojo-Hoima'!F53+'Avg Week Hoima-Kyenjojo'!F53</f>
        <v>1.1428571428571428</v>
      </c>
      <c r="G53" s="49">
        <f>'Avg Week Kyenjojo-Hoima'!G53+'Avg Week Hoima-Kyenjojo'!G53</f>
        <v>0.2857142857142857</v>
      </c>
      <c r="H53" s="49">
        <f>'Avg Week Kyenjojo-Hoima'!H53+'Avg Week Hoima-Kyenjojo'!H53</f>
        <v>0</v>
      </c>
      <c r="I53" s="49">
        <f>'Avg Week Kyenjojo-Hoima'!I53+'Avg Week Hoima-Kyenjojo'!I53</f>
        <v>2.2857142857142856</v>
      </c>
      <c r="J53" s="49">
        <f>'Avg Week Kyenjojo-Hoima'!J53+'Avg Week Hoima-Kyenjojo'!J53</f>
        <v>1.7142857142857144</v>
      </c>
      <c r="K53" s="49">
        <f>'Avg Week Kyenjojo-Hoima'!K53+'Avg Week Hoima-Kyenjojo'!K53</f>
        <v>0.71428571428571419</v>
      </c>
      <c r="L53" s="49">
        <f>'Avg Week Kyenjojo-Hoima'!L53+'Avg Week Hoima-Kyenjojo'!L53</f>
        <v>0.42857142857142855</v>
      </c>
      <c r="M53" s="49">
        <f>'Avg Week Kyenjojo-Hoima'!M53+'Avg Week Hoima-Kyenjojo'!M53</f>
        <v>66.285714285714292</v>
      </c>
      <c r="N53" s="49">
        <f>'Avg Week Kyenjojo-Hoima'!N53+'Avg Week Hoima-Kyenjojo'!N53</f>
        <v>0</v>
      </c>
      <c r="O53" s="15">
        <f t="shared" si="0"/>
        <v>25.285714285714285</v>
      </c>
      <c r="P53" s="15">
        <f t="shared" si="1"/>
        <v>91.571428571428584</v>
      </c>
      <c r="R53" s="8"/>
      <c r="T53"/>
    </row>
    <row r="54" spans="2:20" ht="23.1" customHeight="1" x14ac:dyDescent="0.25">
      <c r="B54" s="23" t="s">
        <v>81</v>
      </c>
      <c r="C54" s="49">
        <f>'Avg Week Kyenjojo-Hoima'!C54+'Avg Week Hoima-Kyenjojo'!C54</f>
        <v>13</v>
      </c>
      <c r="D54" s="49">
        <f>'Avg Week Kyenjojo-Hoima'!D54+'Avg Week Hoima-Kyenjojo'!D54</f>
        <v>1.2857142857142856</v>
      </c>
      <c r="E54" s="49">
        <f>'Avg Week Kyenjojo-Hoima'!E54+'Avg Week Hoima-Kyenjojo'!E54</f>
        <v>2.5714285714285712</v>
      </c>
      <c r="F54" s="49">
        <f>'Avg Week Kyenjojo-Hoima'!F54+'Avg Week Hoima-Kyenjojo'!F54</f>
        <v>2.5714285714285712</v>
      </c>
      <c r="G54" s="49">
        <f>'Avg Week Kyenjojo-Hoima'!G54+'Avg Week Hoima-Kyenjojo'!G54</f>
        <v>0</v>
      </c>
      <c r="H54" s="49">
        <f>'Avg Week Kyenjojo-Hoima'!H54+'Avg Week Hoima-Kyenjojo'!H54</f>
        <v>0.14285714285714285</v>
      </c>
      <c r="I54" s="49">
        <f>'Avg Week Kyenjojo-Hoima'!I54+'Avg Week Hoima-Kyenjojo'!I54</f>
        <v>2</v>
      </c>
      <c r="J54" s="49">
        <f>'Avg Week Kyenjojo-Hoima'!J54+'Avg Week Hoima-Kyenjojo'!J54</f>
        <v>1.1428571428571428</v>
      </c>
      <c r="K54" s="49">
        <f>'Avg Week Kyenjojo-Hoima'!K54+'Avg Week Hoima-Kyenjojo'!K54</f>
        <v>0.42857142857142855</v>
      </c>
      <c r="L54" s="49">
        <f>'Avg Week Kyenjojo-Hoima'!L54+'Avg Week Hoima-Kyenjojo'!L54</f>
        <v>0</v>
      </c>
      <c r="M54" s="49">
        <f>'Avg Week Kyenjojo-Hoima'!M54+'Avg Week Hoima-Kyenjojo'!M54</f>
        <v>76</v>
      </c>
      <c r="N54" s="49">
        <f>'Avg Week Kyenjojo-Hoima'!N54+'Avg Week Hoima-Kyenjojo'!N54</f>
        <v>0</v>
      </c>
      <c r="O54" s="15">
        <f t="shared" si="0"/>
        <v>23.142857142857135</v>
      </c>
      <c r="P54" s="15">
        <f t="shared" si="1"/>
        <v>99.142857142857139</v>
      </c>
      <c r="R54" s="8"/>
      <c r="T54"/>
    </row>
    <row r="55" spans="2:20" ht="23.1" customHeight="1" x14ac:dyDescent="0.25">
      <c r="B55" s="23" t="s">
        <v>82</v>
      </c>
      <c r="C55" s="49">
        <f>'Avg Week Kyenjojo-Hoima'!C55+'Avg Week Hoima-Kyenjojo'!C55</f>
        <v>11.571428571428571</v>
      </c>
      <c r="D55" s="49">
        <f>'Avg Week Kyenjojo-Hoima'!D55+'Avg Week Hoima-Kyenjojo'!D55</f>
        <v>0.42857142857142855</v>
      </c>
      <c r="E55" s="49">
        <f>'Avg Week Kyenjojo-Hoima'!E55+'Avg Week Hoima-Kyenjojo'!E55</f>
        <v>1.8571428571428572</v>
      </c>
      <c r="F55" s="49">
        <f>'Avg Week Kyenjojo-Hoima'!F55+'Avg Week Hoima-Kyenjojo'!F55</f>
        <v>1.1428571428571428</v>
      </c>
      <c r="G55" s="49">
        <f>'Avg Week Kyenjojo-Hoima'!G55+'Avg Week Hoima-Kyenjojo'!G55</f>
        <v>0</v>
      </c>
      <c r="H55" s="49">
        <f>'Avg Week Kyenjojo-Hoima'!H55+'Avg Week Hoima-Kyenjojo'!H55</f>
        <v>0.14285714285714285</v>
      </c>
      <c r="I55" s="49">
        <f>'Avg Week Kyenjojo-Hoima'!I55+'Avg Week Hoima-Kyenjojo'!I55</f>
        <v>1.8571428571428572</v>
      </c>
      <c r="J55" s="49">
        <f>'Avg Week Kyenjojo-Hoima'!J55+'Avg Week Hoima-Kyenjojo'!J55</f>
        <v>1.4285714285714284</v>
      </c>
      <c r="K55" s="49">
        <f>'Avg Week Kyenjojo-Hoima'!K55+'Avg Week Hoima-Kyenjojo'!K55</f>
        <v>0.42857142857142855</v>
      </c>
      <c r="L55" s="49">
        <f>'Avg Week Kyenjojo-Hoima'!L55+'Avg Week Hoima-Kyenjojo'!L55</f>
        <v>0.2857142857142857</v>
      </c>
      <c r="M55" s="49">
        <f>'Avg Week Kyenjojo-Hoima'!M55+'Avg Week Hoima-Kyenjojo'!M55</f>
        <v>71</v>
      </c>
      <c r="N55" s="49">
        <f>'Avg Week Kyenjojo-Hoima'!N55+'Avg Week Hoima-Kyenjojo'!N55</f>
        <v>0</v>
      </c>
      <c r="O55" s="15">
        <f t="shared" si="0"/>
        <v>19.142857142857139</v>
      </c>
      <c r="P55" s="15">
        <f t="shared" si="1"/>
        <v>90.142857142857139</v>
      </c>
      <c r="R55" s="8"/>
      <c r="T55"/>
    </row>
    <row r="56" spans="2:20" ht="23.1" customHeight="1" x14ac:dyDescent="0.25">
      <c r="B56" s="23" t="s">
        <v>83</v>
      </c>
      <c r="C56" s="49">
        <f>'Avg Week Kyenjojo-Hoima'!C56+'Avg Week Hoima-Kyenjojo'!C56</f>
        <v>13.857142857142858</v>
      </c>
      <c r="D56" s="49">
        <f>'Avg Week Kyenjojo-Hoima'!D56+'Avg Week Hoima-Kyenjojo'!D56</f>
        <v>1.1428571428571428</v>
      </c>
      <c r="E56" s="49">
        <f>'Avg Week Kyenjojo-Hoima'!E56+'Avg Week Hoima-Kyenjojo'!E56</f>
        <v>1.8571428571428572</v>
      </c>
      <c r="F56" s="49">
        <f>'Avg Week Kyenjojo-Hoima'!F56+'Avg Week Hoima-Kyenjojo'!F56</f>
        <v>1.2857142857142856</v>
      </c>
      <c r="G56" s="49">
        <f>'Avg Week Kyenjojo-Hoima'!G56+'Avg Week Hoima-Kyenjojo'!G56</f>
        <v>0</v>
      </c>
      <c r="H56" s="49">
        <f>'Avg Week Kyenjojo-Hoima'!H56+'Avg Week Hoima-Kyenjojo'!H56</f>
        <v>0</v>
      </c>
      <c r="I56" s="49">
        <f>'Avg Week Kyenjojo-Hoima'!I56+'Avg Week Hoima-Kyenjojo'!I56</f>
        <v>1.4285714285714286</v>
      </c>
      <c r="J56" s="49">
        <f>'Avg Week Kyenjojo-Hoima'!J56+'Avg Week Hoima-Kyenjojo'!J56</f>
        <v>0.42857142857142855</v>
      </c>
      <c r="K56" s="49">
        <f>'Avg Week Kyenjojo-Hoima'!K56+'Avg Week Hoima-Kyenjojo'!K56</f>
        <v>0.7142857142857143</v>
      </c>
      <c r="L56" s="49">
        <f>'Avg Week Kyenjojo-Hoima'!L56+'Avg Week Hoima-Kyenjojo'!L56</f>
        <v>0.14285714285714285</v>
      </c>
      <c r="M56" s="49">
        <f>'Avg Week Kyenjojo-Hoima'!M56+'Avg Week Hoima-Kyenjojo'!M56</f>
        <v>74.857142857142861</v>
      </c>
      <c r="N56" s="49">
        <f>'Avg Week Kyenjojo-Hoima'!N56+'Avg Week Hoima-Kyenjojo'!N56</f>
        <v>0</v>
      </c>
      <c r="O56" s="15">
        <f t="shared" si="0"/>
        <v>20.857142857142854</v>
      </c>
      <c r="P56" s="15">
        <f t="shared" si="1"/>
        <v>95.714285714285722</v>
      </c>
      <c r="R56" s="8"/>
      <c r="T56"/>
    </row>
    <row r="57" spans="2:20" ht="23.1" customHeight="1" x14ac:dyDescent="0.25">
      <c r="B57" s="23" t="s">
        <v>84</v>
      </c>
      <c r="C57" s="49">
        <f>'Avg Week Kyenjojo-Hoima'!C57+'Avg Week Hoima-Kyenjojo'!C57</f>
        <v>9.8571428571428577</v>
      </c>
      <c r="D57" s="49">
        <f>'Avg Week Kyenjojo-Hoima'!D57+'Avg Week Hoima-Kyenjojo'!D57</f>
        <v>2</v>
      </c>
      <c r="E57" s="49">
        <f>'Avg Week Kyenjojo-Hoima'!E57+'Avg Week Hoima-Kyenjojo'!E57</f>
        <v>2</v>
      </c>
      <c r="F57" s="49">
        <f>'Avg Week Kyenjojo-Hoima'!F57+'Avg Week Hoima-Kyenjojo'!F57</f>
        <v>1.1428571428571428</v>
      </c>
      <c r="G57" s="49">
        <f>'Avg Week Kyenjojo-Hoima'!G57+'Avg Week Hoima-Kyenjojo'!G57</f>
        <v>0</v>
      </c>
      <c r="H57" s="49">
        <f>'Avg Week Kyenjojo-Hoima'!H57+'Avg Week Hoima-Kyenjojo'!H57</f>
        <v>0</v>
      </c>
      <c r="I57" s="49">
        <f>'Avg Week Kyenjojo-Hoima'!I57+'Avg Week Hoima-Kyenjojo'!I57</f>
        <v>0.42857142857142855</v>
      </c>
      <c r="J57" s="49">
        <f>'Avg Week Kyenjojo-Hoima'!J57+'Avg Week Hoima-Kyenjojo'!J57</f>
        <v>1.2857142857142856</v>
      </c>
      <c r="K57" s="49">
        <f>'Avg Week Kyenjojo-Hoima'!K57+'Avg Week Hoima-Kyenjojo'!K57</f>
        <v>1</v>
      </c>
      <c r="L57" s="49">
        <f>'Avg Week Kyenjojo-Hoima'!L57+'Avg Week Hoima-Kyenjojo'!L57</f>
        <v>0</v>
      </c>
      <c r="M57" s="49">
        <f>'Avg Week Kyenjojo-Hoima'!M57+'Avg Week Hoima-Kyenjojo'!M57</f>
        <v>77.142857142857139</v>
      </c>
      <c r="N57" s="49">
        <f>'Avg Week Kyenjojo-Hoima'!N57+'Avg Week Hoima-Kyenjojo'!N57</f>
        <v>0</v>
      </c>
      <c r="O57" s="15">
        <f t="shared" si="0"/>
        <v>17.714285714285715</v>
      </c>
      <c r="P57" s="15">
        <f t="shared" si="1"/>
        <v>94.857142857142861</v>
      </c>
      <c r="R57" s="8"/>
      <c r="T57"/>
    </row>
    <row r="58" spans="2:20" ht="23.1" customHeight="1" x14ac:dyDescent="0.25">
      <c r="B58" s="23" t="s">
        <v>99</v>
      </c>
      <c r="C58" s="49">
        <f>'Avg Week Kyenjojo-Hoima'!C58+'Avg Week Hoima-Kyenjojo'!C58</f>
        <v>11</v>
      </c>
      <c r="D58" s="49">
        <f>'Avg Week Kyenjojo-Hoima'!D58+'Avg Week Hoima-Kyenjojo'!D58</f>
        <v>2.5</v>
      </c>
      <c r="E58" s="49">
        <f>'Avg Week Kyenjojo-Hoima'!E58+'Avg Week Hoima-Kyenjojo'!E58</f>
        <v>2</v>
      </c>
      <c r="F58" s="49">
        <f>'Avg Week Kyenjojo-Hoima'!F58+'Avg Week Hoima-Kyenjojo'!F58</f>
        <v>1</v>
      </c>
      <c r="G58" s="49">
        <f>'Avg Week Kyenjojo-Hoima'!G58+'Avg Week Hoima-Kyenjojo'!G58</f>
        <v>0</v>
      </c>
      <c r="H58" s="49">
        <f>'Avg Week Kyenjojo-Hoima'!H58+'Avg Week Hoima-Kyenjojo'!H58</f>
        <v>0</v>
      </c>
      <c r="I58" s="49">
        <f>'Avg Week Kyenjojo-Hoima'!I58+'Avg Week Hoima-Kyenjojo'!I58</f>
        <v>3.5</v>
      </c>
      <c r="J58" s="49">
        <f>'Avg Week Kyenjojo-Hoima'!J58+'Avg Week Hoima-Kyenjojo'!J58</f>
        <v>0</v>
      </c>
      <c r="K58" s="49">
        <f>'Avg Week Kyenjojo-Hoima'!K58+'Avg Week Hoima-Kyenjojo'!K58</f>
        <v>0.5</v>
      </c>
      <c r="L58" s="49">
        <f>'Avg Week Kyenjojo-Hoima'!L58+'Avg Week Hoima-Kyenjojo'!L58</f>
        <v>0.5</v>
      </c>
      <c r="M58" s="49">
        <f>'Avg Week Kyenjojo-Hoima'!M58+'Avg Week Hoima-Kyenjojo'!M58</f>
        <v>77</v>
      </c>
      <c r="N58" s="49">
        <f>'Avg Week Kyenjojo-Hoima'!N58+'Avg Week Hoima-Kyenjojo'!N58</f>
        <v>0</v>
      </c>
      <c r="O58" s="15">
        <f t="shared" si="0"/>
        <v>21</v>
      </c>
      <c r="P58" s="15">
        <f t="shared" si="1"/>
        <v>98</v>
      </c>
      <c r="R58" s="8"/>
      <c r="T58"/>
    </row>
    <row r="59" spans="2:20" ht="23.1" customHeight="1" x14ac:dyDescent="0.25">
      <c r="B59" s="23" t="s">
        <v>100</v>
      </c>
      <c r="C59" s="49">
        <f>'Avg Week Kyenjojo-Hoima'!C59+'Avg Week Hoima-Kyenjojo'!C59</f>
        <v>18.5</v>
      </c>
      <c r="D59" s="49">
        <f>'Avg Week Kyenjojo-Hoima'!D59+'Avg Week Hoima-Kyenjojo'!D59</f>
        <v>0.5</v>
      </c>
      <c r="E59" s="49">
        <f>'Avg Week Kyenjojo-Hoima'!E59+'Avg Week Hoima-Kyenjojo'!E59</f>
        <v>2.5</v>
      </c>
      <c r="F59" s="49">
        <f>'Avg Week Kyenjojo-Hoima'!F59+'Avg Week Hoima-Kyenjojo'!F59</f>
        <v>3.5</v>
      </c>
      <c r="G59" s="49">
        <f>'Avg Week Kyenjojo-Hoima'!G59+'Avg Week Hoima-Kyenjojo'!G59</f>
        <v>0</v>
      </c>
      <c r="H59" s="49">
        <f>'Avg Week Kyenjojo-Hoima'!H59+'Avg Week Hoima-Kyenjojo'!H59</f>
        <v>0</v>
      </c>
      <c r="I59" s="49">
        <f>'Avg Week Kyenjojo-Hoima'!I59+'Avg Week Hoima-Kyenjojo'!I59</f>
        <v>2</v>
      </c>
      <c r="J59" s="49">
        <f>'Avg Week Kyenjojo-Hoima'!J59+'Avg Week Hoima-Kyenjojo'!J59</f>
        <v>1.5</v>
      </c>
      <c r="K59" s="49">
        <f>'Avg Week Kyenjojo-Hoima'!K59+'Avg Week Hoima-Kyenjojo'!K59</f>
        <v>0.5</v>
      </c>
      <c r="L59" s="49">
        <f>'Avg Week Kyenjojo-Hoima'!L59+'Avg Week Hoima-Kyenjojo'!L59</f>
        <v>0</v>
      </c>
      <c r="M59" s="49">
        <f>'Avg Week Kyenjojo-Hoima'!M59+'Avg Week Hoima-Kyenjojo'!M59</f>
        <v>71</v>
      </c>
      <c r="N59" s="49">
        <f>'Avg Week Kyenjojo-Hoima'!N59+'Avg Week Hoima-Kyenjojo'!N59</f>
        <v>0</v>
      </c>
      <c r="O59" s="15">
        <f t="shared" si="0"/>
        <v>29</v>
      </c>
      <c r="P59" s="15">
        <f t="shared" si="1"/>
        <v>100</v>
      </c>
      <c r="R59" s="8"/>
      <c r="T59"/>
    </row>
    <row r="60" spans="2:20" ht="23.1" customHeight="1" x14ac:dyDescent="0.25">
      <c r="B60" s="23" t="s">
        <v>101</v>
      </c>
      <c r="C60" s="49">
        <f>'Avg Week Kyenjojo-Hoima'!C60+'Avg Week Hoima-Kyenjojo'!C60</f>
        <v>12.5</v>
      </c>
      <c r="D60" s="49">
        <f>'Avg Week Kyenjojo-Hoima'!D60+'Avg Week Hoima-Kyenjojo'!D60</f>
        <v>0.5</v>
      </c>
      <c r="E60" s="49">
        <f>'Avg Week Kyenjojo-Hoima'!E60+'Avg Week Hoima-Kyenjojo'!E60</f>
        <v>0.5</v>
      </c>
      <c r="F60" s="49">
        <f>'Avg Week Kyenjojo-Hoima'!F60+'Avg Week Hoima-Kyenjojo'!F60</f>
        <v>5</v>
      </c>
      <c r="G60" s="49">
        <f>'Avg Week Kyenjojo-Hoima'!G60+'Avg Week Hoima-Kyenjojo'!G60</f>
        <v>0</v>
      </c>
      <c r="H60" s="49">
        <f>'Avg Week Kyenjojo-Hoima'!H60+'Avg Week Hoima-Kyenjojo'!H60</f>
        <v>1</v>
      </c>
      <c r="I60" s="49">
        <f>'Avg Week Kyenjojo-Hoima'!I60+'Avg Week Hoima-Kyenjojo'!I60</f>
        <v>3</v>
      </c>
      <c r="J60" s="49">
        <f>'Avg Week Kyenjojo-Hoima'!J60+'Avg Week Hoima-Kyenjojo'!J60</f>
        <v>2.5</v>
      </c>
      <c r="K60" s="49">
        <f>'Avg Week Kyenjojo-Hoima'!K60+'Avg Week Hoima-Kyenjojo'!K60</f>
        <v>4.5</v>
      </c>
      <c r="L60" s="49">
        <f>'Avg Week Kyenjojo-Hoima'!L60+'Avg Week Hoima-Kyenjojo'!L60</f>
        <v>0</v>
      </c>
      <c r="M60" s="49">
        <f>'Avg Week Kyenjojo-Hoima'!M60+'Avg Week Hoima-Kyenjojo'!M60</f>
        <v>61</v>
      </c>
      <c r="N60" s="49">
        <f>'Avg Week Kyenjojo-Hoima'!N60+'Avg Week Hoima-Kyenjojo'!N60</f>
        <v>0</v>
      </c>
      <c r="O60" s="15">
        <f t="shared" si="0"/>
        <v>29.5</v>
      </c>
      <c r="P60" s="15">
        <f t="shared" si="1"/>
        <v>90.5</v>
      </c>
      <c r="R60" s="8"/>
      <c r="T60"/>
    </row>
    <row r="61" spans="2:20" ht="23.1" customHeight="1" x14ac:dyDescent="0.25">
      <c r="B61" s="23" t="s">
        <v>102</v>
      </c>
      <c r="C61" s="49">
        <f>'Avg Week Kyenjojo-Hoima'!C61+'Avg Week Hoima-Kyenjojo'!C61</f>
        <v>12</v>
      </c>
      <c r="D61" s="49">
        <f>'Avg Week Kyenjojo-Hoima'!D61+'Avg Week Hoima-Kyenjojo'!D61</f>
        <v>3</v>
      </c>
      <c r="E61" s="49">
        <f>'Avg Week Kyenjojo-Hoima'!E61+'Avg Week Hoima-Kyenjojo'!E61</f>
        <v>1</v>
      </c>
      <c r="F61" s="49">
        <f>'Avg Week Kyenjojo-Hoima'!F61+'Avg Week Hoima-Kyenjojo'!F61</f>
        <v>1.5</v>
      </c>
      <c r="G61" s="49">
        <f>'Avg Week Kyenjojo-Hoima'!G61+'Avg Week Hoima-Kyenjojo'!G61</f>
        <v>0</v>
      </c>
      <c r="H61" s="49">
        <f>'Avg Week Kyenjojo-Hoima'!H61+'Avg Week Hoima-Kyenjojo'!H61</f>
        <v>0</v>
      </c>
      <c r="I61" s="49">
        <f>'Avg Week Kyenjojo-Hoima'!I61+'Avg Week Hoima-Kyenjojo'!I61</f>
        <v>1.5</v>
      </c>
      <c r="J61" s="49">
        <f>'Avg Week Kyenjojo-Hoima'!J61+'Avg Week Hoima-Kyenjojo'!J61</f>
        <v>1</v>
      </c>
      <c r="K61" s="49">
        <f>'Avg Week Kyenjojo-Hoima'!K61+'Avg Week Hoima-Kyenjojo'!K61</f>
        <v>1.5</v>
      </c>
      <c r="L61" s="49">
        <f>'Avg Week Kyenjojo-Hoima'!L61+'Avg Week Hoima-Kyenjojo'!L61</f>
        <v>0</v>
      </c>
      <c r="M61" s="49">
        <f>'Avg Week Kyenjojo-Hoima'!M61+'Avg Week Hoima-Kyenjojo'!M61</f>
        <v>50</v>
      </c>
      <c r="N61" s="49">
        <f>'Avg Week Kyenjojo-Hoima'!N61+'Avg Week Hoima-Kyenjojo'!N61</f>
        <v>0</v>
      </c>
      <c r="O61" s="15">
        <f t="shared" si="0"/>
        <v>21.5</v>
      </c>
      <c r="P61" s="15">
        <f t="shared" si="1"/>
        <v>71.5</v>
      </c>
      <c r="R61" s="8"/>
      <c r="T61"/>
    </row>
    <row r="62" spans="2:20" ht="23.1" customHeight="1" x14ac:dyDescent="0.25">
      <c r="B62" s="23" t="s">
        <v>107</v>
      </c>
      <c r="C62" s="49">
        <f>'Avg Week Kyenjojo-Hoima'!C62+'Avg Week Hoima-Kyenjojo'!C62</f>
        <v>7.5</v>
      </c>
      <c r="D62" s="49">
        <f>'Avg Week Kyenjojo-Hoima'!D62+'Avg Week Hoima-Kyenjojo'!D62</f>
        <v>2</v>
      </c>
      <c r="E62" s="49">
        <f>'Avg Week Kyenjojo-Hoima'!E62+'Avg Week Hoima-Kyenjojo'!E62</f>
        <v>2.5</v>
      </c>
      <c r="F62" s="49">
        <f>'Avg Week Kyenjojo-Hoima'!F62+'Avg Week Hoima-Kyenjojo'!F62</f>
        <v>2</v>
      </c>
      <c r="G62" s="49">
        <f>'Avg Week Kyenjojo-Hoima'!G62+'Avg Week Hoima-Kyenjojo'!G62</f>
        <v>0</v>
      </c>
      <c r="H62" s="49">
        <f>'Avg Week Kyenjojo-Hoima'!H62+'Avg Week Hoima-Kyenjojo'!H62</f>
        <v>0</v>
      </c>
      <c r="I62" s="49">
        <f>'Avg Week Kyenjojo-Hoima'!I62+'Avg Week Hoima-Kyenjojo'!I62</f>
        <v>1</v>
      </c>
      <c r="J62" s="49">
        <f>'Avg Week Kyenjojo-Hoima'!J62+'Avg Week Hoima-Kyenjojo'!J62</f>
        <v>1</v>
      </c>
      <c r="K62" s="49">
        <f>'Avg Week Kyenjojo-Hoima'!K62+'Avg Week Hoima-Kyenjojo'!K62</f>
        <v>0.5</v>
      </c>
      <c r="L62" s="49">
        <f>'Avg Week Kyenjojo-Hoima'!L62+'Avg Week Hoima-Kyenjojo'!L62</f>
        <v>0</v>
      </c>
      <c r="M62" s="49">
        <f>'Avg Week Kyenjojo-Hoima'!M62+'Avg Week Hoima-Kyenjojo'!M62</f>
        <v>27</v>
      </c>
      <c r="N62" s="49">
        <f>'Avg Week Kyenjojo-Hoima'!N62+'Avg Week Hoima-Kyenjojo'!N62</f>
        <v>0</v>
      </c>
      <c r="O62" s="15">
        <f t="shared" si="0"/>
        <v>16.5</v>
      </c>
      <c r="P62" s="15">
        <f t="shared" si="1"/>
        <v>43.5</v>
      </c>
      <c r="R62" s="8"/>
      <c r="T62"/>
    </row>
    <row r="63" spans="2:20" ht="23.1" customHeight="1" x14ac:dyDescent="0.25">
      <c r="B63" s="23" t="s">
        <v>108</v>
      </c>
      <c r="C63" s="49">
        <f>'Avg Week Kyenjojo-Hoima'!C63+'Avg Week Hoima-Kyenjojo'!C63</f>
        <v>6.5</v>
      </c>
      <c r="D63" s="49">
        <f>'Avg Week Kyenjojo-Hoima'!D63+'Avg Week Hoima-Kyenjojo'!D63</f>
        <v>3</v>
      </c>
      <c r="E63" s="49">
        <f>'Avg Week Kyenjojo-Hoima'!E63+'Avg Week Hoima-Kyenjojo'!E63</f>
        <v>3.5</v>
      </c>
      <c r="F63" s="49">
        <f>'Avg Week Kyenjojo-Hoima'!F63+'Avg Week Hoima-Kyenjojo'!F63</f>
        <v>1</v>
      </c>
      <c r="G63" s="49">
        <f>'Avg Week Kyenjojo-Hoima'!G63+'Avg Week Hoima-Kyenjojo'!G63</f>
        <v>0</v>
      </c>
      <c r="H63" s="49">
        <f>'Avg Week Kyenjojo-Hoima'!H63+'Avg Week Hoima-Kyenjojo'!H63</f>
        <v>0</v>
      </c>
      <c r="I63" s="49">
        <f>'Avg Week Kyenjojo-Hoima'!I63+'Avg Week Hoima-Kyenjojo'!I63</f>
        <v>3.5</v>
      </c>
      <c r="J63" s="49">
        <f>'Avg Week Kyenjojo-Hoima'!J63+'Avg Week Hoima-Kyenjojo'!J63</f>
        <v>2</v>
      </c>
      <c r="K63" s="49">
        <f>'Avg Week Kyenjojo-Hoima'!K63+'Avg Week Hoima-Kyenjojo'!K63</f>
        <v>1</v>
      </c>
      <c r="L63" s="49">
        <f>'Avg Week Kyenjojo-Hoima'!L63+'Avg Week Hoima-Kyenjojo'!L63</f>
        <v>0.5</v>
      </c>
      <c r="M63" s="49">
        <f>'Avg Week Kyenjojo-Hoima'!M63+'Avg Week Hoima-Kyenjojo'!M63</f>
        <v>46</v>
      </c>
      <c r="N63" s="49">
        <f>'Avg Week Kyenjojo-Hoima'!N63+'Avg Week Hoima-Kyenjojo'!N63</f>
        <v>0</v>
      </c>
      <c r="O63" s="15">
        <f t="shared" si="0"/>
        <v>21</v>
      </c>
      <c r="P63" s="15">
        <f t="shared" si="1"/>
        <v>67</v>
      </c>
      <c r="R63" s="8"/>
      <c r="T63"/>
    </row>
    <row r="64" spans="2:20" ht="23.1" customHeight="1" x14ac:dyDescent="0.25">
      <c r="B64" s="23" t="s">
        <v>109</v>
      </c>
      <c r="C64" s="49">
        <f>'Avg Week Kyenjojo-Hoima'!C64+'Avg Week Hoima-Kyenjojo'!C64</f>
        <v>9</v>
      </c>
      <c r="D64" s="49">
        <f>'Avg Week Kyenjojo-Hoima'!D64+'Avg Week Hoima-Kyenjojo'!D64</f>
        <v>1.5</v>
      </c>
      <c r="E64" s="49">
        <f>'Avg Week Kyenjojo-Hoima'!E64+'Avg Week Hoima-Kyenjojo'!E64</f>
        <v>1.5</v>
      </c>
      <c r="F64" s="49">
        <f>'Avg Week Kyenjojo-Hoima'!F64+'Avg Week Hoima-Kyenjojo'!F64</f>
        <v>1</v>
      </c>
      <c r="G64" s="49">
        <f>'Avg Week Kyenjojo-Hoima'!G64+'Avg Week Hoima-Kyenjojo'!G64</f>
        <v>1</v>
      </c>
      <c r="H64" s="49">
        <f>'Avg Week Kyenjojo-Hoima'!H64+'Avg Week Hoima-Kyenjojo'!H64</f>
        <v>0</v>
      </c>
      <c r="I64" s="49">
        <f>'Avg Week Kyenjojo-Hoima'!I64+'Avg Week Hoima-Kyenjojo'!I64</f>
        <v>1</v>
      </c>
      <c r="J64" s="49">
        <f>'Avg Week Kyenjojo-Hoima'!J64+'Avg Week Hoima-Kyenjojo'!J64</f>
        <v>2.5</v>
      </c>
      <c r="K64" s="49">
        <f>'Avg Week Kyenjojo-Hoima'!K64+'Avg Week Hoima-Kyenjojo'!K64</f>
        <v>0.5</v>
      </c>
      <c r="L64" s="49">
        <f>'Avg Week Kyenjojo-Hoima'!L64+'Avg Week Hoima-Kyenjojo'!L64</f>
        <v>0</v>
      </c>
      <c r="M64" s="49">
        <f>'Avg Week Kyenjojo-Hoima'!M64+'Avg Week Hoima-Kyenjojo'!M64</f>
        <v>46</v>
      </c>
      <c r="N64" s="49">
        <f>'Avg Week Kyenjojo-Hoima'!N64+'Avg Week Hoima-Kyenjojo'!N64</f>
        <v>0</v>
      </c>
      <c r="O64" s="15">
        <f t="shared" si="0"/>
        <v>18</v>
      </c>
      <c r="P64" s="15">
        <f t="shared" si="1"/>
        <v>64</v>
      </c>
      <c r="R64" s="8"/>
      <c r="T64"/>
    </row>
    <row r="65" spans="2:20" ht="23.1" customHeight="1" x14ac:dyDescent="0.25">
      <c r="B65" s="23" t="s">
        <v>158</v>
      </c>
      <c r="C65" s="49">
        <f>'Avg Week Kyenjojo-Hoima'!C65+'Avg Week Hoima-Kyenjojo'!C65</f>
        <v>5.5</v>
      </c>
      <c r="D65" s="49">
        <f>'Avg Week Kyenjojo-Hoima'!D65+'Avg Week Hoima-Kyenjojo'!D65</f>
        <v>1</v>
      </c>
      <c r="E65" s="49">
        <f>'Avg Week Kyenjojo-Hoima'!E65+'Avg Week Hoima-Kyenjojo'!E65</f>
        <v>1.5</v>
      </c>
      <c r="F65" s="49">
        <f>'Avg Week Kyenjojo-Hoima'!F65+'Avg Week Hoima-Kyenjojo'!F65</f>
        <v>1</v>
      </c>
      <c r="G65" s="49">
        <f>'Avg Week Kyenjojo-Hoima'!G65+'Avg Week Hoima-Kyenjojo'!G65</f>
        <v>0</v>
      </c>
      <c r="H65" s="49">
        <f>'Avg Week Kyenjojo-Hoima'!H65+'Avg Week Hoima-Kyenjojo'!H65</f>
        <v>0</v>
      </c>
      <c r="I65" s="49">
        <f>'Avg Week Kyenjojo-Hoima'!I65+'Avg Week Hoima-Kyenjojo'!I65</f>
        <v>0.5</v>
      </c>
      <c r="J65" s="49">
        <f>'Avg Week Kyenjojo-Hoima'!J65+'Avg Week Hoima-Kyenjojo'!J65</f>
        <v>0</v>
      </c>
      <c r="K65" s="49">
        <f>'Avg Week Kyenjojo-Hoima'!K65+'Avg Week Hoima-Kyenjojo'!K65</f>
        <v>0</v>
      </c>
      <c r="L65" s="49">
        <f>'Avg Week Kyenjojo-Hoima'!L65+'Avg Week Hoima-Kyenjojo'!L65</f>
        <v>0</v>
      </c>
      <c r="M65" s="49">
        <f>'Avg Week Kyenjojo-Hoima'!M65+'Avg Week Hoima-Kyenjojo'!M65</f>
        <v>25</v>
      </c>
      <c r="N65" s="49">
        <f>'Avg Week Kyenjojo-Hoima'!N65+'Avg Week Hoima-Kyenjojo'!N65</f>
        <v>0</v>
      </c>
      <c r="O65" s="15">
        <f t="shared" si="0"/>
        <v>9.5</v>
      </c>
      <c r="P65" s="15">
        <f t="shared" si="1"/>
        <v>34.5</v>
      </c>
      <c r="R65" s="8"/>
      <c r="T65"/>
    </row>
    <row r="66" spans="2:20" ht="23.1" customHeight="1" x14ac:dyDescent="0.25">
      <c r="B66" s="23" t="s">
        <v>103</v>
      </c>
      <c r="C66" s="49">
        <f>'Avg Week Kyenjojo-Hoima'!C66+'Avg Week Hoima-Kyenjojo'!C66</f>
        <v>3.5</v>
      </c>
      <c r="D66" s="49">
        <f>'Avg Week Kyenjojo-Hoima'!D66+'Avg Week Hoima-Kyenjojo'!D66</f>
        <v>2</v>
      </c>
      <c r="E66" s="49">
        <f>'Avg Week Kyenjojo-Hoima'!E66+'Avg Week Hoima-Kyenjojo'!E66</f>
        <v>1.5</v>
      </c>
      <c r="F66" s="49">
        <f>'Avg Week Kyenjojo-Hoima'!F66+'Avg Week Hoima-Kyenjojo'!F66</f>
        <v>1</v>
      </c>
      <c r="G66" s="49">
        <f>'Avg Week Kyenjojo-Hoima'!G66+'Avg Week Hoima-Kyenjojo'!G66</f>
        <v>0</v>
      </c>
      <c r="H66" s="49">
        <f>'Avg Week Kyenjojo-Hoima'!H66+'Avg Week Hoima-Kyenjojo'!H66</f>
        <v>0</v>
      </c>
      <c r="I66" s="49">
        <f>'Avg Week Kyenjojo-Hoima'!I66+'Avg Week Hoima-Kyenjojo'!I66</f>
        <v>1</v>
      </c>
      <c r="J66" s="49">
        <f>'Avg Week Kyenjojo-Hoima'!J66+'Avg Week Hoima-Kyenjojo'!J66</f>
        <v>0.5</v>
      </c>
      <c r="K66" s="49">
        <f>'Avg Week Kyenjojo-Hoima'!K66+'Avg Week Hoima-Kyenjojo'!K66</f>
        <v>0</v>
      </c>
      <c r="L66" s="49">
        <f>'Avg Week Kyenjojo-Hoima'!L66+'Avg Week Hoima-Kyenjojo'!L66</f>
        <v>0</v>
      </c>
      <c r="M66" s="49">
        <f>'Avg Week Kyenjojo-Hoima'!M66+'Avg Week Hoima-Kyenjojo'!M66</f>
        <v>36.5</v>
      </c>
      <c r="N66" s="49">
        <f>'Avg Week Kyenjojo-Hoima'!N66+'Avg Week Hoima-Kyenjojo'!N66</f>
        <v>0</v>
      </c>
      <c r="O66" s="15">
        <f t="shared" si="0"/>
        <v>9.5</v>
      </c>
      <c r="P66" s="15">
        <f t="shared" si="1"/>
        <v>46</v>
      </c>
      <c r="R66" s="8"/>
      <c r="T66"/>
    </row>
    <row r="67" spans="2:20" ht="23.1" customHeight="1" x14ac:dyDescent="0.25">
      <c r="B67" s="23" t="s">
        <v>104</v>
      </c>
      <c r="C67" s="49">
        <f>'Avg Week Kyenjojo-Hoima'!C67+'Avg Week Hoima-Kyenjojo'!C67</f>
        <v>6.5</v>
      </c>
      <c r="D67" s="49">
        <f>'Avg Week Kyenjojo-Hoima'!D67+'Avg Week Hoima-Kyenjojo'!D67</f>
        <v>0.5</v>
      </c>
      <c r="E67" s="49">
        <f>'Avg Week Kyenjojo-Hoima'!E67+'Avg Week Hoima-Kyenjojo'!E67</f>
        <v>1</v>
      </c>
      <c r="F67" s="49">
        <f>'Avg Week Kyenjojo-Hoima'!F67+'Avg Week Hoima-Kyenjojo'!F67</f>
        <v>1</v>
      </c>
      <c r="G67" s="49">
        <f>'Avg Week Kyenjojo-Hoima'!G67+'Avg Week Hoima-Kyenjojo'!G67</f>
        <v>0</v>
      </c>
      <c r="H67" s="49">
        <f>'Avg Week Kyenjojo-Hoima'!H67+'Avg Week Hoima-Kyenjojo'!H67</f>
        <v>0</v>
      </c>
      <c r="I67" s="49">
        <f>'Avg Week Kyenjojo-Hoima'!I67+'Avg Week Hoima-Kyenjojo'!I67</f>
        <v>0</v>
      </c>
      <c r="J67" s="49">
        <f>'Avg Week Kyenjojo-Hoima'!J67+'Avg Week Hoima-Kyenjojo'!J67</f>
        <v>0.5</v>
      </c>
      <c r="K67" s="49">
        <f>'Avg Week Kyenjojo-Hoima'!K67+'Avg Week Hoima-Kyenjojo'!K67</f>
        <v>0</v>
      </c>
      <c r="L67" s="49">
        <f>'Avg Week Kyenjojo-Hoima'!L67+'Avg Week Hoima-Kyenjojo'!L67</f>
        <v>0</v>
      </c>
      <c r="M67" s="49">
        <f>'Avg Week Kyenjojo-Hoima'!M67+'Avg Week Hoima-Kyenjojo'!M67</f>
        <v>25.5</v>
      </c>
      <c r="N67" s="49">
        <f>'Avg Week Kyenjojo-Hoima'!N67+'Avg Week Hoima-Kyenjojo'!N67</f>
        <v>0</v>
      </c>
      <c r="O67" s="15">
        <f t="shared" si="0"/>
        <v>9.5</v>
      </c>
      <c r="P67" s="15">
        <f t="shared" si="1"/>
        <v>35</v>
      </c>
      <c r="R67" s="8"/>
      <c r="T67"/>
    </row>
    <row r="68" spans="2:20" ht="23.1" customHeight="1" x14ac:dyDescent="0.25">
      <c r="B68" s="23" t="s">
        <v>105</v>
      </c>
      <c r="C68" s="49">
        <f>'Avg Week Kyenjojo-Hoima'!C68+'Avg Week Hoima-Kyenjojo'!C68</f>
        <v>7.5</v>
      </c>
      <c r="D68" s="49">
        <f>'Avg Week Kyenjojo-Hoima'!D68+'Avg Week Hoima-Kyenjojo'!D68</f>
        <v>1.5</v>
      </c>
      <c r="E68" s="49">
        <f>'Avg Week Kyenjojo-Hoima'!E68+'Avg Week Hoima-Kyenjojo'!E68</f>
        <v>0.5</v>
      </c>
      <c r="F68" s="49">
        <f>'Avg Week Kyenjojo-Hoima'!F68+'Avg Week Hoima-Kyenjojo'!F68</f>
        <v>0.5</v>
      </c>
      <c r="G68" s="49">
        <f>'Avg Week Kyenjojo-Hoima'!G68+'Avg Week Hoima-Kyenjojo'!G68</f>
        <v>0</v>
      </c>
      <c r="H68" s="49">
        <f>'Avg Week Kyenjojo-Hoima'!H68+'Avg Week Hoima-Kyenjojo'!H68</f>
        <v>0</v>
      </c>
      <c r="I68" s="49">
        <f>'Avg Week Kyenjojo-Hoima'!I68+'Avg Week Hoima-Kyenjojo'!I68</f>
        <v>1</v>
      </c>
      <c r="J68" s="49">
        <f>'Avg Week Kyenjojo-Hoima'!J68+'Avg Week Hoima-Kyenjojo'!J68</f>
        <v>0.5</v>
      </c>
      <c r="K68" s="49">
        <f>'Avg Week Kyenjojo-Hoima'!K68+'Avg Week Hoima-Kyenjojo'!K68</f>
        <v>0.5</v>
      </c>
      <c r="L68" s="49">
        <f>'Avg Week Kyenjojo-Hoima'!L68+'Avg Week Hoima-Kyenjojo'!L68</f>
        <v>0</v>
      </c>
      <c r="M68" s="49">
        <f>'Avg Week Kyenjojo-Hoima'!M68+'Avg Week Hoima-Kyenjojo'!M68</f>
        <v>33</v>
      </c>
      <c r="N68" s="49">
        <f>'Avg Week Kyenjojo-Hoima'!N68+'Avg Week Hoima-Kyenjojo'!N68</f>
        <v>0</v>
      </c>
      <c r="O68" s="15">
        <f t="shared" si="0"/>
        <v>12</v>
      </c>
      <c r="P68" s="15">
        <f t="shared" si="1"/>
        <v>45</v>
      </c>
      <c r="R68" s="8"/>
      <c r="T68"/>
    </row>
    <row r="69" spans="2:20" ht="23.1" customHeight="1" x14ac:dyDescent="0.25">
      <c r="B69" s="23" t="s">
        <v>106</v>
      </c>
      <c r="C69" s="49">
        <f>'Avg Week Kyenjojo-Hoima'!C69+'Avg Week Hoima-Kyenjojo'!C69</f>
        <v>6</v>
      </c>
      <c r="D69" s="49">
        <f>'Avg Week Kyenjojo-Hoima'!D69+'Avg Week Hoima-Kyenjojo'!D69</f>
        <v>1</v>
      </c>
      <c r="E69" s="49">
        <f>'Avg Week Kyenjojo-Hoima'!E69+'Avg Week Hoima-Kyenjojo'!E69</f>
        <v>1.5</v>
      </c>
      <c r="F69" s="49">
        <f>'Avg Week Kyenjojo-Hoima'!F69+'Avg Week Hoima-Kyenjojo'!F69</f>
        <v>0.5</v>
      </c>
      <c r="G69" s="49">
        <f>'Avg Week Kyenjojo-Hoima'!G69+'Avg Week Hoima-Kyenjojo'!G69</f>
        <v>1.5</v>
      </c>
      <c r="H69" s="49">
        <f>'Avg Week Kyenjojo-Hoima'!H69+'Avg Week Hoima-Kyenjojo'!H69</f>
        <v>0</v>
      </c>
      <c r="I69" s="49">
        <f>'Avg Week Kyenjojo-Hoima'!I69+'Avg Week Hoima-Kyenjojo'!I69</f>
        <v>1</v>
      </c>
      <c r="J69" s="49">
        <f>'Avg Week Kyenjojo-Hoima'!J69+'Avg Week Hoima-Kyenjojo'!J69</f>
        <v>0.5</v>
      </c>
      <c r="K69" s="49">
        <f>'Avg Week Kyenjojo-Hoima'!K69+'Avg Week Hoima-Kyenjojo'!K69</f>
        <v>0</v>
      </c>
      <c r="L69" s="49">
        <f>'Avg Week Kyenjojo-Hoima'!L69+'Avg Week Hoima-Kyenjojo'!L69</f>
        <v>0</v>
      </c>
      <c r="M69" s="49">
        <f>'Avg Week Kyenjojo-Hoima'!M69+'Avg Week Hoima-Kyenjojo'!M69</f>
        <v>24</v>
      </c>
      <c r="N69" s="49">
        <f>'Avg Week Kyenjojo-Hoima'!N69+'Avg Week Hoima-Kyenjojo'!N69</f>
        <v>0</v>
      </c>
      <c r="O69" s="15">
        <f t="shared" si="0"/>
        <v>12</v>
      </c>
      <c r="P69" s="15">
        <f t="shared" si="1"/>
        <v>36</v>
      </c>
      <c r="R69" s="8"/>
      <c r="T69"/>
    </row>
    <row r="70" spans="2:20" ht="23.1" customHeight="1" x14ac:dyDescent="0.25">
      <c r="B70" s="23" t="s">
        <v>110</v>
      </c>
      <c r="C70" s="49">
        <f>'Avg Week Kyenjojo-Hoima'!C70+'Avg Week Hoima-Kyenjojo'!C70</f>
        <v>4</v>
      </c>
      <c r="D70" s="49">
        <f>'Avg Week Kyenjojo-Hoima'!D70+'Avg Week Hoima-Kyenjojo'!D70</f>
        <v>0.5</v>
      </c>
      <c r="E70" s="49">
        <f>'Avg Week Kyenjojo-Hoima'!E70+'Avg Week Hoima-Kyenjojo'!E70</f>
        <v>0.5</v>
      </c>
      <c r="F70" s="49">
        <f>'Avg Week Kyenjojo-Hoima'!F70+'Avg Week Hoima-Kyenjojo'!F70</f>
        <v>0</v>
      </c>
      <c r="G70" s="49">
        <f>'Avg Week Kyenjojo-Hoima'!G70+'Avg Week Hoima-Kyenjojo'!G70</f>
        <v>0</v>
      </c>
      <c r="H70" s="49">
        <f>'Avg Week Kyenjojo-Hoima'!H70+'Avg Week Hoima-Kyenjojo'!H70</f>
        <v>0</v>
      </c>
      <c r="I70" s="49">
        <f>'Avg Week Kyenjojo-Hoima'!I70+'Avg Week Hoima-Kyenjojo'!I70</f>
        <v>1</v>
      </c>
      <c r="J70" s="49">
        <f>'Avg Week Kyenjojo-Hoima'!J70+'Avg Week Hoima-Kyenjojo'!J70</f>
        <v>1</v>
      </c>
      <c r="K70" s="49">
        <f>'Avg Week Kyenjojo-Hoima'!K70+'Avg Week Hoima-Kyenjojo'!K70</f>
        <v>1</v>
      </c>
      <c r="L70" s="49">
        <f>'Avg Week Kyenjojo-Hoima'!L70+'Avg Week Hoima-Kyenjojo'!L70</f>
        <v>0</v>
      </c>
      <c r="M70" s="49">
        <f>'Avg Week Kyenjojo-Hoima'!M70+'Avg Week Hoima-Kyenjojo'!M70</f>
        <v>14.5</v>
      </c>
      <c r="N70" s="49">
        <f>'Avg Week Kyenjojo-Hoima'!N70+'Avg Week Hoima-Kyenjojo'!N70</f>
        <v>0</v>
      </c>
      <c r="O70" s="15">
        <f t="shared" si="0"/>
        <v>8</v>
      </c>
      <c r="P70" s="15">
        <f t="shared" si="1"/>
        <v>22.5</v>
      </c>
      <c r="R70" s="8"/>
      <c r="T70"/>
    </row>
    <row r="71" spans="2:20" ht="23.1" customHeight="1" x14ac:dyDescent="0.25">
      <c r="B71" s="23" t="s">
        <v>111</v>
      </c>
      <c r="C71" s="49">
        <f>'Avg Week Kyenjojo-Hoima'!C71+'Avg Week Hoima-Kyenjojo'!C71</f>
        <v>4</v>
      </c>
      <c r="D71" s="49">
        <f>'Avg Week Kyenjojo-Hoima'!D71+'Avg Week Hoima-Kyenjojo'!D71</f>
        <v>0.5</v>
      </c>
      <c r="E71" s="49">
        <f>'Avg Week Kyenjojo-Hoima'!E71+'Avg Week Hoima-Kyenjojo'!E71</f>
        <v>2</v>
      </c>
      <c r="F71" s="49">
        <f>'Avg Week Kyenjojo-Hoima'!F71+'Avg Week Hoima-Kyenjojo'!F71</f>
        <v>0.5</v>
      </c>
      <c r="G71" s="49">
        <f>'Avg Week Kyenjojo-Hoima'!G71+'Avg Week Hoima-Kyenjojo'!G71</f>
        <v>0</v>
      </c>
      <c r="H71" s="49">
        <f>'Avg Week Kyenjojo-Hoima'!H71+'Avg Week Hoima-Kyenjojo'!H71</f>
        <v>0</v>
      </c>
      <c r="I71" s="49">
        <f>'Avg Week Kyenjojo-Hoima'!I71+'Avg Week Hoima-Kyenjojo'!I71</f>
        <v>0.5</v>
      </c>
      <c r="J71" s="49">
        <f>'Avg Week Kyenjojo-Hoima'!J71+'Avg Week Hoima-Kyenjojo'!J71</f>
        <v>0</v>
      </c>
      <c r="K71" s="49">
        <f>'Avg Week Kyenjojo-Hoima'!K71+'Avg Week Hoima-Kyenjojo'!K71</f>
        <v>0.5</v>
      </c>
      <c r="L71" s="49">
        <f>'Avg Week Kyenjojo-Hoima'!L71+'Avg Week Hoima-Kyenjojo'!L71</f>
        <v>0</v>
      </c>
      <c r="M71" s="49">
        <f>'Avg Week Kyenjojo-Hoima'!M71+'Avg Week Hoima-Kyenjojo'!M71</f>
        <v>22</v>
      </c>
      <c r="N71" s="49">
        <f>'Avg Week Kyenjojo-Hoima'!N71+'Avg Week Hoima-Kyenjojo'!N71</f>
        <v>0</v>
      </c>
      <c r="O71" s="15">
        <f t="shared" si="0"/>
        <v>8</v>
      </c>
      <c r="P71" s="15">
        <f t="shared" si="1"/>
        <v>30</v>
      </c>
      <c r="R71" s="8"/>
      <c r="T71"/>
    </row>
    <row r="72" spans="2:20" ht="23.1" customHeight="1" x14ac:dyDescent="0.25">
      <c r="B72" s="23" t="s">
        <v>112</v>
      </c>
      <c r="C72" s="49">
        <f>'Avg Week Kyenjojo-Hoima'!C72+'Avg Week Hoima-Kyenjojo'!C72</f>
        <v>3.5</v>
      </c>
      <c r="D72" s="49">
        <f>'Avg Week Kyenjojo-Hoima'!D72+'Avg Week Hoima-Kyenjojo'!D72</f>
        <v>1.5</v>
      </c>
      <c r="E72" s="49">
        <f>'Avg Week Kyenjojo-Hoima'!E72+'Avg Week Hoima-Kyenjojo'!E72</f>
        <v>0.5</v>
      </c>
      <c r="F72" s="49">
        <f>'Avg Week Kyenjojo-Hoima'!F72+'Avg Week Hoima-Kyenjojo'!F72</f>
        <v>0.5</v>
      </c>
      <c r="G72" s="49">
        <f>'Avg Week Kyenjojo-Hoima'!G72+'Avg Week Hoima-Kyenjojo'!G72</f>
        <v>0</v>
      </c>
      <c r="H72" s="49">
        <f>'Avg Week Kyenjojo-Hoima'!H72+'Avg Week Hoima-Kyenjojo'!H72</f>
        <v>0</v>
      </c>
      <c r="I72" s="49">
        <f>'Avg Week Kyenjojo-Hoima'!I72+'Avg Week Hoima-Kyenjojo'!I72</f>
        <v>1</v>
      </c>
      <c r="J72" s="49">
        <f>'Avg Week Kyenjojo-Hoima'!J72+'Avg Week Hoima-Kyenjojo'!J72</f>
        <v>0</v>
      </c>
      <c r="K72" s="49">
        <f>'Avg Week Kyenjojo-Hoima'!K72+'Avg Week Hoima-Kyenjojo'!K72</f>
        <v>0</v>
      </c>
      <c r="L72" s="49">
        <f>'Avg Week Kyenjojo-Hoima'!L72+'Avg Week Hoima-Kyenjojo'!L72</f>
        <v>0</v>
      </c>
      <c r="M72" s="49">
        <f>'Avg Week Kyenjojo-Hoima'!M72+'Avg Week Hoima-Kyenjojo'!M72</f>
        <v>13.5</v>
      </c>
      <c r="N72" s="49">
        <f>'Avg Week Kyenjojo-Hoima'!N72+'Avg Week Hoima-Kyenjojo'!N72</f>
        <v>0</v>
      </c>
      <c r="O72" s="15">
        <f t="shared" si="0"/>
        <v>7</v>
      </c>
      <c r="P72" s="15">
        <f t="shared" si="1"/>
        <v>20.5</v>
      </c>
      <c r="R72" s="8"/>
      <c r="T72"/>
    </row>
    <row r="73" spans="2:20" ht="23.1" customHeight="1" x14ac:dyDescent="0.25">
      <c r="B73" s="23" t="s">
        <v>113</v>
      </c>
      <c r="C73" s="49">
        <f>'Avg Week Kyenjojo-Hoima'!C73+'Avg Week Hoima-Kyenjojo'!C73</f>
        <v>3</v>
      </c>
      <c r="D73" s="49">
        <f>'Avg Week Kyenjojo-Hoima'!D73+'Avg Week Hoima-Kyenjojo'!D73</f>
        <v>0.5</v>
      </c>
      <c r="E73" s="49">
        <f>'Avg Week Kyenjojo-Hoima'!E73+'Avg Week Hoima-Kyenjojo'!E73</f>
        <v>0.5</v>
      </c>
      <c r="F73" s="49">
        <f>'Avg Week Kyenjojo-Hoima'!F73+'Avg Week Hoima-Kyenjojo'!F73</f>
        <v>0.5</v>
      </c>
      <c r="G73" s="49">
        <f>'Avg Week Kyenjojo-Hoima'!G73+'Avg Week Hoima-Kyenjojo'!G73</f>
        <v>0</v>
      </c>
      <c r="H73" s="49">
        <f>'Avg Week Kyenjojo-Hoima'!H73+'Avg Week Hoima-Kyenjojo'!H73</f>
        <v>0</v>
      </c>
      <c r="I73" s="49">
        <f>'Avg Week Kyenjojo-Hoima'!I73+'Avg Week Hoima-Kyenjojo'!I73</f>
        <v>1</v>
      </c>
      <c r="J73" s="49">
        <f>'Avg Week Kyenjojo-Hoima'!J73+'Avg Week Hoima-Kyenjojo'!J73</f>
        <v>0</v>
      </c>
      <c r="K73" s="49">
        <f>'Avg Week Kyenjojo-Hoima'!K73+'Avg Week Hoima-Kyenjojo'!K73</f>
        <v>0</v>
      </c>
      <c r="L73" s="49">
        <f>'Avg Week Kyenjojo-Hoima'!L73+'Avg Week Hoima-Kyenjojo'!L73</f>
        <v>0</v>
      </c>
      <c r="M73" s="49">
        <f>'Avg Week Kyenjojo-Hoima'!M73+'Avg Week Hoima-Kyenjojo'!M73</f>
        <v>10</v>
      </c>
      <c r="N73" s="49">
        <f>'Avg Week Kyenjojo-Hoima'!N73+'Avg Week Hoima-Kyenjojo'!N73</f>
        <v>0</v>
      </c>
      <c r="O73" s="15">
        <f t="shared" si="0"/>
        <v>5.5</v>
      </c>
      <c r="P73" s="15">
        <f t="shared" si="1"/>
        <v>15.5</v>
      </c>
      <c r="R73" s="8"/>
      <c r="T73"/>
    </row>
    <row r="74" spans="2:20" ht="23.1" customHeight="1" x14ac:dyDescent="0.25">
      <c r="B74" s="23" t="s">
        <v>114</v>
      </c>
      <c r="C74" s="49">
        <f>'Avg Week Kyenjojo-Hoima'!C74+'Avg Week Hoima-Kyenjojo'!C74</f>
        <v>6.5</v>
      </c>
      <c r="D74" s="49">
        <f>'Avg Week Kyenjojo-Hoima'!D74+'Avg Week Hoima-Kyenjojo'!D74</f>
        <v>0.5</v>
      </c>
      <c r="E74" s="49">
        <f>'Avg Week Kyenjojo-Hoima'!E74+'Avg Week Hoima-Kyenjojo'!E74</f>
        <v>1</v>
      </c>
      <c r="F74" s="49">
        <f>'Avg Week Kyenjojo-Hoima'!F74+'Avg Week Hoima-Kyenjojo'!F74</f>
        <v>0.5</v>
      </c>
      <c r="G74" s="49">
        <f>'Avg Week Kyenjojo-Hoima'!G74+'Avg Week Hoima-Kyenjojo'!G74</f>
        <v>0</v>
      </c>
      <c r="H74" s="49">
        <f>'Avg Week Kyenjojo-Hoima'!H74+'Avg Week Hoima-Kyenjojo'!H74</f>
        <v>0</v>
      </c>
      <c r="I74" s="49">
        <f>'Avg Week Kyenjojo-Hoima'!I74+'Avg Week Hoima-Kyenjojo'!I74</f>
        <v>0.5</v>
      </c>
      <c r="J74" s="49">
        <f>'Avg Week Kyenjojo-Hoima'!J74+'Avg Week Hoima-Kyenjojo'!J74</f>
        <v>0</v>
      </c>
      <c r="K74" s="49">
        <f>'Avg Week Kyenjojo-Hoima'!K74+'Avg Week Hoima-Kyenjojo'!K74</f>
        <v>1</v>
      </c>
      <c r="L74" s="49">
        <f>'Avg Week Kyenjojo-Hoima'!L74+'Avg Week Hoima-Kyenjojo'!L74</f>
        <v>0</v>
      </c>
      <c r="M74" s="49">
        <f>'Avg Week Kyenjojo-Hoima'!M74+'Avg Week Hoima-Kyenjojo'!M74</f>
        <v>13.5</v>
      </c>
      <c r="N74" s="49">
        <f>'Avg Week Kyenjojo-Hoima'!N74+'Avg Week Hoima-Kyenjojo'!N74</f>
        <v>0</v>
      </c>
      <c r="O74" s="15">
        <f t="shared" ref="O74:O105" si="35">SUM(C74:L74,N74)</f>
        <v>10</v>
      </c>
      <c r="P74" s="15">
        <f t="shared" ref="P74:P105" si="36">SUM(C74:N74)</f>
        <v>23.5</v>
      </c>
      <c r="R74" s="8"/>
      <c r="T74"/>
    </row>
    <row r="75" spans="2:20" ht="23.1" customHeight="1" x14ac:dyDescent="0.25">
      <c r="B75" s="23" t="s">
        <v>115</v>
      </c>
      <c r="C75" s="49">
        <f>'Avg Week Kyenjojo-Hoima'!C75+'Avg Week Hoima-Kyenjojo'!C75</f>
        <v>1</v>
      </c>
      <c r="D75" s="49">
        <f>'Avg Week Kyenjojo-Hoima'!D75+'Avg Week Hoima-Kyenjojo'!D75</f>
        <v>0.5</v>
      </c>
      <c r="E75" s="49">
        <f>'Avg Week Kyenjojo-Hoima'!E75+'Avg Week Hoima-Kyenjojo'!E75</f>
        <v>0</v>
      </c>
      <c r="F75" s="49">
        <f>'Avg Week Kyenjojo-Hoima'!F75+'Avg Week Hoima-Kyenjojo'!F75</f>
        <v>0</v>
      </c>
      <c r="G75" s="49">
        <f>'Avg Week Kyenjojo-Hoima'!G75+'Avg Week Hoima-Kyenjojo'!G75</f>
        <v>0</v>
      </c>
      <c r="H75" s="49">
        <f>'Avg Week Kyenjojo-Hoima'!H75+'Avg Week Hoima-Kyenjojo'!H75</f>
        <v>0</v>
      </c>
      <c r="I75" s="49">
        <f>'Avg Week Kyenjojo-Hoima'!I75+'Avg Week Hoima-Kyenjojo'!I75</f>
        <v>0</v>
      </c>
      <c r="J75" s="49">
        <f>'Avg Week Kyenjojo-Hoima'!J75+'Avg Week Hoima-Kyenjojo'!J75</f>
        <v>0</v>
      </c>
      <c r="K75" s="49">
        <f>'Avg Week Kyenjojo-Hoima'!K75+'Avg Week Hoima-Kyenjojo'!K75</f>
        <v>0</v>
      </c>
      <c r="L75" s="49">
        <f>'Avg Week Kyenjojo-Hoima'!L75+'Avg Week Hoima-Kyenjojo'!L75</f>
        <v>0</v>
      </c>
      <c r="M75" s="49">
        <f>'Avg Week Kyenjojo-Hoima'!M75+'Avg Week Hoima-Kyenjojo'!M75</f>
        <v>6.5</v>
      </c>
      <c r="N75" s="49">
        <f>'Avg Week Kyenjojo-Hoima'!N75+'Avg Week Hoima-Kyenjojo'!N75</f>
        <v>0</v>
      </c>
      <c r="O75" s="15">
        <f t="shared" si="35"/>
        <v>1.5</v>
      </c>
      <c r="P75" s="15">
        <f t="shared" si="36"/>
        <v>8</v>
      </c>
      <c r="R75" s="8"/>
      <c r="T75"/>
    </row>
    <row r="76" spans="2:20" ht="23.1" customHeight="1" x14ac:dyDescent="0.25">
      <c r="B76" s="23" t="s">
        <v>116</v>
      </c>
      <c r="C76" s="49">
        <f>'Avg Week Kyenjojo-Hoima'!C76+'Avg Week Hoima-Kyenjojo'!C76</f>
        <v>1.5</v>
      </c>
      <c r="D76" s="49">
        <f>'Avg Week Kyenjojo-Hoima'!D76+'Avg Week Hoima-Kyenjojo'!D76</f>
        <v>0</v>
      </c>
      <c r="E76" s="49">
        <f>'Avg Week Kyenjojo-Hoima'!E76+'Avg Week Hoima-Kyenjojo'!E76</f>
        <v>0</v>
      </c>
      <c r="F76" s="49">
        <f>'Avg Week Kyenjojo-Hoima'!F76+'Avg Week Hoima-Kyenjojo'!F76</f>
        <v>0</v>
      </c>
      <c r="G76" s="49">
        <f>'Avg Week Kyenjojo-Hoima'!G76+'Avg Week Hoima-Kyenjojo'!G76</f>
        <v>0</v>
      </c>
      <c r="H76" s="49">
        <f>'Avg Week Kyenjojo-Hoima'!H76+'Avg Week Hoima-Kyenjojo'!H76</f>
        <v>0</v>
      </c>
      <c r="I76" s="49">
        <f>'Avg Week Kyenjojo-Hoima'!I76+'Avg Week Hoima-Kyenjojo'!I76</f>
        <v>0</v>
      </c>
      <c r="J76" s="49">
        <f>'Avg Week Kyenjojo-Hoima'!J76+'Avg Week Hoima-Kyenjojo'!J76</f>
        <v>0</v>
      </c>
      <c r="K76" s="49">
        <f>'Avg Week Kyenjojo-Hoima'!K76+'Avg Week Hoima-Kyenjojo'!K76</f>
        <v>0</v>
      </c>
      <c r="L76" s="49">
        <f>'Avg Week Kyenjojo-Hoima'!L76+'Avg Week Hoima-Kyenjojo'!L76</f>
        <v>0</v>
      </c>
      <c r="M76" s="49">
        <f>'Avg Week Kyenjojo-Hoima'!M76+'Avg Week Hoima-Kyenjojo'!M76</f>
        <v>8</v>
      </c>
      <c r="N76" s="49">
        <f>'Avg Week Kyenjojo-Hoima'!N76+'Avg Week Hoima-Kyenjojo'!N76</f>
        <v>0</v>
      </c>
      <c r="O76" s="15">
        <f t="shared" si="35"/>
        <v>1.5</v>
      </c>
      <c r="P76" s="15">
        <f t="shared" si="36"/>
        <v>9.5</v>
      </c>
      <c r="R76" s="8"/>
      <c r="T76"/>
    </row>
    <row r="77" spans="2:20" ht="23.1" customHeight="1" x14ac:dyDescent="0.25">
      <c r="B77" s="23" t="s">
        <v>117</v>
      </c>
      <c r="C77" s="49">
        <f>'Avg Week Kyenjojo-Hoima'!C77+'Avg Week Hoima-Kyenjojo'!C77</f>
        <v>0.5</v>
      </c>
      <c r="D77" s="49">
        <f>'Avg Week Kyenjojo-Hoima'!D77+'Avg Week Hoima-Kyenjojo'!D77</f>
        <v>0.5</v>
      </c>
      <c r="E77" s="49">
        <f>'Avg Week Kyenjojo-Hoima'!E77+'Avg Week Hoima-Kyenjojo'!E77</f>
        <v>0.5</v>
      </c>
      <c r="F77" s="49">
        <f>'Avg Week Kyenjojo-Hoima'!F77+'Avg Week Hoima-Kyenjojo'!F77</f>
        <v>1.5</v>
      </c>
      <c r="G77" s="49">
        <f>'Avg Week Kyenjojo-Hoima'!G77+'Avg Week Hoima-Kyenjojo'!G77</f>
        <v>0</v>
      </c>
      <c r="H77" s="49">
        <f>'Avg Week Kyenjojo-Hoima'!H77+'Avg Week Hoima-Kyenjojo'!H77</f>
        <v>0</v>
      </c>
      <c r="I77" s="49">
        <f>'Avg Week Kyenjojo-Hoima'!I77+'Avg Week Hoima-Kyenjojo'!I77</f>
        <v>0</v>
      </c>
      <c r="J77" s="49">
        <f>'Avg Week Kyenjojo-Hoima'!J77+'Avg Week Hoima-Kyenjojo'!J77</f>
        <v>0</v>
      </c>
      <c r="K77" s="49">
        <f>'Avg Week Kyenjojo-Hoima'!K77+'Avg Week Hoima-Kyenjojo'!K77</f>
        <v>0</v>
      </c>
      <c r="L77" s="49">
        <f>'Avg Week Kyenjojo-Hoima'!L77+'Avg Week Hoima-Kyenjojo'!L77</f>
        <v>0</v>
      </c>
      <c r="M77" s="49">
        <f>'Avg Week Kyenjojo-Hoima'!M77+'Avg Week Hoima-Kyenjojo'!M77</f>
        <v>6</v>
      </c>
      <c r="N77" s="49">
        <f>'Avg Week Kyenjojo-Hoima'!N77+'Avg Week Hoima-Kyenjojo'!N77</f>
        <v>0</v>
      </c>
      <c r="O77" s="15">
        <f t="shared" si="35"/>
        <v>3</v>
      </c>
      <c r="P77" s="15">
        <f t="shared" si="36"/>
        <v>9</v>
      </c>
      <c r="R77" s="8"/>
      <c r="T77"/>
    </row>
    <row r="78" spans="2:20" ht="23.1" customHeight="1" x14ac:dyDescent="0.25">
      <c r="B78" s="24" t="s">
        <v>118</v>
      </c>
      <c r="C78" s="49">
        <f>'Avg Week Kyenjojo-Hoima'!C78+'Avg Week Hoima-Kyenjojo'!C78</f>
        <v>1.5</v>
      </c>
      <c r="D78" s="49">
        <f>'Avg Week Kyenjojo-Hoima'!D78+'Avg Week Hoima-Kyenjojo'!D78</f>
        <v>0.5</v>
      </c>
      <c r="E78" s="49">
        <f>'Avg Week Kyenjojo-Hoima'!E78+'Avg Week Hoima-Kyenjojo'!E78</f>
        <v>0</v>
      </c>
      <c r="F78" s="49">
        <f>'Avg Week Kyenjojo-Hoima'!F78+'Avg Week Hoima-Kyenjojo'!F78</f>
        <v>0</v>
      </c>
      <c r="G78" s="49">
        <f>'Avg Week Kyenjojo-Hoima'!G78+'Avg Week Hoima-Kyenjojo'!G78</f>
        <v>0</v>
      </c>
      <c r="H78" s="49">
        <f>'Avg Week Kyenjojo-Hoima'!H78+'Avg Week Hoima-Kyenjojo'!H78</f>
        <v>0</v>
      </c>
      <c r="I78" s="49">
        <f>'Avg Week Kyenjojo-Hoima'!I78+'Avg Week Hoima-Kyenjojo'!I78</f>
        <v>0</v>
      </c>
      <c r="J78" s="49">
        <f>'Avg Week Kyenjojo-Hoima'!J78+'Avg Week Hoima-Kyenjojo'!J78</f>
        <v>0</v>
      </c>
      <c r="K78" s="49">
        <f>'Avg Week Kyenjojo-Hoima'!K78+'Avg Week Hoima-Kyenjojo'!K78</f>
        <v>0</v>
      </c>
      <c r="L78" s="49">
        <f>'Avg Week Kyenjojo-Hoima'!L78+'Avg Week Hoima-Kyenjojo'!L78</f>
        <v>0</v>
      </c>
      <c r="M78" s="49">
        <f>'Avg Week Kyenjojo-Hoima'!M78+'Avg Week Hoima-Kyenjojo'!M78</f>
        <v>6</v>
      </c>
      <c r="N78" s="49">
        <f>'Avg Week Kyenjojo-Hoima'!N78+'Avg Week Hoima-Kyenjojo'!N78</f>
        <v>0</v>
      </c>
      <c r="O78" s="15">
        <f t="shared" si="35"/>
        <v>2</v>
      </c>
      <c r="P78" s="15">
        <f t="shared" si="36"/>
        <v>8</v>
      </c>
      <c r="R78" s="8"/>
      <c r="T78"/>
    </row>
    <row r="79" spans="2:20" ht="23.1" customHeight="1" x14ac:dyDescent="0.25">
      <c r="B79" s="23" t="s">
        <v>119</v>
      </c>
      <c r="C79" s="49">
        <f>'Avg Week Kyenjojo-Hoima'!C79+'Avg Week Hoima-Kyenjojo'!C79</f>
        <v>0.5</v>
      </c>
      <c r="D79" s="49">
        <f>'Avg Week Kyenjojo-Hoima'!D79+'Avg Week Hoima-Kyenjojo'!D79</f>
        <v>0</v>
      </c>
      <c r="E79" s="49">
        <f>'Avg Week Kyenjojo-Hoima'!E79+'Avg Week Hoima-Kyenjojo'!E79</f>
        <v>0</v>
      </c>
      <c r="F79" s="49">
        <f>'Avg Week Kyenjojo-Hoima'!F79+'Avg Week Hoima-Kyenjojo'!F79</f>
        <v>0.5</v>
      </c>
      <c r="G79" s="49">
        <f>'Avg Week Kyenjojo-Hoima'!G79+'Avg Week Hoima-Kyenjojo'!G79</f>
        <v>0</v>
      </c>
      <c r="H79" s="49">
        <f>'Avg Week Kyenjojo-Hoima'!H79+'Avg Week Hoima-Kyenjojo'!H79</f>
        <v>0</v>
      </c>
      <c r="I79" s="49">
        <f>'Avg Week Kyenjojo-Hoima'!I79+'Avg Week Hoima-Kyenjojo'!I79</f>
        <v>0</v>
      </c>
      <c r="J79" s="49">
        <f>'Avg Week Kyenjojo-Hoima'!J79+'Avg Week Hoima-Kyenjojo'!J79</f>
        <v>0</v>
      </c>
      <c r="K79" s="49">
        <f>'Avg Week Kyenjojo-Hoima'!K79+'Avg Week Hoima-Kyenjojo'!K79</f>
        <v>0</v>
      </c>
      <c r="L79" s="49">
        <f>'Avg Week Kyenjojo-Hoima'!L79+'Avg Week Hoima-Kyenjojo'!L79</f>
        <v>0</v>
      </c>
      <c r="M79" s="49">
        <f>'Avg Week Kyenjojo-Hoima'!M79+'Avg Week Hoima-Kyenjojo'!M79</f>
        <v>3</v>
      </c>
      <c r="N79" s="49">
        <f>'Avg Week Kyenjojo-Hoima'!N79+'Avg Week Hoima-Kyenjojo'!N79</f>
        <v>0</v>
      </c>
      <c r="O79" s="15">
        <f t="shared" si="35"/>
        <v>1</v>
      </c>
      <c r="P79" s="15">
        <f t="shared" si="36"/>
        <v>4</v>
      </c>
      <c r="R79" s="8"/>
      <c r="T79"/>
    </row>
    <row r="80" spans="2:20" ht="23.1" customHeight="1" x14ac:dyDescent="0.25">
      <c r="B80" s="25" t="s">
        <v>120</v>
      </c>
      <c r="C80" s="49">
        <f>'Avg Week Kyenjojo-Hoima'!C80+'Avg Week Hoima-Kyenjojo'!C80</f>
        <v>1</v>
      </c>
      <c r="D80" s="49">
        <f>'Avg Week Kyenjojo-Hoima'!D80+'Avg Week Hoima-Kyenjojo'!D80</f>
        <v>0</v>
      </c>
      <c r="E80" s="49">
        <f>'Avg Week Kyenjojo-Hoima'!E80+'Avg Week Hoima-Kyenjojo'!E80</f>
        <v>0</v>
      </c>
      <c r="F80" s="49">
        <f>'Avg Week Kyenjojo-Hoima'!F80+'Avg Week Hoima-Kyenjojo'!F80</f>
        <v>0</v>
      </c>
      <c r="G80" s="49">
        <f>'Avg Week Kyenjojo-Hoima'!G80+'Avg Week Hoima-Kyenjojo'!G80</f>
        <v>0</v>
      </c>
      <c r="H80" s="49">
        <f>'Avg Week Kyenjojo-Hoima'!H80+'Avg Week Hoima-Kyenjojo'!H80</f>
        <v>0</v>
      </c>
      <c r="I80" s="49">
        <f>'Avg Week Kyenjojo-Hoima'!I80+'Avg Week Hoima-Kyenjojo'!I80</f>
        <v>0.5</v>
      </c>
      <c r="J80" s="49">
        <f>'Avg Week Kyenjojo-Hoima'!J80+'Avg Week Hoima-Kyenjojo'!J80</f>
        <v>0</v>
      </c>
      <c r="K80" s="49">
        <f>'Avg Week Kyenjojo-Hoima'!K80+'Avg Week Hoima-Kyenjojo'!K80</f>
        <v>0</v>
      </c>
      <c r="L80" s="49">
        <f>'Avg Week Kyenjojo-Hoima'!L80+'Avg Week Hoima-Kyenjojo'!L80</f>
        <v>0</v>
      </c>
      <c r="M80" s="49">
        <f>'Avg Week Kyenjojo-Hoima'!M80+'Avg Week Hoima-Kyenjojo'!M80</f>
        <v>5</v>
      </c>
      <c r="N80" s="49">
        <f>'Avg Week Kyenjojo-Hoima'!N80+'Avg Week Hoima-Kyenjojo'!N80</f>
        <v>0</v>
      </c>
      <c r="O80" s="15">
        <f t="shared" si="35"/>
        <v>1.5</v>
      </c>
      <c r="P80" s="15">
        <f t="shared" si="36"/>
        <v>6.5</v>
      </c>
      <c r="R80" s="8"/>
      <c r="T80"/>
    </row>
    <row r="81" spans="2:20" ht="23.1" customHeight="1" x14ac:dyDescent="0.25">
      <c r="B81" s="23" t="s">
        <v>121</v>
      </c>
      <c r="C81" s="49">
        <f>'Avg Week Kyenjojo-Hoima'!C81+'Avg Week Hoima-Kyenjojo'!C81</f>
        <v>1</v>
      </c>
      <c r="D81" s="49">
        <f>'Avg Week Kyenjojo-Hoima'!D81+'Avg Week Hoima-Kyenjojo'!D81</f>
        <v>0</v>
      </c>
      <c r="E81" s="49">
        <f>'Avg Week Kyenjojo-Hoima'!E81+'Avg Week Hoima-Kyenjojo'!E81</f>
        <v>0</v>
      </c>
      <c r="F81" s="49">
        <f>'Avg Week Kyenjojo-Hoima'!F81+'Avg Week Hoima-Kyenjojo'!F81</f>
        <v>0</v>
      </c>
      <c r="G81" s="49">
        <f>'Avg Week Kyenjojo-Hoima'!G81+'Avg Week Hoima-Kyenjojo'!G81</f>
        <v>0</v>
      </c>
      <c r="H81" s="49">
        <f>'Avg Week Kyenjojo-Hoima'!H81+'Avg Week Hoima-Kyenjojo'!H81</f>
        <v>0</v>
      </c>
      <c r="I81" s="49">
        <f>'Avg Week Kyenjojo-Hoima'!I81+'Avg Week Hoima-Kyenjojo'!I81</f>
        <v>0</v>
      </c>
      <c r="J81" s="49">
        <f>'Avg Week Kyenjojo-Hoima'!J81+'Avg Week Hoima-Kyenjojo'!J81</f>
        <v>0</v>
      </c>
      <c r="K81" s="49">
        <f>'Avg Week Kyenjojo-Hoima'!K81+'Avg Week Hoima-Kyenjojo'!K81</f>
        <v>0</v>
      </c>
      <c r="L81" s="49">
        <f>'Avg Week Kyenjojo-Hoima'!L81+'Avg Week Hoima-Kyenjojo'!L81</f>
        <v>0</v>
      </c>
      <c r="M81" s="49">
        <f>'Avg Week Kyenjojo-Hoima'!M81+'Avg Week Hoima-Kyenjojo'!M81</f>
        <v>7.5</v>
      </c>
      <c r="N81" s="49">
        <f>'Avg Week Kyenjojo-Hoima'!N81+'Avg Week Hoima-Kyenjojo'!N81</f>
        <v>0</v>
      </c>
      <c r="O81" s="15">
        <f t="shared" si="35"/>
        <v>1</v>
      </c>
      <c r="P81" s="15">
        <f t="shared" si="36"/>
        <v>8.5</v>
      </c>
      <c r="R81" s="8"/>
      <c r="T81"/>
    </row>
    <row r="82" spans="2:20" ht="23.1" customHeight="1" x14ac:dyDescent="0.25">
      <c r="B82" s="24" t="s">
        <v>122</v>
      </c>
      <c r="C82" s="49">
        <f>'Avg Week Kyenjojo-Hoima'!C82+'Avg Week Hoima-Kyenjojo'!C82</f>
        <v>0.5</v>
      </c>
      <c r="D82" s="49">
        <f>'Avg Week Kyenjojo-Hoima'!D82+'Avg Week Hoima-Kyenjojo'!D82</f>
        <v>1</v>
      </c>
      <c r="E82" s="49">
        <f>'Avg Week Kyenjojo-Hoima'!E82+'Avg Week Hoima-Kyenjojo'!E82</f>
        <v>0</v>
      </c>
      <c r="F82" s="49">
        <f>'Avg Week Kyenjojo-Hoima'!F82+'Avg Week Hoima-Kyenjojo'!F82</f>
        <v>0.5</v>
      </c>
      <c r="G82" s="49">
        <f>'Avg Week Kyenjojo-Hoima'!G82+'Avg Week Hoima-Kyenjojo'!G82</f>
        <v>0</v>
      </c>
      <c r="H82" s="49">
        <f>'Avg Week Kyenjojo-Hoima'!H82+'Avg Week Hoima-Kyenjojo'!H82</f>
        <v>0</v>
      </c>
      <c r="I82" s="49">
        <f>'Avg Week Kyenjojo-Hoima'!I82+'Avg Week Hoima-Kyenjojo'!I82</f>
        <v>0</v>
      </c>
      <c r="J82" s="49">
        <f>'Avg Week Kyenjojo-Hoima'!J82+'Avg Week Hoima-Kyenjojo'!J82</f>
        <v>0</v>
      </c>
      <c r="K82" s="49">
        <f>'Avg Week Kyenjojo-Hoima'!K82+'Avg Week Hoima-Kyenjojo'!K82</f>
        <v>0.5</v>
      </c>
      <c r="L82" s="49">
        <f>'Avg Week Kyenjojo-Hoima'!L82+'Avg Week Hoima-Kyenjojo'!L82</f>
        <v>0</v>
      </c>
      <c r="M82" s="49">
        <f>'Avg Week Kyenjojo-Hoima'!M82+'Avg Week Hoima-Kyenjojo'!M82</f>
        <v>4</v>
      </c>
      <c r="N82" s="49">
        <f>'Avg Week Kyenjojo-Hoima'!N82+'Avg Week Hoima-Kyenjojo'!N82</f>
        <v>0</v>
      </c>
      <c r="O82" s="15">
        <f t="shared" si="35"/>
        <v>2.5</v>
      </c>
      <c r="P82" s="15">
        <f t="shared" si="36"/>
        <v>6.5</v>
      </c>
      <c r="R82" s="8"/>
      <c r="T82"/>
    </row>
    <row r="83" spans="2:20" ht="23.1" customHeight="1" x14ac:dyDescent="0.25">
      <c r="B83" s="23" t="s">
        <v>123</v>
      </c>
      <c r="C83" s="49">
        <f>'Avg Week Kyenjojo-Hoima'!C83+'Avg Week Hoima-Kyenjojo'!C83</f>
        <v>0</v>
      </c>
      <c r="D83" s="49">
        <f>'Avg Week Kyenjojo-Hoima'!D83+'Avg Week Hoima-Kyenjojo'!D83</f>
        <v>0</v>
      </c>
      <c r="E83" s="49">
        <f>'Avg Week Kyenjojo-Hoima'!E83+'Avg Week Hoima-Kyenjojo'!E83</f>
        <v>0</v>
      </c>
      <c r="F83" s="49">
        <f>'Avg Week Kyenjojo-Hoima'!F83+'Avg Week Hoima-Kyenjojo'!F83</f>
        <v>0</v>
      </c>
      <c r="G83" s="49">
        <f>'Avg Week Kyenjojo-Hoima'!G83+'Avg Week Hoima-Kyenjojo'!G83</f>
        <v>0</v>
      </c>
      <c r="H83" s="49">
        <f>'Avg Week Kyenjojo-Hoima'!H83+'Avg Week Hoima-Kyenjojo'!H83</f>
        <v>0</v>
      </c>
      <c r="I83" s="49">
        <f>'Avg Week Kyenjojo-Hoima'!I83+'Avg Week Hoima-Kyenjojo'!I83</f>
        <v>0</v>
      </c>
      <c r="J83" s="49">
        <f>'Avg Week Kyenjojo-Hoima'!J83+'Avg Week Hoima-Kyenjojo'!J83</f>
        <v>0</v>
      </c>
      <c r="K83" s="49">
        <f>'Avg Week Kyenjojo-Hoima'!K83+'Avg Week Hoima-Kyenjojo'!K83</f>
        <v>0</v>
      </c>
      <c r="L83" s="49">
        <f>'Avg Week Kyenjojo-Hoima'!L83+'Avg Week Hoima-Kyenjojo'!L83</f>
        <v>0</v>
      </c>
      <c r="M83" s="49">
        <f>'Avg Week Kyenjojo-Hoima'!M83+'Avg Week Hoima-Kyenjojo'!M83</f>
        <v>3.5</v>
      </c>
      <c r="N83" s="49">
        <f>'Avg Week Kyenjojo-Hoima'!N83+'Avg Week Hoima-Kyenjojo'!N83</f>
        <v>0</v>
      </c>
      <c r="O83" s="15">
        <f t="shared" si="35"/>
        <v>0</v>
      </c>
      <c r="P83" s="15">
        <f t="shared" si="36"/>
        <v>3.5</v>
      </c>
      <c r="R83" s="8"/>
      <c r="T83"/>
    </row>
    <row r="84" spans="2:20" ht="23.1" customHeight="1" x14ac:dyDescent="0.25">
      <c r="B84" s="25" t="s">
        <v>124</v>
      </c>
      <c r="C84" s="49">
        <f>'Avg Week Kyenjojo-Hoima'!C84+'Avg Week Hoima-Kyenjojo'!C84</f>
        <v>1</v>
      </c>
      <c r="D84" s="49">
        <f>'Avg Week Kyenjojo-Hoima'!D84+'Avg Week Hoima-Kyenjojo'!D84</f>
        <v>0</v>
      </c>
      <c r="E84" s="49">
        <f>'Avg Week Kyenjojo-Hoima'!E84+'Avg Week Hoima-Kyenjojo'!E84</f>
        <v>0</v>
      </c>
      <c r="F84" s="49">
        <f>'Avg Week Kyenjojo-Hoima'!F84+'Avg Week Hoima-Kyenjojo'!F84</f>
        <v>0.5</v>
      </c>
      <c r="G84" s="49">
        <f>'Avg Week Kyenjojo-Hoima'!G84+'Avg Week Hoima-Kyenjojo'!G84</f>
        <v>0</v>
      </c>
      <c r="H84" s="49">
        <f>'Avg Week Kyenjojo-Hoima'!H84+'Avg Week Hoima-Kyenjojo'!H84</f>
        <v>0</v>
      </c>
      <c r="I84" s="49">
        <f>'Avg Week Kyenjojo-Hoima'!I84+'Avg Week Hoima-Kyenjojo'!I84</f>
        <v>0</v>
      </c>
      <c r="J84" s="49">
        <f>'Avg Week Kyenjojo-Hoima'!J84+'Avg Week Hoima-Kyenjojo'!J84</f>
        <v>0.5</v>
      </c>
      <c r="K84" s="49">
        <f>'Avg Week Kyenjojo-Hoima'!K84+'Avg Week Hoima-Kyenjojo'!K84</f>
        <v>0</v>
      </c>
      <c r="L84" s="49">
        <f>'Avg Week Kyenjojo-Hoima'!L84+'Avg Week Hoima-Kyenjojo'!L84</f>
        <v>0</v>
      </c>
      <c r="M84" s="49">
        <f>'Avg Week Kyenjojo-Hoima'!M84+'Avg Week Hoima-Kyenjojo'!M84</f>
        <v>0.5</v>
      </c>
      <c r="N84" s="49">
        <f>'Avg Week Kyenjojo-Hoima'!N84+'Avg Week Hoima-Kyenjojo'!N84</f>
        <v>0</v>
      </c>
      <c r="O84" s="15">
        <f t="shared" si="35"/>
        <v>2</v>
      </c>
      <c r="P84" s="15">
        <f t="shared" si="36"/>
        <v>2.5</v>
      </c>
      <c r="R84" s="8"/>
      <c r="T84"/>
    </row>
    <row r="85" spans="2:20" ht="23.1" customHeight="1" x14ac:dyDescent="0.25">
      <c r="B85" s="23" t="s">
        <v>125</v>
      </c>
      <c r="C85" s="49">
        <f>'Avg Week Kyenjojo-Hoima'!C85+'Avg Week Hoima-Kyenjojo'!C85</f>
        <v>1</v>
      </c>
      <c r="D85" s="49">
        <f>'Avg Week Kyenjojo-Hoima'!D85+'Avg Week Hoima-Kyenjojo'!D85</f>
        <v>0</v>
      </c>
      <c r="E85" s="49">
        <f>'Avg Week Kyenjojo-Hoima'!E85+'Avg Week Hoima-Kyenjojo'!E85</f>
        <v>0</v>
      </c>
      <c r="F85" s="49">
        <f>'Avg Week Kyenjojo-Hoima'!F85+'Avg Week Hoima-Kyenjojo'!F85</f>
        <v>0.5</v>
      </c>
      <c r="G85" s="49">
        <f>'Avg Week Kyenjojo-Hoima'!G85+'Avg Week Hoima-Kyenjojo'!G85</f>
        <v>0</v>
      </c>
      <c r="H85" s="49">
        <f>'Avg Week Kyenjojo-Hoima'!H85+'Avg Week Hoima-Kyenjojo'!H85</f>
        <v>0</v>
      </c>
      <c r="I85" s="49">
        <f>'Avg Week Kyenjojo-Hoima'!I85+'Avg Week Hoima-Kyenjojo'!I85</f>
        <v>0</v>
      </c>
      <c r="J85" s="49">
        <f>'Avg Week Kyenjojo-Hoima'!J85+'Avg Week Hoima-Kyenjojo'!J85</f>
        <v>0</v>
      </c>
      <c r="K85" s="49">
        <f>'Avg Week Kyenjojo-Hoima'!K85+'Avg Week Hoima-Kyenjojo'!K85</f>
        <v>0</v>
      </c>
      <c r="L85" s="49">
        <f>'Avg Week Kyenjojo-Hoima'!L85+'Avg Week Hoima-Kyenjojo'!L85</f>
        <v>0</v>
      </c>
      <c r="M85" s="49">
        <f>'Avg Week Kyenjojo-Hoima'!M85+'Avg Week Hoima-Kyenjojo'!M85</f>
        <v>4</v>
      </c>
      <c r="N85" s="49">
        <f>'Avg Week Kyenjojo-Hoima'!N85+'Avg Week Hoima-Kyenjojo'!N85</f>
        <v>0</v>
      </c>
      <c r="O85" s="15">
        <f t="shared" si="35"/>
        <v>1.5</v>
      </c>
      <c r="P85" s="15">
        <f t="shared" si="36"/>
        <v>5.5</v>
      </c>
      <c r="R85" s="8"/>
      <c r="T85"/>
    </row>
    <row r="86" spans="2:20" ht="23.1" customHeight="1" x14ac:dyDescent="0.25">
      <c r="B86" s="24" t="s">
        <v>126</v>
      </c>
      <c r="C86" s="49">
        <f>'Avg Week Kyenjojo-Hoima'!C86+'Avg Week Hoima-Kyenjojo'!C86</f>
        <v>0.5</v>
      </c>
      <c r="D86" s="49">
        <f>'Avg Week Kyenjojo-Hoima'!D86+'Avg Week Hoima-Kyenjojo'!D86</f>
        <v>0</v>
      </c>
      <c r="E86" s="49">
        <f>'Avg Week Kyenjojo-Hoima'!E86+'Avg Week Hoima-Kyenjojo'!E86</f>
        <v>0</v>
      </c>
      <c r="F86" s="49">
        <f>'Avg Week Kyenjojo-Hoima'!F86+'Avg Week Hoima-Kyenjojo'!F86</f>
        <v>0</v>
      </c>
      <c r="G86" s="49">
        <f>'Avg Week Kyenjojo-Hoima'!G86+'Avg Week Hoima-Kyenjojo'!G86</f>
        <v>0</v>
      </c>
      <c r="H86" s="49">
        <f>'Avg Week Kyenjojo-Hoima'!H86+'Avg Week Hoima-Kyenjojo'!H86</f>
        <v>0</v>
      </c>
      <c r="I86" s="49">
        <f>'Avg Week Kyenjojo-Hoima'!I86+'Avg Week Hoima-Kyenjojo'!I86</f>
        <v>0</v>
      </c>
      <c r="J86" s="49">
        <f>'Avg Week Kyenjojo-Hoima'!J86+'Avg Week Hoima-Kyenjojo'!J86</f>
        <v>1</v>
      </c>
      <c r="K86" s="49">
        <f>'Avg Week Kyenjojo-Hoima'!K86+'Avg Week Hoima-Kyenjojo'!K86</f>
        <v>0</v>
      </c>
      <c r="L86" s="49">
        <f>'Avg Week Kyenjojo-Hoima'!L86+'Avg Week Hoima-Kyenjojo'!L86</f>
        <v>0</v>
      </c>
      <c r="M86" s="49">
        <f>'Avg Week Kyenjojo-Hoima'!M86+'Avg Week Hoima-Kyenjojo'!M86</f>
        <v>2</v>
      </c>
      <c r="N86" s="49">
        <f>'Avg Week Kyenjojo-Hoima'!N86+'Avg Week Hoima-Kyenjojo'!N86</f>
        <v>0</v>
      </c>
      <c r="O86" s="15">
        <f t="shared" si="35"/>
        <v>1.5</v>
      </c>
      <c r="P86" s="15">
        <f t="shared" si="36"/>
        <v>3.5</v>
      </c>
      <c r="R86" s="8"/>
      <c r="T86"/>
    </row>
    <row r="87" spans="2:20" ht="23.1" customHeight="1" x14ac:dyDescent="0.25">
      <c r="B87" s="23" t="s">
        <v>127</v>
      </c>
      <c r="C87" s="49">
        <f>'Avg Week Kyenjojo-Hoima'!C87+'Avg Week Hoima-Kyenjojo'!C87</f>
        <v>0</v>
      </c>
      <c r="D87" s="49">
        <f>'Avg Week Kyenjojo-Hoima'!D87+'Avg Week Hoima-Kyenjojo'!D87</f>
        <v>0</v>
      </c>
      <c r="E87" s="49">
        <f>'Avg Week Kyenjojo-Hoima'!E87+'Avg Week Hoima-Kyenjojo'!E87</f>
        <v>0</v>
      </c>
      <c r="F87" s="49">
        <f>'Avg Week Kyenjojo-Hoima'!F87+'Avg Week Hoima-Kyenjojo'!F87</f>
        <v>0</v>
      </c>
      <c r="G87" s="49">
        <f>'Avg Week Kyenjojo-Hoima'!G87+'Avg Week Hoima-Kyenjojo'!G87</f>
        <v>0</v>
      </c>
      <c r="H87" s="49">
        <f>'Avg Week Kyenjojo-Hoima'!H87+'Avg Week Hoima-Kyenjojo'!H87</f>
        <v>0</v>
      </c>
      <c r="I87" s="49">
        <f>'Avg Week Kyenjojo-Hoima'!I87+'Avg Week Hoima-Kyenjojo'!I87</f>
        <v>0</v>
      </c>
      <c r="J87" s="49">
        <f>'Avg Week Kyenjojo-Hoima'!J87+'Avg Week Hoima-Kyenjojo'!J87</f>
        <v>0</v>
      </c>
      <c r="K87" s="49">
        <f>'Avg Week Kyenjojo-Hoima'!K87+'Avg Week Hoima-Kyenjojo'!K87</f>
        <v>0</v>
      </c>
      <c r="L87" s="49">
        <f>'Avg Week Kyenjojo-Hoima'!L87+'Avg Week Hoima-Kyenjojo'!L87</f>
        <v>0</v>
      </c>
      <c r="M87" s="49">
        <f>'Avg Week Kyenjojo-Hoima'!M87+'Avg Week Hoima-Kyenjojo'!M87</f>
        <v>1.5</v>
      </c>
      <c r="N87" s="49">
        <f>'Avg Week Kyenjojo-Hoima'!N87+'Avg Week Hoima-Kyenjojo'!N87</f>
        <v>0</v>
      </c>
      <c r="O87" s="15">
        <f t="shared" si="35"/>
        <v>0</v>
      </c>
      <c r="P87" s="15">
        <f t="shared" si="36"/>
        <v>1.5</v>
      </c>
      <c r="R87" s="8"/>
      <c r="T87"/>
    </row>
    <row r="88" spans="2:20" ht="23.1" customHeight="1" x14ac:dyDescent="0.25">
      <c r="B88" s="25" t="s">
        <v>128</v>
      </c>
      <c r="C88" s="49">
        <f>'Avg Week Kyenjojo-Hoima'!C88+'Avg Week Hoima-Kyenjojo'!C88</f>
        <v>0</v>
      </c>
      <c r="D88" s="49">
        <f>'Avg Week Kyenjojo-Hoima'!D88+'Avg Week Hoima-Kyenjojo'!D88</f>
        <v>0</v>
      </c>
      <c r="E88" s="49">
        <f>'Avg Week Kyenjojo-Hoima'!E88+'Avg Week Hoima-Kyenjojo'!E88</f>
        <v>0</v>
      </c>
      <c r="F88" s="49">
        <f>'Avg Week Kyenjojo-Hoima'!F88+'Avg Week Hoima-Kyenjojo'!F88</f>
        <v>0</v>
      </c>
      <c r="G88" s="49">
        <f>'Avg Week Kyenjojo-Hoima'!G88+'Avg Week Hoima-Kyenjojo'!G88</f>
        <v>0</v>
      </c>
      <c r="H88" s="49">
        <f>'Avg Week Kyenjojo-Hoima'!H88+'Avg Week Hoima-Kyenjojo'!H88</f>
        <v>0</v>
      </c>
      <c r="I88" s="49">
        <f>'Avg Week Kyenjojo-Hoima'!I88+'Avg Week Hoima-Kyenjojo'!I88</f>
        <v>0</v>
      </c>
      <c r="J88" s="49">
        <f>'Avg Week Kyenjojo-Hoima'!J88+'Avg Week Hoima-Kyenjojo'!J88</f>
        <v>0</v>
      </c>
      <c r="K88" s="49">
        <f>'Avg Week Kyenjojo-Hoima'!K88+'Avg Week Hoima-Kyenjojo'!K88</f>
        <v>0</v>
      </c>
      <c r="L88" s="49">
        <f>'Avg Week Kyenjojo-Hoima'!L88+'Avg Week Hoima-Kyenjojo'!L88</f>
        <v>0</v>
      </c>
      <c r="M88" s="49">
        <f>'Avg Week Kyenjojo-Hoima'!M88+'Avg Week Hoima-Kyenjojo'!M88</f>
        <v>0</v>
      </c>
      <c r="N88" s="49">
        <f>'Avg Week Kyenjojo-Hoima'!N88+'Avg Week Hoima-Kyenjojo'!N88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'Avg Week Kyenjojo-Hoima'!C89+'Avg Week Hoima-Kyenjojo'!C89</f>
        <v>1</v>
      </c>
      <c r="D89" s="49">
        <f>'Avg Week Kyenjojo-Hoima'!D89+'Avg Week Hoima-Kyenjojo'!D89</f>
        <v>0</v>
      </c>
      <c r="E89" s="49">
        <f>'Avg Week Kyenjojo-Hoima'!E89+'Avg Week Hoima-Kyenjojo'!E89</f>
        <v>0</v>
      </c>
      <c r="F89" s="49">
        <f>'Avg Week Kyenjojo-Hoima'!F89+'Avg Week Hoima-Kyenjojo'!F89</f>
        <v>0</v>
      </c>
      <c r="G89" s="49">
        <f>'Avg Week Kyenjojo-Hoima'!G89+'Avg Week Hoima-Kyenjojo'!G89</f>
        <v>0</v>
      </c>
      <c r="H89" s="49">
        <f>'Avg Week Kyenjojo-Hoima'!H89+'Avg Week Hoima-Kyenjojo'!H89</f>
        <v>0</v>
      </c>
      <c r="I89" s="49">
        <f>'Avg Week Kyenjojo-Hoima'!I89+'Avg Week Hoima-Kyenjojo'!I89</f>
        <v>0</v>
      </c>
      <c r="J89" s="49">
        <f>'Avg Week Kyenjojo-Hoima'!J89+'Avg Week Hoima-Kyenjojo'!J89</f>
        <v>0</v>
      </c>
      <c r="K89" s="49">
        <f>'Avg Week Kyenjojo-Hoima'!K89+'Avg Week Hoima-Kyenjojo'!K89</f>
        <v>0</v>
      </c>
      <c r="L89" s="49">
        <f>'Avg Week Kyenjojo-Hoima'!L89+'Avg Week Hoima-Kyenjojo'!L89</f>
        <v>0</v>
      </c>
      <c r="M89" s="49">
        <f>'Avg Week Kyenjojo-Hoima'!M89+'Avg Week Hoima-Kyenjojo'!M89</f>
        <v>1</v>
      </c>
      <c r="N89" s="49">
        <f>'Avg Week Kyenjojo-Hoima'!N89+'Avg Week Hoima-Kyenjojo'!N89</f>
        <v>0</v>
      </c>
      <c r="O89" s="15">
        <f t="shared" si="35"/>
        <v>1</v>
      </c>
      <c r="P89" s="15">
        <f t="shared" si="36"/>
        <v>2</v>
      </c>
      <c r="R89" s="8"/>
      <c r="T89"/>
    </row>
    <row r="90" spans="2:20" ht="23.1" customHeight="1" x14ac:dyDescent="0.25">
      <c r="B90" s="24" t="s">
        <v>130</v>
      </c>
      <c r="C90" s="49">
        <f>'Avg Week Kyenjojo-Hoima'!C90+'Avg Week Hoima-Kyenjojo'!C90</f>
        <v>0</v>
      </c>
      <c r="D90" s="49">
        <f>'Avg Week Kyenjojo-Hoima'!D90+'Avg Week Hoima-Kyenjojo'!D90</f>
        <v>0</v>
      </c>
      <c r="E90" s="49">
        <f>'Avg Week Kyenjojo-Hoima'!E90+'Avg Week Hoima-Kyenjojo'!E90</f>
        <v>0</v>
      </c>
      <c r="F90" s="49">
        <f>'Avg Week Kyenjojo-Hoima'!F90+'Avg Week Hoima-Kyenjojo'!F90</f>
        <v>0</v>
      </c>
      <c r="G90" s="49">
        <f>'Avg Week Kyenjojo-Hoima'!G90+'Avg Week Hoima-Kyenjojo'!G90</f>
        <v>0</v>
      </c>
      <c r="H90" s="49">
        <f>'Avg Week Kyenjojo-Hoima'!H90+'Avg Week Hoima-Kyenjojo'!H90</f>
        <v>0</v>
      </c>
      <c r="I90" s="49">
        <f>'Avg Week Kyenjojo-Hoima'!I90+'Avg Week Hoima-Kyenjojo'!I90</f>
        <v>0</v>
      </c>
      <c r="J90" s="49">
        <f>'Avg Week Kyenjojo-Hoima'!J90+'Avg Week Hoima-Kyenjojo'!J90</f>
        <v>0</v>
      </c>
      <c r="K90" s="49">
        <f>'Avg Week Kyenjojo-Hoima'!K90+'Avg Week Hoima-Kyenjojo'!K90</f>
        <v>0</v>
      </c>
      <c r="L90" s="49">
        <f>'Avg Week Kyenjojo-Hoima'!L90+'Avg Week Hoima-Kyenjojo'!L90</f>
        <v>0</v>
      </c>
      <c r="M90" s="49">
        <f>'Avg Week Kyenjojo-Hoima'!M90+'Avg Week Hoima-Kyenjojo'!M90</f>
        <v>1</v>
      </c>
      <c r="N90" s="49">
        <f>'Avg Week Kyenjojo-Hoima'!N90+'Avg Week Hoima-Kyenjojo'!N90</f>
        <v>0</v>
      </c>
      <c r="O90" s="15">
        <f t="shared" si="35"/>
        <v>0</v>
      </c>
      <c r="P90" s="15">
        <f t="shared" si="36"/>
        <v>1</v>
      </c>
      <c r="R90" s="8"/>
      <c r="T90"/>
    </row>
    <row r="91" spans="2:20" ht="23.1" customHeight="1" x14ac:dyDescent="0.25">
      <c r="B91" s="23" t="s">
        <v>131</v>
      </c>
      <c r="C91" s="49">
        <f>'Avg Week Kyenjojo-Hoima'!C91+'Avg Week Hoima-Kyenjojo'!C91</f>
        <v>0</v>
      </c>
      <c r="D91" s="49">
        <f>'Avg Week Kyenjojo-Hoima'!D91+'Avg Week Hoima-Kyenjojo'!D91</f>
        <v>0</v>
      </c>
      <c r="E91" s="49">
        <f>'Avg Week Kyenjojo-Hoima'!E91+'Avg Week Hoima-Kyenjojo'!E91</f>
        <v>0</v>
      </c>
      <c r="F91" s="49">
        <f>'Avg Week Kyenjojo-Hoima'!F91+'Avg Week Hoima-Kyenjojo'!F91</f>
        <v>0.5</v>
      </c>
      <c r="G91" s="49">
        <f>'Avg Week Kyenjojo-Hoima'!G91+'Avg Week Hoima-Kyenjojo'!G91</f>
        <v>0</v>
      </c>
      <c r="H91" s="49">
        <f>'Avg Week Kyenjojo-Hoima'!H91+'Avg Week Hoima-Kyenjojo'!H91</f>
        <v>0</v>
      </c>
      <c r="I91" s="49">
        <f>'Avg Week Kyenjojo-Hoima'!I91+'Avg Week Hoima-Kyenjojo'!I91</f>
        <v>0</v>
      </c>
      <c r="J91" s="49">
        <f>'Avg Week Kyenjojo-Hoima'!J91+'Avg Week Hoima-Kyenjojo'!J91</f>
        <v>0</v>
      </c>
      <c r="K91" s="49">
        <f>'Avg Week Kyenjojo-Hoima'!K91+'Avg Week Hoima-Kyenjojo'!K91</f>
        <v>0</v>
      </c>
      <c r="L91" s="49">
        <f>'Avg Week Kyenjojo-Hoima'!L91+'Avg Week Hoima-Kyenjojo'!L91</f>
        <v>0</v>
      </c>
      <c r="M91" s="49">
        <f>'Avg Week Kyenjojo-Hoima'!M91+'Avg Week Hoima-Kyenjojo'!M91</f>
        <v>1.5</v>
      </c>
      <c r="N91" s="49">
        <f>'Avg Week Kyenjojo-Hoima'!N91+'Avg Week Hoima-Kyenjojo'!N91</f>
        <v>0</v>
      </c>
      <c r="O91" s="15">
        <f t="shared" si="35"/>
        <v>0.5</v>
      </c>
      <c r="P91" s="15">
        <f t="shared" si="36"/>
        <v>2</v>
      </c>
      <c r="R91" s="8"/>
      <c r="T91"/>
    </row>
    <row r="92" spans="2:20" ht="23.1" customHeight="1" x14ac:dyDescent="0.25">
      <c r="B92" s="25" t="s">
        <v>132</v>
      </c>
      <c r="C92" s="49">
        <f>'Avg Week Kyenjojo-Hoima'!C92+'Avg Week Hoima-Kyenjojo'!C92</f>
        <v>0</v>
      </c>
      <c r="D92" s="49">
        <f>'Avg Week Kyenjojo-Hoima'!D92+'Avg Week Hoima-Kyenjojo'!D92</f>
        <v>0</v>
      </c>
      <c r="E92" s="49">
        <f>'Avg Week Kyenjojo-Hoima'!E92+'Avg Week Hoima-Kyenjojo'!E92</f>
        <v>0.5</v>
      </c>
      <c r="F92" s="49">
        <f>'Avg Week Kyenjojo-Hoima'!F92+'Avg Week Hoima-Kyenjojo'!F92</f>
        <v>0</v>
      </c>
      <c r="G92" s="49">
        <f>'Avg Week Kyenjojo-Hoima'!G92+'Avg Week Hoima-Kyenjojo'!G92</f>
        <v>0.5</v>
      </c>
      <c r="H92" s="49">
        <f>'Avg Week Kyenjojo-Hoima'!H92+'Avg Week Hoima-Kyenjojo'!H92</f>
        <v>0</v>
      </c>
      <c r="I92" s="49">
        <f>'Avg Week Kyenjojo-Hoima'!I92+'Avg Week Hoima-Kyenjojo'!I92</f>
        <v>0</v>
      </c>
      <c r="J92" s="49">
        <f>'Avg Week Kyenjojo-Hoima'!J92+'Avg Week Hoima-Kyenjojo'!J92</f>
        <v>0</v>
      </c>
      <c r="K92" s="49">
        <f>'Avg Week Kyenjojo-Hoima'!K92+'Avg Week Hoima-Kyenjojo'!K92</f>
        <v>0</v>
      </c>
      <c r="L92" s="49">
        <f>'Avg Week Kyenjojo-Hoima'!L92+'Avg Week Hoima-Kyenjojo'!L92</f>
        <v>0</v>
      </c>
      <c r="M92" s="49">
        <f>'Avg Week Kyenjojo-Hoima'!M92+'Avg Week Hoima-Kyenjojo'!M92</f>
        <v>0</v>
      </c>
      <c r="N92" s="49">
        <f>'Avg Week Kyenjojo-Hoima'!N92+'Avg Week Hoima-Kyenjojo'!N92</f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'Avg Week Kyenjojo-Hoima'!C93+'Avg Week Hoima-Kyenjojo'!C93</f>
        <v>0</v>
      </c>
      <c r="D93" s="49">
        <f>'Avg Week Kyenjojo-Hoima'!D93+'Avg Week Hoima-Kyenjojo'!D93</f>
        <v>0</v>
      </c>
      <c r="E93" s="49">
        <f>'Avg Week Kyenjojo-Hoima'!E93+'Avg Week Hoima-Kyenjojo'!E93</f>
        <v>0</v>
      </c>
      <c r="F93" s="49">
        <f>'Avg Week Kyenjojo-Hoima'!F93+'Avg Week Hoima-Kyenjojo'!F93</f>
        <v>0</v>
      </c>
      <c r="G93" s="49">
        <f>'Avg Week Kyenjojo-Hoima'!G93+'Avg Week Hoima-Kyenjojo'!G93</f>
        <v>0</v>
      </c>
      <c r="H93" s="49">
        <f>'Avg Week Kyenjojo-Hoima'!H93+'Avg Week Hoima-Kyenjojo'!H93</f>
        <v>0</v>
      </c>
      <c r="I93" s="49">
        <f>'Avg Week Kyenjojo-Hoima'!I93+'Avg Week Hoima-Kyenjojo'!I93</f>
        <v>0</v>
      </c>
      <c r="J93" s="49">
        <f>'Avg Week Kyenjojo-Hoima'!J93+'Avg Week Hoima-Kyenjojo'!J93</f>
        <v>0</v>
      </c>
      <c r="K93" s="49">
        <f>'Avg Week Kyenjojo-Hoima'!K93+'Avg Week Hoima-Kyenjojo'!K93</f>
        <v>0</v>
      </c>
      <c r="L93" s="49">
        <f>'Avg Week Kyenjojo-Hoima'!L93+'Avg Week Hoima-Kyenjojo'!L93</f>
        <v>0</v>
      </c>
      <c r="M93" s="49">
        <f>'Avg Week Kyenjojo-Hoima'!M93+'Avg Week Hoima-Kyenjojo'!M93</f>
        <v>0</v>
      </c>
      <c r="N93" s="49">
        <f>'Avg Week Kyenjojo-Hoima'!N93+'Avg Week Hoima-Kyenjojo'!N93</f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24" t="s">
        <v>134</v>
      </c>
      <c r="C94" s="49">
        <f>'Avg Week Kyenjojo-Hoima'!C94+'Avg Week Hoima-Kyenjojo'!C94</f>
        <v>2</v>
      </c>
      <c r="D94" s="49">
        <f>'Avg Week Kyenjojo-Hoima'!D94+'Avg Week Hoima-Kyenjojo'!D94</f>
        <v>0.5</v>
      </c>
      <c r="E94" s="49">
        <f>'Avg Week Kyenjojo-Hoima'!E94+'Avg Week Hoima-Kyenjojo'!E94</f>
        <v>0</v>
      </c>
      <c r="F94" s="49">
        <f>'Avg Week Kyenjojo-Hoima'!F94+'Avg Week Hoima-Kyenjojo'!F94</f>
        <v>0</v>
      </c>
      <c r="G94" s="49">
        <f>'Avg Week Kyenjojo-Hoima'!G94+'Avg Week Hoima-Kyenjojo'!G94</f>
        <v>0</v>
      </c>
      <c r="H94" s="49">
        <f>'Avg Week Kyenjojo-Hoima'!H94+'Avg Week Hoima-Kyenjojo'!H94</f>
        <v>0</v>
      </c>
      <c r="I94" s="49">
        <f>'Avg Week Kyenjojo-Hoima'!I94+'Avg Week Hoima-Kyenjojo'!I94</f>
        <v>1</v>
      </c>
      <c r="J94" s="49">
        <f>'Avg Week Kyenjojo-Hoima'!J94+'Avg Week Hoima-Kyenjojo'!J94</f>
        <v>0</v>
      </c>
      <c r="K94" s="49">
        <f>'Avg Week Kyenjojo-Hoima'!K94+'Avg Week Hoima-Kyenjojo'!K94</f>
        <v>0.5</v>
      </c>
      <c r="L94" s="49">
        <f>'Avg Week Kyenjojo-Hoima'!L94+'Avg Week Hoima-Kyenjojo'!L94</f>
        <v>0</v>
      </c>
      <c r="M94" s="49">
        <f>'Avg Week Kyenjojo-Hoima'!M94+'Avg Week Hoima-Kyenjojo'!M94</f>
        <v>3</v>
      </c>
      <c r="N94" s="49">
        <f>'Avg Week Kyenjojo-Hoima'!N94+'Avg Week Hoima-Kyenjojo'!N94</f>
        <v>0</v>
      </c>
      <c r="O94" s="15">
        <f t="shared" si="35"/>
        <v>4</v>
      </c>
      <c r="P94" s="15">
        <f t="shared" si="36"/>
        <v>7</v>
      </c>
      <c r="R94" s="8"/>
      <c r="T94"/>
    </row>
    <row r="95" spans="2:20" ht="23.1" customHeight="1" x14ac:dyDescent="0.25">
      <c r="B95" s="23" t="s">
        <v>135</v>
      </c>
      <c r="C95" s="49">
        <f>'Avg Week Kyenjojo-Hoima'!C95+'Avg Week Hoima-Kyenjojo'!C95</f>
        <v>1.5</v>
      </c>
      <c r="D95" s="49">
        <f>'Avg Week Kyenjojo-Hoima'!D95+'Avg Week Hoima-Kyenjojo'!D95</f>
        <v>0</v>
      </c>
      <c r="E95" s="49">
        <f>'Avg Week Kyenjojo-Hoima'!E95+'Avg Week Hoima-Kyenjojo'!E95</f>
        <v>0</v>
      </c>
      <c r="F95" s="49">
        <f>'Avg Week Kyenjojo-Hoima'!F95+'Avg Week Hoima-Kyenjojo'!F95</f>
        <v>0</v>
      </c>
      <c r="G95" s="49">
        <f>'Avg Week Kyenjojo-Hoima'!G95+'Avg Week Hoima-Kyenjojo'!G95</f>
        <v>0</v>
      </c>
      <c r="H95" s="49">
        <f>'Avg Week Kyenjojo-Hoima'!H95+'Avg Week Hoima-Kyenjojo'!H95</f>
        <v>0</v>
      </c>
      <c r="I95" s="49">
        <f>'Avg Week Kyenjojo-Hoima'!I95+'Avg Week Hoima-Kyenjojo'!I95</f>
        <v>0</v>
      </c>
      <c r="J95" s="49">
        <f>'Avg Week Kyenjojo-Hoima'!J95+'Avg Week Hoima-Kyenjojo'!J95</f>
        <v>0</v>
      </c>
      <c r="K95" s="49">
        <f>'Avg Week Kyenjojo-Hoima'!K95+'Avg Week Hoima-Kyenjojo'!K95</f>
        <v>0</v>
      </c>
      <c r="L95" s="49">
        <f>'Avg Week Kyenjojo-Hoima'!L95+'Avg Week Hoima-Kyenjojo'!L95</f>
        <v>0</v>
      </c>
      <c r="M95" s="49">
        <f>'Avg Week Kyenjojo-Hoima'!M95+'Avg Week Hoima-Kyenjojo'!M95</f>
        <v>1.5</v>
      </c>
      <c r="N95" s="49">
        <f>'Avg Week Kyenjojo-Hoima'!N95+'Avg Week Hoima-Kyenjojo'!N95</f>
        <v>0</v>
      </c>
      <c r="O95" s="15">
        <f t="shared" si="35"/>
        <v>1.5</v>
      </c>
      <c r="P95" s="15">
        <f t="shared" si="36"/>
        <v>3</v>
      </c>
      <c r="R95" s="8"/>
      <c r="T95"/>
    </row>
    <row r="96" spans="2:20" ht="23.1" customHeight="1" x14ac:dyDescent="0.25">
      <c r="B96" s="25" t="s">
        <v>136</v>
      </c>
      <c r="C96" s="49">
        <f>'Avg Week Kyenjojo-Hoima'!C96+'Avg Week Hoima-Kyenjojo'!C96</f>
        <v>0.5</v>
      </c>
      <c r="D96" s="49">
        <f>'Avg Week Kyenjojo-Hoima'!D96+'Avg Week Hoima-Kyenjojo'!D96</f>
        <v>0</v>
      </c>
      <c r="E96" s="49">
        <f>'Avg Week Kyenjojo-Hoima'!E96+'Avg Week Hoima-Kyenjojo'!E96</f>
        <v>0</v>
      </c>
      <c r="F96" s="49">
        <f>'Avg Week Kyenjojo-Hoima'!F96+'Avg Week Hoima-Kyenjojo'!F96</f>
        <v>0</v>
      </c>
      <c r="G96" s="49">
        <f>'Avg Week Kyenjojo-Hoima'!G96+'Avg Week Hoima-Kyenjojo'!G96</f>
        <v>0</v>
      </c>
      <c r="H96" s="49">
        <f>'Avg Week Kyenjojo-Hoima'!H96+'Avg Week Hoima-Kyenjojo'!H96</f>
        <v>0</v>
      </c>
      <c r="I96" s="49">
        <f>'Avg Week Kyenjojo-Hoima'!I96+'Avg Week Hoima-Kyenjojo'!I96</f>
        <v>0.5</v>
      </c>
      <c r="J96" s="49">
        <f>'Avg Week Kyenjojo-Hoima'!J96+'Avg Week Hoima-Kyenjojo'!J96</f>
        <v>0</v>
      </c>
      <c r="K96" s="49">
        <f>'Avg Week Kyenjojo-Hoima'!K96+'Avg Week Hoima-Kyenjojo'!K96</f>
        <v>0</v>
      </c>
      <c r="L96" s="49">
        <f>'Avg Week Kyenjojo-Hoima'!L96+'Avg Week Hoima-Kyenjojo'!L96</f>
        <v>0</v>
      </c>
      <c r="M96" s="49">
        <f>'Avg Week Kyenjojo-Hoima'!M96+'Avg Week Hoima-Kyenjojo'!M96</f>
        <v>2</v>
      </c>
      <c r="N96" s="49">
        <f>'Avg Week Kyenjojo-Hoima'!N96+'Avg Week Hoima-Kyenjojo'!N96</f>
        <v>0</v>
      </c>
      <c r="O96" s="15">
        <f t="shared" si="35"/>
        <v>1</v>
      </c>
      <c r="P96" s="15">
        <f t="shared" si="36"/>
        <v>3</v>
      </c>
      <c r="R96" s="8"/>
      <c r="T96"/>
    </row>
    <row r="97" spans="2:20" ht="23.1" customHeight="1" x14ac:dyDescent="0.25">
      <c r="B97" s="23" t="s">
        <v>137</v>
      </c>
      <c r="C97" s="49">
        <f>'Avg Week Kyenjojo-Hoima'!C97+'Avg Week Hoima-Kyenjojo'!C97</f>
        <v>0</v>
      </c>
      <c r="D97" s="49">
        <f>'Avg Week Kyenjojo-Hoima'!D97+'Avg Week Hoima-Kyenjojo'!D97</f>
        <v>0</v>
      </c>
      <c r="E97" s="49">
        <f>'Avg Week Kyenjojo-Hoima'!E97+'Avg Week Hoima-Kyenjojo'!E97</f>
        <v>0</v>
      </c>
      <c r="F97" s="49">
        <f>'Avg Week Kyenjojo-Hoima'!F97+'Avg Week Hoima-Kyenjojo'!F97</f>
        <v>0.5</v>
      </c>
      <c r="G97" s="49">
        <f>'Avg Week Kyenjojo-Hoima'!G97+'Avg Week Hoima-Kyenjojo'!G97</f>
        <v>0</v>
      </c>
      <c r="H97" s="49">
        <f>'Avg Week Kyenjojo-Hoima'!H97+'Avg Week Hoima-Kyenjojo'!H97</f>
        <v>0</v>
      </c>
      <c r="I97" s="49">
        <f>'Avg Week Kyenjojo-Hoima'!I97+'Avg Week Hoima-Kyenjojo'!I97</f>
        <v>0.5</v>
      </c>
      <c r="J97" s="49">
        <f>'Avg Week Kyenjojo-Hoima'!J97+'Avg Week Hoima-Kyenjojo'!J97</f>
        <v>0</v>
      </c>
      <c r="K97" s="49">
        <f>'Avg Week Kyenjojo-Hoima'!K97+'Avg Week Hoima-Kyenjojo'!K97</f>
        <v>0</v>
      </c>
      <c r="L97" s="49">
        <f>'Avg Week Kyenjojo-Hoima'!L97+'Avg Week Hoima-Kyenjojo'!L97</f>
        <v>0</v>
      </c>
      <c r="M97" s="49">
        <f>'Avg Week Kyenjojo-Hoima'!M97+'Avg Week Hoima-Kyenjojo'!M97</f>
        <v>1</v>
      </c>
      <c r="N97" s="49">
        <f>'Avg Week Kyenjojo-Hoima'!N97+'Avg Week Hoima-Kyenjojo'!N97</f>
        <v>0</v>
      </c>
      <c r="O97" s="15">
        <f t="shared" si="35"/>
        <v>1</v>
      </c>
      <c r="P97" s="15">
        <f t="shared" si="36"/>
        <v>2</v>
      </c>
      <c r="R97" s="8"/>
      <c r="T97"/>
    </row>
    <row r="98" spans="2:20" ht="23.1" customHeight="1" x14ac:dyDescent="0.25">
      <c r="B98" s="24" t="s">
        <v>138</v>
      </c>
      <c r="C98" s="49">
        <f>'Avg Week Kyenjojo-Hoima'!C98+'Avg Week Hoima-Kyenjojo'!C98</f>
        <v>2</v>
      </c>
      <c r="D98" s="49">
        <f>'Avg Week Kyenjojo-Hoima'!D98+'Avg Week Hoima-Kyenjojo'!D98</f>
        <v>0.5</v>
      </c>
      <c r="E98" s="49">
        <f>'Avg Week Kyenjojo-Hoima'!E98+'Avg Week Hoima-Kyenjojo'!E98</f>
        <v>1</v>
      </c>
      <c r="F98" s="49">
        <f>'Avg Week Kyenjojo-Hoima'!F98+'Avg Week Hoima-Kyenjojo'!F98</f>
        <v>0</v>
      </c>
      <c r="G98" s="49">
        <f>'Avg Week Kyenjojo-Hoima'!G98+'Avg Week Hoima-Kyenjojo'!G98</f>
        <v>0</v>
      </c>
      <c r="H98" s="49">
        <f>'Avg Week Kyenjojo-Hoima'!H98+'Avg Week Hoima-Kyenjojo'!H98</f>
        <v>0</v>
      </c>
      <c r="I98" s="49">
        <f>'Avg Week Kyenjojo-Hoima'!I98+'Avg Week Hoima-Kyenjojo'!I98</f>
        <v>0.5</v>
      </c>
      <c r="J98" s="49">
        <f>'Avg Week Kyenjojo-Hoima'!J98+'Avg Week Hoima-Kyenjojo'!J98</f>
        <v>0.5</v>
      </c>
      <c r="K98" s="49">
        <f>'Avg Week Kyenjojo-Hoima'!K98+'Avg Week Hoima-Kyenjojo'!K98</f>
        <v>2</v>
      </c>
      <c r="L98" s="49">
        <f>'Avg Week Kyenjojo-Hoima'!L98+'Avg Week Hoima-Kyenjojo'!L98</f>
        <v>1</v>
      </c>
      <c r="M98" s="49">
        <f>'Avg Week Kyenjojo-Hoima'!M98+'Avg Week Hoima-Kyenjojo'!M98</f>
        <v>4</v>
      </c>
      <c r="N98" s="49">
        <f>'Avg Week Kyenjojo-Hoima'!N98+'Avg Week Hoima-Kyenjojo'!N98</f>
        <v>0</v>
      </c>
      <c r="O98" s="15">
        <f t="shared" si="35"/>
        <v>7.5</v>
      </c>
      <c r="P98" s="15">
        <f t="shared" si="36"/>
        <v>11.5</v>
      </c>
      <c r="R98" s="8"/>
      <c r="T98"/>
    </row>
    <row r="99" spans="2:20" ht="23.1" customHeight="1" x14ac:dyDescent="0.25">
      <c r="B99" s="23" t="s">
        <v>139</v>
      </c>
      <c r="C99" s="49">
        <f>'Avg Week Kyenjojo-Hoima'!C99+'Avg Week Hoima-Kyenjojo'!C99</f>
        <v>2</v>
      </c>
      <c r="D99" s="49">
        <f>'Avg Week Kyenjojo-Hoima'!D99+'Avg Week Hoima-Kyenjojo'!D99</f>
        <v>0</v>
      </c>
      <c r="E99" s="49">
        <f>'Avg Week Kyenjojo-Hoima'!E99+'Avg Week Hoima-Kyenjojo'!E99</f>
        <v>1</v>
      </c>
      <c r="F99" s="49">
        <f>'Avg Week Kyenjojo-Hoima'!F99+'Avg Week Hoima-Kyenjojo'!F99</f>
        <v>1</v>
      </c>
      <c r="G99" s="49">
        <f>'Avg Week Kyenjojo-Hoima'!G99+'Avg Week Hoima-Kyenjojo'!G99</f>
        <v>0</v>
      </c>
      <c r="H99" s="49">
        <f>'Avg Week Kyenjojo-Hoima'!H99+'Avg Week Hoima-Kyenjojo'!H99</f>
        <v>0</v>
      </c>
      <c r="I99" s="49">
        <f>'Avg Week Kyenjojo-Hoima'!I99+'Avg Week Hoima-Kyenjojo'!I99</f>
        <v>1.5</v>
      </c>
      <c r="J99" s="49">
        <f>'Avg Week Kyenjojo-Hoima'!J99+'Avg Week Hoima-Kyenjojo'!J99</f>
        <v>0</v>
      </c>
      <c r="K99" s="49">
        <f>'Avg Week Kyenjojo-Hoima'!K99+'Avg Week Hoima-Kyenjojo'!K99</f>
        <v>0</v>
      </c>
      <c r="L99" s="49">
        <f>'Avg Week Kyenjojo-Hoima'!L99+'Avg Week Hoima-Kyenjojo'!L99</f>
        <v>0</v>
      </c>
      <c r="M99" s="49">
        <f>'Avg Week Kyenjojo-Hoima'!M99+'Avg Week Hoima-Kyenjojo'!M99</f>
        <v>3.5</v>
      </c>
      <c r="N99" s="49">
        <f>'Avg Week Kyenjojo-Hoima'!N99+'Avg Week Hoima-Kyenjojo'!N99</f>
        <v>0</v>
      </c>
      <c r="O99" s="15">
        <f t="shared" si="35"/>
        <v>5.5</v>
      </c>
      <c r="P99" s="15">
        <f t="shared" si="36"/>
        <v>9</v>
      </c>
      <c r="R99" s="8"/>
      <c r="T99"/>
    </row>
    <row r="100" spans="2:20" ht="23.1" customHeight="1" x14ac:dyDescent="0.25">
      <c r="B100" s="25" t="s">
        <v>140</v>
      </c>
      <c r="C100" s="49">
        <f>'Avg Week Kyenjojo-Hoima'!C100+'Avg Week Hoima-Kyenjojo'!C100</f>
        <v>0</v>
      </c>
      <c r="D100" s="49">
        <f>'Avg Week Kyenjojo-Hoima'!D100+'Avg Week Hoima-Kyenjojo'!D100</f>
        <v>0</v>
      </c>
      <c r="E100" s="49">
        <f>'Avg Week Kyenjojo-Hoima'!E100+'Avg Week Hoima-Kyenjojo'!E100</f>
        <v>0</v>
      </c>
      <c r="F100" s="49">
        <f>'Avg Week Kyenjojo-Hoima'!F100+'Avg Week Hoima-Kyenjojo'!F100</f>
        <v>0</v>
      </c>
      <c r="G100" s="49">
        <f>'Avg Week Kyenjojo-Hoima'!G100+'Avg Week Hoima-Kyenjojo'!G100</f>
        <v>0</v>
      </c>
      <c r="H100" s="49">
        <f>'Avg Week Kyenjojo-Hoima'!H100+'Avg Week Hoima-Kyenjojo'!H100</f>
        <v>0</v>
      </c>
      <c r="I100" s="49">
        <f>'Avg Week Kyenjojo-Hoima'!I100+'Avg Week Hoima-Kyenjojo'!I100</f>
        <v>0.5</v>
      </c>
      <c r="J100" s="49">
        <f>'Avg Week Kyenjojo-Hoima'!J100+'Avg Week Hoima-Kyenjojo'!J100</f>
        <v>0</v>
      </c>
      <c r="K100" s="49">
        <f>'Avg Week Kyenjojo-Hoima'!K100+'Avg Week Hoima-Kyenjojo'!K100</f>
        <v>0</v>
      </c>
      <c r="L100" s="49">
        <f>'Avg Week Kyenjojo-Hoima'!L100+'Avg Week Hoima-Kyenjojo'!L100</f>
        <v>0</v>
      </c>
      <c r="M100" s="49">
        <f>'Avg Week Kyenjojo-Hoima'!M100+'Avg Week Hoima-Kyenjojo'!M100</f>
        <v>2</v>
      </c>
      <c r="N100" s="49">
        <f>'Avg Week Kyenjojo-Hoima'!N100+'Avg Week Hoima-Kyenjojo'!N100</f>
        <v>0</v>
      </c>
      <c r="O100" s="15">
        <f t="shared" si="35"/>
        <v>0.5</v>
      </c>
      <c r="P100" s="15">
        <f t="shared" si="36"/>
        <v>2.5</v>
      </c>
      <c r="R100" s="8"/>
      <c r="T100"/>
    </row>
    <row r="101" spans="2:20" ht="23.1" customHeight="1" x14ac:dyDescent="0.25">
      <c r="B101" s="23" t="s">
        <v>141</v>
      </c>
      <c r="C101" s="49">
        <f>'Avg Week Kyenjojo-Hoima'!C101+'Avg Week Hoima-Kyenjojo'!C101</f>
        <v>0</v>
      </c>
      <c r="D101" s="49">
        <f>'Avg Week Kyenjojo-Hoima'!D101+'Avg Week Hoima-Kyenjojo'!D101</f>
        <v>0</v>
      </c>
      <c r="E101" s="49">
        <f>'Avg Week Kyenjojo-Hoima'!E101+'Avg Week Hoima-Kyenjojo'!E101</f>
        <v>0.5</v>
      </c>
      <c r="F101" s="49">
        <f>'Avg Week Kyenjojo-Hoima'!F101+'Avg Week Hoima-Kyenjojo'!F101</f>
        <v>0</v>
      </c>
      <c r="G101" s="49">
        <f>'Avg Week Kyenjojo-Hoima'!G101+'Avg Week Hoima-Kyenjojo'!G101</f>
        <v>0</v>
      </c>
      <c r="H101" s="49">
        <f>'Avg Week Kyenjojo-Hoima'!H101+'Avg Week Hoima-Kyenjojo'!H101</f>
        <v>0</v>
      </c>
      <c r="I101" s="49">
        <f>'Avg Week Kyenjojo-Hoima'!I101+'Avg Week Hoima-Kyenjojo'!I101</f>
        <v>0</v>
      </c>
      <c r="J101" s="49">
        <f>'Avg Week Kyenjojo-Hoima'!J101+'Avg Week Hoima-Kyenjojo'!J101</f>
        <v>0</v>
      </c>
      <c r="K101" s="49">
        <f>'Avg Week Kyenjojo-Hoima'!K101+'Avg Week Hoima-Kyenjojo'!K101</f>
        <v>0</v>
      </c>
      <c r="L101" s="49">
        <f>'Avg Week Kyenjojo-Hoima'!L101+'Avg Week Hoima-Kyenjojo'!L101</f>
        <v>0</v>
      </c>
      <c r="M101" s="49">
        <f>'Avg Week Kyenjojo-Hoima'!M101+'Avg Week Hoima-Kyenjojo'!M101</f>
        <v>2.5</v>
      </c>
      <c r="N101" s="49">
        <f>'Avg Week Kyenjojo-Hoima'!N101+'Avg Week Hoima-Kyenjojo'!N101</f>
        <v>0</v>
      </c>
      <c r="O101" s="15">
        <f t="shared" si="35"/>
        <v>0.5</v>
      </c>
      <c r="P101" s="15">
        <f t="shared" si="36"/>
        <v>3</v>
      </c>
      <c r="R101" s="8"/>
      <c r="T101"/>
    </row>
    <row r="102" spans="2:20" ht="23.1" customHeight="1" x14ac:dyDescent="0.25">
      <c r="B102" s="24" t="s">
        <v>142</v>
      </c>
      <c r="C102" s="49">
        <f>'Avg Week Kyenjojo-Hoima'!C102+'Avg Week Hoima-Kyenjojo'!C102</f>
        <v>2</v>
      </c>
      <c r="D102" s="49">
        <f>'Avg Week Kyenjojo-Hoima'!D102+'Avg Week Hoima-Kyenjojo'!D102</f>
        <v>0.5</v>
      </c>
      <c r="E102" s="49">
        <f>'Avg Week Kyenjojo-Hoima'!E102+'Avg Week Hoima-Kyenjojo'!E102</f>
        <v>2</v>
      </c>
      <c r="F102" s="49">
        <f>'Avg Week Kyenjojo-Hoima'!F102+'Avg Week Hoima-Kyenjojo'!F102</f>
        <v>0.5</v>
      </c>
      <c r="G102" s="49">
        <f>'Avg Week Kyenjojo-Hoima'!G102+'Avg Week Hoima-Kyenjojo'!G102</f>
        <v>0</v>
      </c>
      <c r="H102" s="49">
        <f>'Avg Week Kyenjojo-Hoima'!H102+'Avg Week Hoima-Kyenjojo'!H102</f>
        <v>0</v>
      </c>
      <c r="I102" s="49">
        <f>'Avg Week Kyenjojo-Hoima'!I102+'Avg Week Hoima-Kyenjojo'!I102</f>
        <v>0.5</v>
      </c>
      <c r="J102" s="49">
        <f>'Avg Week Kyenjojo-Hoima'!J102+'Avg Week Hoima-Kyenjojo'!J102</f>
        <v>0</v>
      </c>
      <c r="K102" s="49">
        <f>'Avg Week Kyenjojo-Hoima'!K102+'Avg Week Hoima-Kyenjojo'!K102</f>
        <v>0</v>
      </c>
      <c r="L102" s="49">
        <f>'Avg Week Kyenjojo-Hoima'!L102+'Avg Week Hoima-Kyenjojo'!L102</f>
        <v>0</v>
      </c>
      <c r="M102" s="49">
        <f>'Avg Week Kyenjojo-Hoima'!M102+'Avg Week Hoima-Kyenjojo'!M102</f>
        <v>8</v>
      </c>
      <c r="N102" s="49">
        <f>'Avg Week Kyenjojo-Hoima'!N102+'Avg Week Hoima-Kyenjojo'!N102</f>
        <v>0</v>
      </c>
      <c r="O102" s="15">
        <f t="shared" si="35"/>
        <v>5.5</v>
      </c>
      <c r="P102" s="15">
        <f t="shared" si="36"/>
        <v>13.5</v>
      </c>
      <c r="R102" s="8"/>
      <c r="T102"/>
    </row>
    <row r="103" spans="2:20" ht="23.1" customHeight="1" x14ac:dyDescent="0.25">
      <c r="B103" s="23" t="s">
        <v>143</v>
      </c>
      <c r="C103" s="49">
        <f>'Avg Week Kyenjojo-Hoima'!C103+'Avg Week Hoima-Kyenjojo'!C103</f>
        <v>2</v>
      </c>
      <c r="D103" s="49">
        <f>'Avg Week Kyenjojo-Hoima'!D103+'Avg Week Hoima-Kyenjojo'!D103</f>
        <v>0</v>
      </c>
      <c r="E103" s="49">
        <f>'Avg Week Kyenjojo-Hoima'!E103+'Avg Week Hoima-Kyenjojo'!E103</f>
        <v>0</v>
      </c>
      <c r="F103" s="49">
        <f>'Avg Week Kyenjojo-Hoima'!F103+'Avg Week Hoima-Kyenjojo'!F103</f>
        <v>0.5</v>
      </c>
      <c r="G103" s="49">
        <f>'Avg Week Kyenjojo-Hoima'!G103+'Avg Week Hoima-Kyenjojo'!G103</f>
        <v>0</v>
      </c>
      <c r="H103" s="49">
        <f>'Avg Week Kyenjojo-Hoima'!H103+'Avg Week Hoima-Kyenjojo'!H103</f>
        <v>0</v>
      </c>
      <c r="I103" s="49">
        <f>'Avg Week Kyenjojo-Hoima'!I103+'Avg Week Hoima-Kyenjojo'!I103</f>
        <v>1</v>
      </c>
      <c r="J103" s="49">
        <f>'Avg Week Kyenjojo-Hoima'!J103+'Avg Week Hoima-Kyenjojo'!J103</f>
        <v>0</v>
      </c>
      <c r="K103" s="49">
        <f>'Avg Week Kyenjojo-Hoima'!K103+'Avg Week Hoima-Kyenjojo'!K103</f>
        <v>0.5</v>
      </c>
      <c r="L103" s="49">
        <f>'Avg Week Kyenjojo-Hoima'!L103+'Avg Week Hoima-Kyenjojo'!L103</f>
        <v>0</v>
      </c>
      <c r="M103" s="49">
        <f>'Avg Week Kyenjojo-Hoima'!M103+'Avg Week Hoima-Kyenjojo'!M103</f>
        <v>6</v>
      </c>
      <c r="N103" s="49">
        <f>'Avg Week Kyenjojo-Hoima'!N103+'Avg Week Hoima-Kyenjojo'!N103</f>
        <v>0</v>
      </c>
      <c r="O103" s="15">
        <f t="shared" si="35"/>
        <v>4</v>
      </c>
      <c r="P103" s="15">
        <f t="shared" si="36"/>
        <v>10</v>
      </c>
      <c r="R103" s="8"/>
      <c r="T103"/>
    </row>
    <row r="104" spans="2:20" ht="23.1" customHeight="1" x14ac:dyDescent="0.25">
      <c r="B104" s="25" t="s">
        <v>144</v>
      </c>
      <c r="C104" s="49">
        <f>'Avg Week Kyenjojo-Hoima'!C104+'Avg Week Hoima-Kyenjojo'!C104</f>
        <v>1.5</v>
      </c>
      <c r="D104" s="49">
        <f>'Avg Week Kyenjojo-Hoima'!D104+'Avg Week Hoima-Kyenjojo'!D104</f>
        <v>1</v>
      </c>
      <c r="E104" s="49">
        <f>'Avg Week Kyenjojo-Hoima'!E104+'Avg Week Hoima-Kyenjojo'!E104</f>
        <v>0</v>
      </c>
      <c r="F104" s="49">
        <f>'Avg Week Kyenjojo-Hoima'!F104+'Avg Week Hoima-Kyenjojo'!F104</f>
        <v>1</v>
      </c>
      <c r="G104" s="49">
        <f>'Avg Week Kyenjojo-Hoima'!G104+'Avg Week Hoima-Kyenjojo'!G104</f>
        <v>0</v>
      </c>
      <c r="H104" s="49">
        <f>'Avg Week Kyenjojo-Hoima'!H104+'Avg Week Hoima-Kyenjojo'!H104</f>
        <v>0.5</v>
      </c>
      <c r="I104" s="49">
        <f>'Avg Week Kyenjojo-Hoima'!I104+'Avg Week Hoima-Kyenjojo'!I104</f>
        <v>0</v>
      </c>
      <c r="J104" s="49">
        <f>'Avg Week Kyenjojo-Hoima'!J104+'Avg Week Hoima-Kyenjojo'!J104</f>
        <v>0.5</v>
      </c>
      <c r="K104" s="49">
        <f>'Avg Week Kyenjojo-Hoima'!K104+'Avg Week Hoima-Kyenjojo'!K104</f>
        <v>0</v>
      </c>
      <c r="L104" s="49">
        <f>'Avg Week Kyenjojo-Hoima'!L104+'Avg Week Hoima-Kyenjojo'!L104</f>
        <v>0</v>
      </c>
      <c r="M104" s="49">
        <f>'Avg Week Kyenjojo-Hoima'!M104+'Avg Week Hoima-Kyenjojo'!M104</f>
        <v>13.5</v>
      </c>
      <c r="N104" s="49">
        <f>'Avg Week Kyenjojo-Hoima'!N104+'Avg Week Hoima-Kyenjojo'!N104</f>
        <v>0</v>
      </c>
      <c r="O104" s="15">
        <f t="shared" si="35"/>
        <v>4.5</v>
      </c>
      <c r="P104" s="15">
        <f t="shared" si="36"/>
        <v>18</v>
      </c>
      <c r="R104" s="8"/>
      <c r="T104"/>
    </row>
    <row r="105" spans="2:20" ht="23.1" customHeight="1" x14ac:dyDescent="0.25">
      <c r="B105" s="23" t="s">
        <v>145</v>
      </c>
      <c r="C105" s="49">
        <f>'Avg Week Kyenjojo-Hoima'!C105+'Avg Week Hoima-Kyenjojo'!C105</f>
        <v>3</v>
      </c>
      <c r="D105" s="49">
        <f>'Avg Week Kyenjojo-Hoima'!D105+'Avg Week Hoima-Kyenjojo'!D105</f>
        <v>0.5</v>
      </c>
      <c r="E105" s="49">
        <f>'Avg Week Kyenjojo-Hoima'!E105+'Avg Week Hoima-Kyenjojo'!E105</f>
        <v>0</v>
      </c>
      <c r="F105" s="49">
        <f>'Avg Week Kyenjojo-Hoima'!F105+'Avg Week Hoima-Kyenjojo'!F105</f>
        <v>0</v>
      </c>
      <c r="G105" s="49">
        <f>'Avg Week Kyenjojo-Hoima'!G105+'Avg Week Hoima-Kyenjojo'!G105</f>
        <v>0</v>
      </c>
      <c r="H105" s="49">
        <f>'Avg Week Kyenjojo-Hoima'!H105+'Avg Week Hoima-Kyenjojo'!H105</f>
        <v>0</v>
      </c>
      <c r="I105" s="49">
        <f>'Avg Week Kyenjojo-Hoima'!I105+'Avg Week Hoima-Kyenjojo'!I105</f>
        <v>0</v>
      </c>
      <c r="J105" s="49">
        <f>'Avg Week Kyenjojo-Hoima'!J105+'Avg Week Hoima-Kyenjojo'!J105</f>
        <v>0</v>
      </c>
      <c r="K105" s="49">
        <f>'Avg Week Kyenjojo-Hoima'!K105+'Avg Week Hoima-Kyenjojo'!K105</f>
        <v>0</v>
      </c>
      <c r="L105" s="49">
        <f>'Avg Week Kyenjojo-Hoima'!L105+'Avg Week Hoima-Kyenjojo'!L105</f>
        <v>0</v>
      </c>
      <c r="M105" s="49">
        <f>'Avg Week Kyenjojo-Hoima'!M105+'Avg Week Hoima-Kyenjojo'!M105</f>
        <v>14.5</v>
      </c>
      <c r="N105" s="49">
        <f>'Avg Week Kyenjojo-Hoima'!N105+'Avg Week Hoima-Kyenjojo'!N105</f>
        <v>0</v>
      </c>
      <c r="O105" s="15">
        <f t="shared" si="35"/>
        <v>3.5</v>
      </c>
      <c r="P105" s="15">
        <f t="shared" si="36"/>
        <v>18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685.92857142857156</v>
      </c>
      <c r="D106" s="16">
        <f t="shared" ref="D106:P106" si="37">SUM(D10:D105)</f>
        <v>85.000000000000014</v>
      </c>
      <c r="E106" s="16">
        <f t="shared" si="37"/>
        <v>128.21428571428572</v>
      </c>
      <c r="F106" s="16">
        <f t="shared" si="37"/>
        <v>99.071428571428569</v>
      </c>
      <c r="G106" s="16">
        <f t="shared" si="37"/>
        <v>6.1428571428571423</v>
      </c>
      <c r="H106" s="16">
        <f t="shared" si="37"/>
        <v>4.0714285714285712</v>
      </c>
      <c r="I106" s="16">
        <f t="shared" si="37"/>
        <v>106.78571428571429</v>
      </c>
      <c r="J106" s="16">
        <f t="shared" si="37"/>
        <v>73.857142857142875</v>
      </c>
      <c r="K106" s="16">
        <f t="shared" si="37"/>
        <v>33.214285714285715</v>
      </c>
      <c r="L106" s="16">
        <f t="shared" si="37"/>
        <v>9.571428571428573</v>
      </c>
      <c r="M106" s="16">
        <f t="shared" si="37"/>
        <v>3836.7142857142849</v>
      </c>
      <c r="N106" s="16">
        <f t="shared" si="37"/>
        <v>1.1428571428571426</v>
      </c>
      <c r="O106" s="16">
        <f t="shared" si="37"/>
        <v>1233</v>
      </c>
      <c r="P106" s="16">
        <f t="shared" si="37"/>
        <v>5069.7142857142871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0.13529925608656446</v>
      </c>
      <c r="D107" s="43">
        <f t="shared" si="38"/>
        <v>1.6766230838593327E-2</v>
      </c>
      <c r="E107" s="43">
        <f t="shared" si="38"/>
        <v>2.5290238954012619E-2</v>
      </c>
      <c r="F107" s="43">
        <f t="shared" si="38"/>
        <v>1.954181695220919E-2</v>
      </c>
      <c r="G107" s="43">
        <f t="shared" si="38"/>
        <v>1.2116771866546433E-3</v>
      </c>
      <c r="H107" s="43">
        <f t="shared" si="38"/>
        <v>8.0308836789900779E-4</v>
      </c>
      <c r="I107" s="43">
        <f t="shared" si="38"/>
        <v>2.1063458070333628E-2</v>
      </c>
      <c r="J107" s="43">
        <f t="shared" si="38"/>
        <v>1.4568304779080252E-2</v>
      </c>
      <c r="K107" s="43">
        <f t="shared" si="38"/>
        <v>6.5515103697024327E-3</v>
      </c>
      <c r="L107" s="43">
        <f t="shared" si="38"/>
        <v>1.8879621280432819E-3</v>
      </c>
      <c r="M107" s="43">
        <f t="shared" si="38"/>
        <v>0.75679102795311048</v>
      </c>
      <c r="N107" s="43">
        <f t="shared" si="38"/>
        <v>2.2542831379621268E-4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0.55630865484880099</v>
      </c>
      <c r="D108" s="44">
        <f t="shared" ref="D108:N108" si="39">D106/$O$106</f>
        <v>6.8937550689375515E-2</v>
      </c>
      <c r="E108" s="44">
        <f t="shared" si="39"/>
        <v>0.10398563318271348</v>
      </c>
      <c r="F108" s="44">
        <f t="shared" si="39"/>
        <v>8.0349901517784733E-2</v>
      </c>
      <c r="G108" s="44">
        <f t="shared" si="39"/>
        <v>4.9820414783918431E-3</v>
      </c>
      <c r="H108" s="44">
        <f t="shared" si="39"/>
        <v>3.3020507473062216E-3</v>
      </c>
      <c r="I108" s="44">
        <f t="shared" si="39"/>
        <v>8.6606418723207054E-2</v>
      </c>
      <c r="J108" s="44">
        <f t="shared" si="39"/>
        <v>5.9900359170432176E-2</v>
      </c>
      <c r="K108" s="44">
        <f t="shared" si="39"/>
        <v>2.6937782412234969E-2</v>
      </c>
      <c r="L108" s="44">
        <f t="shared" si="39"/>
        <v>7.7627157919128737E-3</v>
      </c>
      <c r="M108" s="44"/>
      <c r="N108" s="44">
        <f t="shared" si="39"/>
        <v>9.2689143784034276E-4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25.10 KYENJOJO-HOIMA</vt:lpstr>
      <vt:lpstr>25.10 HOIMA-KYENJOJO</vt:lpstr>
      <vt:lpstr>26.10 KYENJOJO-HOIMA-24h</vt:lpstr>
      <vt:lpstr>26.10 HOIMA-KYENJOJO-24h</vt:lpstr>
      <vt:lpstr>27.10 KYENJOJO-HOIMA</vt:lpstr>
      <vt:lpstr>27.10 HOIMA-KYENJOJO</vt:lpstr>
      <vt:lpstr>28.10 KYENJOJO-HOIMA-24h</vt:lpstr>
      <vt:lpstr>28.10 HOIMA-KYENJOJO-24h</vt:lpstr>
      <vt:lpstr>29.10 KYENJOJO-HOIMA</vt:lpstr>
      <vt:lpstr>29.10 HOIMA-KYENJOJO</vt:lpstr>
      <vt:lpstr>30.10 KYENJOJO-HOIMA</vt:lpstr>
      <vt:lpstr>30.10 HOIMA-KYENJOJO</vt:lpstr>
      <vt:lpstr>31.10 KYENJOJO-HOIMA</vt:lpstr>
      <vt:lpstr>31.10 HOIMA-KYENJOJO</vt:lpstr>
      <vt:lpstr>Avg Week Kyenjojo-Hoima</vt:lpstr>
      <vt:lpstr>Avg Week Hoima-Kyenjojo</vt:lpstr>
      <vt:lpstr>Avg Week Kyenjojo-Hoima-2Dir</vt:lpstr>
      <vt:lpstr>'25.10 HOIMA-KYENJOJO'!Print_Area</vt:lpstr>
      <vt:lpstr>'25.10 KYENJOJO-HOIMA'!Print_Area</vt:lpstr>
      <vt:lpstr>'26.10 HOIMA-KYENJOJO-24h'!Print_Area</vt:lpstr>
      <vt:lpstr>'26.10 KYENJOJO-HOIMA-24h'!Print_Area</vt:lpstr>
      <vt:lpstr>'27.10 HOIMA-KYENJOJO'!Print_Area</vt:lpstr>
      <vt:lpstr>'27.10 KYENJOJO-HOIMA'!Print_Area</vt:lpstr>
      <vt:lpstr>'28.10 HOIMA-KYENJOJO-24h'!Print_Area</vt:lpstr>
      <vt:lpstr>'28.10 KYENJOJO-HOIMA-24h'!Print_Area</vt:lpstr>
      <vt:lpstr>'29.10 HOIMA-KYENJOJO'!Print_Area</vt:lpstr>
      <vt:lpstr>'29.10 KYENJOJO-HOIMA'!Print_Area</vt:lpstr>
      <vt:lpstr>'30.10 HOIMA-KYENJOJO'!Print_Area</vt:lpstr>
      <vt:lpstr>'30.10 KYENJOJO-HOIMA'!Print_Area</vt:lpstr>
      <vt:lpstr>'31.10 HOIMA-KYENJOJO'!Print_Area</vt:lpstr>
      <vt:lpstr>'31.10 KYENJOJO-HOIMA'!Print_Area</vt:lpstr>
      <vt:lpstr>'Avg Week Hoima-Kyenjojo'!Print_Area</vt:lpstr>
      <vt:lpstr>'Avg Week Kyenjojo-Hoima'!Print_Area</vt:lpstr>
      <vt:lpstr>'Avg Week Kyenjojo-Hoima-2Dir'!Print_Area</vt:lpstr>
      <vt:lpstr>'25.10 HOIMA-KYENJOJO'!Print_Titles</vt:lpstr>
      <vt:lpstr>'25.10 KYENJOJO-HOIMA'!Print_Titles</vt:lpstr>
      <vt:lpstr>'26.10 HOIMA-KYENJOJO-24h'!Print_Titles</vt:lpstr>
      <vt:lpstr>'26.10 KYENJOJO-HOIMA-24h'!Print_Titles</vt:lpstr>
      <vt:lpstr>'27.10 HOIMA-KYENJOJO'!Print_Titles</vt:lpstr>
      <vt:lpstr>'27.10 KYENJOJO-HOIMA'!Print_Titles</vt:lpstr>
      <vt:lpstr>'28.10 HOIMA-KYENJOJO-24h'!Print_Titles</vt:lpstr>
      <vt:lpstr>'28.10 KYENJOJO-HOIMA-24h'!Print_Titles</vt:lpstr>
      <vt:lpstr>'29.10 HOIMA-KYENJOJO'!Print_Titles</vt:lpstr>
      <vt:lpstr>'29.10 KYENJOJO-HOIMA'!Print_Titles</vt:lpstr>
      <vt:lpstr>'30.10 HOIMA-KYENJOJO'!Print_Titles</vt:lpstr>
      <vt:lpstr>'30.10 KYENJOJO-HOIMA'!Print_Titles</vt:lpstr>
      <vt:lpstr>'31.10 HOIMA-KYENJOJO'!Print_Titles</vt:lpstr>
      <vt:lpstr>'31.10 KYENJOJO-HOIMA'!Print_Titles</vt:lpstr>
      <vt:lpstr>'Avg Week Hoima-Kyenjojo'!Print_Titles</vt:lpstr>
      <vt:lpstr>'Avg Week Kyenjojo-Hoima'!Print_Titles</vt:lpstr>
      <vt:lpstr>'Avg Week Kyenjojo-Hoima-2Dir'!Print_Titles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2019-07-25T18:18:41Z</cp:lastPrinted>
  <dcterms:created xsi:type="dcterms:W3CDTF">2010-07-06T07:39:49Z</dcterms:created>
  <dcterms:modified xsi:type="dcterms:W3CDTF">2020-01-15T13:38:02Z</dcterms:modified>
</cp:coreProperties>
</file>