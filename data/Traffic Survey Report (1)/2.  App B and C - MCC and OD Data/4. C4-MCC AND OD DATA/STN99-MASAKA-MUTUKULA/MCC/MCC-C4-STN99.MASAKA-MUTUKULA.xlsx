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1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99-MASAKA-MUTUKULA\MCC\"/>
    </mc:Choice>
  </mc:AlternateContent>
  <xr:revisionPtr revIDLastSave="0" documentId="13_ncr:1_{E977A4BF-A203-4BDD-A39B-139D2D277027}" xr6:coauthVersionLast="45" xr6:coauthVersionMax="45" xr10:uidLastSave="{00000000-0000-0000-0000-000000000000}"/>
  <bookViews>
    <workbookView xWindow="-120" yWindow="-120" windowWidth="20730" windowHeight="11160" tabRatio="899" firstSheet="14" activeTab="16" xr2:uid="{00000000-000D-0000-FFFF-FFFF00000000}"/>
  </bookViews>
  <sheets>
    <sheet name="25.10 MASAKA-MUTUKULA" sheetId="103" r:id="rId1"/>
    <sheet name="25.10 MUTUKULA-MASAKA" sheetId="100" r:id="rId2"/>
    <sheet name="26.10 MASAKA-MUTUKULA-24HR" sheetId="105" r:id="rId3"/>
    <sheet name="26.10 MUTUKULA-MASAKA-24HR" sheetId="110" r:id="rId4"/>
    <sheet name="27.10 Masaka-Mutukula" sheetId="104" r:id="rId5"/>
    <sheet name="27.10 Mutukula-Masaka" sheetId="112" r:id="rId6"/>
    <sheet name="28.10 MASAKA-MUTUKULA-24HR" sheetId="101" r:id="rId7"/>
    <sheet name="28.10 MUTUKULA-MASAKA-24HR" sheetId="109" r:id="rId8"/>
    <sheet name="29.10 MASAKA-MUTUKULA" sheetId="98" r:id="rId9"/>
    <sheet name="29.10 MUTUKULA-MASAKA" sheetId="97" r:id="rId10"/>
    <sheet name="30.10 MASAKA-MUTUKULA" sheetId="95" r:id="rId11"/>
    <sheet name="30.10 MUTUKULA-MASAKA" sheetId="96" r:id="rId12"/>
    <sheet name="31.10 Masaka-Mutukula" sheetId="93" r:id="rId13"/>
    <sheet name="31.10.MUTUKULA-MASAKA" sheetId="94" r:id="rId14"/>
    <sheet name="Avg Week Masaka-Mutukula" sheetId="107" r:id="rId15"/>
    <sheet name="Avg Week Mutukula-Masaka" sheetId="108" r:id="rId16"/>
    <sheet name="Avg Week Masaka-Mutukula-2Dir" sheetId="111" r:id="rId17"/>
  </sheets>
  <definedNames>
    <definedName name="_xlnm.Print_Area" localSheetId="0">'25.10 MASAKA-MUTUKULA'!$A$1:$AF$60</definedName>
    <definedName name="_xlnm.Print_Area" localSheetId="1">'25.10 MUTUKULA-MASAKA'!$A$1:$AF$60</definedName>
    <definedName name="_xlnm.Print_Area" localSheetId="2">'26.10 MASAKA-MUTUKULA-24HR'!$A$1:$AF$108</definedName>
    <definedName name="_xlnm.Print_Area" localSheetId="3">'26.10 MUTUKULA-MASAKA-24HR'!$A$1:$AF$108</definedName>
    <definedName name="_xlnm.Print_Area" localSheetId="4">'27.10 Masaka-Mutukula'!$A$1:$AF$60</definedName>
    <definedName name="_xlnm.Print_Area" localSheetId="5">'27.10 Mutukula-Masaka'!$A$1:$AF$60</definedName>
    <definedName name="_xlnm.Print_Area" localSheetId="6">'28.10 MASAKA-MUTUKULA-24HR'!$A$1:$AF$108</definedName>
    <definedName name="_xlnm.Print_Area" localSheetId="7">'28.10 MUTUKULA-MASAKA-24HR'!$A$1:$AF$108</definedName>
    <definedName name="_xlnm.Print_Area" localSheetId="8">'29.10 MASAKA-MUTUKULA'!$A$1:$AF$60</definedName>
    <definedName name="_xlnm.Print_Area" localSheetId="9">'29.10 MUTUKULA-MASAKA'!$A$1:$AF$60</definedName>
    <definedName name="_xlnm.Print_Area" localSheetId="10">'30.10 MASAKA-MUTUKULA'!$A$1:$AF$60</definedName>
    <definedName name="_xlnm.Print_Area" localSheetId="11">'30.10 MUTUKULA-MASAKA'!$A$1:$AF$60</definedName>
    <definedName name="_xlnm.Print_Area" localSheetId="12">'31.10 Masaka-Mutukula'!$A$1:$AF$60</definedName>
    <definedName name="_xlnm.Print_Area" localSheetId="13">'31.10.MUTUKULA-MASAKA'!$A$1:$AF$60</definedName>
    <definedName name="_xlnm.Print_Area" localSheetId="14">'Avg Week Masaka-Mutukula'!$A$1:$AF$108</definedName>
    <definedName name="_xlnm.Print_Area" localSheetId="16">'Avg Week Masaka-Mutukula-2Dir'!$A$1:$AF$108</definedName>
    <definedName name="_xlnm.Print_Area" localSheetId="15">'Avg Week Mutukula-Masaka'!$A$1:$AF$108</definedName>
    <definedName name="_xlnm.Print_Titles" localSheetId="0">'25.10 MASAKA-MUTUKULA'!$1:$8</definedName>
    <definedName name="_xlnm.Print_Titles" localSheetId="1">'25.10 MUTUKULA-MASAKA'!$1:$8</definedName>
    <definedName name="_xlnm.Print_Titles" localSheetId="2">'26.10 MASAKA-MUTUKULA-24HR'!$1:$8</definedName>
    <definedName name="_xlnm.Print_Titles" localSheetId="3">'26.10 MUTUKULA-MASAKA-24HR'!$1:$8</definedName>
    <definedName name="_xlnm.Print_Titles" localSheetId="4">'27.10 Masaka-Mutukula'!$1:$8</definedName>
    <definedName name="_xlnm.Print_Titles" localSheetId="5">'27.10 Mutukula-Masaka'!$1:$8</definedName>
    <definedName name="_xlnm.Print_Titles" localSheetId="6">'28.10 MASAKA-MUTUKULA-24HR'!$1:$8</definedName>
    <definedName name="_xlnm.Print_Titles" localSheetId="7">'28.10 MUTUKULA-MASAKA-24HR'!$1:$8</definedName>
    <definedName name="_xlnm.Print_Titles" localSheetId="8">'29.10 MASAKA-MUTUKULA'!$1:$8</definedName>
    <definedName name="_xlnm.Print_Titles" localSheetId="9">'29.10 MUTUKULA-MASAKA'!$1:$8</definedName>
    <definedName name="_xlnm.Print_Titles" localSheetId="10">'30.10 MASAKA-MUTUKULA'!$1:$8</definedName>
    <definedName name="_xlnm.Print_Titles" localSheetId="11">'30.10 MUTUKULA-MASAKA'!$1:$8</definedName>
    <definedName name="_xlnm.Print_Titles" localSheetId="12">'31.10 Masaka-Mutukula'!$1:$8</definedName>
    <definedName name="_xlnm.Print_Titles" localSheetId="13">'31.10.MUTUKULA-MASAKA'!$1:$8</definedName>
    <definedName name="_xlnm.Print_Titles" localSheetId="14">'Avg Week Masaka-Mutukula'!$1:$8</definedName>
    <definedName name="_xlnm.Print_Titles" localSheetId="16">'Avg Week Masaka-Mutukula-2Dir'!$1:$8</definedName>
    <definedName name="_xlnm.Print_Titles" localSheetId="15">'Avg Week Mutukula-Masaka'!$1:$8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4" i="108" l="1"/>
  <c r="AC26" i="108"/>
  <c r="Z33" i="107"/>
  <c r="P68" i="108"/>
  <c r="N58" i="111"/>
  <c r="I59" i="111"/>
  <c r="F63" i="111"/>
  <c r="M66" i="111"/>
  <c r="N66" i="111"/>
  <c r="M74" i="111"/>
  <c r="J78" i="111"/>
  <c r="F82" i="111"/>
  <c r="D58" i="108"/>
  <c r="E58" i="108"/>
  <c r="F58" i="108"/>
  <c r="G58" i="108"/>
  <c r="H58" i="108"/>
  <c r="I58" i="108"/>
  <c r="Y22" i="108" s="1"/>
  <c r="J58" i="108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U23" i="108" s="1"/>
  <c r="F62" i="108"/>
  <c r="G62" i="108"/>
  <c r="H62" i="108"/>
  <c r="I62" i="108"/>
  <c r="J62" i="108"/>
  <c r="K62" i="108"/>
  <c r="L62" i="108"/>
  <c r="M62" i="108"/>
  <c r="AC23" i="108" s="1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W24" i="108" s="1"/>
  <c r="H66" i="108"/>
  <c r="I66" i="108"/>
  <c r="Y24" i="108" s="1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U25" i="108" s="1"/>
  <c r="F70" i="108"/>
  <c r="G70" i="108"/>
  <c r="W25" i="108" s="1"/>
  <c r="H70" i="108"/>
  <c r="X25" i="108" s="1"/>
  <c r="I70" i="108"/>
  <c r="J70" i="108"/>
  <c r="Z25" i="108" s="1"/>
  <c r="K70" i="108"/>
  <c r="L70" i="108"/>
  <c r="M70" i="108"/>
  <c r="AC25" i="108" s="1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Y26" i="108" s="1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AA26" i="108" s="1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U27" i="108" s="1"/>
  <c r="F78" i="108"/>
  <c r="G78" i="108"/>
  <c r="H78" i="108"/>
  <c r="I78" i="108"/>
  <c r="J78" i="108"/>
  <c r="K78" i="108"/>
  <c r="L78" i="108"/>
  <c r="M78" i="108"/>
  <c r="AC27" i="108" s="1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Y28" i="108" s="1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U29" i="108" s="1"/>
  <c r="F86" i="108"/>
  <c r="G86" i="108"/>
  <c r="H86" i="108"/>
  <c r="I86" i="108"/>
  <c r="J86" i="108"/>
  <c r="K86" i="108"/>
  <c r="L86" i="108"/>
  <c r="M86" i="108"/>
  <c r="AC29" i="108" s="1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Y30" i="108" s="1"/>
  <c r="J90" i="108"/>
  <c r="K90" i="108"/>
  <c r="L90" i="108"/>
  <c r="M90" i="108"/>
  <c r="N90" i="108"/>
  <c r="D91" i="108"/>
  <c r="E91" i="108"/>
  <c r="F91" i="108"/>
  <c r="V30" i="108" s="1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W30" i="108" s="1"/>
  <c r="H93" i="108"/>
  <c r="I93" i="108"/>
  <c r="J93" i="108"/>
  <c r="K93" i="108"/>
  <c r="L93" i="108"/>
  <c r="M93" i="108"/>
  <c r="N93" i="108"/>
  <c r="D94" i="108"/>
  <c r="E94" i="108"/>
  <c r="U31" i="108" s="1"/>
  <c r="F94" i="108"/>
  <c r="G94" i="108"/>
  <c r="H94" i="108"/>
  <c r="I94" i="108"/>
  <c r="J94" i="108"/>
  <c r="Z31" i="108" s="1"/>
  <c r="K94" i="108"/>
  <c r="L94" i="108"/>
  <c r="M94" i="108"/>
  <c r="AC31" i="108" s="1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Y32" i="108" s="1"/>
  <c r="J98" i="108"/>
  <c r="K98" i="108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O59" i="108" s="1"/>
  <c r="C60" i="108"/>
  <c r="P60" i="108" s="1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P92" i="108" s="1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E62" i="107"/>
  <c r="F62" i="107"/>
  <c r="G62" i="107"/>
  <c r="H62" i="107"/>
  <c r="I62" i="107"/>
  <c r="J62" i="107"/>
  <c r="J62" i="111" s="1"/>
  <c r="K62" i="107"/>
  <c r="L62" i="107"/>
  <c r="L62" i="111" s="1"/>
  <c r="M62" i="107"/>
  <c r="N62" i="107"/>
  <c r="D63" i="107"/>
  <c r="D63" i="111" s="1"/>
  <c r="E63" i="107"/>
  <c r="E63" i="111" s="1"/>
  <c r="F63" i="107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L74" i="107"/>
  <c r="L74" i="111" s="1"/>
  <c r="AB26" i="111" s="1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E78" i="111" s="1"/>
  <c r="F78" i="107"/>
  <c r="F78" i="111" s="1"/>
  <c r="V27" i="111" s="1"/>
  <c r="G78" i="107"/>
  <c r="H78" i="107"/>
  <c r="I78" i="107"/>
  <c r="J78" i="107"/>
  <c r="K78" i="107"/>
  <c r="L78" i="107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X28" i="107" s="1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T29" i="107" s="1"/>
  <c r="E86" i="107"/>
  <c r="F86" i="107"/>
  <c r="G86" i="107"/>
  <c r="H86" i="107"/>
  <c r="I86" i="107"/>
  <c r="J86" i="107"/>
  <c r="K86" i="107"/>
  <c r="L86" i="107"/>
  <c r="AB29" i="107" s="1"/>
  <c r="M86" i="107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X30" i="107" s="1"/>
  <c r="I90" i="107"/>
  <c r="J90" i="107"/>
  <c r="K90" i="107"/>
  <c r="L90" i="107"/>
  <c r="M90" i="107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T31" i="107" s="1"/>
  <c r="E94" i="107"/>
  <c r="F94" i="107"/>
  <c r="G94" i="107"/>
  <c r="H94" i="107"/>
  <c r="I94" i="107"/>
  <c r="J94" i="107"/>
  <c r="K94" i="107"/>
  <c r="L94" i="107"/>
  <c r="AB31" i="107" s="1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X32" i="107" s="1"/>
  <c r="I98" i="107"/>
  <c r="J98" i="107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T33" i="107" s="1"/>
  <c r="E102" i="107"/>
  <c r="F102" i="107"/>
  <c r="G102" i="107"/>
  <c r="H102" i="107"/>
  <c r="H102" i="111" s="1"/>
  <c r="I102" i="107"/>
  <c r="J102" i="107"/>
  <c r="J102" i="111" s="1"/>
  <c r="K102" i="107"/>
  <c r="K102" i="111" s="1"/>
  <c r="L102" i="107"/>
  <c r="AB33" i="107" s="1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O59" i="107" s="1"/>
  <c r="C60" i="107"/>
  <c r="C61" i="107"/>
  <c r="C62" i="107"/>
  <c r="C63" i="107"/>
  <c r="C64" i="107"/>
  <c r="C65" i="107"/>
  <c r="C66" i="107"/>
  <c r="C67" i="107"/>
  <c r="C68" i="107"/>
  <c r="C69" i="107"/>
  <c r="C70" i="107"/>
  <c r="C70" i="111" s="1"/>
  <c r="C71" i="107"/>
  <c r="C71" i="111" s="1"/>
  <c r="C72" i="107"/>
  <c r="C73" i="107"/>
  <c r="C74" i="107"/>
  <c r="C75" i="107"/>
  <c r="C76" i="107"/>
  <c r="C77" i="107"/>
  <c r="C78" i="107"/>
  <c r="C78" i="111" s="1"/>
  <c r="C79" i="107"/>
  <c r="O79" i="107" s="1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O99" i="107" s="1"/>
  <c r="C100" i="107"/>
  <c r="C101" i="107"/>
  <c r="C102" i="107"/>
  <c r="C102" i="111" s="1"/>
  <c r="C103" i="107"/>
  <c r="C104" i="107"/>
  <c r="C105" i="107"/>
  <c r="C58" i="108"/>
  <c r="C58" i="107"/>
  <c r="AA33" i="111" l="1"/>
  <c r="V28" i="111"/>
  <c r="P103" i="107"/>
  <c r="O103" i="107"/>
  <c r="X26" i="107"/>
  <c r="H74" i="111"/>
  <c r="X26" i="111" s="1"/>
  <c r="D62" i="111"/>
  <c r="T23" i="111" s="1"/>
  <c r="T23" i="107"/>
  <c r="P102" i="108"/>
  <c r="O102" i="108"/>
  <c r="W30" i="107"/>
  <c r="W26" i="107"/>
  <c r="G74" i="111"/>
  <c r="W26" i="111" s="1"/>
  <c r="AD22" i="111"/>
  <c r="X33" i="107"/>
  <c r="P101" i="107"/>
  <c r="O101" i="107"/>
  <c r="C101" i="111"/>
  <c r="P101" i="111" s="1"/>
  <c r="P77" i="107"/>
  <c r="O77" i="107"/>
  <c r="C77" i="111"/>
  <c r="Z33" i="111"/>
  <c r="AD32" i="107"/>
  <c r="N98" i="111"/>
  <c r="AD32" i="111" s="1"/>
  <c r="V32" i="107"/>
  <c r="F98" i="111"/>
  <c r="V32" i="111" s="1"/>
  <c r="Z31" i="107"/>
  <c r="J94" i="111"/>
  <c r="Z31" i="111" s="1"/>
  <c r="AD30" i="111"/>
  <c r="V30" i="107"/>
  <c r="F90" i="111"/>
  <c r="V30" i="111" s="1"/>
  <c r="Z29" i="107"/>
  <c r="J86" i="111"/>
  <c r="Z29" i="111" s="1"/>
  <c r="AD28" i="107"/>
  <c r="N82" i="111"/>
  <c r="AD28" i="111" s="1"/>
  <c r="V28" i="107"/>
  <c r="Z27" i="107"/>
  <c r="AD26" i="107"/>
  <c r="N74" i="111"/>
  <c r="AD26" i="111" s="1"/>
  <c r="V26" i="107"/>
  <c r="F74" i="111"/>
  <c r="V26" i="111" s="1"/>
  <c r="Z25" i="107"/>
  <c r="AD24" i="107"/>
  <c r="V24" i="107"/>
  <c r="F66" i="111"/>
  <c r="V24" i="111" s="1"/>
  <c r="Z23" i="111"/>
  <c r="AD22" i="107"/>
  <c r="V22" i="107"/>
  <c r="F58" i="111"/>
  <c r="V22" i="111" s="1"/>
  <c r="P100" i="108"/>
  <c r="O100" i="108"/>
  <c r="P84" i="108"/>
  <c r="P76" i="108"/>
  <c r="O68" i="108"/>
  <c r="AC32" i="108"/>
  <c r="Y31" i="108"/>
  <c r="U24" i="108"/>
  <c r="C79" i="111"/>
  <c r="S27" i="111" s="1"/>
  <c r="D102" i="111"/>
  <c r="T33" i="111" s="1"/>
  <c r="H90" i="111"/>
  <c r="X30" i="111" s="1"/>
  <c r="AD30" i="107"/>
  <c r="P87" i="107"/>
  <c r="O87" i="107"/>
  <c r="P63" i="107"/>
  <c r="O63" i="107"/>
  <c r="AB27" i="107"/>
  <c r="L78" i="111"/>
  <c r="AB27" i="111" s="1"/>
  <c r="P86" i="108"/>
  <c r="AF29" i="108" s="1"/>
  <c r="S29" i="108"/>
  <c r="O86" i="108"/>
  <c r="D94" i="111"/>
  <c r="T31" i="111" s="1"/>
  <c r="H82" i="111"/>
  <c r="X28" i="111" s="1"/>
  <c r="P86" i="107"/>
  <c r="S29" i="107"/>
  <c r="O86" i="107"/>
  <c r="S23" i="107"/>
  <c r="O62" i="107"/>
  <c r="P62" i="107"/>
  <c r="W32" i="107"/>
  <c r="AA29" i="107"/>
  <c r="W28" i="107"/>
  <c r="G82" i="111"/>
  <c r="W28" i="111" s="1"/>
  <c r="AA27" i="107"/>
  <c r="K78" i="111"/>
  <c r="AA27" i="111" s="1"/>
  <c r="AA25" i="107"/>
  <c r="K70" i="111"/>
  <c r="AA25" i="111" s="1"/>
  <c r="G66" i="111"/>
  <c r="W24" i="111" s="1"/>
  <c r="W24" i="107"/>
  <c r="AA23" i="107"/>
  <c r="K62" i="111"/>
  <c r="AA23" i="111" s="1"/>
  <c r="G58" i="111"/>
  <c r="W22" i="111" s="1"/>
  <c r="W22" i="107"/>
  <c r="C86" i="111"/>
  <c r="AC24" i="111"/>
  <c r="P79" i="107"/>
  <c r="P93" i="107"/>
  <c r="O93" i="107"/>
  <c r="C93" i="111"/>
  <c r="P85" i="107"/>
  <c r="O85" i="107"/>
  <c r="C85" i="111"/>
  <c r="P69" i="107"/>
  <c r="O69" i="107"/>
  <c r="C69" i="111"/>
  <c r="P61" i="107"/>
  <c r="O61" i="107"/>
  <c r="C61" i="111"/>
  <c r="O61" i="111" s="1"/>
  <c r="S22" i="107"/>
  <c r="O58" i="107"/>
  <c r="C100" i="111"/>
  <c r="P100" i="107"/>
  <c r="P92" i="107"/>
  <c r="O92" i="107"/>
  <c r="C92" i="111"/>
  <c r="P84" i="107"/>
  <c r="C84" i="111"/>
  <c r="P84" i="111" s="1"/>
  <c r="O84" i="107"/>
  <c r="P76" i="107"/>
  <c r="O76" i="107"/>
  <c r="C76" i="111"/>
  <c r="P68" i="107"/>
  <c r="O68" i="107"/>
  <c r="C68" i="111"/>
  <c r="P68" i="111" s="1"/>
  <c r="P60" i="107"/>
  <c r="O60" i="107"/>
  <c r="C60" i="111"/>
  <c r="P60" i="111" s="1"/>
  <c r="Y33" i="107"/>
  <c r="I102" i="111"/>
  <c r="Y33" i="111" s="1"/>
  <c r="AC32" i="107"/>
  <c r="M98" i="111"/>
  <c r="AC32" i="111" s="1"/>
  <c r="U32" i="107"/>
  <c r="E98" i="111"/>
  <c r="U32" i="111" s="1"/>
  <c r="Y31" i="107"/>
  <c r="I94" i="111"/>
  <c r="Y31" i="111" s="1"/>
  <c r="AC30" i="107"/>
  <c r="M90" i="111"/>
  <c r="AC30" i="111" s="1"/>
  <c r="U30" i="107"/>
  <c r="E90" i="111"/>
  <c r="U30" i="111" s="1"/>
  <c r="Y29" i="107"/>
  <c r="I86" i="111"/>
  <c r="Y29" i="111" s="1"/>
  <c r="AC28" i="107"/>
  <c r="M82" i="111"/>
  <c r="AC28" i="111" s="1"/>
  <c r="U28" i="107"/>
  <c r="E82" i="111"/>
  <c r="U28" i="111" s="1"/>
  <c r="Y27" i="107"/>
  <c r="AC26" i="107"/>
  <c r="E74" i="111"/>
  <c r="U26" i="111" s="1"/>
  <c r="U26" i="107"/>
  <c r="Y25" i="107"/>
  <c r="I70" i="111"/>
  <c r="Y25" i="111" s="1"/>
  <c r="AC24" i="107"/>
  <c r="U24" i="107"/>
  <c r="E66" i="111"/>
  <c r="U24" i="111" s="1"/>
  <c r="I62" i="111"/>
  <c r="Y23" i="111" s="1"/>
  <c r="Y23" i="107"/>
  <c r="AC22" i="107"/>
  <c r="M58" i="111"/>
  <c r="AC22" i="111" s="1"/>
  <c r="U22" i="107"/>
  <c r="E58" i="111"/>
  <c r="U22" i="111" s="1"/>
  <c r="P99" i="108"/>
  <c r="O99" i="108"/>
  <c r="P91" i="108"/>
  <c r="O91" i="108"/>
  <c r="P83" i="108"/>
  <c r="O83" i="108"/>
  <c r="P75" i="108"/>
  <c r="P67" i="108"/>
  <c r="O67" i="108"/>
  <c r="G90" i="111"/>
  <c r="W30" i="111" s="1"/>
  <c r="O100" i="107"/>
  <c r="AD29" i="107"/>
  <c r="X22" i="107"/>
  <c r="H58" i="111"/>
  <c r="X22" i="111" s="1"/>
  <c r="S27" i="108"/>
  <c r="P78" i="108"/>
  <c r="O78" i="108"/>
  <c r="C87" i="111"/>
  <c r="AC26" i="111"/>
  <c r="O78" i="107"/>
  <c r="S27" i="107"/>
  <c r="P78" i="107"/>
  <c r="P99" i="107"/>
  <c r="C99" i="111"/>
  <c r="P75" i="107"/>
  <c r="O75" i="107"/>
  <c r="C75" i="111"/>
  <c r="O75" i="111" s="1"/>
  <c r="X33" i="111"/>
  <c r="AB32" i="107"/>
  <c r="L98" i="111"/>
  <c r="AB32" i="111" s="1"/>
  <c r="X25" i="107"/>
  <c r="H70" i="111"/>
  <c r="X25" i="111" s="1"/>
  <c r="AB24" i="107"/>
  <c r="L66" i="111"/>
  <c r="AB24" i="111" s="1"/>
  <c r="T24" i="107"/>
  <c r="D66" i="111"/>
  <c r="T24" i="111" s="1"/>
  <c r="X23" i="107"/>
  <c r="H62" i="111"/>
  <c r="X23" i="111" s="1"/>
  <c r="AB22" i="107"/>
  <c r="L58" i="111"/>
  <c r="AB22" i="111" s="1"/>
  <c r="T22" i="107"/>
  <c r="D58" i="111"/>
  <c r="T22" i="111" s="1"/>
  <c r="C103" i="111"/>
  <c r="P103" i="111" s="1"/>
  <c r="H98" i="111"/>
  <c r="X32" i="111" s="1"/>
  <c r="L86" i="111"/>
  <c r="AB29" i="111" s="1"/>
  <c r="Z27" i="111"/>
  <c r="P58" i="107"/>
  <c r="V27" i="107"/>
  <c r="C58" i="111"/>
  <c r="P98" i="107"/>
  <c r="AF32" i="107" s="1"/>
  <c r="O98" i="107"/>
  <c r="AE32" i="107" s="1"/>
  <c r="S32" i="107"/>
  <c r="C98" i="111"/>
  <c r="S32" i="111" s="1"/>
  <c r="P90" i="107"/>
  <c r="O90" i="107"/>
  <c r="S30" i="107"/>
  <c r="C90" i="111"/>
  <c r="P82" i="107"/>
  <c r="S28" i="107"/>
  <c r="O82" i="107"/>
  <c r="C82" i="111"/>
  <c r="S28" i="111" s="1"/>
  <c r="O74" i="107"/>
  <c r="S26" i="107"/>
  <c r="C74" i="111"/>
  <c r="P74" i="107"/>
  <c r="O66" i="107"/>
  <c r="P66" i="107"/>
  <c r="AF24" i="107" s="1"/>
  <c r="S24" i="107"/>
  <c r="C66" i="111"/>
  <c r="G102" i="111"/>
  <c r="W33" i="111" s="1"/>
  <c r="W33" i="107"/>
  <c r="AA32" i="107"/>
  <c r="K98" i="111"/>
  <c r="AA32" i="111" s="1"/>
  <c r="W31" i="107"/>
  <c r="G94" i="111"/>
  <c r="W31" i="111" s="1"/>
  <c r="AA30" i="107"/>
  <c r="K90" i="111"/>
  <c r="AA30" i="111" s="1"/>
  <c r="W29" i="107"/>
  <c r="G86" i="111"/>
  <c r="W29" i="111" s="1"/>
  <c r="K82" i="111"/>
  <c r="AA28" i="111" s="1"/>
  <c r="AA28" i="107"/>
  <c r="W27" i="107"/>
  <c r="G78" i="111"/>
  <c r="W27" i="111" s="1"/>
  <c r="AA26" i="107"/>
  <c r="K74" i="111"/>
  <c r="AA26" i="111" s="1"/>
  <c r="W25" i="107"/>
  <c r="G70" i="111"/>
  <c r="W25" i="111" s="1"/>
  <c r="AA24" i="107"/>
  <c r="K66" i="111"/>
  <c r="AA24" i="111" s="1"/>
  <c r="W23" i="107"/>
  <c r="G62" i="111"/>
  <c r="W23" i="111" s="1"/>
  <c r="AA22" i="107"/>
  <c r="K58" i="111"/>
  <c r="AA22" i="111" s="1"/>
  <c r="P105" i="108"/>
  <c r="O105" i="108"/>
  <c r="P97" i="108"/>
  <c r="O97" i="108"/>
  <c r="V29" i="108"/>
  <c r="AD27" i="108"/>
  <c r="Z26" i="108"/>
  <c r="G98" i="111"/>
  <c r="W32" i="111" s="1"/>
  <c r="K86" i="111"/>
  <c r="AA29" i="111" s="1"/>
  <c r="I78" i="111"/>
  <c r="Y27" i="111" s="1"/>
  <c r="J70" i="111"/>
  <c r="Z25" i="111" s="1"/>
  <c r="O75" i="108"/>
  <c r="U27" i="107"/>
  <c r="P95" i="107"/>
  <c r="O95" i="107"/>
  <c r="P71" i="107"/>
  <c r="O71" i="107"/>
  <c r="L70" i="111"/>
  <c r="AB25" i="111" s="1"/>
  <c r="AB25" i="107"/>
  <c r="AB23" i="111"/>
  <c r="S25" i="108"/>
  <c r="P70" i="108"/>
  <c r="O70" i="108"/>
  <c r="AE25" i="108" s="1"/>
  <c r="L102" i="111"/>
  <c r="AB33" i="111" s="1"/>
  <c r="AD24" i="111"/>
  <c r="S33" i="107"/>
  <c r="P102" i="107"/>
  <c r="O102" i="107"/>
  <c r="S25" i="107"/>
  <c r="O70" i="107"/>
  <c r="AE25" i="107" s="1"/>
  <c r="AA33" i="107"/>
  <c r="P91" i="107"/>
  <c r="O91" i="107"/>
  <c r="C91" i="111"/>
  <c r="O67" i="107"/>
  <c r="C67" i="111"/>
  <c r="X31" i="107"/>
  <c r="H94" i="111"/>
  <c r="X31" i="111" s="1"/>
  <c r="T30" i="107"/>
  <c r="D90" i="111"/>
  <c r="T30" i="111" s="1"/>
  <c r="AB28" i="107"/>
  <c r="L82" i="111"/>
  <c r="AB28" i="111" s="1"/>
  <c r="X27" i="107"/>
  <c r="H78" i="111"/>
  <c r="X27" i="111" s="1"/>
  <c r="AB26" i="107"/>
  <c r="T26" i="107"/>
  <c r="D74" i="111"/>
  <c r="T26" i="111" s="1"/>
  <c r="P105" i="107"/>
  <c r="O105" i="107"/>
  <c r="C105" i="111"/>
  <c r="P97" i="107"/>
  <c r="O97" i="107"/>
  <c r="C97" i="111"/>
  <c r="P89" i="107"/>
  <c r="O89" i="107"/>
  <c r="C89" i="111"/>
  <c r="P89" i="111" s="1"/>
  <c r="P81" i="107"/>
  <c r="O81" i="107"/>
  <c r="C81" i="111"/>
  <c r="P73" i="107"/>
  <c r="O73" i="107"/>
  <c r="C73" i="111"/>
  <c r="P73" i="111" s="1"/>
  <c r="P65" i="107"/>
  <c r="O65" i="107"/>
  <c r="C65" i="111"/>
  <c r="AD33" i="107"/>
  <c r="N102" i="111"/>
  <c r="AD33" i="111" s="1"/>
  <c r="V33" i="107"/>
  <c r="F102" i="111"/>
  <c r="V33" i="111" s="1"/>
  <c r="Z32" i="107"/>
  <c r="J98" i="111"/>
  <c r="Z32" i="111" s="1"/>
  <c r="AD31" i="107"/>
  <c r="N94" i="111"/>
  <c r="AD31" i="111" s="1"/>
  <c r="V31" i="107"/>
  <c r="F94" i="111"/>
  <c r="V31" i="111" s="1"/>
  <c r="Z30" i="107"/>
  <c r="J90" i="111"/>
  <c r="Z30" i="111" s="1"/>
  <c r="AD29" i="111"/>
  <c r="V29" i="107"/>
  <c r="F86" i="111"/>
  <c r="V29" i="111" s="1"/>
  <c r="Z28" i="107"/>
  <c r="J82" i="111"/>
  <c r="Z28" i="111" s="1"/>
  <c r="AD27" i="107"/>
  <c r="N78" i="111"/>
  <c r="AD27" i="111" s="1"/>
  <c r="Z26" i="107"/>
  <c r="J74" i="111"/>
  <c r="Z26" i="111" s="1"/>
  <c r="AD25" i="107"/>
  <c r="N70" i="111"/>
  <c r="AD25" i="111" s="1"/>
  <c r="V25" i="107"/>
  <c r="F70" i="111"/>
  <c r="V25" i="111" s="1"/>
  <c r="Z24" i="107"/>
  <c r="J66" i="111"/>
  <c r="Z24" i="111" s="1"/>
  <c r="AD23" i="107"/>
  <c r="N62" i="111"/>
  <c r="AD23" i="111" s="1"/>
  <c r="F62" i="111"/>
  <c r="V23" i="111" s="1"/>
  <c r="V23" i="107"/>
  <c r="Z22" i="107"/>
  <c r="J58" i="111"/>
  <c r="Z22" i="111" s="1"/>
  <c r="P104" i="108"/>
  <c r="O104" i="108"/>
  <c r="P96" i="108"/>
  <c r="O96" i="108"/>
  <c r="P88" i="108"/>
  <c r="O88" i="108"/>
  <c r="P80" i="108"/>
  <c r="O80" i="108"/>
  <c r="P72" i="108"/>
  <c r="O72" i="108"/>
  <c r="P64" i="108"/>
  <c r="O64" i="108"/>
  <c r="C95" i="111"/>
  <c r="P95" i="111" s="1"/>
  <c r="C63" i="111"/>
  <c r="P63" i="111" s="1"/>
  <c r="L94" i="111"/>
  <c r="AB31" i="111" s="1"/>
  <c r="D86" i="111"/>
  <c r="T29" i="111" s="1"/>
  <c r="P67" i="107"/>
  <c r="O92" i="108"/>
  <c r="AB23" i="107"/>
  <c r="T27" i="107"/>
  <c r="D78" i="111"/>
  <c r="T27" i="111" s="1"/>
  <c r="T25" i="107"/>
  <c r="D70" i="111"/>
  <c r="T25" i="111" s="1"/>
  <c r="X24" i="107"/>
  <c r="H66" i="111"/>
  <c r="X24" i="111" s="1"/>
  <c r="P94" i="108"/>
  <c r="S31" i="108"/>
  <c r="O94" i="108"/>
  <c r="P62" i="108"/>
  <c r="AF23" i="108" s="1"/>
  <c r="S23" i="108"/>
  <c r="O62" i="108"/>
  <c r="S31" i="107"/>
  <c r="P94" i="107"/>
  <c r="O94" i="107"/>
  <c r="AA31" i="107"/>
  <c r="P58" i="108"/>
  <c r="S22" i="108"/>
  <c r="O58" i="108"/>
  <c r="P83" i="107"/>
  <c r="O83" i="107"/>
  <c r="C83" i="111"/>
  <c r="C59" i="111"/>
  <c r="P59" i="107"/>
  <c r="T32" i="107"/>
  <c r="D98" i="111"/>
  <c r="T32" i="111" s="1"/>
  <c r="AB30" i="107"/>
  <c r="L90" i="111"/>
  <c r="AB30" i="111" s="1"/>
  <c r="X29" i="107"/>
  <c r="H86" i="111"/>
  <c r="X29" i="111" s="1"/>
  <c r="T28" i="107"/>
  <c r="D82" i="111"/>
  <c r="T28" i="111" s="1"/>
  <c r="P104" i="107"/>
  <c r="O104" i="107"/>
  <c r="C104" i="111"/>
  <c r="P104" i="111" s="1"/>
  <c r="P96" i="107"/>
  <c r="O96" i="107"/>
  <c r="C96" i="111"/>
  <c r="P88" i="107"/>
  <c r="O88" i="107"/>
  <c r="C88" i="111"/>
  <c r="P88" i="111" s="1"/>
  <c r="P80" i="107"/>
  <c r="O80" i="107"/>
  <c r="C80" i="111"/>
  <c r="P72" i="107"/>
  <c r="O72" i="107"/>
  <c r="C72" i="111"/>
  <c r="P72" i="111" s="1"/>
  <c r="P64" i="107"/>
  <c r="O64" i="107"/>
  <c r="C64" i="111"/>
  <c r="P64" i="111" s="1"/>
  <c r="AC33" i="107"/>
  <c r="M102" i="111"/>
  <c r="AC33" i="111" s="1"/>
  <c r="U33" i="107"/>
  <c r="E102" i="111"/>
  <c r="U33" i="111" s="1"/>
  <c r="Y32" i="107"/>
  <c r="I98" i="111"/>
  <c r="Y32" i="111" s="1"/>
  <c r="AC31" i="107"/>
  <c r="M94" i="111"/>
  <c r="AC31" i="111" s="1"/>
  <c r="U31" i="107"/>
  <c r="E94" i="111"/>
  <c r="U31" i="111" s="1"/>
  <c r="Y30" i="107"/>
  <c r="I90" i="111"/>
  <c r="Y30" i="111" s="1"/>
  <c r="AC29" i="107"/>
  <c r="M86" i="111"/>
  <c r="AC29" i="111" s="1"/>
  <c r="U29" i="107"/>
  <c r="E86" i="111"/>
  <c r="U29" i="111" s="1"/>
  <c r="I82" i="111"/>
  <c r="Y28" i="111" s="1"/>
  <c r="Y28" i="107"/>
  <c r="AC27" i="107"/>
  <c r="M78" i="111"/>
  <c r="AC27" i="111" s="1"/>
  <c r="U27" i="111"/>
  <c r="Y26" i="107"/>
  <c r="I74" i="111"/>
  <c r="Y26" i="111" s="1"/>
  <c r="AC25" i="107"/>
  <c r="M70" i="111"/>
  <c r="AC25" i="111" s="1"/>
  <c r="U25" i="107"/>
  <c r="E70" i="111"/>
  <c r="U25" i="111" s="1"/>
  <c r="I66" i="111"/>
  <c r="Y24" i="111" s="1"/>
  <c r="Y24" i="107"/>
  <c r="AC23" i="107"/>
  <c r="M62" i="111"/>
  <c r="AC23" i="111" s="1"/>
  <c r="U23" i="107"/>
  <c r="E62" i="111"/>
  <c r="U23" i="111" s="1"/>
  <c r="I58" i="111"/>
  <c r="Y22" i="111" s="1"/>
  <c r="Y22" i="107"/>
  <c r="P103" i="108"/>
  <c r="O103" i="108"/>
  <c r="P95" i="108"/>
  <c r="O95" i="108"/>
  <c r="P87" i="108"/>
  <c r="O87" i="108"/>
  <c r="P79" i="108"/>
  <c r="O79" i="108"/>
  <c r="P71" i="108"/>
  <c r="O71" i="108"/>
  <c r="P63" i="108"/>
  <c r="O63" i="108"/>
  <c r="X32" i="108"/>
  <c r="AB31" i="108"/>
  <c r="T31" i="108"/>
  <c r="X30" i="108"/>
  <c r="AB29" i="108"/>
  <c r="T29" i="108"/>
  <c r="X28" i="108"/>
  <c r="AB27" i="108"/>
  <c r="T27" i="108"/>
  <c r="X26" i="108"/>
  <c r="AB25" i="108"/>
  <c r="T25" i="108"/>
  <c r="X24" i="108"/>
  <c r="AB23" i="108"/>
  <c r="X22" i="108"/>
  <c r="C94" i="111"/>
  <c r="P94" i="111" s="1"/>
  <c r="AF31" i="111" s="1"/>
  <c r="C62" i="111"/>
  <c r="K94" i="111"/>
  <c r="AA31" i="111" s="1"/>
  <c r="P70" i="107"/>
  <c r="Z23" i="107"/>
  <c r="W32" i="108"/>
  <c r="AA31" i="108"/>
  <c r="AA29" i="108"/>
  <c r="W28" i="108"/>
  <c r="AA27" i="108"/>
  <c r="W26" i="108"/>
  <c r="AA25" i="108"/>
  <c r="AA23" i="108"/>
  <c r="W22" i="108"/>
  <c r="O76" i="108"/>
  <c r="P101" i="108"/>
  <c r="O101" i="108"/>
  <c r="P93" i="108"/>
  <c r="O93" i="108"/>
  <c r="P85" i="108"/>
  <c r="O85" i="108"/>
  <c r="P77" i="108"/>
  <c r="O77" i="108"/>
  <c r="P69" i="108"/>
  <c r="O69" i="108"/>
  <c r="P61" i="108"/>
  <c r="O61" i="108"/>
  <c r="AD32" i="108"/>
  <c r="V32" i="108"/>
  <c r="AD30" i="108"/>
  <c r="Z29" i="108"/>
  <c r="AD28" i="108"/>
  <c r="V28" i="108"/>
  <c r="Z27" i="108"/>
  <c r="AD26" i="108"/>
  <c r="V26" i="108"/>
  <c r="AD24" i="108"/>
  <c r="V24" i="108"/>
  <c r="Z23" i="108"/>
  <c r="V22" i="108"/>
  <c r="U32" i="108"/>
  <c r="AC30" i="108"/>
  <c r="U30" i="108"/>
  <c r="Y29" i="108"/>
  <c r="AC28" i="108"/>
  <c r="U28" i="108"/>
  <c r="Y27" i="108"/>
  <c r="U26" i="108"/>
  <c r="Y25" i="108"/>
  <c r="AC24" i="108"/>
  <c r="Y23" i="108"/>
  <c r="AC22" i="108"/>
  <c r="U22" i="108"/>
  <c r="O60" i="108"/>
  <c r="P59" i="108"/>
  <c r="T32" i="108"/>
  <c r="X31" i="108"/>
  <c r="AB30" i="108"/>
  <c r="T30" i="108"/>
  <c r="X29" i="108"/>
  <c r="AB28" i="108"/>
  <c r="T28" i="108"/>
  <c r="X27" i="108"/>
  <c r="AB26" i="108"/>
  <c r="T26" i="108"/>
  <c r="AB24" i="108"/>
  <c r="X23" i="108"/>
  <c r="AB22" i="108"/>
  <c r="T22" i="108"/>
  <c r="O84" i="108"/>
  <c r="P98" i="108"/>
  <c r="S32" i="108"/>
  <c r="O98" i="108"/>
  <c r="P90" i="108"/>
  <c r="AF30" i="108" s="1"/>
  <c r="S30" i="108"/>
  <c r="O90" i="108"/>
  <c r="P82" i="108"/>
  <c r="O82" i="108"/>
  <c r="S28" i="108"/>
  <c r="P74" i="108"/>
  <c r="AF26" i="108" s="1"/>
  <c r="O74" i="108"/>
  <c r="AE26" i="108" s="1"/>
  <c r="S26" i="108"/>
  <c r="P66" i="108"/>
  <c r="AF24" i="108" s="1"/>
  <c r="O66" i="108"/>
  <c r="S24" i="108"/>
  <c r="AA32" i="108"/>
  <c r="W31" i="108"/>
  <c r="AA30" i="108"/>
  <c r="W29" i="108"/>
  <c r="AA28" i="108"/>
  <c r="W27" i="108"/>
  <c r="AA24" i="108"/>
  <c r="W23" i="108"/>
  <c r="AA22" i="108"/>
  <c r="P89" i="108"/>
  <c r="O89" i="108"/>
  <c r="P81" i="108"/>
  <c r="O81" i="108"/>
  <c r="P73" i="108"/>
  <c r="O73" i="108"/>
  <c r="P65" i="108"/>
  <c r="O65" i="108"/>
  <c r="Z32" i="108"/>
  <c r="AD31" i="108"/>
  <c r="V31" i="108"/>
  <c r="Z30" i="108"/>
  <c r="AD29" i="108"/>
  <c r="Z28" i="108"/>
  <c r="V27" i="108"/>
  <c r="AD25" i="108"/>
  <c r="V25" i="108"/>
  <c r="Z24" i="108"/>
  <c r="AD23" i="108"/>
  <c r="V23" i="108"/>
  <c r="Z22" i="108"/>
  <c r="P105" i="111"/>
  <c r="P99" i="111"/>
  <c r="P97" i="111"/>
  <c r="P93" i="111"/>
  <c r="P91" i="111"/>
  <c r="P87" i="111"/>
  <c r="P85" i="111"/>
  <c r="P83" i="111"/>
  <c r="P81" i="111"/>
  <c r="P79" i="111"/>
  <c r="P77" i="111"/>
  <c r="P75" i="111"/>
  <c r="P71" i="111"/>
  <c r="P69" i="111"/>
  <c r="P67" i="111"/>
  <c r="P65" i="111"/>
  <c r="P61" i="111"/>
  <c r="P59" i="111"/>
  <c r="O60" i="111"/>
  <c r="O72" i="111"/>
  <c r="O73" i="111"/>
  <c r="O71" i="111"/>
  <c r="O69" i="111"/>
  <c r="O67" i="111"/>
  <c r="O65" i="111"/>
  <c r="O59" i="111"/>
  <c r="O66" i="111"/>
  <c r="P100" i="111"/>
  <c r="O100" i="111"/>
  <c r="P96" i="111"/>
  <c r="O96" i="111"/>
  <c r="P92" i="111"/>
  <c r="O92" i="111"/>
  <c r="O84" i="111"/>
  <c r="P80" i="111"/>
  <c r="O80" i="111"/>
  <c r="P76" i="111"/>
  <c r="O76" i="111"/>
  <c r="O105" i="111"/>
  <c r="O99" i="111"/>
  <c r="O97" i="111"/>
  <c r="O93" i="111"/>
  <c r="O91" i="111"/>
  <c r="O87" i="111"/>
  <c r="O85" i="111"/>
  <c r="O83" i="111"/>
  <c r="O81" i="111"/>
  <c r="O79" i="111"/>
  <c r="O77" i="111"/>
  <c r="O95" i="111" l="1"/>
  <c r="P86" i="111"/>
  <c r="AF29" i="111" s="1"/>
  <c r="AE24" i="107"/>
  <c r="AF28" i="107"/>
  <c r="AF29" i="107"/>
  <c r="O62" i="111"/>
  <c r="O94" i="111"/>
  <c r="AE31" i="111" s="1"/>
  <c r="AF22" i="108"/>
  <c r="P78" i="111"/>
  <c r="AF27" i="111" s="1"/>
  <c r="O88" i="111"/>
  <c r="O104" i="111"/>
  <c r="AF32" i="108"/>
  <c r="AE31" i="107"/>
  <c r="AF31" i="108"/>
  <c r="AE33" i="107"/>
  <c r="AF26" i="107"/>
  <c r="S30" i="111"/>
  <c r="P58" i="111"/>
  <c r="AF22" i="111" s="1"/>
  <c r="S22" i="111"/>
  <c r="AE27" i="108"/>
  <c r="AE28" i="107"/>
  <c r="AE29" i="107"/>
  <c r="O86" i="111"/>
  <c r="AE29" i="111" s="1"/>
  <c r="O102" i="111"/>
  <c r="AF25" i="108"/>
  <c r="S33" i="111"/>
  <c r="P102" i="111"/>
  <c r="AF33" i="111" s="1"/>
  <c r="O101" i="111"/>
  <c r="O63" i="111"/>
  <c r="O68" i="111"/>
  <c r="AE24" i="111" s="1"/>
  <c r="AE28" i="108"/>
  <c r="AF31" i="107"/>
  <c r="AF33" i="107"/>
  <c r="P74" i="111"/>
  <c r="AF26" i="111" s="1"/>
  <c r="S26" i="111"/>
  <c r="AF27" i="108"/>
  <c r="P66" i="111"/>
  <c r="AF24" i="111" s="1"/>
  <c r="S24" i="111"/>
  <c r="P62" i="111"/>
  <c r="AF23" i="111" s="1"/>
  <c r="S23" i="111"/>
  <c r="O58" i="111"/>
  <c r="AE22" i="111" s="1"/>
  <c r="S31" i="111"/>
  <c r="O103" i="111"/>
  <c r="O82" i="111"/>
  <c r="AE28" i="111" s="1"/>
  <c r="O90" i="111"/>
  <c r="AE30" i="111" s="1"/>
  <c r="O98" i="111"/>
  <c r="AE32" i="111" s="1"/>
  <c r="O74" i="111"/>
  <c r="AE26" i="111" s="1"/>
  <c r="O64" i="111"/>
  <c r="AF28" i="108"/>
  <c r="AE30" i="107"/>
  <c r="AF22" i="107"/>
  <c r="AF23" i="107"/>
  <c r="AE29" i="108"/>
  <c r="S25" i="111"/>
  <c r="AE22" i="108"/>
  <c r="AE27" i="107"/>
  <c r="O78" i="111"/>
  <c r="AE27" i="111" s="1"/>
  <c r="AE32" i="108"/>
  <c r="AE31" i="108"/>
  <c r="O89" i="111"/>
  <c r="P82" i="111"/>
  <c r="AF28" i="111" s="1"/>
  <c r="P90" i="111"/>
  <c r="AF30" i="111" s="1"/>
  <c r="P98" i="111"/>
  <c r="AF32" i="111" s="1"/>
  <c r="O70" i="111"/>
  <c r="AE25" i="111" s="1"/>
  <c r="AE24" i="108"/>
  <c r="AE30" i="108"/>
  <c r="AF25" i="107"/>
  <c r="AE23" i="108"/>
  <c r="AE26" i="107"/>
  <c r="AF30" i="107"/>
  <c r="AF27" i="107"/>
  <c r="AE22" i="107"/>
  <c r="S29" i="111"/>
  <c r="AE23" i="107"/>
  <c r="P70" i="111"/>
  <c r="AF25" i="111" s="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G106" i="108" s="1"/>
  <c r="H10" i="108"/>
  <c r="I10" i="108"/>
  <c r="J10" i="108"/>
  <c r="K10" i="108"/>
  <c r="K106" i="108" s="1"/>
  <c r="L10" i="108"/>
  <c r="M10" i="108"/>
  <c r="N10" i="108"/>
  <c r="C10" i="108"/>
  <c r="C106" i="108" s="1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I106" i="108" l="1"/>
  <c r="AE23" i="111"/>
  <c r="J10" i="111"/>
  <c r="J106" i="107"/>
  <c r="I10" i="111"/>
  <c r="I106" i="111" s="1"/>
  <c r="I106" i="107"/>
  <c r="H10" i="111"/>
  <c r="H106" i="107"/>
  <c r="H106" i="108"/>
  <c r="C10" i="111"/>
  <c r="C106" i="111" s="1"/>
  <c r="C106" i="107"/>
  <c r="G10" i="111"/>
  <c r="G106" i="111" s="1"/>
  <c r="G106" i="107"/>
  <c r="N106" i="108"/>
  <c r="F106" i="108"/>
  <c r="F10" i="111"/>
  <c r="F106" i="107"/>
  <c r="M10" i="111"/>
  <c r="M106" i="111" s="1"/>
  <c r="M106" i="107"/>
  <c r="E10" i="111"/>
  <c r="E106" i="111" s="1"/>
  <c r="E106" i="107"/>
  <c r="M106" i="108"/>
  <c r="E106" i="108"/>
  <c r="K10" i="111"/>
  <c r="K106" i="111" s="1"/>
  <c r="K106" i="107"/>
  <c r="J106" i="108"/>
  <c r="N10" i="111"/>
  <c r="N106" i="107"/>
  <c r="L10" i="111"/>
  <c r="L106" i="111" s="1"/>
  <c r="L106" i="107"/>
  <c r="D10" i="111"/>
  <c r="D106" i="111" s="1"/>
  <c r="D106" i="107"/>
  <c r="L106" i="108"/>
  <c r="D106" i="108"/>
  <c r="AE33" i="111"/>
  <c r="N106" i="111"/>
  <c r="J106" i="111"/>
  <c r="H106" i="111"/>
  <c r="F106" i="111"/>
  <c r="C3" i="104"/>
  <c r="N58" i="112" l="1"/>
  <c r="M58" i="112"/>
  <c r="L58" i="112"/>
  <c r="K58" i="112"/>
  <c r="J58" i="112"/>
  <c r="I58" i="112"/>
  <c r="H58" i="112"/>
  <c r="G58" i="112"/>
  <c r="F58" i="112"/>
  <c r="E58" i="112"/>
  <c r="D58" i="112"/>
  <c r="C58" i="112"/>
  <c r="P57" i="112"/>
  <c r="O57" i="112"/>
  <c r="P56" i="112"/>
  <c r="AF21" i="112" s="1"/>
  <c r="O56" i="112"/>
  <c r="P55" i="112"/>
  <c r="O55" i="112"/>
  <c r="P54" i="112"/>
  <c r="O54" i="112"/>
  <c r="P53" i="112"/>
  <c r="O53" i="112"/>
  <c r="P52" i="112"/>
  <c r="AF20" i="112" s="1"/>
  <c r="O52" i="112"/>
  <c r="P51" i="112"/>
  <c r="O51" i="112"/>
  <c r="P50" i="112"/>
  <c r="O50" i="112"/>
  <c r="P49" i="112"/>
  <c r="O49" i="112"/>
  <c r="P48" i="112"/>
  <c r="AF19" i="112" s="1"/>
  <c r="O48" i="112"/>
  <c r="P47" i="112"/>
  <c r="O47" i="112"/>
  <c r="P46" i="112"/>
  <c r="O46" i="112"/>
  <c r="P45" i="112"/>
  <c r="O45" i="112"/>
  <c r="P44" i="112"/>
  <c r="AF18" i="112" s="1"/>
  <c r="O44" i="112"/>
  <c r="P43" i="112"/>
  <c r="O43" i="112"/>
  <c r="P42" i="112"/>
  <c r="O42" i="112"/>
  <c r="P41" i="112"/>
  <c r="O41" i="112"/>
  <c r="P40" i="112"/>
  <c r="AF17" i="112" s="1"/>
  <c r="O40" i="112"/>
  <c r="P39" i="112"/>
  <c r="O39" i="112"/>
  <c r="P38" i="112"/>
  <c r="O38" i="112"/>
  <c r="P37" i="112"/>
  <c r="O37" i="112"/>
  <c r="P36" i="112"/>
  <c r="O36" i="112"/>
  <c r="P35" i="112"/>
  <c r="O35" i="112"/>
  <c r="P34" i="112"/>
  <c r="O34" i="112"/>
  <c r="P33" i="112"/>
  <c r="O33" i="112"/>
  <c r="P32" i="112"/>
  <c r="O32" i="112"/>
  <c r="P31" i="112"/>
  <c r="O31" i="112"/>
  <c r="P30" i="112"/>
  <c r="O30" i="112"/>
  <c r="P29" i="112"/>
  <c r="O29" i="112"/>
  <c r="P28" i="112"/>
  <c r="AF14" i="112" s="1"/>
  <c r="O28" i="112"/>
  <c r="P27" i="112"/>
  <c r="O27" i="112"/>
  <c r="P26" i="112"/>
  <c r="O26" i="112"/>
  <c r="P25" i="112"/>
  <c r="O25" i="112"/>
  <c r="P24" i="112"/>
  <c r="AF13" i="112" s="1"/>
  <c r="O24" i="112"/>
  <c r="P23" i="112"/>
  <c r="O23" i="112"/>
  <c r="P22" i="112"/>
  <c r="O22" i="112"/>
  <c r="AD21" i="112"/>
  <c r="AC21" i="112"/>
  <c r="AB21" i="112"/>
  <c r="AA21" i="112"/>
  <c r="Z21" i="112"/>
  <c r="Y21" i="112"/>
  <c r="X21" i="112"/>
  <c r="W21" i="112"/>
  <c r="V21" i="112"/>
  <c r="U21" i="112"/>
  <c r="T21" i="112"/>
  <c r="S21" i="112"/>
  <c r="P21" i="112"/>
  <c r="O21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O20" i="112"/>
  <c r="AD19" i="112"/>
  <c r="AC19" i="112"/>
  <c r="AB19" i="112"/>
  <c r="AA19" i="112"/>
  <c r="Z19" i="112"/>
  <c r="Z27" i="112" s="1"/>
  <c r="Y19" i="112"/>
  <c r="X19" i="112"/>
  <c r="W19" i="112"/>
  <c r="V19" i="112"/>
  <c r="U19" i="112"/>
  <c r="T19" i="112"/>
  <c r="S19" i="112"/>
  <c r="P19" i="112"/>
  <c r="O19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P18" i="112"/>
  <c r="AF12" i="112" s="1"/>
  <c r="O18" i="112"/>
  <c r="AE12" i="112" s="1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O17" i="112"/>
  <c r="AF16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F15" i="112"/>
  <c r="AD15" i="112"/>
  <c r="AC15" i="112"/>
  <c r="AB15" i="112"/>
  <c r="AA15" i="112"/>
  <c r="Z15" i="112"/>
  <c r="Y15" i="112"/>
  <c r="X15" i="112"/>
  <c r="W15" i="112"/>
  <c r="V15" i="112"/>
  <c r="U15" i="112"/>
  <c r="T15" i="112"/>
  <c r="S15" i="112"/>
  <c r="P15" i="112"/>
  <c r="O15" i="112"/>
  <c r="AD14" i="112"/>
  <c r="AC14" i="112"/>
  <c r="AB14" i="112"/>
  <c r="AA14" i="112"/>
  <c r="Z14" i="112"/>
  <c r="Y14" i="112"/>
  <c r="X14" i="112"/>
  <c r="W14" i="112"/>
  <c r="V14" i="112"/>
  <c r="U14" i="112"/>
  <c r="T14" i="112"/>
  <c r="S14" i="112"/>
  <c r="P14" i="112"/>
  <c r="O14" i="112"/>
  <c r="AD13" i="112"/>
  <c r="AC13" i="112"/>
  <c r="AB13" i="112"/>
  <c r="AB23" i="112" s="1"/>
  <c r="AA13" i="112"/>
  <c r="Z13" i="112"/>
  <c r="Y13" i="112"/>
  <c r="X13" i="112"/>
  <c r="W13" i="112"/>
  <c r="V13" i="112"/>
  <c r="U13" i="112"/>
  <c r="T13" i="112"/>
  <c r="T26" i="112" s="1"/>
  <c r="S13" i="112"/>
  <c r="P13" i="112"/>
  <c r="O13" i="112"/>
  <c r="AD12" i="112"/>
  <c r="AC12" i="112"/>
  <c r="AB12" i="112"/>
  <c r="AA12" i="112"/>
  <c r="Z12" i="112"/>
  <c r="Y12" i="112"/>
  <c r="X12" i="112"/>
  <c r="W12" i="112"/>
  <c r="V12" i="112"/>
  <c r="U12" i="112"/>
  <c r="T12" i="112"/>
  <c r="S12" i="112"/>
  <c r="P12" i="112"/>
  <c r="O12" i="112"/>
  <c r="AD11" i="112"/>
  <c r="AC11" i="112"/>
  <c r="AB11" i="112"/>
  <c r="AA11" i="112"/>
  <c r="Z11" i="112"/>
  <c r="Y11" i="112"/>
  <c r="X11" i="112"/>
  <c r="W11" i="112"/>
  <c r="V11" i="112"/>
  <c r="U11" i="112"/>
  <c r="T11" i="112"/>
  <c r="S11" i="112"/>
  <c r="P11" i="112"/>
  <c r="O11" i="112"/>
  <c r="AD10" i="112"/>
  <c r="AC10" i="112"/>
  <c r="AB10" i="112"/>
  <c r="AA10" i="112"/>
  <c r="Z10" i="112"/>
  <c r="Y10" i="112"/>
  <c r="X10" i="112"/>
  <c r="W10" i="112"/>
  <c r="V10" i="112"/>
  <c r="U10" i="112"/>
  <c r="T10" i="112"/>
  <c r="S10" i="112"/>
  <c r="P10" i="112"/>
  <c r="O10" i="112"/>
  <c r="G6" i="112"/>
  <c r="D6" i="112"/>
  <c r="C3" i="112"/>
  <c r="X28" i="112" l="1"/>
  <c r="V27" i="112"/>
  <c r="AD24" i="112"/>
  <c r="AE13" i="112"/>
  <c r="AE23" i="112" s="1"/>
  <c r="AE14" i="112"/>
  <c r="AF11" i="112"/>
  <c r="AB22" i="112"/>
  <c r="AE11" i="112"/>
  <c r="T22" i="112"/>
  <c r="X26" i="112"/>
  <c r="O58" i="112"/>
  <c r="C60" i="112" s="1"/>
  <c r="U22" i="112"/>
  <c r="Y22" i="112"/>
  <c r="AC28" i="112"/>
  <c r="U26" i="112"/>
  <c r="Y26" i="112"/>
  <c r="AC26" i="112"/>
  <c r="S27" i="112"/>
  <c r="W27" i="112"/>
  <c r="AA27" i="112"/>
  <c r="AF27" i="112"/>
  <c r="AF10" i="112"/>
  <c r="AF22" i="112" s="1"/>
  <c r="Z28" i="112"/>
  <c r="V23" i="112"/>
  <c r="AD26" i="112"/>
  <c r="T27" i="112"/>
  <c r="X24" i="112"/>
  <c r="AB27" i="112"/>
  <c r="AE15" i="112"/>
  <c r="AE16" i="112"/>
  <c r="AE17" i="112"/>
  <c r="AE18" i="112"/>
  <c r="AE19" i="112"/>
  <c r="AE20" i="112"/>
  <c r="AE21" i="112"/>
  <c r="V25" i="112"/>
  <c r="AD25" i="112"/>
  <c r="Z23" i="112"/>
  <c r="S28" i="112"/>
  <c r="W28" i="112"/>
  <c r="AA28" i="112"/>
  <c r="S26" i="112"/>
  <c r="W26" i="112"/>
  <c r="AA26" i="112"/>
  <c r="AF26" i="112"/>
  <c r="U24" i="112"/>
  <c r="Y27" i="112"/>
  <c r="AC24" i="112"/>
  <c r="P58" i="112"/>
  <c r="E60" i="112"/>
  <c r="I60" i="112"/>
  <c r="M59" i="112"/>
  <c r="J60" i="112"/>
  <c r="K60" i="112"/>
  <c r="G60" i="112"/>
  <c r="K59" i="112"/>
  <c r="G59" i="112"/>
  <c r="C59" i="112"/>
  <c r="N59" i="112"/>
  <c r="J59" i="112"/>
  <c r="F59" i="112"/>
  <c r="L60" i="112"/>
  <c r="N60" i="112"/>
  <c r="X22" i="112"/>
  <c r="X23" i="112"/>
  <c r="T24" i="112"/>
  <c r="AF24" i="112"/>
  <c r="AB25" i="112"/>
  <c r="AB26" i="112"/>
  <c r="X27" i="112"/>
  <c r="AB28" i="112"/>
  <c r="AC22" i="112"/>
  <c r="Y23" i="112"/>
  <c r="AC23" i="112"/>
  <c r="Y24" i="112"/>
  <c r="U25" i="112"/>
  <c r="Y25" i="112"/>
  <c r="AC25" i="112"/>
  <c r="U27" i="112"/>
  <c r="AC27" i="112"/>
  <c r="U28" i="112"/>
  <c r="Y28" i="112"/>
  <c r="T23" i="112"/>
  <c r="AF23" i="112"/>
  <c r="T25" i="112"/>
  <c r="AF25" i="112"/>
  <c r="T28" i="112"/>
  <c r="Z22" i="112"/>
  <c r="AD23" i="112"/>
  <c r="Z24" i="112"/>
  <c r="Z25" i="112"/>
  <c r="V26" i="112"/>
  <c r="Z26" i="112"/>
  <c r="AD27" i="112"/>
  <c r="V28" i="112"/>
  <c r="AD28" i="112"/>
  <c r="D59" i="112"/>
  <c r="H59" i="112"/>
  <c r="L59" i="112"/>
  <c r="AB24" i="112"/>
  <c r="X25" i="112"/>
  <c r="U23" i="112"/>
  <c r="V22" i="112"/>
  <c r="AD22" i="112"/>
  <c r="V24" i="112"/>
  <c r="AE10" i="112"/>
  <c r="S22" i="112"/>
  <c r="W22" i="112"/>
  <c r="AA22" i="112"/>
  <c r="S23" i="112"/>
  <c r="W23" i="112"/>
  <c r="AA23" i="112"/>
  <c r="S24" i="112"/>
  <c r="W24" i="112"/>
  <c r="AA24" i="112"/>
  <c r="S25" i="112"/>
  <c r="W25" i="112"/>
  <c r="AA25" i="112"/>
  <c r="E59" i="112"/>
  <c r="I59" i="112"/>
  <c r="S10" i="101"/>
  <c r="S25" i="101" s="1"/>
  <c r="T10" i="101"/>
  <c r="T25" i="101" s="1"/>
  <c r="U10" i="101"/>
  <c r="U25" i="101" s="1"/>
  <c r="V10" i="101"/>
  <c r="W10" i="101"/>
  <c r="X10" i="101"/>
  <c r="Y10" i="101"/>
  <c r="Z10" i="101"/>
  <c r="AA10" i="101"/>
  <c r="AA25" i="101" s="1"/>
  <c r="AB10" i="101"/>
  <c r="AB25" i="101" s="1"/>
  <c r="AC10" i="101"/>
  <c r="AC25" i="101" s="1"/>
  <c r="AD10" i="101"/>
  <c r="S11" i="101"/>
  <c r="T11" i="101"/>
  <c r="U11" i="101"/>
  <c r="V11" i="101"/>
  <c r="W11" i="101"/>
  <c r="W22" i="101" s="1"/>
  <c r="X11" i="101"/>
  <c r="X22" i="101" s="1"/>
  <c r="Y11" i="101"/>
  <c r="Y22" i="101" s="1"/>
  <c r="Z11" i="101"/>
  <c r="AA11" i="101"/>
  <c r="AB11" i="101"/>
  <c r="AC11" i="101"/>
  <c r="AD11" i="101"/>
  <c r="S12" i="101"/>
  <c r="T12" i="101"/>
  <c r="U12" i="101"/>
  <c r="V12" i="101"/>
  <c r="W12" i="101"/>
  <c r="X12" i="101"/>
  <c r="Y12" i="101"/>
  <c r="Z12" i="101"/>
  <c r="AA12" i="101"/>
  <c r="AB12" i="101"/>
  <c r="AC12" i="101"/>
  <c r="AD12" i="101"/>
  <c r="S13" i="101"/>
  <c r="T13" i="101"/>
  <c r="U13" i="101"/>
  <c r="V13" i="101"/>
  <c r="W13" i="101"/>
  <c r="W26" i="101" s="1"/>
  <c r="X13" i="101"/>
  <c r="X26" i="101" s="1"/>
  <c r="Y13" i="101"/>
  <c r="Y26" i="101" s="1"/>
  <c r="Z13" i="101"/>
  <c r="AA13" i="101"/>
  <c r="AB13" i="101"/>
  <c r="AC13" i="101"/>
  <c r="AD13" i="101"/>
  <c r="S14" i="101"/>
  <c r="S23" i="101" s="1"/>
  <c r="T14" i="101"/>
  <c r="T23" i="101" s="1"/>
  <c r="U14" i="101"/>
  <c r="U23" i="101" s="1"/>
  <c r="V14" i="101"/>
  <c r="W14" i="101"/>
  <c r="X14" i="101"/>
  <c r="Y14" i="101"/>
  <c r="Z14" i="101"/>
  <c r="AA14" i="101"/>
  <c r="AA23" i="101" s="1"/>
  <c r="AB14" i="101"/>
  <c r="AB23" i="101" s="1"/>
  <c r="AC14" i="101"/>
  <c r="AC23" i="101" s="1"/>
  <c r="AD14" i="101"/>
  <c r="S15" i="101"/>
  <c r="T15" i="101"/>
  <c r="U15" i="101"/>
  <c r="V15" i="101"/>
  <c r="W15" i="101"/>
  <c r="X15" i="101"/>
  <c r="Y15" i="101"/>
  <c r="Z15" i="101"/>
  <c r="AA15" i="101"/>
  <c r="AB15" i="101"/>
  <c r="AC15" i="101"/>
  <c r="AD15" i="101"/>
  <c r="S16" i="101"/>
  <c r="T16" i="101"/>
  <c r="U16" i="101"/>
  <c r="V16" i="101"/>
  <c r="W16" i="101"/>
  <c r="X16" i="101"/>
  <c r="Y16" i="101"/>
  <c r="Z16" i="101"/>
  <c r="AA16" i="101"/>
  <c r="AB16" i="101"/>
  <c r="AC16" i="101"/>
  <c r="AD16" i="101"/>
  <c r="S17" i="101"/>
  <c r="T17" i="101"/>
  <c r="U17" i="101"/>
  <c r="V17" i="101"/>
  <c r="W17" i="101"/>
  <c r="X17" i="101"/>
  <c r="Y17" i="101"/>
  <c r="Z17" i="101"/>
  <c r="AA17" i="101"/>
  <c r="AB17" i="101"/>
  <c r="AC17" i="101"/>
  <c r="AD17" i="101"/>
  <c r="S18" i="101"/>
  <c r="T18" i="101"/>
  <c r="U18" i="101"/>
  <c r="V18" i="101"/>
  <c r="W18" i="101"/>
  <c r="X18" i="101"/>
  <c r="Y18" i="101"/>
  <c r="Z18" i="101"/>
  <c r="AA18" i="101"/>
  <c r="AB18" i="101"/>
  <c r="AC18" i="101"/>
  <c r="AD18" i="101"/>
  <c r="S19" i="101"/>
  <c r="T19" i="101"/>
  <c r="U19" i="101"/>
  <c r="V19" i="101"/>
  <c r="W19" i="101"/>
  <c r="W24" i="101" s="1"/>
  <c r="X19" i="101"/>
  <c r="X24" i="101" s="1"/>
  <c r="Y19" i="101"/>
  <c r="Y24" i="101" s="1"/>
  <c r="Z19" i="101"/>
  <c r="AA19" i="101"/>
  <c r="AB19" i="101"/>
  <c r="AC19" i="101"/>
  <c r="AD19" i="101"/>
  <c r="S20" i="101"/>
  <c r="S27" i="101" s="1"/>
  <c r="T20" i="101"/>
  <c r="T27" i="101" s="1"/>
  <c r="U20" i="101"/>
  <c r="U27" i="101" s="1"/>
  <c r="V20" i="101"/>
  <c r="W20" i="101"/>
  <c r="X20" i="101"/>
  <c r="Y20" i="101"/>
  <c r="Z20" i="101"/>
  <c r="AA20" i="101"/>
  <c r="AA27" i="101" s="1"/>
  <c r="AB20" i="101"/>
  <c r="AB27" i="101" s="1"/>
  <c r="AC20" i="101"/>
  <c r="AC27" i="101" s="1"/>
  <c r="AD20" i="101"/>
  <c r="S21" i="101"/>
  <c r="T21" i="101"/>
  <c r="U21" i="101"/>
  <c r="V21" i="101"/>
  <c r="W21" i="101"/>
  <c r="X21" i="101"/>
  <c r="Y21" i="101"/>
  <c r="Z21" i="101"/>
  <c r="AA21" i="101"/>
  <c r="AB21" i="101"/>
  <c r="AC21" i="101"/>
  <c r="AD21" i="101"/>
  <c r="S22" i="101"/>
  <c r="T22" i="101"/>
  <c r="U22" i="101"/>
  <c r="V22" i="101"/>
  <c r="Z22" i="101"/>
  <c r="AA22" i="101"/>
  <c r="AB22" i="101"/>
  <c r="AC22" i="101"/>
  <c r="AD22" i="101"/>
  <c r="V23" i="101"/>
  <c r="W23" i="101"/>
  <c r="X23" i="101"/>
  <c r="Y23" i="101"/>
  <c r="Z23" i="101"/>
  <c r="AD23" i="101"/>
  <c r="S24" i="101"/>
  <c r="T24" i="101"/>
  <c r="U24" i="101"/>
  <c r="V24" i="101"/>
  <c r="Z24" i="101"/>
  <c r="AA24" i="101"/>
  <c r="AB24" i="101"/>
  <c r="AC24" i="101"/>
  <c r="AD24" i="101"/>
  <c r="V25" i="101"/>
  <c r="W25" i="101"/>
  <c r="X25" i="101"/>
  <c r="Y25" i="101"/>
  <c r="Z25" i="101"/>
  <c r="AD25" i="101"/>
  <c r="S26" i="101"/>
  <c r="T26" i="101"/>
  <c r="U26" i="101"/>
  <c r="V26" i="101"/>
  <c r="Z26" i="101"/>
  <c r="AA26" i="101"/>
  <c r="AB26" i="101"/>
  <c r="AC26" i="101"/>
  <c r="AD26" i="101"/>
  <c r="V27" i="101"/>
  <c r="W27" i="101"/>
  <c r="X27" i="101"/>
  <c r="Y27" i="101"/>
  <c r="Z27" i="101"/>
  <c r="AD27" i="101"/>
  <c r="S28" i="101"/>
  <c r="T28" i="101"/>
  <c r="U28" i="101"/>
  <c r="V28" i="101"/>
  <c r="Z28" i="101"/>
  <c r="AA28" i="101"/>
  <c r="AB28" i="101"/>
  <c r="AC28" i="101"/>
  <c r="AD28" i="101"/>
  <c r="O10" i="101"/>
  <c r="P10" i="101"/>
  <c r="O11" i="101"/>
  <c r="P11" i="101"/>
  <c r="O12" i="101"/>
  <c r="P12" i="101"/>
  <c r="O13" i="101"/>
  <c r="P13" i="101"/>
  <c r="O14" i="101"/>
  <c r="P14" i="101"/>
  <c r="O15" i="101"/>
  <c r="P15" i="101"/>
  <c r="O16" i="101"/>
  <c r="P16" i="101"/>
  <c r="O17" i="101"/>
  <c r="P17" i="101"/>
  <c r="O18" i="101"/>
  <c r="P18" i="101"/>
  <c r="O19" i="101"/>
  <c r="P19" i="101"/>
  <c r="O20" i="101"/>
  <c r="P20" i="101"/>
  <c r="O21" i="101"/>
  <c r="P21" i="101"/>
  <c r="O22" i="101"/>
  <c r="P22" i="101"/>
  <c r="O23" i="101"/>
  <c r="P23" i="101"/>
  <c r="O24" i="101"/>
  <c r="P24" i="101"/>
  <c r="O25" i="101"/>
  <c r="P25" i="101"/>
  <c r="O26" i="101"/>
  <c r="P26" i="101"/>
  <c r="O27" i="101"/>
  <c r="P27" i="101"/>
  <c r="O28" i="101"/>
  <c r="P28" i="101"/>
  <c r="O29" i="101"/>
  <c r="P29" i="101"/>
  <c r="O30" i="101"/>
  <c r="P30" i="101"/>
  <c r="O31" i="101"/>
  <c r="P31" i="101"/>
  <c r="O32" i="101"/>
  <c r="P32" i="101"/>
  <c r="O33" i="101"/>
  <c r="P33" i="101"/>
  <c r="O34" i="101"/>
  <c r="P34" i="101"/>
  <c r="O35" i="101"/>
  <c r="P35" i="101"/>
  <c r="O36" i="101"/>
  <c r="P36" i="101"/>
  <c r="O37" i="101"/>
  <c r="P37" i="101"/>
  <c r="O38" i="101"/>
  <c r="P38" i="101"/>
  <c r="O39" i="101"/>
  <c r="P39" i="101"/>
  <c r="O40" i="101"/>
  <c r="P40" i="101"/>
  <c r="O41" i="101"/>
  <c r="P41" i="101"/>
  <c r="O42" i="101"/>
  <c r="P42" i="101"/>
  <c r="O43" i="101"/>
  <c r="P43" i="101"/>
  <c r="O44" i="101"/>
  <c r="P44" i="101"/>
  <c r="O45" i="101"/>
  <c r="P45" i="101"/>
  <c r="O46" i="101"/>
  <c r="P46" i="101"/>
  <c r="O47" i="101"/>
  <c r="P47" i="101"/>
  <c r="O48" i="101"/>
  <c r="P48" i="101"/>
  <c r="O49" i="101"/>
  <c r="P49" i="101"/>
  <c r="O50" i="101"/>
  <c r="P50" i="101"/>
  <c r="O51" i="101"/>
  <c r="P51" i="101"/>
  <c r="O52" i="101"/>
  <c r="P52" i="101"/>
  <c r="O53" i="101"/>
  <c r="P53" i="101"/>
  <c r="O54" i="101"/>
  <c r="P54" i="101"/>
  <c r="O55" i="101"/>
  <c r="P55" i="101"/>
  <c r="O56" i="101"/>
  <c r="P56" i="101"/>
  <c r="O57" i="101"/>
  <c r="P57" i="101"/>
  <c r="AE26" i="112" l="1"/>
  <c r="X28" i="101"/>
  <c r="Y28" i="101"/>
  <c r="W28" i="101"/>
  <c r="D60" i="112"/>
  <c r="F60" i="112"/>
  <c r="H60" i="112"/>
  <c r="AE27" i="112"/>
  <c r="AF28" i="112"/>
  <c r="AE24" i="112"/>
  <c r="AE28" i="112"/>
  <c r="AE25" i="112"/>
  <c r="AE22" i="112"/>
  <c r="AF21" i="101"/>
  <c r="AF20" i="101"/>
  <c r="AF19" i="101"/>
  <c r="AF24" i="101" s="1"/>
  <c r="AF18" i="101"/>
  <c r="AF17" i="101"/>
  <c r="AF16" i="101"/>
  <c r="AF15" i="101"/>
  <c r="AF14" i="101"/>
  <c r="AF13" i="101"/>
  <c r="AF12" i="101"/>
  <c r="AF11" i="101"/>
  <c r="AE21" i="101"/>
  <c r="AE20" i="101"/>
  <c r="AE19" i="101"/>
  <c r="AE27" i="101" s="1"/>
  <c r="AE18" i="101"/>
  <c r="AE17" i="101"/>
  <c r="AE16" i="101"/>
  <c r="AE15" i="101"/>
  <c r="AE14" i="101"/>
  <c r="AE13" i="101"/>
  <c r="AE12" i="101"/>
  <c r="AE11" i="101"/>
  <c r="AF10" i="101"/>
  <c r="AE10" i="101"/>
  <c r="AE25" i="101" s="1"/>
  <c r="K6" i="94"/>
  <c r="AF22" i="101" l="1"/>
  <c r="AF27" i="101"/>
  <c r="AE22" i="101"/>
  <c r="AE23" i="101"/>
  <c r="AE24" i="101"/>
  <c r="AF23" i="101"/>
  <c r="AF25" i="101"/>
  <c r="AE26" i="101"/>
  <c r="AF26" i="101"/>
  <c r="AF28" i="101"/>
  <c r="AE28" i="101"/>
  <c r="K6" i="98"/>
  <c r="K6" i="101" s="1"/>
  <c r="K6" i="109" s="1"/>
  <c r="K6" i="105" s="1"/>
  <c r="K6" i="110" s="1"/>
  <c r="K6" i="103" s="1"/>
  <c r="K6" i="112" s="1"/>
  <c r="G5" i="98"/>
  <c r="G5" i="101" s="1"/>
  <c r="G5" i="109" s="1"/>
  <c r="G5" i="105" s="1"/>
  <c r="G5" i="110" s="1"/>
  <c r="G5" i="103" s="1"/>
  <c r="G5" i="112" s="1"/>
  <c r="K6" i="97"/>
  <c r="K5" i="97"/>
  <c r="G5" i="97"/>
  <c r="K6" i="96"/>
  <c r="G5" i="96"/>
  <c r="K6" i="95"/>
  <c r="G5" i="95"/>
  <c r="G5" i="94"/>
  <c r="G6" i="110"/>
  <c r="G6" i="96"/>
  <c r="G6" i="109" s="1"/>
  <c r="G6" i="103"/>
  <c r="G6" i="107" s="1"/>
  <c r="G6" i="105"/>
  <c r="G6" i="101"/>
  <c r="G6" i="95"/>
  <c r="D6" i="110"/>
  <c r="D6" i="109"/>
  <c r="D6" i="96"/>
  <c r="D6" i="103"/>
  <c r="D6" i="107" s="1"/>
  <c r="D6" i="105"/>
  <c r="D6" i="101"/>
  <c r="D6" i="95"/>
  <c r="D5" i="109"/>
  <c r="D5" i="96"/>
  <c r="D5" i="94"/>
  <c r="K6" i="104" l="1"/>
  <c r="K6" i="108" s="1"/>
  <c r="K6" i="111" s="1"/>
  <c r="K6" i="107"/>
  <c r="K5" i="11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3"/>
  <c r="C3" i="105"/>
  <c r="C3" i="101"/>
  <c r="C3" i="100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A19" i="103"/>
  <c r="Z19" i="103"/>
  <c r="Z27" i="103" s="1"/>
  <c r="Y19" i="103"/>
  <c r="Y27" i="103" s="1"/>
  <c r="X19" i="103"/>
  <c r="X27" i="103" s="1"/>
  <c r="W19" i="103"/>
  <c r="W27" i="103" s="1"/>
  <c r="V19" i="103"/>
  <c r="U19" i="103"/>
  <c r="T19" i="103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W39" i="101"/>
  <c r="V39" i="101"/>
  <c r="S39" i="101"/>
  <c r="AD38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Z27" i="97" s="1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S27" i="103" l="1"/>
  <c r="AA27" i="103"/>
  <c r="T27" i="97"/>
  <c r="AB27" i="97"/>
  <c r="T27" i="103"/>
  <c r="AB27" i="103"/>
  <c r="X39" i="105"/>
  <c r="U24" i="103"/>
  <c r="U39" i="109"/>
  <c r="AC39" i="109"/>
  <c r="V39" i="105"/>
  <c r="Z39" i="105"/>
  <c r="W39" i="105"/>
  <c r="AA39" i="105"/>
  <c r="AD39" i="105"/>
  <c r="V27" i="103"/>
  <c r="X26" i="98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X39" i="101"/>
  <c r="U20" i="105"/>
  <c r="U39" i="105" s="1"/>
  <c r="AA33" i="105"/>
  <c r="U22" i="109"/>
  <c r="W20" i="96"/>
  <c r="W24" i="96" s="1"/>
  <c r="V38" i="101"/>
  <c r="Y13" i="95"/>
  <c r="V14" i="97"/>
  <c r="T23" i="105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T19" i="108"/>
  <c r="V19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D20" i="98"/>
  <c r="AD27" i="98" s="1"/>
  <c r="U14" i="95"/>
  <c r="U26" i="95" s="1"/>
  <c r="T39" i="101"/>
  <c r="AC18" i="95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S33" i="101"/>
  <c r="S32" i="101"/>
  <c r="S31" i="101"/>
  <c r="S30" i="101"/>
  <c r="S29" i="101"/>
  <c r="AB17" i="95"/>
  <c r="Z19" i="95"/>
  <c r="Z27" i="95" s="1"/>
  <c r="V14" i="98"/>
  <c r="AA16" i="100"/>
  <c r="AA26" i="100" s="1"/>
  <c r="Z13" i="95"/>
  <c r="T21" i="98"/>
  <c r="T27" i="98" s="1"/>
  <c r="AB14" i="95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1" i="103"/>
  <c r="T11" i="104"/>
  <c r="X11" i="104"/>
  <c r="AB11" i="104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AA12" i="97"/>
  <c r="T12" i="98"/>
  <c r="P21" i="100"/>
  <c r="P23" i="100"/>
  <c r="P24" i="100"/>
  <c r="O34" i="100"/>
  <c r="O42" i="100"/>
  <c r="O50" i="100"/>
  <c r="O54" i="100"/>
  <c r="W35" i="101"/>
  <c r="AA35" i="101"/>
  <c r="AC35" i="101"/>
  <c r="AC11" i="95"/>
  <c r="O38" i="100"/>
  <c r="S17" i="100"/>
  <c r="U11" i="97"/>
  <c r="S36" i="101"/>
  <c r="W36" i="101"/>
  <c r="AA36" i="101"/>
  <c r="U11" i="96"/>
  <c r="W11" i="96"/>
  <c r="Y11" i="96"/>
  <c r="AA11" i="96"/>
  <c r="AC11" i="96"/>
  <c r="Y11" i="97"/>
  <c r="P17" i="100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32" i="101" l="1"/>
  <c r="AB26" i="103"/>
  <c r="Y38" i="105"/>
  <c r="X23" i="103"/>
  <c r="AF33" i="101"/>
  <c r="T36" i="105"/>
  <c r="T26" i="103"/>
  <c r="U38" i="109"/>
  <c r="AB26" i="98"/>
  <c r="X26" i="96"/>
  <c r="U38" i="110"/>
  <c r="S38" i="110"/>
  <c r="S35" i="110"/>
  <c r="AB23" i="96"/>
  <c r="AC26" i="95"/>
  <c r="T23" i="96"/>
  <c r="W27" i="96"/>
  <c r="T23" i="98"/>
  <c r="Z24" i="98"/>
  <c r="V35" i="101"/>
  <c r="U36" i="105"/>
  <c r="Y26" i="95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V35" i="108" s="1"/>
  <c r="Z19" i="108"/>
  <c r="AC26" i="97"/>
  <c r="AC23" i="97"/>
  <c r="T13" i="111"/>
  <c r="AD12" i="111"/>
  <c r="T12" i="111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Y38" i="110"/>
  <c r="X36" i="110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P106" i="107" s="1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P106" i="101"/>
  <c r="U26" i="96"/>
  <c r="AB23" i="97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9" i="101"/>
  <c r="AF30" i="101"/>
  <c r="AF31" i="101"/>
  <c r="AE29" i="101"/>
  <c r="AB23" i="95"/>
  <c r="Y24" i="100"/>
  <c r="AB26" i="95"/>
  <c r="Z24" i="95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A22" i="100"/>
  <c r="W27" i="100"/>
  <c r="X25" i="100"/>
  <c r="AA25" i="100"/>
  <c r="S24" i="100"/>
  <c r="AB40" i="101"/>
  <c r="AB37" i="101"/>
  <c r="AB34" i="101"/>
  <c r="X40" i="101"/>
  <c r="X37" i="101"/>
  <c r="X34" i="101"/>
  <c r="T40" i="101"/>
  <c r="T37" i="101"/>
  <c r="T34" i="101"/>
  <c r="S38" i="101"/>
  <c r="S35" i="101"/>
  <c r="W40" i="101"/>
  <c r="W37" i="101"/>
  <c r="W34" i="101"/>
  <c r="AC40" i="101"/>
  <c r="AC37" i="101"/>
  <c r="AC34" i="101"/>
  <c r="U40" i="101"/>
  <c r="U37" i="101"/>
  <c r="U34" i="101"/>
  <c r="S23" i="98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E20" i="96"/>
  <c r="AE14" i="96"/>
  <c r="S23" i="95"/>
  <c r="S25" i="94"/>
  <c r="X23" i="100"/>
  <c r="AB28" i="100"/>
  <c r="U27" i="100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D23" i="100"/>
  <c r="Z26" i="100"/>
  <c r="V23" i="100"/>
  <c r="T23" i="100"/>
  <c r="T26" i="100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X28" i="100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P106" i="108" l="1"/>
  <c r="V41" i="107"/>
  <c r="AD39" i="107"/>
  <c r="S40" i="108"/>
  <c r="AA40" i="108"/>
  <c r="AD40" i="108"/>
  <c r="AD41" i="108" s="1"/>
  <c r="O106" i="108"/>
  <c r="H108" i="108" s="1"/>
  <c r="AE24" i="98"/>
  <c r="AD41" i="107"/>
  <c r="W40" i="108"/>
  <c r="Y40" i="108"/>
  <c r="AB40" i="108"/>
  <c r="AC40" i="108"/>
  <c r="T41" i="107"/>
  <c r="T42" i="107" s="1"/>
  <c r="T40" i="108"/>
  <c r="T41" i="108" s="1"/>
  <c r="V40" i="108"/>
  <c r="S36" i="107"/>
  <c r="X41" i="107"/>
  <c r="U41" i="107"/>
  <c r="U42" i="107" s="1"/>
  <c r="U40" i="108"/>
  <c r="Y33" i="108"/>
  <c r="Z40" i="108"/>
  <c r="Z41" i="108" s="1"/>
  <c r="O106" i="107"/>
  <c r="H108" i="107" s="1"/>
  <c r="Y41" i="107"/>
  <c r="U36" i="107"/>
  <c r="Z41" i="107"/>
  <c r="W41" i="107"/>
  <c r="W42" i="107" s="1"/>
  <c r="AA42" i="110"/>
  <c r="S41" i="107"/>
  <c r="AB41" i="107"/>
  <c r="AB42" i="107" s="1"/>
  <c r="AC41" i="107"/>
  <c r="AC42" i="107" s="1"/>
  <c r="X40" i="108"/>
  <c r="U39" i="107"/>
  <c r="X42" i="109"/>
  <c r="AF10" i="108"/>
  <c r="S42" i="110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5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5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8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5" i="108"/>
  <c r="AD36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8" i="108"/>
  <c r="Z38" i="108"/>
  <c r="O34" i="111"/>
  <c r="P17" i="111"/>
  <c r="O21" i="111"/>
  <c r="O37" i="111"/>
  <c r="P41" i="111"/>
  <c r="O42" i="111"/>
  <c r="U20" i="111"/>
  <c r="P53" i="111"/>
  <c r="X10" i="111"/>
  <c r="T38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5" i="108"/>
  <c r="V33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8" i="108"/>
  <c r="T35" i="108"/>
  <c r="AB38" i="108"/>
  <c r="V36" i="108"/>
  <c r="T33" i="108"/>
  <c r="F108" i="110"/>
  <c r="AA10" i="111"/>
  <c r="H108" i="110"/>
  <c r="N108" i="110"/>
  <c r="X33" i="108"/>
  <c r="AE39" i="110"/>
  <c r="W42" i="110"/>
  <c r="Z33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7" i="108"/>
  <c r="AE20" i="107"/>
  <c r="T39" i="107"/>
  <c r="AB39" i="107"/>
  <c r="Z36" i="108"/>
  <c r="Z37" i="108"/>
  <c r="AF11" i="108"/>
  <c r="AC35" i="108"/>
  <c r="Y38" i="108"/>
  <c r="AF21" i="108"/>
  <c r="AC33" i="108"/>
  <c r="AE10" i="108"/>
  <c r="AE40" i="108" s="1"/>
  <c r="AF19" i="108"/>
  <c r="U38" i="108"/>
  <c r="W35" i="108"/>
  <c r="T37" i="108"/>
  <c r="Y36" i="108"/>
  <c r="AD34" i="107"/>
  <c r="S38" i="107"/>
  <c r="AC34" i="107"/>
  <c r="V34" i="107"/>
  <c r="AD39" i="108"/>
  <c r="AA38" i="108"/>
  <c r="AA34" i="108"/>
  <c r="T34" i="108"/>
  <c r="AB34" i="108"/>
  <c r="AE12" i="108"/>
  <c r="X37" i="108"/>
  <c r="AC36" i="108"/>
  <c r="X39" i="108"/>
  <c r="AE18" i="108"/>
  <c r="S36" i="108"/>
  <c r="AE19" i="108"/>
  <c r="W38" i="108"/>
  <c r="AD38" i="107"/>
  <c r="X34" i="108"/>
  <c r="AF20" i="108"/>
  <c r="AE17" i="108"/>
  <c r="AC39" i="108"/>
  <c r="AA39" i="108"/>
  <c r="AE14" i="108"/>
  <c r="AF14" i="108"/>
  <c r="AE15" i="108"/>
  <c r="V37" i="108"/>
  <c r="AF17" i="108"/>
  <c r="S34" i="108"/>
  <c r="Y35" i="108"/>
  <c r="AC38" i="108"/>
  <c r="AE20" i="108"/>
  <c r="AE13" i="108"/>
  <c r="U35" i="108"/>
  <c r="V36" i="107"/>
  <c r="AD37" i="107"/>
  <c r="AD35" i="107"/>
  <c r="V37" i="107"/>
  <c r="Y37" i="107"/>
  <c r="W34" i="107"/>
  <c r="U39" i="108"/>
  <c r="AF12" i="108"/>
  <c r="AF18" i="108"/>
  <c r="AA37" i="108"/>
  <c r="AE11" i="108"/>
  <c r="AD36" i="107"/>
  <c r="Y34" i="107"/>
  <c r="Z40" i="107"/>
  <c r="AB35" i="107"/>
  <c r="Z36" i="107"/>
  <c r="AD33" i="108"/>
  <c r="U36" i="108"/>
  <c r="AB37" i="108"/>
  <c r="AB39" i="108"/>
  <c r="S37" i="108"/>
  <c r="S39" i="108"/>
  <c r="AA33" i="108"/>
  <c r="Y39" i="108"/>
  <c r="V34" i="108"/>
  <c r="AD34" i="108"/>
  <c r="AF13" i="108"/>
  <c r="AF15" i="108"/>
  <c r="AE16" i="108"/>
  <c r="Z39" i="108"/>
  <c r="F107" i="105"/>
  <c r="AE12" i="107"/>
  <c r="AE16" i="107"/>
  <c r="AF18" i="107"/>
  <c r="S38" i="108"/>
  <c r="S35" i="108"/>
  <c r="W37" i="108"/>
  <c r="W34" i="108"/>
  <c r="H107" i="108"/>
  <c r="V39" i="108"/>
  <c r="Z34" i="108"/>
  <c r="U33" i="108"/>
  <c r="T39" i="108"/>
  <c r="S33" i="108"/>
  <c r="AF16" i="108"/>
  <c r="AA36" i="108"/>
  <c r="AA35" i="108"/>
  <c r="AB33" i="108"/>
  <c r="AB36" i="108"/>
  <c r="W39" i="108"/>
  <c r="W36" i="108"/>
  <c r="W33" i="108"/>
  <c r="Y37" i="108"/>
  <c r="Y34" i="108"/>
  <c r="T36" i="108"/>
  <c r="X36" i="108"/>
  <c r="Y40" i="107"/>
  <c r="AE14" i="107"/>
  <c r="AE18" i="107"/>
  <c r="T38" i="107"/>
  <c r="V38" i="107"/>
  <c r="X36" i="107"/>
  <c r="U37" i="107"/>
  <c r="U37" i="108"/>
  <c r="U34" i="108"/>
  <c r="AC37" i="108"/>
  <c r="AC34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E23" i="97"/>
  <c r="D59" i="100"/>
  <c r="AE27" i="98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C60" i="100"/>
  <c r="L60" i="100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S41" i="111" l="1"/>
  <c r="AD41" i="111"/>
  <c r="X41" i="111"/>
  <c r="S42" i="107"/>
  <c r="AC41" i="108"/>
  <c r="AA41" i="108"/>
  <c r="Y41" i="111"/>
  <c r="Y42" i="111" s="1"/>
  <c r="W41" i="111"/>
  <c r="U41" i="108"/>
  <c r="AB41" i="108"/>
  <c r="S41" i="108"/>
  <c r="AE41" i="108"/>
  <c r="AE41" i="107"/>
  <c r="AA41" i="111"/>
  <c r="AB41" i="111"/>
  <c r="AB42" i="111" s="1"/>
  <c r="Z41" i="111"/>
  <c r="Z42" i="111" s="1"/>
  <c r="Z42" i="107"/>
  <c r="X42" i="107"/>
  <c r="W41" i="108"/>
  <c r="V42" i="107"/>
  <c r="AF40" i="108"/>
  <c r="Y41" i="108"/>
  <c r="AC41" i="111"/>
  <c r="AC42" i="111" s="1"/>
  <c r="T41" i="111"/>
  <c r="T42" i="111" s="1"/>
  <c r="AD42" i="107"/>
  <c r="AF41" i="107"/>
  <c r="U41" i="111"/>
  <c r="V41" i="111"/>
  <c r="V42" i="111" s="1"/>
  <c r="X41" i="108"/>
  <c r="Y42" i="107"/>
  <c r="V41" i="108"/>
  <c r="O106" i="111"/>
  <c r="K108" i="111" s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8" i="108"/>
  <c r="F108" i="107"/>
  <c r="J107" i="108"/>
  <c r="AF42" i="110"/>
  <c r="AE42" i="110"/>
  <c r="AE42" i="109"/>
  <c r="AF42" i="109"/>
  <c r="K107" i="107"/>
  <c r="L107" i="108"/>
  <c r="G107" i="108"/>
  <c r="L107" i="107"/>
  <c r="G108" i="108"/>
  <c r="AE38" i="108"/>
  <c r="AE36" i="108"/>
  <c r="F108" i="108"/>
  <c r="AE35" i="108"/>
  <c r="AF35" i="108"/>
  <c r="AF33" i="108"/>
  <c r="C108" i="108"/>
  <c r="K108" i="108"/>
  <c r="N108" i="108"/>
  <c r="AF39" i="108"/>
  <c r="K108" i="107"/>
  <c r="L108" i="108"/>
  <c r="D108" i="108"/>
  <c r="I108" i="108"/>
  <c r="E108" i="108"/>
  <c r="J108" i="108"/>
  <c r="AF36" i="108"/>
  <c r="AE37" i="108"/>
  <c r="AE39" i="107"/>
  <c r="AF34" i="108"/>
  <c r="AE34" i="108"/>
  <c r="D107" i="107"/>
  <c r="G107" i="107"/>
  <c r="J107" i="107"/>
  <c r="N108" i="107"/>
  <c r="G108" i="107"/>
  <c r="D107" i="108"/>
  <c r="M107" i="108"/>
  <c r="K107" i="108"/>
  <c r="L108" i="107"/>
  <c r="AE39" i="108"/>
  <c r="AF40" i="107"/>
  <c r="F107" i="107"/>
  <c r="I107" i="107"/>
  <c r="E107" i="107"/>
  <c r="N107" i="107"/>
  <c r="C107" i="108"/>
  <c r="AE33" i="108"/>
  <c r="N107" i="108"/>
  <c r="F107" i="108"/>
  <c r="I107" i="108"/>
  <c r="E107" i="108"/>
  <c r="H107" i="107"/>
  <c r="AF37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A42" i="111" l="1"/>
  <c r="AE41" i="111"/>
  <c r="AE42" i="111" s="1"/>
  <c r="AF41" i="108"/>
  <c r="AE42" i="107"/>
  <c r="U42" i="111"/>
  <c r="X42" i="111"/>
  <c r="AF42" i="107"/>
  <c r="AD42" i="111"/>
  <c r="W42" i="111"/>
  <c r="AF34" i="111"/>
  <c r="AF41" i="111"/>
  <c r="AF42" i="111" s="1"/>
  <c r="S42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C108" i="107"/>
  <c r="C107" i="107"/>
</calcChain>
</file>

<file path=xl/sharedStrings.xml><?xml version="1.0" encoding="utf-8"?>
<sst xmlns="http://schemas.openxmlformats.org/spreadsheetml/2006/main" count="2355" uniqueCount="191">
  <si>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</si>
  <si>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</si>
  <si>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</si>
  <si>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</si>
  <si>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</si>
  <si>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</si>
  <si>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</si>
  <si>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</si>
  <si>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</si>
  <si>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</si>
  <si>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</si>
  <si>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</si>
  <si>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</si>
  <si>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</si>
  <si>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</si>
  <si>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</si>
  <si>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</si>
  <si>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</si>
  <si>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</si>
  <si>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</si>
  <si>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</si>
  <si>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</si>
  <si>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</si>
  <si>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</si>
  <si>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</si>
  <si>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</si>
  <si>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</si>
  <si>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</si>
  <si>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</si>
  <si>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</si>
  <si>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</si>
  <si>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</si>
  <si>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</si>
  <si>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</si>
  <si>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</si>
  <si>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</si>
  <si>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</si>
  <si>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</si>
  <si>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</si>
  <si>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</si>
  <si>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</si>
  <si>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</si>
  <si>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</si>
  <si>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</si>
  <si>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</si>
  <si>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</si>
  <si>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</si>
  <si>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</si>
  <si>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</si>
  <si>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</si>
  <si>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</si>
  <si>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</si>
  <si>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</si>
  <si>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</si>
  <si>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</si>
  <si>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</si>
  <si>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</si>
  <si>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</si>
  <si>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</si>
  <si>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</si>
  <si>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</si>
  <si>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</si>
  <si>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</si>
  <si>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</si>
  <si>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</si>
  <si>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</si>
  <si>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</si>
  <si>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</si>
  <si>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</si>
  <si>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</si>
  <si>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</si>
  <si>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</si>
  <si>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</si>
  <si>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</si>
  <si>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</si>
  <si>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</si>
  <si>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</si>
  <si>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</si>
  <si>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</si>
  <si>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</si>
  <si>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</si>
  <si>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</si>
  <si>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</si>
  <si>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</si>
  <si>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</si>
  <si>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</si>
  <si>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</si>
  <si>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</si>
  <si>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</si>
  <si>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</si>
  <si>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</si>
  <si>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</si>
  <si>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</si>
  <si>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</si>
  <si>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</si>
  <si>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</si>
  <si>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</si>
  <si>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</si>
  <si>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</si>
  <si>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</si>
  <si>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</si>
  <si>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</si>
  <si>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</si>
  <si>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</si>
  <si>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</si>
  <si>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</si>
  <si>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</si>
  <si>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</si>
  <si>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</si>
  <si>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</si>
  <si>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</si>
  <si>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</si>
  <si>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</si>
  <si>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</si>
  <si>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</si>
  <si>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</si>
  <si>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</si>
  <si>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</si>
  <si>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</si>
  <si>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</si>
  <si>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</si>
  <si>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</si>
  <si>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</si>
  <si>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</si>
  <si>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</si>
  <si>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</si>
  <si>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</si>
  <si>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</si>
  <si>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</si>
  <si>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</si>
  <si>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</si>
  <si>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</si>
  <si>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</si>
  <si>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</si>
  <si>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</si>
  <si>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</si>
  <si>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</si>
  <si>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</si>
  <si>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</si>
  <si>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</si>
  <si>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</si>
  <si>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</si>
  <si>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</si>
  <si>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</si>
  <si>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</si>
  <si>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</si>
  <si>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</si>
  <si>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</si>
  <si>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</si>
  <si>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</si>
  <si>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</si>
  <si>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</si>
  <si>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</si>
  <si>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</si>
  <si>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</si>
  <si>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</si>
  <si>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</si>
  <si>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</si>
  <si>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</si>
  <si>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</si>
  <si>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</si>
  <si>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</si>
  <si>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</si>
  <si>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Walter</t>
  </si>
  <si>
    <t>Walter &amp; Kaala Richard</t>
  </si>
  <si>
    <t>Steven</t>
  </si>
  <si>
    <t>Steven &amp; Omeje</t>
  </si>
  <si>
    <t>*</t>
  </si>
  <si>
    <t>31-10-19</t>
  </si>
  <si>
    <t>MASAKA</t>
  </si>
  <si>
    <t>MUTUKULA</t>
  </si>
  <si>
    <t>MUTUKULA BORDER</t>
  </si>
  <si>
    <t>KETRA .</t>
  </si>
  <si>
    <t>SANDRA</t>
  </si>
  <si>
    <t>30.10.19</t>
  </si>
  <si>
    <t>KETRA</t>
  </si>
  <si>
    <t>28.10.19</t>
  </si>
  <si>
    <t>PETER</t>
  </si>
  <si>
    <t>26.10.19</t>
  </si>
  <si>
    <t>WILLIAM</t>
  </si>
  <si>
    <t>25.10.19</t>
  </si>
  <si>
    <t>Mutukula</t>
  </si>
  <si>
    <t>Masaka</t>
  </si>
  <si>
    <t>MCC - C4- STN99-MASAKA-MUTUKULA</t>
  </si>
  <si>
    <t>MCC-C4-STN99-MASAKA-MUTUKULA</t>
  </si>
  <si>
    <t>27.10.19</t>
  </si>
  <si>
    <t xml:space="preserve">MUTUKULA </t>
  </si>
  <si>
    <t>29.10.19</t>
  </si>
  <si>
    <t>xxx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</si>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</sst>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MASAKA-MUTUKULA'!$AE$10:$AE$21</c:f>
              <c:numCache>
                <c:formatCode>0</c:formatCode>
                <c:ptCount val="12"/>
                <c:pt idx="0">
                  <c:v>24</c:v>
                </c:pt>
                <c:pt idx="1">
                  <c:v>44</c:v>
                </c:pt>
                <c:pt idx="2">
                  <c:v>24</c:v>
                </c:pt>
                <c:pt idx="3">
                  <c:v>38</c:v>
                </c:pt>
                <c:pt idx="4">
                  <c:v>26</c:v>
                </c:pt>
                <c:pt idx="5">
                  <c:v>23</c:v>
                </c:pt>
                <c:pt idx="6">
                  <c:v>27</c:v>
                </c:pt>
                <c:pt idx="7">
                  <c:v>76</c:v>
                </c:pt>
                <c:pt idx="8">
                  <c:v>40</c:v>
                </c:pt>
                <c:pt idx="9">
                  <c:v>26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'25.10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MASAKA-MUTUKULA'!$AF$10:$AF$21</c:f>
              <c:numCache>
                <c:formatCode>0</c:formatCode>
                <c:ptCount val="12"/>
                <c:pt idx="0">
                  <c:v>66</c:v>
                </c:pt>
                <c:pt idx="1">
                  <c:v>126</c:v>
                </c:pt>
                <c:pt idx="2">
                  <c:v>85</c:v>
                </c:pt>
                <c:pt idx="3">
                  <c:v>112</c:v>
                </c:pt>
                <c:pt idx="4">
                  <c:v>89</c:v>
                </c:pt>
                <c:pt idx="5">
                  <c:v>80</c:v>
                </c:pt>
                <c:pt idx="6">
                  <c:v>90</c:v>
                </c:pt>
                <c:pt idx="7">
                  <c:v>128</c:v>
                </c:pt>
                <c:pt idx="8">
                  <c:v>106</c:v>
                </c:pt>
                <c:pt idx="9">
                  <c:v>99</c:v>
                </c:pt>
                <c:pt idx="10">
                  <c:v>98</c:v>
                </c:pt>
                <c:pt idx="11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895808"/>
        <c:axId val="1587896896"/>
      </c:lineChart>
      <c:catAx>
        <c:axId val="1587895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896896"/>
        <c:crosses val="autoZero"/>
        <c:auto val="1"/>
        <c:lblAlgn val="ctr"/>
        <c:lblOffset val="100"/>
        <c:noMultiLvlLbl val="0"/>
      </c:catAx>
      <c:valAx>
        <c:axId val="158789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8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MASAKA-MUTUKULA'!$C$59:$N$59</c:f>
              <c:numCache>
                <c:formatCode>0.0%</c:formatCode>
                <c:ptCount val="12"/>
                <c:pt idx="0">
                  <c:v>0.14203137902559868</c:v>
                </c:pt>
                <c:pt idx="1">
                  <c:v>4.1288191577208916E-3</c:v>
                </c:pt>
                <c:pt idx="2">
                  <c:v>4.7068538398018167E-2</c:v>
                </c:pt>
                <c:pt idx="3">
                  <c:v>7.3492981007431873E-2</c:v>
                </c:pt>
                <c:pt idx="4">
                  <c:v>0</c:v>
                </c:pt>
                <c:pt idx="5">
                  <c:v>8.2576383154417832E-4</c:v>
                </c:pt>
                <c:pt idx="6">
                  <c:v>5.8629232039636665E-2</c:v>
                </c:pt>
                <c:pt idx="7">
                  <c:v>9.9091659785301399E-3</c:v>
                </c:pt>
                <c:pt idx="8">
                  <c:v>1.8992568125516102E-2</c:v>
                </c:pt>
                <c:pt idx="9">
                  <c:v>0</c:v>
                </c:pt>
                <c:pt idx="10">
                  <c:v>0.64492155243600335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MASAKA-MUTUKULA'!$S$9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MASAKA-MUTUKULA'!$S$10:$S$21</c:f>
              <c:numCache>
                <c:formatCode>0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8</c:v>
                </c:pt>
                <c:pt idx="3">
                  <c:v>13</c:v>
                </c:pt>
                <c:pt idx="4">
                  <c:v>12</c:v>
                </c:pt>
                <c:pt idx="5">
                  <c:v>9</c:v>
                </c:pt>
                <c:pt idx="6">
                  <c:v>13</c:v>
                </c:pt>
                <c:pt idx="7">
                  <c:v>16</c:v>
                </c:pt>
                <c:pt idx="8">
                  <c:v>13</c:v>
                </c:pt>
                <c:pt idx="9">
                  <c:v>9</c:v>
                </c:pt>
                <c:pt idx="10">
                  <c:v>18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'25.10 MASAKA-MUTUKULA'!$T$9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MASAKA-MUTUKULA'!$T$10:$T$21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'25.10 MASAKA-MUTUKULA'!$U$9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42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'25.10 MASAKA-MUTUKULA'!$V$9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MASAKA-MUTUKULA'!$V$10:$V$21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'25.10 MASAKA-MUTUKULA'!$W$9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'25.10 MASAKA-MUTUKULA'!$X$9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'25.10 MASAKA-MUTUKULA'!$Y$9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MASAKA-MUTUKULA'!$Y$10:$Y$21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5</c:v>
                </c:pt>
                <c:pt idx="3">
                  <c:v>13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12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'25.10 MASAKA-MUTUKULA'!$Z$9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'25.10 MASAKA-MUTUKULA'!$AA$9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'25.10 MASAKA-MUTUKULA'!$AB$9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'25.10 MASAKA-MUTUKULA'!$AC$9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MASAKA-MUTUKULA'!$AC$10:$AC$21</c:f>
              <c:numCache>
                <c:formatCode>0</c:formatCode>
                <c:ptCount val="12"/>
                <c:pt idx="0">
                  <c:v>42</c:v>
                </c:pt>
                <c:pt idx="1">
                  <c:v>82</c:v>
                </c:pt>
                <c:pt idx="2">
                  <c:v>61</c:v>
                </c:pt>
                <c:pt idx="3">
                  <c:v>74</c:v>
                </c:pt>
                <c:pt idx="4">
                  <c:v>63</c:v>
                </c:pt>
                <c:pt idx="5">
                  <c:v>57</c:v>
                </c:pt>
                <c:pt idx="6">
                  <c:v>63</c:v>
                </c:pt>
                <c:pt idx="7">
                  <c:v>52</c:v>
                </c:pt>
                <c:pt idx="8">
                  <c:v>66</c:v>
                </c:pt>
                <c:pt idx="9">
                  <c:v>73</c:v>
                </c:pt>
                <c:pt idx="10">
                  <c:v>60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'25.10 MASAKA-MUTUKULA'!$AD$9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MASAKA-MUTUKULA'!$AD$10:$AD$21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04512"/>
        <c:axId val="1587905056"/>
      </c:lineChart>
      <c:catAx>
        <c:axId val="158790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905056"/>
        <c:crosses val="autoZero"/>
        <c:auto val="1"/>
        <c:lblAlgn val="ctr"/>
        <c:lblOffset val="100"/>
        <c:noMultiLvlLbl val="0"/>
      </c:catAx>
      <c:valAx>
        <c:axId val="15879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9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MASAKA-MUTUKULA'!$C$60:$N$60</c:f>
              <c:numCache>
                <c:formatCode>0.00%</c:formatCode>
                <c:ptCount val="12"/>
                <c:pt idx="0">
                  <c:v>0.4</c:v>
                </c:pt>
                <c:pt idx="1">
                  <c:v>1.1627906976744186E-2</c:v>
                </c:pt>
                <c:pt idx="2">
                  <c:v>0.13255813953488371</c:v>
                </c:pt>
                <c:pt idx="3">
                  <c:v>0.2069767441860465</c:v>
                </c:pt>
                <c:pt idx="4">
                  <c:v>0</c:v>
                </c:pt>
                <c:pt idx="5">
                  <c:v>2.3255813953488372E-3</c:v>
                </c:pt>
                <c:pt idx="6">
                  <c:v>0.16511627906976745</c:v>
                </c:pt>
                <c:pt idx="7">
                  <c:v>2.7906976744186046E-2</c:v>
                </c:pt>
                <c:pt idx="8">
                  <c:v>5.3488372093023255E-2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MUTUKULA-MASAKA'!$AE$10:$AE$21</c:f>
              <c:numCache>
                <c:formatCode>0</c:formatCode>
                <c:ptCount val="12"/>
                <c:pt idx="0">
                  <c:v>19</c:v>
                </c:pt>
                <c:pt idx="1">
                  <c:v>22</c:v>
                </c:pt>
                <c:pt idx="2">
                  <c:v>17</c:v>
                </c:pt>
                <c:pt idx="3">
                  <c:v>42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34</c:v>
                </c:pt>
                <c:pt idx="8">
                  <c:v>30</c:v>
                </c:pt>
                <c:pt idx="9">
                  <c:v>32</c:v>
                </c:pt>
                <c:pt idx="10">
                  <c:v>26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'25.10 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MUTUKULA-MASAKA'!$AF$10:$AF$21</c:f>
              <c:numCache>
                <c:formatCode>0</c:formatCode>
                <c:ptCount val="12"/>
                <c:pt idx="0">
                  <c:v>48</c:v>
                </c:pt>
                <c:pt idx="1">
                  <c:v>66</c:v>
                </c:pt>
                <c:pt idx="2">
                  <c:v>86</c:v>
                </c:pt>
                <c:pt idx="3">
                  <c:v>100</c:v>
                </c:pt>
                <c:pt idx="4">
                  <c:v>77</c:v>
                </c:pt>
                <c:pt idx="5">
                  <c:v>75</c:v>
                </c:pt>
                <c:pt idx="6">
                  <c:v>81</c:v>
                </c:pt>
                <c:pt idx="7">
                  <c:v>90</c:v>
                </c:pt>
                <c:pt idx="8">
                  <c:v>101</c:v>
                </c:pt>
                <c:pt idx="9">
                  <c:v>89</c:v>
                </c:pt>
                <c:pt idx="10">
                  <c:v>96</c:v>
                </c:pt>
                <c:pt idx="11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901792"/>
        <c:axId val="1587900160"/>
      </c:lineChart>
      <c:catAx>
        <c:axId val="158790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900160"/>
        <c:crosses val="autoZero"/>
        <c:auto val="1"/>
        <c:lblAlgn val="ctr"/>
        <c:lblOffset val="100"/>
        <c:noMultiLvlLbl val="0"/>
      </c:catAx>
      <c:valAx>
        <c:axId val="1587900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9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MUTUKULA-MASAKA'!$C$59:$N$59</c:f>
              <c:numCache>
                <c:formatCode>0.0%</c:formatCode>
                <c:ptCount val="12"/>
                <c:pt idx="0">
                  <c:v>0.12202380952380952</c:v>
                </c:pt>
                <c:pt idx="1">
                  <c:v>1.7857142857142856E-2</c:v>
                </c:pt>
                <c:pt idx="2">
                  <c:v>1.1904761904761904E-2</c:v>
                </c:pt>
                <c:pt idx="3">
                  <c:v>6.3492063492063489E-2</c:v>
                </c:pt>
                <c:pt idx="4">
                  <c:v>3.968253968253968E-3</c:v>
                </c:pt>
                <c:pt idx="5">
                  <c:v>1.984126984126984E-3</c:v>
                </c:pt>
                <c:pt idx="6">
                  <c:v>4.8611111111111112E-2</c:v>
                </c:pt>
                <c:pt idx="7">
                  <c:v>3.7698412698412696E-2</c:v>
                </c:pt>
                <c:pt idx="8">
                  <c:v>2.2817460317460316E-2</c:v>
                </c:pt>
                <c:pt idx="9">
                  <c:v>8.9285714285714281E-3</c:v>
                </c:pt>
                <c:pt idx="10">
                  <c:v>0.6607142857142857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MUTUKULA-MASAKA'!$S$9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MUTUKULA-MASAKA'!$S$10:$S$21</c:f>
              <c:numCache>
                <c:formatCode>0</c:formatCode>
                <c:ptCount val="12"/>
                <c:pt idx="0">
                  <c:v>9</c:v>
                </c:pt>
                <c:pt idx="1">
                  <c:v>13</c:v>
                </c:pt>
                <c:pt idx="2">
                  <c:v>7</c:v>
                </c:pt>
                <c:pt idx="3">
                  <c:v>17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15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'25.10 MUTUKULA-MASAKA'!$T$9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MUTUKULA-MASAKA'!$T$10:$T$21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'25.10 MUTUKULA-MASAKA'!$U$9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'25.10 MUTUKULA-MASAKA'!$V$9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MUTUKULA-MASAKA'!$V$10:$V$21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'25.10 MUTUKULA-MASAKA'!$W$9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'25.10 MUTUKULA-MASAKA'!$X$9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'25.10 MUTUKULA-MASAKA'!$Y$9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'25.10 MUTUKULA-MASAKA'!$Z$9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'25.10 MUTUKULA-MASAKA'!$AA$9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'25.10 MUTUKULA-MASAKA'!$AB$9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'25.10 MUTUKULA-MASAKA'!$AC$9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MUTUKULA-MASAKA'!$AC$10:$AC$21</c:f>
              <c:numCache>
                <c:formatCode>0</c:formatCode>
                <c:ptCount val="12"/>
                <c:pt idx="0">
                  <c:v>29</c:v>
                </c:pt>
                <c:pt idx="1">
                  <c:v>44</c:v>
                </c:pt>
                <c:pt idx="2">
                  <c:v>69</c:v>
                </c:pt>
                <c:pt idx="3">
                  <c:v>58</c:v>
                </c:pt>
                <c:pt idx="4">
                  <c:v>53</c:v>
                </c:pt>
                <c:pt idx="5">
                  <c:v>47</c:v>
                </c:pt>
                <c:pt idx="6">
                  <c:v>49</c:v>
                </c:pt>
                <c:pt idx="7">
                  <c:v>56</c:v>
                </c:pt>
                <c:pt idx="8">
                  <c:v>71</c:v>
                </c:pt>
                <c:pt idx="9">
                  <c:v>57</c:v>
                </c:pt>
                <c:pt idx="10">
                  <c:v>70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'25.10 MUTUKULA-MASAKA'!$AD$9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MUTUKULA-MASAKA'!$AD$10:$AD$21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893088"/>
        <c:axId val="1587894720"/>
      </c:lineChart>
      <c:catAx>
        <c:axId val="158789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894720"/>
        <c:crosses val="autoZero"/>
        <c:auto val="1"/>
        <c:lblAlgn val="ctr"/>
        <c:lblOffset val="100"/>
        <c:noMultiLvlLbl val="0"/>
      </c:catAx>
      <c:valAx>
        <c:axId val="15878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58789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MUTUKULA-MASAKA'!$C$60:$N$60</c:f>
              <c:numCache>
                <c:formatCode>0.00%</c:formatCode>
                <c:ptCount val="12"/>
                <c:pt idx="0">
                  <c:v>0.35964912280701755</c:v>
                </c:pt>
                <c:pt idx="1">
                  <c:v>5.2631578947368418E-2</c:v>
                </c:pt>
                <c:pt idx="2">
                  <c:v>3.5087719298245612E-2</c:v>
                </c:pt>
                <c:pt idx="3">
                  <c:v>0.1871345029239766</c:v>
                </c:pt>
                <c:pt idx="4">
                  <c:v>1.1695906432748537E-2</c:v>
                </c:pt>
                <c:pt idx="5">
                  <c:v>5.8479532163742687E-3</c:v>
                </c:pt>
                <c:pt idx="6">
                  <c:v>0.14327485380116958</c:v>
                </c:pt>
                <c:pt idx="7">
                  <c:v>0.1111111111111111</c:v>
                </c:pt>
                <c:pt idx="8">
                  <c:v>6.725146198830409E-2</c:v>
                </c:pt>
                <c:pt idx="9">
                  <c:v>2.6315789473684209E-2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MASAKA-MUTUKULA-24HR'!$AE$9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MASAKA-MUTUKULA-24HR'!$R$10:$R$33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MASAKA-MUTUKULA-24HR'!$AE$10:$AE$33</c:f>
              <c:numCache>
                <c:formatCode>0</c:formatCode>
                <c:ptCount val="24"/>
                <c:pt idx="0">
                  <c:v>12</c:v>
                </c:pt>
                <c:pt idx="1">
                  <c:v>33</c:v>
                </c:pt>
                <c:pt idx="2">
                  <c:v>29</c:v>
                </c:pt>
                <c:pt idx="3">
                  <c:v>12</c:v>
                </c:pt>
                <c:pt idx="4">
                  <c:v>23</c:v>
                </c:pt>
                <c:pt idx="5">
                  <c:v>24</c:v>
                </c:pt>
                <c:pt idx="6">
                  <c:v>26</c:v>
                </c:pt>
                <c:pt idx="7">
                  <c:v>33</c:v>
                </c:pt>
                <c:pt idx="8">
                  <c:v>36</c:v>
                </c:pt>
                <c:pt idx="9">
                  <c:v>33</c:v>
                </c:pt>
                <c:pt idx="10">
                  <c:v>17</c:v>
                </c:pt>
                <c:pt idx="11">
                  <c:v>19</c:v>
                </c:pt>
                <c:pt idx="12">
                  <c:v>26</c:v>
                </c:pt>
                <c:pt idx="13">
                  <c:v>21</c:v>
                </c:pt>
                <c:pt idx="14">
                  <c:v>18</c:v>
                </c:pt>
                <c:pt idx="15">
                  <c:v>17</c:v>
                </c:pt>
                <c:pt idx="16">
                  <c:v>10</c:v>
                </c:pt>
                <c:pt idx="17">
                  <c:v>8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7</c:v>
                </c:pt>
                <c:pt idx="22">
                  <c:v>12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'26.10 MASAKA-MUTUKULA-24HR'!$AF$9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MASAKA-MUTUKULA-24HR'!$R$10:$R$33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MASAKA-MUTUKULA-24HR'!$AF$10:$AF$33</c:f>
              <c:numCache>
                <c:formatCode>0</c:formatCode>
                <c:ptCount val="24"/>
                <c:pt idx="0">
                  <c:v>39</c:v>
                </c:pt>
                <c:pt idx="1">
                  <c:v>86</c:v>
                </c:pt>
                <c:pt idx="2">
                  <c:v>72</c:v>
                </c:pt>
                <c:pt idx="3">
                  <c:v>26</c:v>
                </c:pt>
                <c:pt idx="4">
                  <c:v>61</c:v>
                </c:pt>
                <c:pt idx="5">
                  <c:v>67</c:v>
                </c:pt>
                <c:pt idx="6">
                  <c:v>66</c:v>
                </c:pt>
                <c:pt idx="7">
                  <c:v>94</c:v>
                </c:pt>
                <c:pt idx="8">
                  <c:v>63</c:v>
                </c:pt>
                <c:pt idx="9">
                  <c:v>54</c:v>
                </c:pt>
                <c:pt idx="10">
                  <c:v>53</c:v>
                </c:pt>
                <c:pt idx="11">
                  <c:v>71</c:v>
                </c:pt>
                <c:pt idx="12">
                  <c:v>122</c:v>
                </c:pt>
                <c:pt idx="13">
                  <c:v>46</c:v>
                </c:pt>
                <c:pt idx="14">
                  <c:v>50</c:v>
                </c:pt>
                <c:pt idx="15">
                  <c:v>32</c:v>
                </c:pt>
                <c:pt idx="16">
                  <c:v>12</c:v>
                </c:pt>
                <c:pt idx="17">
                  <c:v>12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13</c:v>
                </c:pt>
                <c:pt idx="23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49072"/>
        <c:axId val="1623947440"/>
      </c:lineChart>
      <c:catAx>
        <c:axId val="1623949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47440"/>
        <c:crosses val="autoZero"/>
        <c:auto val="1"/>
        <c:lblAlgn val="ctr"/>
        <c:lblOffset val="100"/>
        <c:noMultiLvlLbl val="0"/>
      </c:catAx>
      <c:valAx>
        <c:axId val="162394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MASAKA-MUTUKULA-24HR'!$C$9:$N$9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MASAKA-MUTUKULA-24HR'!$C$107:$N$107</c:f>
              <c:numCache>
                <c:formatCode>0.0%</c:formatCode>
                <c:ptCount val="12"/>
                <c:pt idx="0">
                  <c:v>0.15827338129496402</c:v>
                </c:pt>
                <c:pt idx="1">
                  <c:v>2.5179856115107913E-2</c:v>
                </c:pt>
                <c:pt idx="2">
                  <c:v>4.4964028776978415E-3</c:v>
                </c:pt>
                <c:pt idx="3">
                  <c:v>0.1079136690647482</c:v>
                </c:pt>
                <c:pt idx="4">
                  <c:v>8.9928057553956839E-4</c:v>
                </c:pt>
                <c:pt idx="5">
                  <c:v>3.5971223021582736E-3</c:v>
                </c:pt>
                <c:pt idx="6">
                  <c:v>3.7769784172661872E-2</c:v>
                </c:pt>
                <c:pt idx="7">
                  <c:v>2.8776978417266189E-2</c:v>
                </c:pt>
                <c:pt idx="8">
                  <c:v>4.2266187050359713E-2</c:v>
                </c:pt>
                <c:pt idx="9">
                  <c:v>8.9928057553956831E-3</c:v>
                </c:pt>
                <c:pt idx="10">
                  <c:v>0.58183453237410077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MASAKA-MUTUKULA-24HR'!$C$9:$N$9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MASAKA-MUTUKULA-24HR'!$C$108:$N$108</c:f>
              <c:numCache>
                <c:formatCode>0.00%</c:formatCode>
                <c:ptCount val="12"/>
                <c:pt idx="0">
                  <c:v>0.37849462365591396</c:v>
                </c:pt>
                <c:pt idx="1">
                  <c:v>6.0215053763440864E-2</c:v>
                </c:pt>
                <c:pt idx="2">
                  <c:v>1.0752688172043012E-2</c:v>
                </c:pt>
                <c:pt idx="3">
                  <c:v>0.25806451612903225</c:v>
                </c:pt>
                <c:pt idx="4">
                  <c:v>2.1505376344086021E-3</c:v>
                </c:pt>
                <c:pt idx="5">
                  <c:v>8.6021505376344086E-3</c:v>
                </c:pt>
                <c:pt idx="6">
                  <c:v>9.0322580645161285E-2</c:v>
                </c:pt>
                <c:pt idx="7">
                  <c:v>6.8817204301075269E-2</c:v>
                </c:pt>
                <c:pt idx="8">
                  <c:v>0.1010752688172043</c:v>
                </c:pt>
                <c:pt idx="9">
                  <c:v>2.1505376344086023E-2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MUTUKULA-MASAKA-24HR'!$AE$9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MUTUKULA-MASAKA-24HR'!$R$10:$R$33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MUTUKULA-MASAKA-24HR'!$AE$10:$AE$33</c:f>
              <c:numCache>
                <c:formatCode>0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22</c:v>
                </c:pt>
                <c:pt idx="5">
                  <c:v>34</c:v>
                </c:pt>
                <c:pt idx="6">
                  <c:v>25</c:v>
                </c:pt>
                <c:pt idx="7">
                  <c:v>33</c:v>
                </c:pt>
                <c:pt idx="8">
                  <c:v>40</c:v>
                </c:pt>
                <c:pt idx="9">
                  <c:v>45</c:v>
                </c:pt>
                <c:pt idx="10">
                  <c:v>34</c:v>
                </c:pt>
                <c:pt idx="11">
                  <c:v>43</c:v>
                </c:pt>
                <c:pt idx="12">
                  <c:v>26</c:v>
                </c:pt>
                <c:pt idx="13">
                  <c:v>35</c:v>
                </c:pt>
                <c:pt idx="14">
                  <c:v>25</c:v>
                </c:pt>
                <c:pt idx="15">
                  <c:v>7</c:v>
                </c:pt>
                <c:pt idx="16">
                  <c:v>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'26.10 MUTUKULA-MASAKA-24HR'!$AF$9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MUTUKULA-MASAKA-24HR'!$R$10:$R$33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MUTUKULA-MASAKA-24HR'!$AF$10:$AF$33</c:f>
              <c:numCache>
                <c:formatCode>0</c:formatCode>
                <c:ptCount val="24"/>
                <c:pt idx="0">
                  <c:v>42</c:v>
                </c:pt>
                <c:pt idx="1">
                  <c:v>46</c:v>
                </c:pt>
                <c:pt idx="2">
                  <c:v>68</c:v>
                </c:pt>
                <c:pt idx="3">
                  <c:v>53</c:v>
                </c:pt>
                <c:pt idx="4">
                  <c:v>70</c:v>
                </c:pt>
                <c:pt idx="5">
                  <c:v>65</c:v>
                </c:pt>
                <c:pt idx="6">
                  <c:v>58</c:v>
                </c:pt>
                <c:pt idx="7">
                  <c:v>76</c:v>
                </c:pt>
                <c:pt idx="8">
                  <c:v>73</c:v>
                </c:pt>
                <c:pt idx="9">
                  <c:v>60</c:v>
                </c:pt>
                <c:pt idx="10">
                  <c:v>84</c:v>
                </c:pt>
                <c:pt idx="11">
                  <c:v>107</c:v>
                </c:pt>
                <c:pt idx="12">
                  <c:v>124</c:v>
                </c:pt>
                <c:pt idx="13">
                  <c:v>77</c:v>
                </c:pt>
                <c:pt idx="14">
                  <c:v>62</c:v>
                </c:pt>
                <c:pt idx="15">
                  <c:v>30</c:v>
                </c:pt>
                <c:pt idx="16">
                  <c:v>12</c:v>
                </c:pt>
                <c:pt idx="17">
                  <c:v>3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45808"/>
        <c:axId val="1623957232"/>
      </c:lineChart>
      <c:catAx>
        <c:axId val="1623945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57232"/>
        <c:crosses val="autoZero"/>
        <c:auto val="1"/>
        <c:lblAlgn val="ctr"/>
        <c:lblOffset val="100"/>
        <c:noMultiLvlLbl val="0"/>
      </c:catAx>
      <c:valAx>
        <c:axId val="1623957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4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MUTUKULA-MASAKA-24HR'!$C$9:$N$9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MUTUKULA-MASAKA-24HR'!$C$107:$N$107</c:f>
              <c:numCache>
                <c:formatCode>0.0%</c:formatCode>
                <c:ptCount val="12"/>
                <c:pt idx="0">
                  <c:v>0.15752212389380532</c:v>
                </c:pt>
                <c:pt idx="1">
                  <c:v>4.15929203539823E-2</c:v>
                </c:pt>
                <c:pt idx="2">
                  <c:v>9.7345132743362831E-3</c:v>
                </c:pt>
                <c:pt idx="3">
                  <c:v>7.4336283185840707E-2</c:v>
                </c:pt>
                <c:pt idx="4">
                  <c:v>1.7699115044247787E-3</c:v>
                </c:pt>
                <c:pt idx="5">
                  <c:v>1.7699115044247787E-3</c:v>
                </c:pt>
                <c:pt idx="6">
                  <c:v>4.3362831858407079E-2</c:v>
                </c:pt>
                <c:pt idx="7">
                  <c:v>3.3628318584070796E-2</c:v>
                </c:pt>
                <c:pt idx="8">
                  <c:v>4.8672566371681415E-2</c:v>
                </c:pt>
                <c:pt idx="9">
                  <c:v>7.0796460176991149E-3</c:v>
                </c:pt>
                <c:pt idx="10">
                  <c:v>0.58053097345132743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MUTUKULA-MASAKA-24HR'!$C$9:$N$9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MUTUKULA-MASAKA-24HR'!$C$108:$N$108</c:f>
              <c:numCache>
                <c:formatCode>0.00%</c:formatCode>
                <c:ptCount val="12"/>
                <c:pt idx="0">
                  <c:v>0.37552742616033757</c:v>
                </c:pt>
                <c:pt idx="1">
                  <c:v>9.9156118143459912E-2</c:v>
                </c:pt>
                <c:pt idx="2">
                  <c:v>2.3206751054852322E-2</c:v>
                </c:pt>
                <c:pt idx="3">
                  <c:v>0.17721518987341772</c:v>
                </c:pt>
                <c:pt idx="4">
                  <c:v>4.2194092827004216E-3</c:v>
                </c:pt>
                <c:pt idx="5">
                  <c:v>4.2194092827004216E-3</c:v>
                </c:pt>
                <c:pt idx="6">
                  <c:v>0.10337552742616034</c:v>
                </c:pt>
                <c:pt idx="7">
                  <c:v>8.0168776371308023E-2</c:v>
                </c:pt>
                <c:pt idx="8">
                  <c:v>0.1160337552742616</c:v>
                </c:pt>
                <c:pt idx="9">
                  <c:v>1.6877637130801686E-2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Masaka-Mutukula'!$AE$10:$AE$21</c:f>
              <c:numCache>
                <c:formatCode>0</c:formatCode>
                <c:ptCount val="12"/>
                <c:pt idx="0">
                  <c:v>11</c:v>
                </c:pt>
                <c:pt idx="1">
                  <c:v>22</c:v>
                </c:pt>
                <c:pt idx="2">
                  <c:v>23</c:v>
                </c:pt>
                <c:pt idx="3">
                  <c:v>33</c:v>
                </c:pt>
                <c:pt idx="4">
                  <c:v>19</c:v>
                </c:pt>
                <c:pt idx="5">
                  <c:v>33</c:v>
                </c:pt>
                <c:pt idx="6">
                  <c:v>16</c:v>
                </c:pt>
                <c:pt idx="7">
                  <c:v>25</c:v>
                </c:pt>
                <c:pt idx="8">
                  <c:v>25</c:v>
                </c:pt>
                <c:pt idx="9">
                  <c:v>27</c:v>
                </c:pt>
                <c:pt idx="10">
                  <c:v>20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'27.10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Masaka-Mutukula'!$AF$10:$AF$21</c:f>
              <c:numCache>
                <c:formatCode>0</c:formatCode>
                <c:ptCount val="12"/>
                <c:pt idx="0">
                  <c:v>35</c:v>
                </c:pt>
                <c:pt idx="1">
                  <c:v>69</c:v>
                </c:pt>
                <c:pt idx="2">
                  <c:v>86</c:v>
                </c:pt>
                <c:pt idx="3">
                  <c:v>92</c:v>
                </c:pt>
                <c:pt idx="4">
                  <c:v>62</c:v>
                </c:pt>
                <c:pt idx="5">
                  <c:v>75</c:v>
                </c:pt>
                <c:pt idx="6">
                  <c:v>76</c:v>
                </c:pt>
                <c:pt idx="7">
                  <c:v>80</c:v>
                </c:pt>
                <c:pt idx="8">
                  <c:v>66</c:v>
                </c:pt>
                <c:pt idx="9">
                  <c:v>94</c:v>
                </c:pt>
                <c:pt idx="10">
                  <c:v>62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54512"/>
        <c:axId val="1623956688"/>
      </c:lineChart>
      <c:catAx>
        <c:axId val="1623954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56688"/>
        <c:crosses val="autoZero"/>
        <c:auto val="1"/>
        <c:lblAlgn val="ctr"/>
        <c:lblOffset val="100"/>
        <c:noMultiLvlLbl val="0"/>
      </c:catAx>
      <c:valAx>
        <c:axId val="1623956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5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Masaka-Mutukula'!$C$59:$N$59</c:f>
              <c:numCache>
                <c:formatCode>0.0%</c:formatCode>
                <c:ptCount val="12"/>
                <c:pt idx="0">
                  <c:v>0.13805104408352667</c:v>
                </c:pt>
                <c:pt idx="1">
                  <c:v>1.0440835266821345E-2</c:v>
                </c:pt>
                <c:pt idx="2">
                  <c:v>4.6403712296983757E-3</c:v>
                </c:pt>
                <c:pt idx="3">
                  <c:v>6.9605568445475635E-2</c:v>
                </c:pt>
                <c:pt idx="4">
                  <c:v>0</c:v>
                </c:pt>
                <c:pt idx="5">
                  <c:v>2.3201856148491878E-3</c:v>
                </c:pt>
                <c:pt idx="6">
                  <c:v>4.1763341067285381E-2</c:v>
                </c:pt>
                <c:pt idx="7">
                  <c:v>1.1600928074245939E-2</c:v>
                </c:pt>
                <c:pt idx="8">
                  <c:v>4.4083526682134569E-2</c:v>
                </c:pt>
                <c:pt idx="9">
                  <c:v>4.6403712296983757E-3</c:v>
                </c:pt>
                <c:pt idx="10">
                  <c:v>0.6728538283062645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Masaka-Mutukula'!$S$9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Masaka-Mutukula'!$S$10:$S$21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9</c:v>
                </c:pt>
                <c:pt idx="3">
                  <c:v>14</c:v>
                </c:pt>
                <c:pt idx="4">
                  <c:v>7</c:v>
                </c:pt>
                <c:pt idx="5">
                  <c:v>10</c:v>
                </c:pt>
                <c:pt idx="6">
                  <c:v>5</c:v>
                </c:pt>
                <c:pt idx="7">
                  <c:v>9</c:v>
                </c:pt>
                <c:pt idx="8">
                  <c:v>10</c:v>
                </c:pt>
                <c:pt idx="9">
                  <c:v>16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'27.10 Masaka-Mutukula'!$T$9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Masaka-Mutukula'!$T$10:$T$21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'27.10 Masaka-Mutukula'!$U$9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'27.10 Masaka-Mutukula'!$V$9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Masaka-Mutukula'!$V$10:$V$21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'27.10 Masaka-Mutukula'!$W$9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'27.10 Masaka-Mutukula'!$X$9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'27.10 Masaka-Mutukula'!$Y$9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'27.10 Masaka-Mutukula'!$Z$9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'27.10 Masaka-Mutukula'!$AA$9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'27.10 Masaka-Mutukula'!$AB$9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'27.10 Masaka-Mutukula'!$AC$9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Masaka-Mutukula'!$AC$10:$AC$21</c:f>
              <c:numCache>
                <c:formatCode>0</c:formatCode>
                <c:ptCount val="12"/>
                <c:pt idx="0">
                  <c:v>24</c:v>
                </c:pt>
                <c:pt idx="1">
                  <c:v>47</c:v>
                </c:pt>
                <c:pt idx="2">
                  <c:v>63</c:v>
                </c:pt>
                <c:pt idx="3">
                  <c:v>59</c:v>
                </c:pt>
                <c:pt idx="4">
                  <c:v>43</c:v>
                </c:pt>
                <c:pt idx="5">
                  <c:v>42</c:v>
                </c:pt>
                <c:pt idx="6">
                  <c:v>60</c:v>
                </c:pt>
                <c:pt idx="7">
                  <c:v>55</c:v>
                </c:pt>
                <c:pt idx="8">
                  <c:v>41</c:v>
                </c:pt>
                <c:pt idx="9">
                  <c:v>67</c:v>
                </c:pt>
                <c:pt idx="10">
                  <c:v>42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'27.10 Masaka-Mutukula'!$AD$9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Masaka-Mutukula'!$AD$10:$AD$21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946352"/>
        <c:axId val="1623946896"/>
      </c:lineChart>
      <c:catAx>
        <c:axId val="162394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46896"/>
        <c:crosses val="autoZero"/>
        <c:auto val="1"/>
        <c:lblAlgn val="ctr"/>
        <c:lblOffset val="100"/>
        <c:noMultiLvlLbl val="0"/>
      </c:catAx>
      <c:valAx>
        <c:axId val="162394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2394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Masaka-Mutukula'!$C$60:$N$60</c:f>
              <c:numCache>
                <c:formatCode>0.00%</c:formatCode>
                <c:ptCount val="12"/>
                <c:pt idx="0">
                  <c:v>0.42198581560283688</c:v>
                </c:pt>
                <c:pt idx="1">
                  <c:v>3.1914893617021274E-2</c:v>
                </c:pt>
                <c:pt idx="2">
                  <c:v>1.4184397163120567E-2</c:v>
                </c:pt>
                <c:pt idx="3">
                  <c:v>0.21276595744680851</c:v>
                </c:pt>
                <c:pt idx="4">
                  <c:v>0</c:v>
                </c:pt>
                <c:pt idx="5">
                  <c:v>7.0921985815602835E-3</c:v>
                </c:pt>
                <c:pt idx="6">
                  <c:v>0.1276595744680851</c:v>
                </c:pt>
                <c:pt idx="7">
                  <c:v>3.5460992907801421E-2</c:v>
                </c:pt>
                <c:pt idx="8">
                  <c:v>0.13475177304964539</c:v>
                </c:pt>
                <c:pt idx="9">
                  <c:v>1.4184397163120567E-2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Mutukula-Masaka'!$AE$10:$AE$21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BD-45DD-B650-CA2147AEBE77}"/>
            </c:ext>
          </c:extLst>
        </c:ser>
        <c:ser>
          <c:idx val="1"/>
          <c:order val="1"/>
          <c:tx>
            <c:strRef>
              <c:f>'27.10 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Mutukula-Masaka'!$AF$10:$AF$21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BD-45DD-B650-CA2147AE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592928"/>
        <c:axId val="1723591840"/>
      </c:lineChart>
      <c:catAx>
        <c:axId val="1723592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91840"/>
        <c:crosses val="autoZero"/>
        <c:auto val="1"/>
        <c:lblAlgn val="ctr"/>
        <c:lblOffset val="100"/>
        <c:noMultiLvlLbl val="0"/>
      </c:catAx>
      <c:valAx>
        <c:axId val="1723591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9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C6-4310-A55A-FF457AA57B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C6-4310-A55A-FF457AA57B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C6-4310-A55A-FF457AA57B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C6-4310-A55A-FF457AA57B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C6-4310-A55A-FF457AA57B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C6-4310-A55A-FF457AA57B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C6-4310-A55A-FF457AA57B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C6-4310-A55A-FF457AA57B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C6-4310-A55A-FF457AA57B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C6-4310-A55A-FF457AA57B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C6-4310-A55A-FF457AA57B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C6-4310-A55A-FF457AA57BA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C6-4310-A55A-FF457AA57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Mutukula-Masaka'!$C$59:$N$59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C6-4310-A55A-FF457AA5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Mutukula-Masaka'!$S$9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Mutukula-Masaka'!$S$10:$S$21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28-4DEA-9869-8AB67D878ECF}"/>
            </c:ext>
          </c:extLst>
        </c:ser>
        <c:ser>
          <c:idx val="1"/>
          <c:order val="1"/>
          <c:tx>
            <c:strRef>
              <c:f>'27.10 Mutukula-Masaka'!$T$9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Mutukula-Masaka'!$T$10:$T$21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28-4DEA-9869-8AB67D878ECF}"/>
            </c:ext>
          </c:extLst>
        </c:ser>
        <c:ser>
          <c:idx val="2"/>
          <c:order val="2"/>
          <c:tx>
            <c:strRef>
              <c:f>'27.10 Mutukula-Masaka'!$U$9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8-4DEA-9869-8AB67D878ECF}"/>
            </c:ext>
          </c:extLst>
        </c:ser>
        <c:ser>
          <c:idx val="3"/>
          <c:order val="3"/>
          <c:tx>
            <c:strRef>
              <c:f>'27.10 Mutukula-Masaka'!$V$9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8-4DEA-9869-8AB67D878ECF}"/>
            </c:ext>
          </c:extLst>
        </c:ser>
        <c:ser>
          <c:idx val="4"/>
          <c:order val="4"/>
          <c:tx>
            <c:strRef>
              <c:f>'27.10 Mutukula-Masaka'!$W$9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28-4DEA-9869-8AB67D878ECF}"/>
            </c:ext>
          </c:extLst>
        </c:ser>
        <c:ser>
          <c:idx val="5"/>
          <c:order val="5"/>
          <c:tx>
            <c:strRef>
              <c:f>'27.10 Mutukula-Masaka'!$X$9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28-4DEA-9869-8AB67D878ECF}"/>
            </c:ext>
          </c:extLst>
        </c:ser>
        <c:ser>
          <c:idx val="6"/>
          <c:order val="6"/>
          <c:tx>
            <c:strRef>
              <c:f>'27.10 Mutukula-Masaka'!$Y$9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28-4DEA-9869-8AB67D878ECF}"/>
            </c:ext>
          </c:extLst>
        </c:ser>
        <c:ser>
          <c:idx val="7"/>
          <c:order val="7"/>
          <c:tx>
            <c:strRef>
              <c:f>'27.10 Mutukula-Masaka'!$Z$9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28-4DEA-9869-8AB67D878ECF}"/>
            </c:ext>
          </c:extLst>
        </c:ser>
        <c:ser>
          <c:idx val="8"/>
          <c:order val="8"/>
          <c:tx>
            <c:strRef>
              <c:f>'27.10 Mutukula-Masaka'!$AA$9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28-4DEA-9869-8AB67D878ECF}"/>
            </c:ext>
          </c:extLst>
        </c:ser>
        <c:ser>
          <c:idx val="9"/>
          <c:order val="9"/>
          <c:tx>
            <c:strRef>
              <c:f>'27.10 Mutukula-Masaka'!$AB$9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E28-4DEA-9869-8AB67D878ECF}"/>
            </c:ext>
          </c:extLst>
        </c:ser>
        <c:ser>
          <c:idx val="10"/>
          <c:order val="10"/>
          <c:tx>
            <c:strRef>
              <c:f>'27.10 Mutukula-Masaka'!$AC$9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E28-4DEA-9869-8AB67D878ECF}"/>
            </c:ext>
          </c:extLst>
        </c:ser>
        <c:ser>
          <c:idx val="11"/>
          <c:order val="11"/>
          <c:tx>
            <c:strRef>
              <c:f>'27.10 Mutukula-Masaka'!$AD$9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Mutukula-Masaka'!$AD$10:$AD$21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E28-4DEA-9869-8AB67D87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601088"/>
        <c:axId val="1723597824"/>
      </c:lineChart>
      <c:catAx>
        <c:axId val="172360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97824"/>
        <c:crosses val="autoZero"/>
        <c:auto val="1"/>
        <c:lblAlgn val="ctr"/>
        <c:lblOffset val="100"/>
        <c:noMultiLvlLbl val="0"/>
      </c:catAx>
      <c:valAx>
        <c:axId val="17235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6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D2-4B1C-AC63-51A1E1E062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D2-4B1C-AC63-51A1E1E062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D2-4B1C-AC63-51A1E1E062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D2-4B1C-AC63-51A1E1E062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D2-4B1C-AC63-51A1E1E062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D2-4B1C-AC63-51A1E1E062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CD2-4B1C-AC63-51A1E1E062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CD2-4B1C-AC63-51A1E1E062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CD2-4B1C-AC63-51A1E1E062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CD2-4B1C-AC63-51A1E1E062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CD2-4B1C-AC63-51A1E1E062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CD2-4B1C-AC63-51A1E1E06271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D2-4B1C-AC63-51A1E1E062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Mutukula-Masaka'!$C$60:$N$60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D2-4B1C-AC63-51A1E1E0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MASAKA-MUTUKULA-24HR'!$AE$9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MASAKA-MUTUKULA-24HR'!$R$10:$R$33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AM Peak Hr</c:v>
                </c:pt>
                <c:pt idx="13">
                  <c:v>IP Peak Hr</c:v>
                </c:pt>
                <c:pt idx="14">
                  <c:v>PM Peak Hr</c:v>
                </c:pt>
                <c:pt idx="15">
                  <c:v>AM Period</c:v>
                </c:pt>
                <c:pt idx="16">
                  <c:v>IP Period</c:v>
                </c:pt>
                <c:pt idx="17">
                  <c:v>PM Period</c:v>
                </c:pt>
                <c:pt idx="18">
                  <c:v>12 Hours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MASAKA-MUTUKULA-24HR'!$AE$10:$AE$33</c:f>
              <c:numCache>
                <c:formatCode>0</c:formatCode>
                <c:ptCount val="24"/>
                <c:pt idx="0">
                  <c:v>33</c:v>
                </c:pt>
                <c:pt idx="1">
                  <c:v>25</c:v>
                </c:pt>
                <c:pt idx="2">
                  <c:v>30</c:v>
                </c:pt>
                <c:pt idx="3">
                  <c:v>29</c:v>
                </c:pt>
                <c:pt idx="4">
                  <c:v>25</c:v>
                </c:pt>
                <c:pt idx="5">
                  <c:v>29</c:v>
                </c:pt>
                <c:pt idx="6">
                  <c:v>40</c:v>
                </c:pt>
                <c:pt idx="7">
                  <c:v>26</c:v>
                </c:pt>
                <c:pt idx="8">
                  <c:v>16</c:v>
                </c:pt>
                <c:pt idx="9">
                  <c:v>22</c:v>
                </c:pt>
                <c:pt idx="10">
                  <c:v>26</c:v>
                </c:pt>
                <c:pt idx="11">
                  <c:v>36</c:v>
                </c:pt>
                <c:pt idx="12">
                  <c:v>33</c:v>
                </c:pt>
                <c:pt idx="13">
                  <c:v>40</c:v>
                </c:pt>
                <c:pt idx="14">
                  <c:v>36</c:v>
                </c:pt>
                <c:pt idx="15">
                  <c:v>88</c:v>
                </c:pt>
                <c:pt idx="16">
                  <c:v>165</c:v>
                </c:pt>
                <c:pt idx="17">
                  <c:v>84</c:v>
                </c:pt>
                <c:pt idx="18">
                  <c:v>337</c:v>
                </c:pt>
                <c:pt idx="19">
                  <c:v>4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'28.10 MASAKA-MUTUKULA-24HR'!$AF$9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MASAKA-MUTUKULA-24HR'!$R$10:$R$33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AM Peak Hr</c:v>
                </c:pt>
                <c:pt idx="13">
                  <c:v>IP Peak Hr</c:v>
                </c:pt>
                <c:pt idx="14">
                  <c:v>PM Peak Hr</c:v>
                </c:pt>
                <c:pt idx="15">
                  <c:v>AM Period</c:v>
                </c:pt>
                <c:pt idx="16">
                  <c:v>IP Period</c:v>
                </c:pt>
                <c:pt idx="17">
                  <c:v>PM Period</c:v>
                </c:pt>
                <c:pt idx="18">
                  <c:v>12 Hours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MASAKA-MUTUKULA-24HR'!$AF$10:$AF$33</c:f>
              <c:numCache>
                <c:formatCode>0</c:formatCode>
                <c:ptCount val="24"/>
                <c:pt idx="0">
                  <c:v>79</c:v>
                </c:pt>
                <c:pt idx="1">
                  <c:v>71</c:v>
                </c:pt>
                <c:pt idx="2">
                  <c:v>71</c:v>
                </c:pt>
                <c:pt idx="3">
                  <c:v>74</c:v>
                </c:pt>
                <c:pt idx="4">
                  <c:v>67</c:v>
                </c:pt>
                <c:pt idx="5">
                  <c:v>58</c:v>
                </c:pt>
                <c:pt idx="6">
                  <c:v>66</c:v>
                </c:pt>
                <c:pt idx="7">
                  <c:v>57</c:v>
                </c:pt>
                <c:pt idx="8">
                  <c:v>54</c:v>
                </c:pt>
                <c:pt idx="9">
                  <c:v>69</c:v>
                </c:pt>
                <c:pt idx="10">
                  <c:v>64</c:v>
                </c:pt>
                <c:pt idx="11">
                  <c:v>95</c:v>
                </c:pt>
                <c:pt idx="12">
                  <c:v>79</c:v>
                </c:pt>
                <c:pt idx="13">
                  <c:v>74</c:v>
                </c:pt>
                <c:pt idx="14">
                  <c:v>95</c:v>
                </c:pt>
                <c:pt idx="15">
                  <c:v>221</c:v>
                </c:pt>
                <c:pt idx="16">
                  <c:v>376</c:v>
                </c:pt>
                <c:pt idx="17">
                  <c:v>228</c:v>
                </c:pt>
                <c:pt idx="18">
                  <c:v>825</c:v>
                </c:pt>
                <c:pt idx="19">
                  <c:v>5</c:v>
                </c:pt>
                <c:pt idx="20">
                  <c:v>8</c:v>
                </c:pt>
                <c:pt idx="21">
                  <c:v>5</c:v>
                </c:pt>
                <c:pt idx="22">
                  <c:v>5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595648"/>
        <c:axId val="1723601632"/>
      </c:lineChart>
      <c:catAx>
        <c:axId val="1723595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601632"/>
        <c:crosses val="autoZero"/>
        <c:auto val="1"/>
        <c:lblAlgn val="ctr"/>
        <c:lblOffset val="100"/>
        <c:noMultiLvlLbl val="0"/>
      </c:catAx>
      <c:valAx>
        <c:axId val="1723601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MASAKA-MUTUKULA-24HR'!$C$9:$N$9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MASAKA-MUTUKULA-24HR'!$C$107:$N$107</c:f>
              <c:numCache>
                <c:formatCode>0.0%</c:formatCode>
                <c:ptCount val="12"/>
                <c:pt idx="0">
                  <c:v>0.14454545454545453</c:v>
                </c:pt>
                <c:pt idx="1">
                  <c:v>2.9090909090909091E-2</c:v>
                </c:pt>
                <c:pt idx="2">
                  <c:v>9.0909090909090905E-3</c:v>
                </c:pt>
                <c:pt idx="3">
                  <c:v>8.6363636363636365E-2</c:v>
                </c:pt>
                <c:pt idx="4">
                  <c:v>5.454545454545455E-3</c:v>
                </c:pt>
                <c:pt idx="5">
                  <c:v>1.8181818181818182E-3</c:v>
                </c:pt>
                <c:pt idx="6">
                  <c:v>2.8181818181818183E-2</c:v>
                </c:pt>
                <c:pt idx="7">
                  <c:v>7.5454545454545455E-2</c:v>
                </c:pt>
                <c:pt idx="8">
                  <c:v>5.2727272727272727E-2</c:v>
                </c:pt>
                <c:pt idx="9">
                  <c:v>9.0909090909090909E-4</c:v>
                </c:pt>
                <c:pt idx="10">
                  <c:v>0.5663636363636364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MASAKA-MUTUKULA-24HR'!$C$9:$N$9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MASAKA-MUTUKULA-24HR'!$C$108:$N$108</c:f>
              <c:numCache>
                <c:formatCode>0.00%</c:formatCode>
                <c:ptCount val="12"/>
                <c:pt idx="0">
                  <c:v>0.33333333333333331</c:v>
                </c:pt>
                <c:pt idx="1">
                  <c:v>6.7085953878406712E-2</c:v>
                </c:pt>
                <c:pt idx="2">
                  <c:v>2.0964360587002098E-2</c:v>
                </c:pt>
                <c:pt idx="3">
                  <c:v>0.19916142557651992</c:v>
                </c:pt>
                <c:pt idx="4">
                  <c:v>1.2578616352201259E-2</c:v>
                </c:pt>
                <c:pt idx="5">
                  <c:v>4.1928721174004195E-3</c:v>
                </c:pt>
                <c:pt idx="6">
                  <c:v>6.4989517819706494E-2</c:v>
                </c:pt>
                <c:pt idx="7">
                  <c:v>0.17400419287211741</c:v>
                </c:pt>
                <c:pt idx="8">
                  <c:v>0.12159329140461216</c:v>
                </c:pt>
                <c:pt idx="9">
                  <c:v>2.0964360587002098E-3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MUTUKULA-MASAKA-24HR'!$AE$9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MUTUKULA-MASAKA-24HR'!$R$10:$R$33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MUTUKULA-MASAKA-24HR'!$AE$10:$AE$33</c:f>
              <c:numCache>
                <c:formatCode>0</c:formatCode>
                <c:ptCount val="24"/>
                <c:pt idx="0">
                  <c:v>17</c:v>
                </c:pt>
                <c:pt idx="1">
                  <c:v>17</c:v>
                </c:pt>
                <c:pt idx="2">
                  <c:v>24</c:v>
                </c:pt>
                <c:pt idx="3">
                  <c:v>20</c:v>
                </c:pt>
                <c:pt idx="4">
                  <c:v>27</c:v>
                </c:pt>
                <c:pt idx="5">
                  <c:v>24</c:v>
                </c:pt>
                <c:pt idx="6">
                  <c:v>33</c:v>
                </c:pt>
                <c:pt idx="7">
                  <c:v>33</c:v>
                </c:pt>
                <c:pt idx="8">
                  <c:v>29</c:v>
                </c:pt>
                <c:pt idx="9">
                  <c:v>44</c:v>
                </c:pt>
                <c:pt idx="10">
                  <c:v>35</c:v>
                </c:pt>
                <c:pt idx="11">
                  <c:v>37</c:v>
                </c:pt>
                <c:pt idx="12">
                  <c:v>46</c:v>
                </c:pt>
                <c:pt idx="13">
                  <c:v>44</c:v>
                </c:pt>
                <c:pt idx="14">
                  <c:v>25</c:v>
                </c:pt>
                <c:pt idx="15">
                  <c:v>12</c:v>
                </c:pt>
                <c:pt idx="16">
                  <c:v>6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'28.10 MUTUKULA-MASAKA-24HR'!$AF$9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MUTUKULA-MASAKA-24HR'!$R$10:$R$33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MUTUKULA-MASAKA-24HR'!$AF$10:$AF$33</c:f>
              <c:numCache>
                <c:formatCode>0</c:formatCode>
                <c:ptCount val="24"/>
                <c:pt idx="0">
                  <c:v>45</c:v>
                </c:pt>
                <c:pt idx="1">
                  <c:v>45</c:v>
                </c:pt>
                <c:pt idx="2">
                  <c:v>66</c:v>
                </c:pt>
                <c:pt idx="3">
                  <c:v>61</c:v>
                </c:pt>
                <c:pt idx="4">
                  <c:v>53</c:v>
                </c:pt>
                <c:pt idx="5">
                  <c:v>48</c:v>
                </c:pt>
                <c:pt idx="6">
                  <c:v>73</c:v>
                </c:pt>
                <c:pt idx="7">
                  <c:v>69</c:v>
                </c:pt>
                <c:pt idx="8">
                  <c:v>62</c:v>
                </c:pt>
                <c:pt idx="9">
                  <c:v>77</c:v>
                </c:pt>
                <c:pt idx="10">
                  <c:v>73</c:v>
                </c:pt>
                <c:pt idx="11">
                  <c:v>86</c:v>
                </c:pt>
                <c:pt idx="12">
                  <c:v>111</c:v>
                </c:pt>
                <c:pt idx="13">
                  <c:v>89</c:v>
                </c:pt>
                <c:pt idx="14">
                  <c:v>60</c:v>
                </c:pt>
                <c:pt idx="15">
                  <c:v>41</c:v>
                </c:pt>
                <c:pt idx="16">
                  <c:v>13</c:v>
                </c:pt>
                <c:pt idx="17">
                  <c:v>3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  <c:pt idx="21">
                  <c:v>5</c:v>
                </c:pt>
                <c:pt idx="22">
                  <c:v>7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588032"/>
        <c:axId val="1723586944"/>
      </c:lineChart>
      <c:catAx>
        <c:axId val="1723588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86944"/>
        <c:crosses val="autoZero"/>
        <c:auto val="1"/>
        <c:lblAlgn val="ctr"/>
        <c:lblOffset val="100"/>
        <c:noMultiLvlLbl val="0"/>
      </c:catAx>
      <c:valAx>
        <c:axId val="172358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358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MUTUKULA-MASAKA-24HR'!$C$9:$N$9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MUTUKULA-MASAKA-24HR'!$C$107:$N$107</c:f>
              <c:numCache>
                <c:formatCode>0.0%</c:formatCode>
                <c:ptCount val="12"/>
                <c:pt idx="0">
                  <c:v>0.14784946236559141</c:v>
                </c:pt>
                <c:pt idx="1">
                  <c:v>2.9569892473118281E-2</c:v>
                </c:pt>
                <c:pt idx="2">
                  <c:v>1.3440860215053764E-2</c:v>
                </c:pt>
                <c:pt idx="3">
                  <c:v>8.2437275985663083E-2</c:v>
                </c:pt>
                <c:pt idx="4">
                  <c:v>1.7921146953405018E-3</c:v>
                </c:pt>
                <c:pt idx="5">
                  <c:v>2.6881720430107529E-3</c:v>
                </c:pt>
                <c:pt idx="6">
                  <c:v>3.8530465949820791E-2</c:v>
                </c:pt>
                <c:pt idx="7">
                  <c:v>6.5412186379928322E-2</c:v>
                </c:pt>
                <c:pt idx="8">
                  <c:v>5.0179211469534052E-2</c:v>
                </c:pt>
                <c:pt idx="9">
                  <c:v>8.9605734767025085E-3</c:v>
                </c:pt>
                <c:pt idx="10">
                  <c:v>0.55913978494623651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MUTUKULA-MASAKA-24HR'!$C$9:$N$9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MUTUKULA-MASAKA-24HR'!$C$108:$N$108</c:f>
              <c:numCache>
                <c:formatCode>0.00%</c:formatCode>
                <c:ptCount val="12"/>
                <c:pt idx="0">
                  <c:v>0.33536585365853661</c:v>
                </c:pt>
                <c:pt idx="1">
                  <c:v>6.7073170731707321E-2</c:v>
                </c:pt>
                <c:pt idx="2">
                  <c:v>3.048780487804878E-2</c:v>
                </c:pt>
                <c:pt idx="3">
                  <c:v>0.18699186991869918</c:v>
                </c:pt>
                <c:pt idx="4">
                  <c:v>4.0650406504065045E-3</c:v>
                </c:pt>
                <c:pt idx="5">
                  <c:v>6.0975609756097563E-3</c:v>
                </c:pt>
                <c:pt idx="6">
                  <c:v>8.7398373983739841E-2</c:v>
                </c:pt>
                <c:pt idx="7">
                  <c:v>0.1483739837398374</c:v>
                </c:pt>
                <c:pt idx="8">
                  <c:v>0.11382113821138211</c:v>
                </c:pt>
                <c:pt idx="9">
                  <c:v>2.032520325203252E-2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MASAKA-MUTUKULA'!$AE$10:$AE$21</c:f>
              <c:numCache>
                <c:formatCode>0</c:formatCode>
                <c:ptCount val="12"/>
                <c:pt idx="0">
                  <c:v>20</c:v>
                </c:pt>
                <c:pt idx="1">
                  <c:v>31</c:v>
                </c:pt>
                <c:pt idx="2">
                  <c:v>29</c:v>
                </c:pt>
                <c:pt idx="3">
                  <c:v>23</c:v>
                </c:pt>
                <c:pt idx="4">
                  <c:v>28</c:v>
                </c:pt>
                <c:pt idx="5">
                  <c:v>35</c:v>
                </c:pt>
                <c:pt idx="6">
                  <c:v>27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MASAKA-MUTUKULA'!$AF$10:$AF$21</c:f>
              <c:numCache>
                <c:formatCode>0</c:formatCode>
                <c:ptCount val="12"/>
                <c:pt idx="0">
                  <c:v>76</c:v>
                </c:pt>
                <c:pt idx="1">
                  <c:v>77</c:v>
                </c:pt>
                <c:pt idx="2">
                  <c:v>94</c:v>
                </c:pt>
                <c:pt idx="3">
                  <c:v>64</c:v>
                </c:pt>
                <c:pt idx="4">
                  <c:v>63</c:v>
                </c:pt>
                <c:pt idx="5">
                  <c:v>89</c:v>
                </c:pt>
                <c:pt idx="6">
                  <c:v>69</c:v>
                </c:pt>
                <c:pt idx="7">
                  <c:v>72</c:v>
                </c:pt>
                <c:pt idx="8">
                  <c:v>72</c:v>
                </c:pt>
                <c:pt idx="9">
                  <c:v>106</c:v>
                </c:pt>
                <c:pt idx="10">
                  <c:v>90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337936"/>
        <c:axId val="1726347184"/>
      </c:lineChart>
      <c:catAx>
        <c:axId val="1726337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47184"/>
        <c:crosses val="autoZero"/>
        <c:auto val="1"/>
        <c:lblAlgn val="ctr"/>
        <c:lblOffset val="100"/>
        <c:noMultiLvlLbl val="0"/>
      </c:catAx>
      <c:valAx>
        <c:axId val="1726347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MASAKA-MUTUKULA'!$C$59:$N$59</c:f>
              <c:numCache>
                <c:formatCode>0.0%</c:formatCode>
                <c:ptCount val="12"/>
                <c:pt idx="0">
                  <c:v>0.14420062695924765</c:v>
                </c:pt>
                <c:pt idx="1">
                  <c:v>1.4629049111807733E-2</c:v>
                </c:pt>
                <c:pt idx="2">
                  <c:v>8.3594566353187051E-3</c:v>
                </c:pt>
                <c:pt idx="3">
                  <c:v>5.9561128526645767E-2</c:v>
                </c:pt>
                <c:pt idx="4">
                  <c:v>0</c:v>
                </c:pt>
                <c:pt idx="5">
                  <c:v>0</c:v>
                </c:pt>
                <c:pt idx="6">
                  <c:v>5.329153605015674E-2</c:v>
                </c:pt>
                <c:pt idx="7">
                  <c:v>1.5673981191222569E-2</c:v>
                </c:pt>
                <c:pt idx="8">
                  <c:v>4.4932079414838039E-2</c:v>
                </c:pt>
                <c:pt idx="9">
                  <c:v>7.3145245559038665E-3</c:v>
                </c:pt>
                <c:pt idx="10">
                  <c:v>0.60397074190177635</c:v>
                </c:pt>
                <c:pt idx="11">
                  <c:v>4.8066875653082548E-2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MASAKA-MUTUKULA'!$C$60:$N$60</c:f>
              <c:numCache>
                <c:formatCode>0.00%</c:formatCode>
                <c:ptCount val="12"/>
                <c:pt idx="0">
                  <c:v>0.36411609498680741</c:v>
                </c:pt>
                <c:pt idx="1">
                  <c:v>3.6939313984168866E-2</c:v>
                </c:pt>
                <c:pt idx="2">
                  <c:v>2.1108179419525065E-2</c:v>
                </c:pt>
                <c:pt idx="3">
                  <c:v>0.15039577836411611</c:v>
                </c:pt>
                <c:pt idx="4">
                  <c:v>0</c:v>
                </c:pt>
                <c:pt idx="5">
                  <c:v>0</c:v>
                </c:pt>
                <c:pt idx="6">
                  <c:v>0.13456464379947231</c:v>
                </c:pt>
                <c:pt idx="7">
                  <c:v>3.9577836411609502E-2</c:v>
                </c:pt>
                <c:pt idx="8">
                  <c:v>0.11345646437994723</c:v>
                </c:pt>
                <c:pt idx="9">
                  <c:v>1.8469656992084433E-2</c:v>
                </c:pt>
                <c:pt idx="11">
                  <c:v>0.12137203166226913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MUTUKULA-MASAKA'!$AE$10:$AE$21</c:f>
              <c:numCache>
                <c:formatCode>0</c:formatCode>
                <c:ptCount val="12"/>
                <c:pt idx="0">
                  <c:v>12</c:v>
                </c:pt>
                <c:pt idx="1">
                  <c:v>19</c:v>
                </c:pt>
                <c:pt idx="2">
                  <c:v>26</c:v>
                </c:pt>
                <c:pt idx="3">
                  <c:v>24</c:v>
                </c:pt>
                <c:pt idx="4">
                  <c:v>33</c:v>
                </c:pt>
                <c:pt idx="5">
                  <c:v>21</c:v>
                </c:pt>
                <c:pt idx="6">
                  <c:v>16</c:v>
                </c:pt>
                <c:pt idx="7">
                  <c:v>27</c:v>
                </c:pt>
                <c:pt idx="8">
                  <c:v>17</c:v>
                </c:pt>
                <c:pt idx="9">
                  <c:v>44</c:v>
                </c:pt>
                <c:pt idx="10">
                  <c:v>47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MUTUKULA-MASAKA'!$AF$10:$AF$21</c:f>
              <c:numCache>
                <c:formatCode>0</c:formatCode>
                <c:ptCount val="12"/>
                <c:pt idx="0">
                  <c:v>53</c:v>
                </c:pt>
                <c:pt idx="1">
                  <c:v>55</c:v>
                </c:pt>
                <c:pt idx="2">
                  <c:v>88</c:v>
                </c:pt>
                <c:pt idx="3">
                  <c:v>63</c:v>
                </c:pt>
                <c:pt idx="4">
                  <c:v>75</c:v>
                </c:pt>
                <c:pt idx="5">
                  <c:v>62</c:v>
                </c:pt>
                <c:pt idx="6">
                  <c:v>57</c:v>
                </c:pt>
                <c:pt idx="7">
                  <c:v>73</c:v>
                </c:pt>
                <c:pt idx="8">
                  <c:v>56</c:v>
                </c:pt>
                <c:pt idx="9">
                  <c:v>110</c:v>
                </c:pt>
                <c:pt idx="10">
                  <c:v>104</c:v>
                </c:pt>
                <c:pt idx="11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352080"/>
        <c:axId val="1726339568"/>
      </c:lineChart>
      <c:catAx>
        <c:axId val="1726352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39568"/>
        <c:crosses val="autoZero"/>
        <c:auto val="1"/>
        <c:lblAlgn val="ctr"/>
        <c:lblOffset val="100"/>
        <c:noMultiLvlLbl val="0"/>
      </c:catAx>
      <c:valAx>
        <c:axId val="1726339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MUTUKULA-MASAKA'!$C$59:$N$59</c:f>
              <c:numCache>
                <c:formatCode>0.0%</c:formatCode>
                <c:ptCount val="12"/>
                <c:pt idx="0">
                  <c:v>0.13028953229398663</c:v>
                </c:pt>
                <c:pt idx="1">
                  <c:v>2.1158129175946547E-2</c:v>
                </c:pt>
                <c:pt idx="2">
                  <c:v>8.9086859688195987E-3</c:v>
                </c:pt>
                <c:pt idx="3">
                  <c:v>5.4565701559020047E-2</c:v>
                </c:pt>
                <c:pt idx="4">
                  <c:v>0</c:v>
                </c:pt>
                <c:pt idx="5">
                  <c:v>3.3407572383073497E-3</c:v>
                </c:pt>
                <c:pt idx="6">
                  <c:v>4.7884187082405348E-2</c:v>
                </c:pt>
                <c:pt idx="7">
                  <c:v>4.0089086859688199E-2</c:v>
                </c:pt>
                <c:pt idx="8">
                  <c:v>4.7884187082405348E-2</c:v>
                </c:pt>
                <c:pt idx="9">
                  <c:v>2.2271714922048997E-3</c:v>
                </c:pt>
                <c:pt idx="10">
                  <c:v>0.64365256124721604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MUTUKULA-MASAKA'!$S$9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MUTUKULA-MASAKA'!$S$10:$S$21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11</c:v>
                </c:pt>
                <c:pt idx="8">
                  <c:v>9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MUTUKULA-MASAKA'!$T$9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MUTUKULA-MASAKA'!$T$10:$T$21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MUTUKULA-MASAKA'!$U$9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MUTUKULA-MASAKA'!$V$9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MUTUKULA-MASAKA'!$V$10:$V$21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MUTUKULA-MASAKA'!$W$9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MUTUKULA-MASAKA'!$X$9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MUTUKULA-MASAKA'!$Y$9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MUTUKULA-MASAKA'!$Y$10:$Y$21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MUTUKULA-MASAKA'!$Z$9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MUTUKULA-MASAKA'!$AA$9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MUTUKULA-MASAKA'!$AA$10:$AA$21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MUTUKULA-MASAKA'!$AB$9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MUTUKULA-MASAKA'!$AC$9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MUTUKULA-MASAKA'!$AC$10:$AC$21</c:f>
              <c:numCache>
                <c:formatCode>0</c:formatCode>
                <c:ptCount val="12"/>
                <c:pt idx="0">
                  <c:v>41</c:v>
                </c:pt>
                <c:pt idx="1">
                  <c:v>36</c:v>
                </c:pt>
                <c:pt idx="2">
                  <c:v>62</c:v>
                </c:pt>
                <c:pt idx="3">
                  <c:v>39</c:v>
                </c:pt>
                <c:pt idx="4">
                  <c:v>42</c:v>
                </c:pt>
                <c:pt idx="5">
                  <c:v>41</c:v>
                </c:pt>
                <c:pt idx="6">
                  <c:v>41</c:v>
                </c:pt>
                <c:pt idx="7">
                  <c:v>46</c:v>
                </c:pt>
                <c:pt idx="8">
                  <c:v>39</c:v>
                </c:pt>
                <c:pt idx="9">
                  <c:v>66</c:v>
                </c:pt>
                <c:pt idx="10">
                  <c:v>57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MUTUKULA-MASAKA'!$AD$9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MUTUKULA-MASAKA'!$AD$10:$AD$21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342832"/>
        <c:axId val="1726346640"/>
      </c:lineChart>
      <c:catAx>
        <c:axId val="172634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46640"/>
        <c:crosses val="autoZero"/>
        <c:auto val="1"/>
        <c:lblAlgn val="ctr"/>
        <c:lblOffset val="100"/>
        <c:noMultiLvlLbl val="0"/>
      </c:catAx>
      <c:valAx>
        <c:axId val="17263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MUTUKULA-MASAKA'!$C$60:$N$60</c:f>
              <c:numCache>
                <c:formatCode>0.00%</c:formatCode>
                <c:ptCount val="12"/>
                <c:pt idx="0">
                  <c:v>0.36562499999999998</c:v>
                </c:pt>
                <c:pt idx="1">
                  <c:v>5.9374999999999997E-2</c:v>
                </c:pt>
                <c:pt idx="2">
                  <c:v>2.5000000000000001E-2</c:v>
                </c:pt>
                <c:pt idx="3">
                  <c:v>0.15312500000000001</c:v>
                </c:pt>
                <c:pt idx="4">
                  <c:v>0</c:v>
                </c:pt>
                <c:pt idx="5">
                  <c:v>9.3749999999999997E-3</c:v>
                </c:pt>
                <c:pt idx="6">
                  <c:v>0.13437499999999999</c:v>
                </c:pt>
                <c:pt idx="7">
                  <c:v>0.1125</c:v>
                </c:pt>
                <c:pt idx="8">
                  <c:v>0.13437499999999999</c:v>
                </c:pt>
                <c:pt idx="9">
                  <c:v>6.2500000000000003E-3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MASAKA-MUTUKULA'!$AE$10:$AE$21</c:f>
              <c:numCache>
                <c:formatCode>0</c:formatCode>
                <c:ptCount val="12"/>
                <c:pt idx="0">
                  <c:v>26</c:v>
                </c:pt>
                <c:pt idx="1">
                  <c:v>33</c:v>
                </c:pt>
                <c:pt idx="2">
                  <c:v>30</c:v>
                </c:pt>
                <c:pt idx="3">
                  <c:v>20</c:v>
                </c:pt>
                <c:pt idx="4">
                  <c:v>24</c:v>
                </c:pt>
                <c:pt idx="5">
                  <c:v>36</c:v>
                </c:pt>
                <c:pt idx="6">
                  <c:v>21</c:v>
                </c:pt>
                <c:pt idx="7">
                  <c:v>35</c:v>
                </c:pt>
                <c:pt idx="8">
                  <c:v>21</c:v>
                </c:pt>
                <c:pt idx="9">
                  <c:v>25</c:v>
                </c:pt>
                <c:pt idx="10">
                  <c:v>24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'30.10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MASAKA-MUTUKULA'!$AF$10:$AF$21</c:f>
              <c:numCache>
                <c:formatCode>0</c:formatCode>
                <c:ptCount val="12"/>
                <c:pt idx="0">
                  <c:v>61</c:v>
                </c:pt>
                <c:pt idx="1">
                  <c:v>92</c:v>
                </c:pt>
                <c:pt idx="2">
                  <c:v>85</c:v>
                </c:pt>
                <c:pt idx="3">
                  <c:v>71</c:v>
                </c:pt>
                <c:pt idx="4">
                  <c:v>86</c:v>
                </c:pt>
                <c:pt idx="5">
                  <c:v>101</c:v>
                </c:pt>
                <c:pt idx="6">
                  <c:v>77</c:v>
                </c:pt>
                <c:pt idx="7">
                  <c:v>108</c:v>
                </c:pt>
                <c:pt idx="8">
                  <c:v>76</c:v>
                </c:pt>
                <c:pt idx="9">
                  <c:v>88</c:v>
                </c:pt>
                <c:pt idx="10">
                  <c:v>78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339024"/>
        <c:axId val="1726337392"/>
      </c:lineChart>
      <c:catAx>
        <c:axId val="1726339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37392"/>
        <c:crosses val="autoZero"/>
        <c:auto val="1"/>
        <c:lblAlgn val="ctr"/>
        <c:lblOffset val="100"/>
        <c:noMultiLvlLbl val="0"/>
      </c:catAx>
      <c:valAx>
        <c:axId val="1726337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MASAKA-MUTUKULA'!$C$59:$N$59</c:f>
              <c:numCache>
                <c:formatCode>0.0%</c:formatCode>
                <c:ptCount val="12"/>
                <c:pt idx="0">
                  <c:v>4.8543689320388345E-3</c:v>
                </c:pt>
                <c:pt idx="1">
                  <c:v>7.7669902912621356E-3</c:v>
                </c:pt>
                <c:pt idx="2">
                  <c:v>5.8252427184466021E-3</c:v>
                </c:pt>
                <c:pt idx="3">
                  <c:v>6.5048543689320393E-2</c:v>
                </c:pt>
                <c:pt idx="4">
                  <c:v>0</c:v>
                </c:pt>
                <c:pt idx="5">
                  <c:v>9.7087378640776695E-4</c:v>
                </c:pt>
                <c:pt idx="6">
                  <c:v>3.3980582524271843E-2</c:v>
                </c:pt>
                <c:pt idx="7">
                  <c:v>9.7087378640776691E-3</c:v>
                </c:pt>
                <c:pt idx="8">
                  <c:v>7.0873786407766995E-2</c:v>
                </c:pt>
                <c:pt idx="9">
                  <c:v>0</c:v>
                </c:pt>
                <c:pt idx="10">
                  <c:v>0.67572815533980579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MASAKA-MUTUKULA'!$S$9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MASAKA-MUTUKULA'!$S$10:$S$21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12</c:v>
                </c:pt>
                <c:pt idx="3">
                  <c:v>7</c:v>
                </c:pt>
                <c:pt idx="4">
                  <c:v>6</c:v>
                </c:pt>
                <c:pt idx="5">
                  <c:v>17</c:v>
                </c:pt>
                <c:pt idx="6">
                  <c:v>9</c:v>
                </c:pt>
                <c:pt idx="7">
                  <c:v>12</c:v>
                </c:pt>
                <c:pt idx="8">
                  <c:v>6</c:v>
                </c:pt>
                <c:pt idx="9">
                  <c:v>12</c:v>
                </c:pt>
                <c:pt idx="10">
                  <c:v>10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'30.10 MASAKA-MUTUKULA'!$T$9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MASAKA-MUTUKULA'!$T$10:$T$21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'30.10 MASAKA-MUTUKULA'!$U$9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'30.10 MASAKA-MUTUKULA'!$V$9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'30.10 MASAKA-MUTUKULA'!$W$9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'30.10 MASAKA-MUTUKULA'!$X$9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'30.10 MASAKA-MUTUKULA'!$Y$9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MASAKA-MUTUKULA'!$Y$10:$Y$21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'30.10 MASAKA-MUTUKULA'!$Z$9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'30.10 MASAKA-MUTUKULA'!$AA$9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MASAKA-MUTUKULA'!$AA$10:$AA$21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'30.10 MASAKA-MUTUKULA'!$AB$9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'30.10 MASAKA-MUTUKULA'!$AC$9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MASAKA-MUTUKULA'!$AC$10:$AC$21</c:f>
              <c:numCache>
                <c:formatCode>0</c:formatCode>
                <c:ptCount val="12"/>
                <c:pt idx="0">
                  <c:v>35</c:v>
                </c:pt>
                <c:pt idx="1">
                  <c:v>59</c:v>
                </c:pt>
                <c:pt idx="2">
                  <c:v>55</c:v>
                </c:pt>
                <c:pt idx="3">
                  <c:v>51</c:v>
                </c:pt>
                <c:pt idx="4">
                  <c:v>62</c:v>
                </c:pt>
                <c:pt idx="5">
                  <c:v>65</c:v>
                </c:pt>
                <c:pt idx="6">
                  <c:v>56</c:v>
                </c:pt>
                <c:pt idx="7">
                  <c:v>73</c:v>
                </c:pt>
                <c:pt idx="8">
                  <c:v>55</c:v>
                </c:pt>
                <c:pt idx="9">
                  <c:v>63</c:v>
                </c:pt>
                <c:pt idx="10">
                  <c:v>54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'30.10 MASAKA-MUTUKULA'!$AD$9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MASAKA-MUTUKULA'!$AD$10:$AD$21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343920"/>
        <c:axId val="1726344464"/>
      </c:lineChart>
      <c:catAx>
        <c:axId val="172634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44464"/>
        <c:crosses val="autoZero"/>
        <c:auto val="1"/>
        <c:lblAlgn val="ctr"/>
        <c:lblOffset val="100"/>
        <c:noMultiLvlLbl val="0"/>
      </c:catAx>
      <c:valAx>
        <c:axId val="17263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63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MASAKA-MUTUKULA'!$C$60:$N$60</c:f>
              <c:numCache>
                <c:formatCode>0.00%</c:formatCode>
                <c:ptCount val="12"/>
                <c:pt idx="0">
                  <c:v>1.4970059880239521E-2</c:v>
                </c:pt>
                <c:pt idx="1">
                  <c:v>2.3952095808383235E-2</c:v>
                </c:pt>
                <c:pt idx="2">
                  <c:v>1.7964071856287425E-2</c:v>
                </c:pt>
                <c:pt idx="3">
                  <c:v>0.20059880239520958</c:v>
                </c:pt>
                <c:pt idx="4">
                  <c:v>0</c:v>
                </c:pt>
                <c:pt idx="5">
                  <c:v>2.9940119760479044E-3</c:v>
                </c:pt>
                <c:pt idx="6">
                  <c:v>0.10479041916167664</c:v>
                </c:pt>
                <c:pt idx="7">
                  <c:v>2.9940119760479042E-2</c:v>
                </c:pt>
                <c:pt idx="8">
                  <c:v>0.21856287425149701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MUTUKULA-MASAKA'!$AE$10:$AE$21</c:f>
              <c:numCache>
                <c:formatCode>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17</c:v>
                </c:pt>
                <c:pt idx="3">
                  <c:v>17</c:v>
                </c:pt>
                <c:pt idx="4">
                  <c:v>20</c:v>
                </c:pt>
                <c:pt idx="5">
                  <c:v>33</c:v>
                </c:pt>
                <c:pt idx="6">
                  <c:v>21</c:v>
                </c:pt>
                <c:pt idx="7">
                  <c:v>26</c:v>
                </c:pt>
                <c:pt idx="8">
                  <c:v>43</c:v>
                </c:pt>
                <c:pt idx="9">
                  <c:v>31</c:v>
                </c:pt>
                <c:pt idx="10">
                  <c:v>50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'30.10 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MUTUKULA-MASAKA'!$AF$10:$AF$21</c:f>
              <c:numCache>
                <c:formatCode>0</c:formatCode>
                <c:ptCount val="12"/>
                <c:pt idx="0">
                  <c:v>52</c:v>
                </c:pt>
                <c:pt idx="1">
                  <c:v>55</c:v>
                </c:pt>
                <c:pt idx="2">
                  <c:v>55</c:v>
                </c:pt>
                <c:pt idx="3">
                  <c:v>63</c:v>
                </c:pt>
                <c:pt idx="4">
                  <c:v>60</c:v>
                </c:pt>
                <c:pt idx="5">
                  <c:v>90</c:v>
                </c:pt>
                <c:pt idx="6">
                  <c:v>69</c:v>
                </c:pt>
                <c:pt idx="7">
                  <c:v>67</c:v>
                </c:pt>
                <c:pt idx="8">
                  <c:v>104</c:v>
                </c:pt>
                <c:pt idx="9">
                  <c:v>87</c:v>
                </c:pt>
                <c:pt idx="10">
                  <c:v>109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440208"/>
        <c:axId val="1725438576"/>
      </c:lineChart>
      <c:catAx>
        <c:axId val="1725440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5438576"/>
        <c:crosses val="autoZero"/>
        <c:auto val="1"/>
        <c:lblAlgn val="ctr"/>
        <c:lblOffset val="100"/>
        <c:noMultiLvlLbl val="0"/>
      </c:catAx>
      <c:valAx>
        <c:axId val="1725438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544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MUTUKULA-MASAKA'!$C$59:$N$59</c:f>
              <c:numCache>
                <c:formatCode>0.0%</c:formatCode>
                <c:ptCount val="12"/>
                <c:pt idx="0">
                  <c:v>0.11646136618141098</c:v>
                </c:pt>
                <c:pt idx="1">
                  <c:v>1.9036954087346025E-2</c:v>
                </c:pt>
                <c:pt idx="2">
                  <c:v>6.7189249720044789E-3</c:v>
                </c:pt>
                <c:pt idx="3">
                  <c:v>6.2709966405375142E-2</c:v>
                </c:pt>
                <c:pt idx="4">
                  <c:v>2.2396416573348264E-3</c:v>
                </c:pt>
                <c:pt idx="5">
                  <c:v>3.3594624860022394E-3</c:v>
                </c:pt>
                <c:pt idx="6">
                  <c:v>4.591265397536394E-2</c:v>
                </c:pt>
                <c:pt idx="7">
                  <c:v>5.2631578947368418E-2</c:v>
                </c:pt>
                <c:pt idx="8">
                  <c:v>3.471444568868981E-2</c:v>
                </c:pt>
                <c:pt idx="9">
                  <c:v>3.3594624860022394E-3</c:v>
                </c:pt>
                <c:pt idx="10">
                  <c:v>0.65173572228443444</c:v>
                </c:pt>
                <c:pt idx="11">
                  <c:v>1.1198208286674132E-3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MUTUKULA-MASAKA'!$S$9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MUTUKULA-MASAKA'!$S$10:$S$21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12</c:v>
                </c:pt>
                <c:pt idx="8">
                  <c:v>12</c:v>
                </c:pt>
                <c:pt idx="9">
                  <c:v>8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'30.10 MUTUKULA-MASAKA'!$T$9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MUTUKULA-MASAKA'!$T$10:$T$21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'30.10 MUTUKULA-MASAKA'!$U$9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'30.10 MUTUKULA-MASAKA'!$V$9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'30.10 MUTUKULA-MASAKA'!$W$9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'30.10 MUTUKULA-MASAKA'!$X$9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'30.10 MUTUKULA-MASAKA'!$Y$9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MUTUKULA-MASAKA'!$Y$10:$Y$21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9</c:v>
                </c:pt>
                <c:pt idx="9">
                  <c:v>2</c:v>
                </c:pt>
                <c:pt idx="10">
                  <c:v>10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'30.10 MUTUKULA-MASAKA'!$Z$9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8</c:v>
                </c:pt>
                <c:pt idx="9">
                  <c:v>5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'30.10 MUTUKULA-MASAKA'!$AA$9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'30.10 MUTUKULA-MASAKA'!$AB$9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'30.10 MUTUKULA-MASAKA'!$AC$9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MUTUKULA-MASAKA'!$AC$10:$AC$21</c:f>
              <c:numCache>
                <c:formatCode>0</c:formatCode>
                <c:ptCount val="12"/>
                <c:pt idx="0">
                  <c:v>36</c:v>
                </c:pt>
                <c:pt idx="1">
                  <c:v>44</c:v>
                </c:pt>
                <c:pt idx="2">
                  <c:v>38</c:v>
                </c:pt>
                <c:pt idx="3">
                  <c:v>46</c:v>
                </c:pt>
                <c:pt idx="4">
                  <c:v>40</c:v>
                </c:pt>
                <c:pt idx="5">
                  <c:v>57</c:v>
                </c:pt>
                <c:pt idx="6">
                  <c:v>48</c:v>
                </c:pt>
                <c:pt idx="7">
                  <c:v>41</c:v>
                </c:pt>
                <c:pt idx="8">
                  <c:v>61</c:v>
                </c:pt>
                <c:pt idx="9">
                  <c:v>56</c:v>
                </c:pt>
                <c:pt idx="10">
                  <c:v>59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'30.10 MUTUKULA-MASAKA'!$AD$9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MUTUKULA-MASAKA'!$AD$10:$AD$21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439120"/>
        <c:axId val="1725436944"/>
      </c:lineChart>
      <c:catAx>
        <c:axId val="172543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5436944"/>
        <c:crosses val="autoZero"/>
        <c:auto val="1"/>
        <c:lblAlgn val="ctr"/>
        <c:lblOffset val="100"/>
        <c:noMultiLvlLbl val="0"/>
      </c:catAx>
      <c:valAx>
        <c:axId val="17254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543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MUTUKULA-MASAKA'!$C$60:$N$60</c:f>
              <c:numCache>
                <c:formatCode>0.00%</c:formatCode>
                <c:ptCount val="12"/>
                <c:pt idx="0">
                  <c:v>0.33440514469453375</c:v>
                </c:pt>
                <c:pt idx="1">
                  <c:v>5.4662379421221867E-2</c:v>
                </c:pt>
                <c:pt idx="2">
                  <c:v>1.9292604501607719E-2</c:v>
                </c:pt>
                <c:pt idx="3">
                  <c:v>0.18006430868167203</c:v>
                </c:pt>
                <c:pt idx="4">
                  <c:v>6.4308681672025723E-3</c:v>
                </c:pt>
                <c:pt idx="5">
                  <c:v>9.6463022508038593E-3</c:v>
                </c:pt>
                <c:pt idx="6">
                  <c:v>0.13183279742765272</c:v>
                </c:pt>
                <c:pt idx="7">
                  <c:v>0.15112540192926044</c:v>
                </c:pt>
                <c:pt idx="8">
                  <c:v>9.9678456591639875E-2</c:v>
                </c:pt>
                <c:pt idx="9">
                  <c:v>9.6463022508038593E-3</c:v>
                </c:pt>
                <c:pt idx="11">
                  <c:v>3.2154340836012861E-3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Masaka-Mutukula'!$AE$10:$AE$21</c:f>
              <c:numCache>
                <c:formatCode>0</c:formatCode>
                <c:ptCount val="12"/>
                <c:pt idx="0">
                  <c:v>35</c:v>
                </c:pt>
                <c:pt idx="1">
                  <c:v>33</c:v>
                </c:pt>
                <c:pt idx="2">
                  <c:v>27</c:v>
                </c:pt>
                <c:pt idx="3">
                  <c:v>28</c:v>
                </c:pt>
                <c:pt idx="4">
                  <c:v>17</c:v>
                </c:pt>
                <c:pt idx="5">
                  <c:v>23</c:v>
                </c:pt>
                <c:pt idx="6">
                  <c:v>30</c:v>
                </c:pt>
                <c:pt idx="7">
                  <c:v>22</c:v>
                </c:pt>
                <c:pt idx="8">
                  <c:v>33</c:v>
                </c:pt>
                <c:pt idx="9">
                  <c:v>23</c:v>
                </c:pt>
                <c:pt idx="10">
                  <c:v>46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'31.10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Masaka-Mutukula'!$R$10:$R$21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Masaka-Mutukula'!$AF$10:$AF$21</c:f>
              <c:numCache>
                <c:formatCode>0</c:formatCode>
                <c:ptCount val="12"/>
                <c:pt idx="0">
                  <c:v>78</c:v>
                </c:pt>
                <c:pt idx="1">
                  <c:v>73</c:v>
                </c:pt>
                <c:pt idx="2">
                  <c:v>84</c:v>
                </c:pt>
                <c:pt idx="3">
                  <c:v>33</c:v>
                </c:pt>
                <c:pt idx="4">
                  <c:v>40</c:v>
                </c:pt>
                <c:pt idx="5">
                  <c:v>52</c:v>
                </c:pt>
                <c:pt idx="6">
                  <c:v>66</c:v>
                </c:pt>
                <c:pt idx="7">
                  <c:v>67</c:v>
                </c:pt>
                <c:pt idx="8">
                  <c:v>99</c:v>
                </c:pt>
                <c:pt idx="9">
                  <c:v>71</c:v>
                </c:pt>
                <c:pt idx="10">
                  <c:v>114</c:v>
                </c:pt>
                <c:pt idx="11">
                  <c:v>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865456"/>
        <c:axId val="1728871440"/>
      </c:lineChart>
      <c:catAx>
        <c:axId val="1728865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71440"/>
        <c:crosses val="autoZero"/>
        <c:auto val="1"/>
        <c:lblAlgn val="ctr"/>
        <c:lblOffset val="100"/>
        <c:noMultiLvlLbl val="0"/>
      </c:catAx>
      <c:valAx>
        <c:axId val="1728871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Masaka-Mutukula'!$C$59:$N$59</c:f>
              <c:numCache>
                <c:formatCode>0.0%</c:formatCode>
                <c:ptCount val="12"/>
                <c:pt idx="0">
                  <c:v>0.15645514223194748</c:v>
                </c:pt>
                <c:pt idx="1">
                  <c:v>9.8468271334792128E-3</c:v>
                </c:pt>
                <c:pt idx="2">
                  <c:v>7.658643326039387E-3</c:v>
                </c:pt>
                <c:pt idx="3">
                  <c:v>8.8621444201312904E-2</c:v>
                </c:pt>
                <c:pt idx="4">
                  <c:v>0</c:v>
                </c:pt>
                <c:pt idx="5">
                  <c:v>0</c:v>
                </c:pt>
                <c:pt idx="6">
                  <c:v>7.1115973741794306E-2</c:v>
                </c:pt>
                <c:pt idx="7">
                  <c:v>7.658643326039387E-3</c:v>
                </c:pt>
                <c:pt idx="8">
                  <c:v>6.5645514223194742E-2</c:v>
                </c:pt>
                <c:pt idx="9">
                  <c:v>2.1881838074398249E-3</c:v>
                </c:pt>
                <c:pt idx="10">
                  <c:v>0.5908096280087527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Masaka-Mutukula'!$C$60:$N$60</c:f>
              <c:numCache>
                <c:formatCode>0.00%</c:formatCode>
                <c:ptCount val="12"/>
                <c:pt idx="0">
                  <c:v>0.38235294117647056</c:v>
                </c:pt>
                <c:pt idx="1">
                  <c:v>2.4064171122994651E-2</c:v>
                </c:pt>
                <c:pt idx="2">
                  <c:v>1.871657754010695E-2</c:v>
                </c:pt>
                <c:pt idx="3">
                  <c:v>0.21657754010695188</c:v>
                </c:pt>
                <c:pt idx="4">
                  <c:v>0</c:v>
                </c:pt>
                <c:pt idx="5">
                  <c:v>0</c:v>
                </c:pt>
                <c:pt idx="6">
                  <c:v>0.17379679144385027</c:v>
                </c:pt>
                <c:pt idx="7">
                  <c:v>1.871657754010695E-2</c:v>
                </c:pt>
                <c:pt idx="8">
                  <c:v>0.16042780748663102</c:v>
                </c:pt>
                <c:pt idx="9">
                  <c:v>5.3475935828877002E-3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'31.10.MUTUKULA-MASAKA'!$AE$9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'31.10.MUTUKULA-MASAKA'!$R$10:$R$21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'31.10.MUTUKULA-MASAKA'!$AE$10:$AE$21</c:f>
              <c:numCache>
                <c:formatCode>0</c:formatCode>
                <c:ptCount val="12"/>
                <c:pt idx="0">
                  <c:v>24</c:v>
                </c:pt>
                <c:pt idx="1">
                  <c:v>14</c:v>
                </c:pt>
                <c:pt idx="2">
                  <c:v>27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31</c:v>
                </c:pt>
                <c:pt idx="7">
                  <c:v>22</c:v>
                </c:pt>
                <c:pt idx="8">
                  <c:v>36</c:v>
                </c:pt>
                <c:pt idx="9">
                  <c:v>35</c:v>
                </c:pt>
                <c:pt idx="10">
                  <c:v>49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'31.10.MUTUKULA-MASAKA'!$AF$9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'31.10.MUTUKULA-MASAKA'!$R$10:$R$21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'31.10.MUTUKULA-MASAKA'!$AF$10:$AF$21</c:f>
              <c:numCache>
                <c:formatCode>0</c:formatCode>
                <c:ptCount val="12"/>
                <c:pt idx="0">
                  <c:v>52</c:v>
                </c:pt>
                <c:pt idx="1">
                  <c:v>40</c:v>
                </c:pt>
                <c:pt idx="2">
                  <c:v>71</c:v>
                </c:pt>
                <c:pt idx="3">
                  <c:v>17</c:v>
                </c:pt>
                <c:pt idx="4">
                  <c:v>37</c:v>
                </c:pt>
                <c:pt idx="5">
                  <c:v>59</c:v>
                </c:pt>
                <c:pt idx="6">
                  <c:v>61</c:v>
                </c:pt>
                <c:pt idx="7">
                  <c:v>73</c:v>
                </c:pt>
                <c:pt idx="8">
                  <c:v>97</c:v>
                </c:pt>
                <c:pt idx="9">
                  <c:v>88</c:v>
                </c:pt>
                <c:pt idx="10">
                  <c:v>118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864912"/>
        <c:axId val="1728869264"/>
      </c:lineChart>
      <c:catAx>
        <c:axId val="1728864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9264"/>
        <c:crosses val="autoZero"/>
        <c:auto val="1"/>
        <c:lblAlgn val="ctr"/>
        <c:lblOffset val="100"/>
        <c:noMultiLvlLbl val="0"/>
      </c:catAx>
      <c:valAx>
        <c:axId val="1728869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'31.10.MUTUKULA-MASAKA'!$C$9:$N$9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'31.10.MUTUKULA-MASAKA'!$C$59:$N$59</c:f>
              <c:numCache>
                <c:formatCode>0.0%</c:formatCode>
                <c:ptCount val="12"/>
                <c:pt idx="0">
                  <c:v>0.16273291925465838</c:v>
                </c:pt>
                <c:pt idx="1">
                  <c:v>3.1055900621118012E-2</c:v>
                </c:pt>
                <c:pt idx="2">
                  <c:v>1.2422360248447205E-3</c:v>
                </c:pt>
                <c:pt idx="3">
                  <c:v>6.70807453416149E-2</c:v>
                </c:pt>
                <c:pt idx="4">
                  <c:v>0</c:v>
                </c:pt>
                <c:pt idx="5">
                  <c:v>2.4844720496894411E-3</c:v>
                </c:pt>
                <c:pt idx="6">
                  <c:v>4.8447204968944099E-2</c:v>
                </c:pt>
                <c:pt idx="7">
                  <c:v>4.9689440993788817E-2</c:v>
                </c:pt>
                <c:pt idx="8">
                  <c:v>3.7267080745341616E-2</c:v>
                </c:pt>
                <c:pt idx="9">
                  <c:v>1.2422360248447205E-3</c:v>
                </c:pt>
                <c:pt idx="10">
                  <c:v>0.5975155279503106</c:v>
                </c:pt>
                <c:pt idx="11">
                  <c:v>1.2422360248447205E-3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76"/>
          <c:y val="2.29602266373237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'31.10.MUTUKULA-MASAKA'!$S$9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'31.10.MUTUKULA-MASAKA'!$R$10:$R$21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'31.10.MUTUKULA-MASAKA'!$S$10:$S$21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14</c:v>
                </c:pt>
                <c:pt idx="9">
                  <c:v>19</c:v>
                </c:pt>
                <c:pt idx="10">
                  <c:v>12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'31.10.MUTUKULA-MASAKA'!$T$9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'31.10.MUTUKULA-MASAKA'!$R$10:$R$21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'31.10.MUTUKULA-MASAKA'!$T$10:$T$21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'31.10.MUTUKULA-MASAKA'!$U$9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'31.10.MUTUKULA-MASAKA'!$V$9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'31.10.MUTUKULA-MASAKA'!$V$10:$V$21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'31.10.MUTUKULA-MASAKA'!$W$9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'31.10.MUTUKULA-MASAKA'!$X$9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'31.10.MUTUKULA-MASAKA'!$Y$9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'31.10.MUTUKULA-MASAKA'!$Y$10:$Y$21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'31.10.MUTUKULA-MASAKA'!$Z$9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5</c:v>
                </c:pt>
                <c:pt idx="10">
                  <c:v>14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'31.10.MUTUKULA-MASAKA'!$AA$9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'31.10.MUTUKULA-MASAKA'!$AB$9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'31.10.MUTUKULA-MASAKA'!$AC$9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'31.10.MUTUKULA-MASAKA'!$AC$10:$AC$21</c:f>
              <c:numCache>
                <c:formatCode>0</c:formatCode>
                <c:ptCount val="12"/>
                <c:pt idx="0">
                  <c:v>28</c:v>
                </c:pt>
                <c:pt idx="1">
                  <c:v>26</c:v>
                </c:pt>
                <c:pt idx="2">
                  <c:v>44</c:v>
                </c:pt>
                <c:pt idx="3">
                  <c:v>7</c:v>
                </c:pt>
                <c:pt idx="4">
                  <c:v>21</c:v>
                </c:pt>
                <c:pt idx="5">
                  <c:v>39</c:v>
                </c:pt>
                <c:pt idx="6">
                  <c:v>30</c:v>
                </c:pt>
                <c:pt idx="7">
                  <c:v>51</c:v>
                </c:pt>
                <c:pt idx="8">
                  <c:v>61</c:v>
                </c:pt>
                <c:pt idx="9">
                  <c:v>53</c:v>
                </c:pt>
                <c:pt idx="10">
                  <c:v>69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'31.10.MUTUKULA-MASAKA'!$AD$9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'31.10.MUTUKULA-MASAKA'!$AD$10:$AD$21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866544"/>
        <c:axId val="1728866000"/>
      </c:lineChart>
      <c:catAx>
        <c:axId val="172886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6000"/>
        <c:crosses val="autoZero"/>
        <c:auto val="1"/>
        <c:lblAlgn val="ctr"/>
        <c:lblOffset val="100"/>
        <c:noMultiLvlLbl val="0"/>
      </c:catAx>
      <c:valAx>
        <c:axId val="17288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'31.10.MUTUKULA-MASAKA'!$C$9:$N$9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'31.10.MUTUKULA-MASAKA'!$C$60:$N$60</c:f>
              <c:numCache>
                <c:formatCode>0.00%</c:formatCode>
                <c:ptCount val="12"/>
                <c:pt idx="0">
                  <c:v>0.40432098765432101</c:v>
                </c:pt>
                <c:pt idx="1">
                  <c:v>7.716049382716049E-2</c:v>
                </c:pt>
                <c:pt idx="2">
                  <c:v>3.0864197530864196E-3</c:v>
                </c:pt>
                <c:pt idx="3">
                  <c:v>0.16666666666666666</c:v>
                </c:pt>
                <c:pt idx="4">
                  <c:v>0</c:v>
                </c:pt>
                <c:pt idx="5">
                  <c:v>6.1728395061728392E-3</c:v>
                </c:pt>
                <c:pt idx="6">
                  <c:v>0.12037037037037036</c:v>
                </c:pt>
                <c:pt idx="7">
                  <c:v>0.12345679012345678</c:v>
                </c:pt>
                <c:pt idx="8">
                  <c:v>9.2592592592592587E-2</c:v>
                </c:pt>
                <c:pt idx="9">
                  <c:v>3.0864197530864196E-3</c:v>
                </c:pt>
                <c:pt idx="11">
                  <c:v>3.0864197530864196E-3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Masaka-Mutukula'!$AE$9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Masaka-Mutukula'!$R$10:$R$33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Masaka-Mutukula'!$AE$10:$AE$33</c:f>
              <c:numCache>
                <c:formatCode>0</c:formatCode>
                <c:ptCount val="24"/>
                <c:pt idx="0">
                  <c:v>22.999999999999996</c:v>
                </c:pt>
                <c:pt idx="1">
                  <c:v>31.571428571428573</c:v>
                </c:pt>
                <c:pt idx="2">
                  <c:v>27.428571428571423</c:v>
                </c:pt>
                <c:pt idx="3">
                  <c:v>26.142857142857142</c:v>
                </c:pt>
                <c:pt idx="4">
                  <c:v>23.142857142857142</c:v>
                </c:pt>
                <c:pt idx="5">
                  <c:v>29</c:v>
                </c:pt>
                <c:pt idx="6">
                  <c:v>26.714285714285715</c:v>
                </c:pt>
                <c:pt idx="7">
                  <c:v>34.571428571428569</c:v>
                </c:pt>
                <c:pt idx="8">
                  <c:v>28.285714285714285</c:v>
                </c:pt>
                <c:pt idx="9">
                  <c:v>26.428571428571427</c:v>
                </c:pt>
                <c:pt idx="10">
                  <c:v>28.452380952380949</c:v>
                </c:pt>
                <c:pt idx="11">
                  <c:v>42.857142857142861</c:v>
                </c:pt>
                <c:pt idx="12">
                  <c:v>24.5</c:v>
                </c:pt>
                <c:pt idx="13">
                  <c:v>19</c:v>
                </c:pt>
                <c:pt idx="14">
                  <c:v>16</c:v>
                </c:pt>
                <c:pt idx="15">
                  <c:v>20</c:v>
                </c:pt>
                <c:pt idx="16">
                  <c:v>10.5</c:v>
                </c:pt>
                <c:pt idx="17">
                  <c:v>8.5</c:v>
                </c:pt>
                <c:pt idx="18">
                  <c:v>5</c:v>
                </c:pt>
                <c:pt idx="19">
                  <c:v>4.5</c:v>
                </c:pt>
                <c:pt idx="20">
                  <c:v>5</c:v>
                </c:pt>
                <c:pt idx="21">
                  <c:v>5.5</c:v>
                </c:pt>
                <c:pt idx="22">
                  <c:v>8.5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Masaka-Mutukula'!$AF$9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Masaka-Mutukula'!$R$10:$R$33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Masaka-Mutukula'!$AF$10:$AF$33</c:f>
              <c:numCache>
                <c:formatCode>0</c:formatCode>
                <c:ptCount val="24"/>
                <c:pt idx="0">
                  <c:v>62</c:v>
                </c:pt>
                <c:pt idx="1">
                  <c:v>84.857142857142861</c:v>
                </c:pt>
                <c:pt idx="2">
                  <c:v>82.428571428571431</c:v>
                </c:pt>
                <c:pt idx="3">
                  <c:v>67.428571428571431</c:v>
                </c:pt>
                <c:pt idx="4">
                  <c:v>66.857142857142861</c:v>
                </c:pt>
                <c:pt idx="5">
                  <c:v>74.571428571428569</c:v>
                </c:pt>
                <c:pt idx="6">
                  <c:v>72.857142857142861</c:v>
                </c:pt>
                <c:pt idx="7">
                  <c:v>86.571428571428584</c:v>
                </c:pt>
                <c:pt idx="8">
                  <c:v>76.571428571428584</c:v>
                </c:pt>
                <c:pt idx="9">
                  <c:v>83</c:v>
                </c:pt>
                <c:pt idx="10">
                  <c:v>79.88095238095238</c:v>
                </c:pt>
                <c:pt idx="11">
                  <c:v>98.857142857142847</c:v>
                </c:pt>
                <c:pt idx="12">
                  <c:v>99.5</c:v>
                </c:pt>
                <c:pt idx="13">
                  <c:v>38.5</c:v>
                </c:pt>
                <c:pt idx="14">
                  <c:v>44</c:v>
                </c:pt>
                <c:pt idx="15">
                  <c:v>36</c:v>
                </c:pt>
                <c:pt idx="16">
                  <c:v>14</c:v>
                </c:pt>
                <c:pt idx="17">
                  <c:v>11</c:v>
                </c:pt>
                <c:pt idx="18">
                  <c:v>5.5</c:v>
                </c:pt>
                <c:pt idx="19">
                  <c:v>6</c:v>
                </c:pt>
                <c:pt idx="20">
                  <c:v>6.5</c:v>
                </c:pt>
                <c:pt idx="21">
                  <c:v>6</c:v>
                </c:pt>
                <c:pt idx="22">
                  <c:v>9</c:v>
                </c:pt>
                <c:pt idx="23">
                  <c:v>42.5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868176"/>
        <c:axId val="1728856208"/>
      </c:lineChart>
      <c:catAx>
        <c:axId val="1728868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56208"/>
        <c:crosses val="autoZero"/>
        <c:auto val="1"/>
        <c:lblAlgn val="ctr"/>
        <c:lblOffset val="100"/>
        <c:noMultiLvlLbl val="0"/>
      </c:catAx>
      <c:valAx>
        <c:axId val="172885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2886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Masaka-Mutukula'!$C$107:$N$107</c:f>
              <c:numCache>
                <c:formatCode>0.0%</c:formatCode>
                <c:ptCount val="12"/>
                <c:pt idx="0">
                  <c:v>0.14702756054969252</c:v>
                </c:pt>
                <c:pt idx="1">
                  <c:v>1.7880191329435881E-2</c:v>
                </c:pt>
                <c:pt idx="2">
                  <c:v>1.1635411130514006E-2</c:v>
                </c:pt>
                <c:pt idx="3">
                  <c:v>8.1030293827347971E-2</c:v>
                </c:pt>
                <c:pt idx="4">
                  <c:v>2.7902209399438159E-3</c:v>
                </c:pt>
                <c:pt idx="5">
                  <c:v>2.5624478019892183E-3</c:v>
                </c:pt>
                <c:pt idx="6">
                  <c:v>4.3390782780350759E-2</c:v>
                </c:pt>
                <c:pt idx="7">
                  <c:v>2.9781337787563575E-2</c:v>
                </c:pt>
                <c:pt idx="8">
                  <c:v>5.5462759091944418E-2</c:v>
                </c:pt>
                <c:pt idx="9">
                  <c:v>3.8721433452281514E-3</c:v>
                </c:pt>
                <c:pt idx="10">
                  <c:v>0.59932806924303372</c:v>
                </c:pt>
                <c:pt idx="11">
                  <c:v>5.2387821729557357E-3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9.0674609767753378E-2"/>
          <c:w val="0.82101228366016787"/>
          <c:h val="0.8384941908365435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Masaka-Mutukula'!$C$9:$N$9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Masaka-Mutukula'!$C$108:$N$108</c:f>
              <c:numCache>
                <c:formatCode>0.00%</c:formatCode>
                <c:ptCount val="12"/>
                <c:pt idx="0">
                  <c:v>0.36695248472215641</c:v>
                </c:pt>
                <c:pt idx="1">
                  <c:v>4.4625515183097257E-2</c:v>
                </c:pt>
                <c:pt idx="2">
                  <c:v>2.9039746079871139E-2</c:v>
                </c:pt>
                <c:pt idx="3">
                  <c:v>0.20223601307499176</c:v>
                </c:pt>
                <c:pt idx="4">
                  <c:v>6.9638542801648577E-3</c:v>
                </c:pt>
                <c:pt idx="5">
                  <c:v>6.3953763797432372E-3</c:v>
                </c:pt>
                <c:pt idx="6">
                  <c:v>0.1082950400303188</c:v>
                </c:pt>
                <c:pt idx="7">
                  <c:v>7.4328485480126938E-2</c:v>
                </c:pt>
                <c:pt idx="8">
                  <c:v>0.13842436875266473</c:v>
                </c:pt>
                <c:pt idx="9">
                  <c:v>9.6641243071675549E-3</c:v>
                </c:pt>
                <c:pt idx="11">
                  <c:v>1.3074991709697285E-2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Mutukula-Masaka'!$AE$9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Mutukula-Masaka'!$R$10:$R$32</c:f>
              <c:strCache>
                <c:ptCount val="23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</c:strCache>
            </c:strRef>
          </c:cat>
          <c:val>
            <c:numRef>
              <c:f>'Avg Week Mutukula-Masaka'!$AE$10:$AE$32</c:f>
              <c:numCache>
                <c:formatCode>0</c:formatCode>
                <c:ptCount val="23"/>
                <c:pt idx="0">
                  <c:v>14.571428571428571</c:v>
                </c:pt>
                <c:pt idx="1">
                  <c:v>14.428571428571429</c:v>
                </c:pt>
                <c:pt idx="2">
                  <c:v>19.714285714285715</c:v>
                </c:pt>
                <c:pt idx="3">
                  <c:v>20.285714285714285</c:v>
                </c:pt>
                <c:pt idx="4">
                  <c:v>20.285714285714285</c:v>
                </c:pt>
                <c:pt idx="5">
                  <c:v>22.857142857142854</c:v>
                </c:pt>
                <c:pt idx="6">
                  <c:v>22.571428571428569</c:v>
                </c:pt>
                <c:pt idx="7">
                  <c:v>24.999999999999996</c:v>
                </c:pt>
                <c:pt idx="8">
                  <c:v>27.857142857142854</c:v>
                </c:pt>
                <c:pt idx="9">
                  <c:v>33</c:v>
                </c:pt>
                <c:pt idx="10">
                  <c:v>34.428571428571431</c:v>
                </c:pt>
                <c:pt idx="11">
                  <c:v>30.857142857142858</c:v>
                </c:pt>
                <c:pt idx="12">
                  <c:v>36</c:v>
                </c:pt>
                <c:pt idx="13">
                  <c:v>39.5</c:v>
                </c:pt>
                <c:pt idx="14">
                  <c:v>25</c:v>
                </c:pt>
                <c:pt idx="15">
                  <c:v>9.5</c:v>
                </c:pt>
                <c:pt idx="16">
                  <c:v>5.5</c:v>
                </c:pt>
                <c:pt idx="17">
                  <c:v>1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2.5</c:v>
                </c:pt>
                <c:pt idx="22">
                  <c:v>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Mutukula-Masaka'!$AF$9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Mutukula-Masaka'!$R$10:$R$32</c:f>
              <c:strCache>
                <c:ptCount val="23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</c:strCache>
            </c:strRef>
          </c:cat>
          <c:val>
            <c:numRef>
              <c:f>'Avg Week Mutukula-Masaka'!$AF$10:$AF$32</c:f>
              <c:numCache>
                <c:formatCode>0</c:formatCode>
                <c:ptCount val="23"/>
                <c:pt idx="0">
                  <c:v>41.714285714285715</c:v>
                </c:pt>
                <c:pt idx="1">
                  <c:v>43.857142857142854</c:v>
                </c:pt>
                <c:pt idx="2">
                  <c:v>62</c:v>
                </c:pt>
                <c:pt idx="3">
                  <c:v>51</c:v>
                </c:pt>
                <c:pt idx="4">
                  <c:v>53.142857142857146</c:v>
                </c:pt>
                <c:pt idx="5">
                  <c:v>57</c:v>
                </c:pt>
                <c:pt idx="6">
                  <c:v>57</c:v>
                </c:pt>
                <c:pt idx="7">
                  <c:v>64</c:v>
                </c:pt>
                <c:pt idx="8">
                  <c:v>70.428571428571431</c:v>
                </c:pt>
                <c:pt idx="9">
                  <c:v>73</c:v>
                </c:pt>
                <c:pt idx="10">
                  <c:v>83.428571428571416</c:v>
                </c:pt>
                <c:pt idx="11">
                  <c:v>81.142857142857139</c:v>
                </c:pt>
                <c:pt idx="12">
                  <c:v>117.5</c:v>
                </c:pt>
                <c:pt idx="13">
                  <c:v>83</c:v>
                </c:pt>
                <c:pt idx="14">
                  <c:v>61</c:v>
                </c:pt>
                <c:pt idx="15">
                  <c:v>35.5</c:v>
                </c:pt>
                <c:pt idx="16">
                  <c:v>12.5</c:v>
                </c:pt>
                <c:pt idx="17">
                  <c:v>3</c:v>
                </c:pt>
                <c:pt idx="18">
                  <c:v>3</c:v>
                </c:pt>
                <c:pt idx="19">
                  <c:v>0</c:v>
                </c:pt>
                <c:pt idx="20">
                  <c:v>0.5</c:v>
                </c:pt>
                <c:pt idx="21">
                  <c:v>3</c:v>
                </c:pt>
                <c:pt idx="22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066480"/>
        <c:axId val="1731063216"/>
      </c:lineChart>
      <c:catAx>
        <c:axId val="1731066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31063216"/>
        <c:crosses val="autoZero"/>
        <c:auto val="1"/>
        <c:lblAlgn val="ctr"/>
        <c:lblOffset val="100"/>
        <c:noMultiLvlLbl val="0"/>
      </c:catAx>
      <c:valAx>
        <c:axId val="1731063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73106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>
        <c:manualLayout>
          <c:xMode val="edge"/>
          <c:yMode val="edge"/>
          <c:x val="0.1208832657133985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Mutukula-Masaka'!$C$107:$N$107</c:f>
              <c:numCache>
                <c:formatCode>0.0%</c:formatCode>
                <c:ptCount val="12"/>
                <c:pt idx="0">
                  <c:v>0.1385327164573695</c:v>
                </c:pt>
                <c:pt idx="1">
                  <c:v>2.9610046265697295E-2</c:v>
                </c:pt>
                <c:pt idx="2">
                  <c:v>7.9973562458691364E-3</c:v>
                </c:pt>
                <c:pt idx="3">
                  <c:v>6.364838070059485E-2</c:v>
                </c:pt>
                <c:pt idx="4">
                  <c:v>1.9828155981493718E-3</c:v>
                </c:pt>
                <c:pt idx="5">
                  <c:v>2.6437541308658294E-3</c:v>
                </c:pt>
                <c:pt idx="6">
                  <c:v>4.1506939854593534E-2</c:v>
                </c:pt>
                <c:pt idx="7">
                  <c:v>5.313945803040318E-2</c:v>
                </c:pt>
                <c:pt idx="8">
                  <c:v>4.2035690680766694E-2</c:v>
                </c:pt>
                <c:pt idx="9">
                  <c:v>4.362194315928619E-3</c:v>
                </c:pt>
                <c:pt idx="10">
                  <c:v>0.61427627230667547</c:v>
                </c:pt>
                <c:pt idx="11">
                  <c:v>2.6437541308658297E-4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Mutukula-Masaka'!$C$9:$N$9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Mutukula-Masaka'!$C$108:$N$108</c:f>
              <c:numCache>
                <c:formatCode>0.00%</c:formatCode>
                <c:ptCount val="12"/>
                <c:pt idx="0">
                  <c:v>0.35915010281014392</c:v>
                </c:pt>
                <c:pt idx="1">
                  <c:v>7.6764907470870447E-2</c:v>
                </c:pt>
                <c:pt idx="2">
                  <c:v>2.0733379026730638E-2</c:v>
                </c:pt>
                <c:pt idx="3">
                  <c:v>0.16501028101439338</c:v>
                </c:pt>
                <c:pt idx="4">
                  <c:v>5.1405071967100735E-3</c:v>
                </c:pt>
                <c:pt idx="5">
                  <c:v>6.8540095956134322E-3</c:v>
                </c:pt>
                <c:pt idx="6">
                  <c:v>0.10760795065113091</c:v>
                </c:pt>
                <c:pt idx="7">
                  <c:v>0.13776559287183002</c:v>
                </c:pt>
                <c:pt idx="8">
                  <c:v>0.10897875257025359</c:v>
                </c:pt>
                <c:pt idx="9">
                  <c:v>1.1309115832762163E-2</c:v>
                </c:pt>
                <c:pt idx="11">
                  <c:v>6.8540095956134332E-4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Masaka-Mutukula-2Dir'!$C$9:$N$9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Masaka-Mutukula-2Dir'!$C$107:$N$107</c:f>
              <c:numCache>
                <c:formatCode>0.0%</c:formatCode>
                <c:ptCount val="12"/>
                <c:pt idx="0">
                  <c:v>0.14309602952872325</c:v>
                </c:pt>
                <c:pt idx="1">
                  <c:v>2.3308929991638975E-2</c:v>
                </c:pt>
                <c:pt idx="2">
                  <c:v>9.951669147786368E-3</c:v>
                </c:pt>
                <c:pt idx="3">
                  <c:v>7.2985704671982385E-2</c:v>
                </c:pt>
                <c:pt idx="4">
                  <c:v>2.4165426106817303E-3</c:v>
                </c:pt>
                <c:pt idx="5">
                  <c:v>2.6000774925056592E-3</c:v>
                </c:pt>
                <c:pt idx="6">
                  <c:v>4.2518914289210202E-2</c:v>
                </c:pt>
                <c:pt idx="7">
                  <c:v>4.059179803005894E-2</c:v>
                </c:pt>
                <c:pt idx="8">
                  <c:v>4.9248526622754266E-2</c:v>
                </c:pt>
                <c:pt idx="9">
                  <c:v>4.0989456940677457E-3</c:v>
                </c:pt>
                <c:pt idx="10">
                  <c:v>0.60624630381140787</c:v>
                </c:pt>
                <c:pt idx="11">
                  <c:v>2.9365581091828625E-3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0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Masaka-Mutukula-2Dir'!$C$9:$N$9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Masaka-Mutukula-2Dir'!$C$108:$N$108</c:f>
              <c:numCache>
                <c:formatCode>0.00%</c:formatCode>
                <c:ptCount val="12"/>
                <c:pt idx="0">
                  <c:v>0.36341507626175013</c:v>
                </c:pt>
                <c:pt idx="1">
                  <c:v>5.9196726830152549E-2</c:v>
                </c:pt>
                <c:pt idx="2">
                  <c:v>2.5273843126084376E-2</c:v>
                </c:pt>
                <c:pt idx="3">
                  <c:v>0.18535877981199991</c:v>
                </c:pt>
                <c:pt idx="4">
                  <c:v>6.1371934640184382E-3</c:v>
                </c:pt>
                <c:pt idx="5">
                  <c:v>6.6033094233109782E-3</c:v>
                </c:pt>
                <c:pt idx="6">
                  <c:v>0.10798353056943837</c:v>
                </c:pt>
                <c:pt idx="7">
                  <c:v>0.10308931299686667</c:v>
                </c:pt>
                <c:pt idx="8">
                  <c:v>0.12507444907683149</c:v>
                </c:pt>
                <c:pt idx="9">
                  <c:v>1.0409923090866718E-2</c:v>
                </c:pt>
                <c:pt idx="11">
                  <c:v>7.4578553486806341E-3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Masaka-Mutukula-2Dir'!$AE$9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Masaka-Mutukula-2Dir'!$R$10:$R$33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Masaka-Mutukula-2Dir'!$AE$10:$AE$33</c:f>
              <c:numCache>
                <c:formatCode>0</c:formatCode>
                <c:ptCount val="24"/>
                <c:pt idx="0">
                  <c:v>37.571428571428569</c:v>
                </c:pt>
                <c:pt idx="1">
                  <c:v>46.000000000000007</c:v>
                </c:pt>
                <c:pt idx="2">
                  <c:v>47.142857142857139</c:v>
                </c:pt>
                <c:pt idx="3">
                  <c:v>46.428571428571431</c:v>
                </c:pt>
                <c:pt idx="4">
                  <c:v>43.428571428571431</c:v>
                </c:pt>
                <c:pt idx="5">
                  <c:v>51.857142857142854</c:v>
                </c:pt>
                <c:pt idx="6">
                  <c:v>49.285714285714285</c:v>
                </c:pt>
                <c:pt idx="7">
                  <c:v>59.571428571428569</c:v>
                </c:pt>
                <c:pt idx="8">
                  <c:v>56.142857142857139</c:v>
                </c:pt>
                <c:pt idx="9">
                  <c:v>59.428571428571423</c:v>
                </c:pt>
                <c:pt idx="10">
                  <c:v>62.880952380952372</c:v>
                </c:pt>
                <c:pt idx="11">
                  <c:v>73.714285714285708</c:v>
                </c:pt>
                <c:pt idx="12">
                  <c:v>60.5</c:v>
                </c:pt>
                <c:pt idx="13">
                  <c:v>58.5</c:v>
                </c:pt>
                <c:pt idx="14">
                  <c:v>41</c:v>
                </c:pt>
                <c:pt idx="15">
                  <c:v>29.5</c:v>
                </c:pt>
                <c:pt idx="16">
                  <c:v>16</c:v>
                </c:pt>
                <c:pt idx="17">
                  <c:v>9.5</c:v>
                </c:pt>
                <c:pt idx="18">
                  <c:v>5.5</c:v>
                </c:pt>
                <c:pt idx="19">
                  <c:v>4.5</c:v>
                </c:pt>
                <c:pt idx="20">
                  <c:v>5</c:v>
                </c:pt>
                <c:pt idx="21">
                  <c:v>8</c:v>
                </c:pt>
                <c:pt idx="22">
                  <c:v>13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5-4835-9220-E0A87BAB9621}"/>
            </c:ext>
          </c:extLst>
        </c:ser>
        <c:ser>
          <c:idx val="1"/>
          <c:order val="1"/>
          <c:tx>
            <c:strRef>
              <c:f>'Avg Week Masaka-Mutukula-2Dir'!$AF$9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Masaka-Mutukula-2Dir'!$R$10:$R$33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Masaka-Mutukula-2Dir'!$AF$10:$AF$33</c:f>
              <c:numCache>
                <c:formatCode>0</c:formatCode>
                <c:ptCount val="24"/>
                <c:pt idx="0">
                  <c:v>103.71428571428572</c:v>
                </c:pt>
                <c:pt idx="1">
                  <c:v>128.71428571428572</c:v>
                </c:pt>
                <c:pt idx="2">
                  <c:v>144.42857142857142</c:v>
                </c:pt>
                <c:pt idx="3">
                  <c:v>118.42857142857143</c:v>
                </c:pt>
                <c:pt idx="4">
                  <c:v>120</c:v>
                </c:pt>
                <c:pt idx="5">
                  <c:v>131.57142857142856</c:v>
                </c:pt>
                <c:pt idx="6">
                  <c:v>129.85714285714283</c:v>
                </c:pt>
                <c:pt idx="7">
                  <c:v>150.57142857142856</c:v>
                </c:pt>
                <c:pt idx="8">
                  <c:v>147</c:v>
                </c:pt>
                <c:pt idx="9">
                  <c:v>156</c:v>
                </c:pt>
                <c:pt idx="10">
                  <c:v>163.3095238095238</c:v>
                </c:pt>
                <c:pt idx="11">
                  <c:v>180</c:v>
                </c:pt>
                <c:pt idx="12">
                  <c:v>217</c:v>
                </c:pt>
                <c:pt idx="13">
                  <c:v>121.5</c:v>
                </c:pt>
                <c:pt idx="14">
                  <c:v>105</c:v>
                </c:pt>
                <c:pt idx="15">
                  <c:v>71.5</c:v>
                </c:pt>
                <c:pt idx="16">
                  <c:v>26.5</c:v>
                </c:pt>
                <c:pt idx="17">
                  <c:v>14</c:v>
                </c:pt>
                <c:pt idx="18">
                  <c:v>8.5</c:v>
                </c:pt>
                <c:pt idx="19">
                  <c:v>6</c:v>
                </c:pt>
                <c:pt idx="20">
                  <c:v>7</c:v>
                </c:pt>
                <c:pt idx="21">
                  <c:v>9</c:v>
                </c:pt>
                <c:pt idx="22">
                  <c:v>15</c:v>
                </c:pt>
                <c:pt idx="23">
                  <c:v>60.5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5-4835-9220-E0A87BAB9621}"/>
            </c:ext>
          </c:extLst>
        </c:ser>
        <c:ser>
          <c:idx val="5"/>
          <c:order val="2"/>
          <c:tx>
            <c:strRef>
              <c:f>'Avg Week Masaka-Mutukula-2Dir'!$AC$9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Masaka-Mutukula-2Dir'!$R$10:$R$33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Masaka-Mutukula-2Dir'!$AC$10:$AC$33</c:f>
              <c:numCache>
                <c:formatCode>0</c:formatCode>
                <c:ptCount val="24"/>
                <c:pt idx="0">
                  <c:v>66.142857142857139</c:v>
                </c:pt>
                <c:pt idx="1">
                  <c:v>82.714285714285722</c:v>
                </c:pt>
                <c:pt idx="2">
                  <c:v>97.285714285714278</c:v>
                </c:pt>
                <c:pt idx="3">
                  <c:v>72</c:v>
                </c:pt>
                <c:pt idx="4">
                  <c:v>76.571428571428569</c:v>
                </c:pt>
                <c:pt idx="5">
                  <c:v>79.714285714285722</c:v>
                </c:pt>
                <c:pt idx="6">
                  <c:v>80.571428571428569</c:v>
                </c:pt>
                <c:pt idx="7">
                  <c:v>91</c:v>
                </c:pt>
                <c:pt idx="8">
                  <c:v>90.857142857142861</c:v>
                </c:pt>
                <c:pt idx="9">
                  <c:v>96.571428571428569</c:v>
                </c:pt>
                <c:pt idx="10">
                  <c:v>100.42857142857144</c:v>
                </c:pt>
                <c:pt idx="11">
                  <c:v>106.28571428571428</c:v>
                </c:pt>
                <c:pt idx="12">
                  <c:v>156.5</c:v>
                </c:pt>
                <c:pt idx="13">
                  <c:v>63</c:v>
                </c:pt>
                <c:pt idx="14">
                  <c:v>64</c:v>
                </c:pt>
                <c:pt idx="15">
                  <c:v>42</c:v>
                </c:pt>
                <c:pt idx="16">
                  <c:v>10.5</c:v>
                </c:pt>
                <c:pt idx="17">
                  <c:v>4.5</c:v>
                </c:pt>
                <c:pt idx="18">
                  <c:v>3</c:v>
                </c:pt>
                <c:pt idx="19">
                  <c:v>1.5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5-4835-9220-E0A87BAB9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Masaka-Mutukula-2Dir'!$S$9:$AF$9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Masaka-Mutukula-2Dir'!$S$41:$AF$41</c:f>
              <c:numCache>
                <c:formatCode>_(* #,##0_);_(* \(#,##0\);_(* "-"_);_(@_)</c:formatCode>
                <c:ptCount val="14"/>
                <c:pt idx="0">
                  <c:v>334.14285714285711</c:v>
                </c:pt>
                <c:pt idx="1">
                  <c:v>54.428571428571423</c:v>
                </c:pt>
                <c:pt idx="2">
                  <c:v>23.238095238095237</c:v>
                </c:pt>
                <c:pt idx="3">
                  <c:v>170.42857142857144</c:v>
                </c:pt>
                <c:pt idx="4">
                  <c:v>5.6428571428571423</c:v>
                </c:pt>
                <c:pt idx="5">
                  <c:v>6.0714285714285712</c:v>
                </c:pt>
                <c:pt idx="6">
                  <c:v>99.285714285714306</c:v>
                </c:pt>
                <c:pt idx="7">
                  <c:v>94.785714285714278</c:v>
                </c:pt>
                <c:pt idx="8">
                  <c:v>115</c:v>
                </c:pt>
                <c:pt idx="9">
                  <c:v>9.5714285714285694</c:v>
                </c:pt>
                <c:pt idx="10">
                  <c:v>1415.6428571428571</c:v>
                </c:pt>
                <c:pt idx="11">
                  <c:v>6.8571428571428568</c:v>
                </c:pt>
                <c:pt idx="12">
                  <c:v>919.45238095238096</c:v>
                </c:pt>
                <c:pt idx="13">
                  <c:v>2335.0952380952381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C-46C4-8B73-7CA88D91F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Masaka-Mutukula-2Dir'!$S$9:$AF$9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Masaka-Mutukula-2Dir'!$S$42:$AF$42</c:f>
              <c:numCache>
                <c:formatCode>0.000</c:formatCode>
                <c:ptCount val="14"/>
                <c:pt idx="0">
                  <c:v>1.4031193761247749</c:v>
                </c:pt>
                <c:pt idx="1">
                  <c:v>1.7318181818181819</c:v>
                </c:pt>
                <c:pt idx="2">
                  <c:v>1.1205510907003444</c:v>
                </c:pt>
                <c:pt idx="3">
                  <c:v>1.3587699316628701</c:v>
                </c:pt>
                <c:pt idx="4">
                  <c:v>4.9375</c:v>
                </c:pt>
                <c:pt idx="5">
                  <c:v>2.3611111111111112</c:v>
                </c:pt>
                <c:pt idx="6">
                  <c:v>1.2522522522522521</c:v>
                </c:pt>
                <c:pt idx="7">
                  <c:v>1.8849431818181817</c:v>
                </c:pt>
                <c:pt idx="8">
                  <c:v>1.6428571428571428</c:v>
                </c:pt>
                <c:pt idx="9">
                  <c:v>1.2641509433962264</c:v>
                </c:pt>
                <c:pt idx="10">
                  <c:v>1.3610081032825161</c:v>
                </c:pt>
                <c:pt idx="11">
                  <c:v>1</c:v>
                </c:pt>
                <c:pt idx="12">
                  <c:v>1.451494080060139</c:v>
                </c:pt>
                <c:pt idx="13">
                  <c:v>1.3952568607645359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6-4090-94FA-907DDC91A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8.xml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9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2.xml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5.xml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9.xml"/><Relationship Id="rId1" Type="http://schemas.openxmlformats.org/officeDocument/2006/relationships/chart" Target="../charts/chart36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3.xml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4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18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4288C-96E9-4DF0-B307-C4084919B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55555E-2C11-4AE1-A1D0-11E1A527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D5D72D-DD1A-4196-81D0-FE78BF71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3D8381-0130-405E-9525-77D5B7CC4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FB8EC0-7757-473B-B4A5-93F2285D8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63D193-BE74-406E-87F4-9E95F242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A351B7-9A3D-4F90-BE29-5D81953F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A0A5BF-49BA-4A12-9B8E-180E6A42F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64FF3C-A5A6-4A92-84A6-FC0F8FA3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BEE7F9-6832-4870-AEB6-5BAA050B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28FDD409-E27E-4702-BD99-3F8EED50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570E45-E5A0-4FDA-9FA4-89FF326E7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C9BF9EE-AD3E-46C5-B649-0C202CDEF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CF3857-2B04-478E-8C51-7E9B16321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F6486D-F6BF-4608-8022-BB5CE3E2D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84F6F5C-F85D-4A52-86C4-548B46186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27</xdr:col>
      <xdr:colOff>666749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58</xdr:row>
      <xdr:rowOff>15874</xdr:rowOff>
    </xdr:from>
    <xdr:to>
      <xdr:col>29</xdr:col>
      <xdr:colOff>682626</xdr:colOff>
      <xdr:row>71</xdr:row>
      <xdr:rowOff>238125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15876</xdr:rowOff>
    </xdr:from>
    <xdr:to>
      <xdr:col>24</xdr:col>
      <xdr:colOff>15875</xdr:colOff>
      <xdr:row>71</xdr:row>
      <xdr:rowOff>222250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41</xdr:row>
      <xdr:rowOff>276224</xdr:rowOff>
    </xdr:from>
    <xdr:to>
      <xdr:col>27</xdr:col>
      <xdr:colOff>682625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59</xdr:row>
      <xdr:rowOff>9525</xdr:rowOff>
    </xdr:from>
    <xdr:to>
      <xdr:col>23</xdr:col>
      <xdr:colOff>698500</xdr:colOff>
      <xdr:row>74</xdr:row>
      <xdr:rowOff>36500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15874</xdr:rowOff>
    </xdr:from>
    <xdr:to>
      <xdr:col>30</xdr:col>
      <xdr:colOff>698500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23</xdr:col>
      <xdr:colOff>650874</xdr:colOff>
      <xdr:row>74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31750</xdr:colOff>
      <xdr:row>74</xdr:row>
      <xdr:rowOff>269875</xdr:rowOff>
    </xdr:from>
    <xdr:to>
      <xdr:col>23</xdr:col>
      <xdr:colOff>666749</xdr:colOff>
      <xdr:row>91</xdr:row>
      <xdr:rowOff>222251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28</xdr:col>
      <xdr:colOff>15876</xdr:colOff>
      <xdr:row>58</xdr:row>
      <xdr:rowOff>31751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666749</xdr:colOff>
      <xdr:row>59</xdr:row>
      <xdr:rowOff>0</xdr:rowOff>
    </xdr:from>
    <xdr:to>
      <xdr:col>30</xdr:col>
      <xdr:colOff>666749</xdr:colOff>
      <xdr:row>74</xdr:row>
      <xdr:rowOff>238125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682624</xdr:colOff>
      <xdr:row>74</xdr:row>
      <xdr:rowOff>254001</xdr:rowOff>
    </xdr:from>
    <xdr:to>
      <xdr:col>30</xdr:col>
      <xdr:colOff>666750</xdr:colOff>
      <xdr:row>91</xdr:row>
      <xdr:rowOff>190500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F14" sqref="F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55" t="str">
        <f>'26.10 MUTUKULA-MASAKA-24HR'!G5:H5</f>
        <v>MUTUKULA</v>
      </c>
      <c r="H5" s="56"/>
      <c r="I5" s="14"/>
      <c r="J5" s="2" t="s">
        <v>5</v>
      </c>
      <c r="K5" s="55" t="s">
        <v>165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 Masaka-Mutukula'!D6:E6</f>
        <v>MASAKA</v>
      </c>
      <c r="E6" s="56"/>
      <c r="F6" s="2" t="s">
        <v>2</v>
      </c>
      <c r="G6" s="55" t="str">
        <f>'31.10 Masaka-Mutukula'!G6:H6</f>
        <v>MUTUKULA</v>
      </c>
      <c r="H6" s="56"/>
      <c r="J6" s="2" t="s">
        <v>21</v>
      </c>
      <c r="K6" s="55" t="str">
        <f>'26.10 MUTUKULA-MASAKA-24HR'!K6:L6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12</v>
      </c>
      <c r="T10" s="17">
        <f t="shared" si="2"/>
        <v>0</v>
      </c>
      <c r="U10" s="17">
        <f t="shared" si="2"/>
        <v>0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42</v>
      </c>
      <c r="AD10" s="17">
        <f t="shared" si="2"/>
        <v>0</v>
      </c>
      <c r="AE10" s="31">
        <f t="shared" si="2"/>
        <v>24</v>
      </c>
      <c r="AF10" s="31">
        <f t="shared" si="2"/>
        <v>66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8</v>
      </c>
      <c r="P11" s="15">
        <f t="shared" si="1"/>
        <v>23</v>
      </c>
      <c r="R11" s="1" t="s">
        <v>7</v>
      </c>
      <c r="S11" s="17">
        <f t="shared" ref="S11:AF11" si="3">SUM(C14:C17)</f>
        <v>24</v>
      </c>
      <c r="T11" s="17">
        <f t="shared" si="3"/>
        <v>0</v>
      </c>
      <c r="U11" s="17">
        <f t="shared" si="3"/>
        <v>0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0</v>
      </c>
      <c r="AA11" s="17">
        <f t="shared" si="3"/>
        <v>3</v>
      </c>
      <c r="AB11" s="17">
        <f t="shared" si="3"/>
        <v>0</v>
      </c>
      <c r="AC11" s="17">
        <f t="shared" si="3"/>
        <v>82</v>
      </c>
      <c r="AD11" s="17">
        <f t="shared" si="3"/>
        <v>0</v>
      </c>
      <c r="AE11" s="31">
        <f t="shared" si="3"/>
        <v>44</v>
      </c>
      <c r="AF11" s="31">
        <f t="shared" si="3"/>
        <v>126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8</v>
      </c>
      <c r="N12" s="50">
        <v>0</v>
      </c>
      <c r="O12" s="15">
        <f t="shared" si="0"/>
        <v>5</v>
      </c>
      <c r="P12" s="15">
        <f t="shared" si="1"/>
        <v>13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1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61</v>
      </c>
      <c r="AD12" s="17">
        <f t="shared" si="4"/>
        <v>0</v>
      </c>
      <c r="AE12" s="31">
        <f t="shared" si="4"/>
        <v>24</v>
      </c>
      <c r="AF12" s="31">
        <f t="shared" si="4"/>
        <v>85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6</v>
      </c>
      <c r="P13" s="15">
        <f t="shared" si="1"/>
        <v>18</v>
      </c>
      <c r="R13" s="1" t="s">
        <v>9</v>
      </c>
      <c r="S13" s="17">
        <f t="shared" ref="S13:AF13" si="5">SUM(C22:C25)</f>
        <v>13</v>
      </c>
      <c r="T13" s="17">
        <f t="shared" si="5"/>
        <v>2</v>
      </c>
      <c r="U13" s="17">
        <f t="shared" si="5"/>
        <v>0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74</v>
      </c>
      <c r="AD13" s="17">
        <f t="shared" si="5"/>
        <v>0</v>
      </c>
      <c r="AE13" s="31">
        <f t="shared" si="5"/>
        <v>38</v>
      </c>
      <c r="AF13" s="31">
        <f t="shared" si="5"/>
        <v>112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9</v>
      </c>
      <c r="P14" s="15">
        <f t="shared" si="1"/>
        <v>34</v>
      </c>
      <c r="R14" s="1" t="s">
        <v>10</v>
      </c>
      <c r="S14" s="17">
        <f t="shared" ref="S14:AF14" si="6">SUM(C26:C29)</f>
        <v>12</v>
      </c>
      <c r="T14" s="17">
        <f t="shared" si="6"/>
        <v>0</v>
      </c>
      <c r="U14" s="17">
        <f t="shared" si="6"/>
        <v>1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63</v>
      </c>
      <c r="AD14" s="17">
        <f t="shared" si="6"/>
        <v>0</v>
      </c>
      <c r="AE14" s="31">
        <f t="shared" si="6"/>
        <v>26</v>
      </c>
      <c r="AF14" s="31">
        <f t="shared" si="6"/>
        <v>89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20</v>
      </c>
      <c r="N15" s="50">
        <v>0</v>
      </c>
      <c r="O15" s="15">
        <f t="shared" si="0"/>
        <v>12</v>
      </c>
      <c r="P15" s="15">
        <f t="shared" si="1"/>
        <v>32</v>
      </c>
      <c r="R15" s="1" t="s">
        <v>11</v>
      </c>
      <c r="S15" s="17">
        <f t="shared" ref="S15:AF15" si="7">SUM(C30:C33)</f>
        <v>9</v>
      </c>
      <c r="T15" s="17">
        <f t="shared" si="7"/>
        <v>0</v>
      </c>
      <c r="U15" s="17">
        <f t="shared" si="7"/>
        <v>1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57</v>
      </c>
      <c r="AD15" s="17">
        <f t="shared" si="7"/>
        <v>0</v>
      </c>
      <c r="AE15" s="31">
        <f t="shared" si="7"/>
        <v>23</v>
      </c>
      <c r="AF15" s="31">
        <f t="shared" si="7"/>
        <v>80</v>
      </c>
    </row>
    <row r="16" spans="2:32" ht="23.1" customHeight="1" x14ac:dyDescent="0.25">
      <c r="B16" s="23" t="s">
        <v>43</v>
      </c>
      <c r="C16" s="50">
        <v>7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21</v>
      </c>
      <c r="N16" s="50">
        <v>0</v>
      </c>
      <c r="O16" s="15">
        <f t="shared" si="0"/>
        <v>12</v>
      </c>
      <c r="P16" s="15">
        <f t="shared" si="1"/>
        <v>33</v>
      </c>
      <c r="R16" s="1" t="s">
        <v>12</v>
      </c>
      <c r="S16" s="17">
        <f t="shared" ref="S16:AF16" si="8">SUM(C34:C37)</f>
        <v>13</v>
      </c>
      <c r="T16" s="17">
        <f t="shared" si="8"/>
        <v>0</v>
      </c>
      <c r="U16" s="17">
        <f t="shared" si="8"/>
        <v>0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3</v>
      </c>
      <c r="AB16" s="17">
        <f t="shared" si="8"/>
        <v>0</v>
      </c>
      <c r="AC16" s="17">
        <f t="shared" si="8"/>
        <v>63</v>
      </c>
      <c r="AD16" s="17">
        <f t="shared" si="8"/>
        <v>0</v>
      </c>
      <c r="AE16" s="31">
        <f t="shared" si="8"/>
        <v>27</v>
      </c>
      <c r="AF16" s="31">
        <f t="shared" si="8"/>
        <v>90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2</v>
      </c>
      <c r="L17" s="50">
        <v>0</v>
      </c>
      <c r="M17" s="50">
        <v>16</v>
      </c>
      <c r="N17" s="50">
        <v>0</v>
      </c>
      <c r="O17" s="15">
        <f t="shared" si="0"/>
        <v>11</v>
      </c>
      <c r="P17" s="15">
        <f t="shared" si="1"/>
        <v>27</v>
      </c>
      <c r="R17" s="1" t="s">
        <v>13</v>
      </c>
      <c r="S17" s="17">
        <f t="shared" ref="S17:AF17" si="9">SUM(C38:C41)</f>
        <v>16</v>
      </c>
      <c r="T17" s="17">
        <f t="shared" si="9"/>
        <v>0</v>
      </c>
      <c r="U17" s="17">
        <f t="shared" si="9"/>
        <v>42</v>
      </c>
      <c r="V17" s="17">
        <f t="shared" si="9"/>
        <v>11</v>
      </c>
      <c r="W17" s="17">
        <f t="shared" si="9"/>
        <v>0</v>
      </c>
      <c r="X17" s="17">
        <f t="shared" si="9"/>
        <v>1</v>
      </c>
      <c r="Y17" s="17">
        <f t="shared" si="9"/>
        <v>4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52</v>
      </c>
      <c r="AD17" s="17">
        <f t="shared" si="9"/>
        <v>0</v>
      </c>
      <c r="AE17" s="31">
        <f t="shared" si="9"/>
        <v>76</v>
      </c>
      <c r="AF17" s="31">
        <f t="shared" si="9"/>
        <v>128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8</v>
      </c>
      <c r="P18" s="15">
        <f t="shared" si="1"/>
        <v>19</v>
      </c>
      <c r="R18" s="1" t="s">
        <v>14</v>
      </c>
      <c r="S18" s="17">
        <f t="shared" ref="S18:AF18" si="10">SUM(C42:C45)</f>
        <v>13</v>
      </c>
      <c r="T18" s="17">
        <f t="shared" si="10"/>
        <v>0</v>
      </c>
      <c r="U18" s="17">
        <f t="shared" si="10"/>
        <v>5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66</v>
      </c>
      <c r="AD18" s="17">
        <f t="shared" si="10"/>
        <v>0</v>
      </c>
      <c r="AE18" s="31">
        <f t="shared" si="10"/>
        <v>40</v>
      </c>
      <c r="AF18" s="31">
        <f t="shared" si="10"/>
        <v>106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3</v>
      </c>
      <c r="G19" s="50">
        <v>0</v>
      </c>
      <c r="H19" s="50">
        <v>0</v>
      </c>
      <c r="I19" s="50">
        <v>1</v>
      </c>
      <c r="J19" s="50">
        <v>2</v>
      </c>
      <c r="K19" s="50">
        <v>1</v>
      </c>
      <c r="L19" s="50">
        <v>0</v>
      </c>
      <c r="M19" s="50">
        <v>14</v>
      </c>
      <c r="N19" s="50">
        <v>0</v>
      </c>
      <c r="O19" s="15">
        <f t="shared" si="0"/>
        <v>11</v>
      </c>
      <c r="P19" s="15">
        <f t="shared" si="1"/>
        <v>25</v>
      </c>
      <c r="R19" s="1" t="s">
        <v>15</v>
      </c>
      <c r="S19" s="17">
        <f t="shared" ref="S19:AF19" si="11">SUM(C46:C49)</f>
        <v>9</v>
      </c>
      <c r="T19" s="17">
        <f t="shared" si="11"/>
        <v>2</v>
      </c>
      <c r="U19" s="17">
        <f t="shared" si="11"/>
        <v>1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73</v>
      </c>
      <c r="AD19" s="17">
        <f t="shared" si="11"/>
        <v>0</v>
      </c>
      <c r="AE19" s="31">
        <f t="shared" si="11"/>
        <v>26</v>
      </c>
      <c r="AF19" s="31">
        <f t="shared" si="11"/>
        <v>99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4</v>
      </c>
      <c r="P20" s="15">
        <f t="shared" si="1"/>
        <v>21</v>
      </c>
      <c r="R20" s="1" t="s">
        <v>16</v>
      </c>
      <c r="S20" s="17">
        <f t="shared" ref="S20:AF20" si="12">SUM(C50:C53)</f>
        <v>18</v>
      </c>
      <c r="T20" s="17">
        <f t="shared" si="12"/>
        <v>0</v>
      </c>
      <c r="U20" s="17">
        <f t="shared" si="12"/>
        <v>2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5</v>
      </c>
      <c r="AB20" s="17">
        <f t="shared" si="12"/>
        <v>0</v>
      </c>
      <c r="AC20" s="17">
        <f t="shared" si="12"/>
        <v>60</v>
      </c>
      <c r="AD20" s="17">
        <f t="shared" si="12"/>
        <v>0</v>
      </c>
      <c r="AE20" s="31">
        <f t="shared" si="12"/>
        <v>38</v>
      </c>
      <c r="AF20" s="31">
        <f t="shared" si="12"/>
        <v>98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1</v>
      </c>
      <c r="P21" s="15">
        <f t="shared" si="1"/>
        <v>20</v>
      </c>
      <c r="R21" s="36" t="s">
        <v>20</v>
      </c>
      <c r="S21" s="34">
        <f t="shared" ref="S21:AF21" si="13">SUM(C54:C57)</f>
        <v>25</v>
      </c>
      <c r="T21" s="17">
        <f t="shared" si="13"/>
        <v>1</v>
      </c>
      <c r="U21" s="17">
        <f t="shared" si="13"/>
        <v>4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5</v>
      </c>
      <c r="AB21" s="17">
        <f t="shared" si="13"/>
        <v>0</v>
      </c>
      <c r="AC21" s="17">
        <f t="shared" si="13"/>
        <v>88</v>
      </c>
      <c r="AD21" s="17">
        <f t="shared" si="13"/>
        <v>0</v>
      </c>
      <c r="AE21" s="31">
        <f t="shared" si="13"/>
        <v>44</v>
      </c>
      <c r="AF21" s="31">
        <f t="shared" si="13"/>
        <v>132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4</v>
      </c>
      <c r="J22" s="50">
        <v>0</v>
      </c>
      <c r="K22" s="50">
        <v>1</v>
      </c>
      <c r="L22" s="50">
        <v>0</v>
      </c>
      <c r="M22" s="50">
        <v>21</v>
      </c>
      <c r="N22" s="50">
        <v>0</v>
      </c>
      <c r="O22" s="15">
        <f t="shared" si="0"/>
        <v>10</v>
      </c>
      <c r="P22" s="15">
        <f t="shared" si="1"/>
        <v>31</v>
      </c>
      <c r="R22" s="38" t="s">
        <v>90</v>
      </c>
      <c r="S22" s="39">
        <f>MAX(S10:S12)</f>
        <v>24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11</v>
      </c>
      <c r="Z22" s="39">
        <f t="shared" si="14"/>
        <v>2</v>
      </c>
      <c r="AA22" s="39">
        <f t="shared" si="14"/>
        <v>3</v>
      </c>
      <c r="AB22" s="39">
        <f t="shared" si="14"/>
        <v>0</v>
      </c>
      <c r="AC22" s="39">
        <f t="shared" si="14"/>
        <v>82</v>
      </c>
      <c r="AD22" s="39">
        <f t="shared" si="14"/>
        <v>0</v>
      </c>
      <c r="AE22" s="40">
        <f t="shared" si="14"/>
        <v>44</v>
      </c>
      <c r="AF22" s="40">
        <f t="shared" si="14"/>
        <v>126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7</v>
      </c>
      <c r="P23" s="15">
        <f t="shared" si="1"/>
        <v>16</v>
      </c>
      <c r="R23" s="38" t="s">
        <v>91</v>
      </c>
      <c r="S23" s="39">
        <f>MAX(S13:S18)</f>
        <v>16</v>
      </c>
      <c r="T23" s="39">
        <f t="shared" ref="T23:AF23" si="15">MAX(T13:T18)</f>
        <v>2</v>
      </c>
      <c r="U23" s="39">
        <f t="shared" si="15"/>
        <v>42</v>
      </c>
      <c r="V23" s="39">
        <f t="shared" si="15"/>
        <v>11</v>
      </c>
      <c r="W23" s="39">
        <f t="shared" si="15"/>
        <v>0</v>
      </c>
      <c r="X23" s="39">
        <f t="shared" si="15"/>
        <v>1</v>
      </c>
      <c r="Y23" s="39">
        <f t="shared" si="15"/>
        <v>13</v>
      </c>
      <c r="Z23" s="39">
        <f t="shared" si="15"/>
        <v>2</v>
      </c>
      <c r="AA23" s="39">
        <f t="shared" si="15"/>
        <v>3</v>
      </c>
      <c r="AB23" s="39">
        <f t="shared" si="15"/>
        <v>0</v>
      </c>
      <c r="AC23" s="39">
        <f t="shared" si="15"/>
        <v>74</v>
      </c>
      <c r="AD23" s="39">
        <f t="shared" si="15"/>
        <v>0</v>
      </c>
      <c r="AE23" s="40">
        <f t="shared" si="15"/>
        <v>76</v>
      </c>
      <c r="AF23" s="40">
        <f t="shared" si="15"/>
        <v>128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0</v>
      </c>
      <c r="F24" s="50">
        <v>3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10</v>
      </c>
      <c r="P24" s="15">
        <f t="shared" si="1"/>
        <v>29</v>
      </c>
      <c r="R24" s="38" t="s">
        <v>92</v>
      </c>
      <c r="S24" s="39">
        <f>MAX(S19:S21)</f>
        <v>25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7</v>
      </c>
      <c r="W24" s="39">
        <f t="shared" si="16"/>
        <v>0</v>
      </c>
      <c r="X24" s="39">
        <f t="shared" si="16"/>
        <v>0</v>
      </c>
      <c r="Y24" s="39">
        <f t="shared" si="16"/>
        <v>6</v>
      </c>
      <c r="Z24" s="39">
        <f t="shared" si="16"/>
        <v>4</v>
      </c>
      <c r="AA24" s="39">
        <f t="shared" si="16"/>
        <v>5</v>
      </c>
      <c r="AB24" s="39">
        <f t="shared" si="16"/>
        <v>0</v>
      </c>
      <c r="AC24" s="39">
        <f t="shared" si="16"/>
        <v>88</v>
      </c>
      <c r="AD24" s="39">
        <f t="shared" si="16"/>
        <v>0</v>
      </c>
      <c r="AE24" s="40">
        <f t="shared" si="16"/>
        <v>44</v>
      </c>
      <c r="AF24" s="40">
        <f t="shared" si="16"/>
        <v>132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25</v>
      </c>
      <c r="N25" s="50">
        <v>0</v>
      </c>
      <c r="O25" s="15">
        <f t="shared" si="0"/>
        <v>11</v>
      </c>
      <c r="P25" s="15">
        <f t="shared" si="1"/>
        <v>36</v>
      </c>
      <c r="R25" s="37" t="s">
        <v>85</v>
      </c>
      <c r="S25" s="35">
        <f t="shared" ref="S25:AF25" si="17">SUM(S10:S12)</f>
        <v>44</v>
      </c>
      <c r="T25" s="16">
        <f t="shared" si="17"/>
        <v>0</v>
      </c>
      <c r="U25" s="16">
        <f t="shared" si="17"/>
        <v>1</v>
      </c>
      <c r="V25" s="16">
        <f t="shared" si="17"/>
        <v>19</v>
      </c>
      <c r="W25" s="16">
        <f t="shared" si="17"/>
        <v>0</v>
      </c>
      <c r="X25" s="16">
        <f t="shared" si="17"/>
        <v>0</v>
      </c>
      <c r="Y25" s="16">
        <f t="shared" si="17"/>
        <v>21</v>
      </c>
      <c r="Z25" s="16">
        <f t="shared" si="17"/>
        <v>2</v>
      </c>
      <c r="AA25" s="16">
        <f t="shared" si="17"/>
        <v>5</v>
      </c>
      <c r="AB25" s="16">
        <f t="shared" si="17"/>
        <v>0</v>
      </c>
      <c r="AC25" s="16">
        <f t="shared" si="17"/>
        <v>185</v>
      </c>
      <c r="AD25" s="16">
        <f t="shared" si="17"/>
        <v>0</v>
      </c>
      <c r="AE25" s="32">
        <f t="shared" si="17"/>
        <v>92</v>
      </c>
      <c r="AF25" s="32">
        <f t="shared" si="17"/>
        <v>277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5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6</v>
      </c>
      <c r="P26" s="15">
        <f t="shared" si="1"/>
        <v>21</v>
      </c>
      <c r="R26" s="28" t="s">
        <v>86</v>
      </c>
      <c r="S26" s="16">
        <f t="shared" ref="S26:AF26" si="18">SUM(S13:S18)</f>
        <v>76</v>
      </c>
      <c r="T26" s="16">
        <f t="shared" si="18"/>
        <v>2</v>
      </c>
      <c r="U26" s="16">
        <f t="shared" si="18"/>
        <v>49</v>
      </c>
      <c r="V26" s="16">
        <f t="shared" si="18"/>
        <v>51</v>
      </c>
      <c r="W26" s="16">
        <f t="shared" si="18"/>
        <v>0</v>
      </c>
      <c r="X26" s="16">
        <f t="shared" si="18"/>
        <v>1</v>
      </c>
      <c r="Y26" s="16">
        <f t="shared" si="18"/>
        <v>38</v>
      </c>
      <c r="Z26" s="16">
        <f t="shared" si="18"/>
        <v>5</v>
      </c>
      <c r="AA26" s="16">
        <f t="shared" si="18"/>
        <v>8</v>
      </c>
      <c r="AB26" s="16">
        <f t="shared" si="18"/>
        <v>0</v>
      </c>
      <c r="AC26" s="16">
        <f t="shared" si="18"/>
        <v>375</v>
      </c>
      <c r="AD26" s="16">
        <f t="shared" si="18"/>
        <v>0</v>
      </c>
      <c r="AE26" s="32">
        <f t="shared" si="18"/>
        <v>230</v>
      </c>
      <c r="AF26" s="32">
        <f t="shared" si="18"/>
        <v>605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6</v>
      </c>
      <c r="P27" s="15">
        <f t="shared" si="1"/>
        <v>24</v>
      </c>
      <c r="R27" s="29" t="s">
        <v>87</v>
      </c>
      <c r="S27" s="16">
        <f t="shared" ref="S27:AF27" si="19">SUM(S19:S21)</f>
        <v>52</v>
      </c>
      <c r="T27" s="16">
        <f t="shared" si="19"/>
        <v>3</v>
      </c>
      <c r="U27" s="16">
        <f t="shared" si="19"/>
        <v>7</v>
      </c>
      <c r="V27" s="16">
        <f t="shared" si="19"/>
        <v>19</v>
      </c>
      <c r="W27" s="16">
        <f t="shared" si="19"/>
        <v>0</v>
      </c>
      <c r="X27" s="16">
        <f t="shared" si="19"/>
        <v>0</v>
      </c>
      <c r="Y27" s="16">
        <f t="shared" si="19"/>
        <v>12</v>
      </c>
      <c r="Z27" s="16">
        <f t="shared" si="19"/>
        <v>5</v>
      </c>
      <c r="AA27" s="16">
        <f t="shared" si="19"/>
        <v>10</v>
      </c>
      <c r="AB27" s="16">
        <f t="shared" si="19"/>
        <v>0</v>
      </c>
      <c r="AC27" s="16">
        <f t="shared" si="19"/>
        <v>221</v>
      </c>
      <c r="AD27" s="16">
        <f t="shared" si="19"/>
        <v>0</v>
      </c>
      <c r="AE27" s="32">
        <f t="shared" si="19"/>
        <v>108</v>
      </c>
      <c r="AF27" s="32">
        <f t="shared" si="19"/>
        <v>329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7</v>
      </c>
      <c r="P28" s="15">
        <f t="shared" si="1"/>
        <v>21</v>
      </c>
      <c r="R28" s="5" t="s">
        <v>17</v>
      </c>
      <c r="S28" s="16">
        <f t="shared" ref="S28:AF28" si="20">SUM(S10:S21)</f>
        <v>172</v>
      </c>
      <c r="T28" s="16">
        <f t="shared" si="20"/>
        <v>5</v>
      </c>
      <c r="U28" s="16">
        <f t="shared" si="20"/>
        <v>57</v>
      </c>
      <c r="V28" s="16">
        <f t="shared" si="20"/>
        <v>89</v>
      </c>
      <c r="W28" s="16">
        <f t="shared" si="20"/>
        <v>0</v>
      </c>
      <c r="X28" s="16">
        <f t="shared" si="20"/>
        <v>1</v>
      </c>
      <c r="Y28" s="16">
        <f t="shared" si="20"/>
        <v>71</v>
      </c>
      <c r="Z28" s="16">
        <f t="shared" si="20"/>
        <v>12</v>
      </c>
      <c r="AA28" s="16">
        <f t="shared" si="20"/>
        <v>23</v>
      </c>
      <c r="AB28" s="16">
        <f t="shared" si="20"/>
        <v>0</v>
      </c>
      <c r="AC28" s="16">
        <f t="shared" si="20"/>
        <v>781</v>
      </c>
      <c r="AD28" s="16">
        <f t="shared" si="20"/>
        <v>0</v>
      </c>
      <c r="AE28" s="32">
        <f t="shared" si="20"/>
        <v>430</v>
      </c>
      <c r="AF28" s="32">
        <f t="shared" si="20"/>
        <v>1211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7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8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5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5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5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0</v>
      </c>
      <c r="F34" s="50">
        <v>5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30</v>
      </c>
      <c r="N34" s="50">
        <v>0</v>
      </c>
      <c r="O34" s="15">
        <f t="shared" si="0"/>
        <v>12</v>
      </c>
      <c r="P34" s="15">
        <f t="shared" si="1"/>
        <v>42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3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2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2</v>
      </c>
      <c r="L37" s="50">
        <v>0</v>
      </c>
      <c r="M37" s="50">
        <v>11</v>
      </c>
      <c r="N37" s="50">
        <v>0</v>
      </c>
      <c r="O37" s="15">
        <f t="shared" si="0"/>
        <v>10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14</v>
      </c>
      <c r="N38" s="50">
        <v>0</v>
      </c>
      <c r="O38" s="15">
        <f t="shared" si="0"/>
        <v>10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10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3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7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42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20</v>
      </c>
      <c r="N41" s="50">
        <v>0</v>
      </c>
      <c r="O41" s="15">
        <f t="shared" si="0"/>
        <v>49</v>
      </c>
      <c r="P41" s="15">
        <f t="shared" si="1"/>
        <v>69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9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4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8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5</v>
      </c>
      <c r="G44" s="50">
        <v>0</v>
      </c>
      <c r="H44" s="50">
        <v>0</v>
      </c>
      <c r="I44" s="50">
        <v>7</v>
      </c>
      <c r="J44" s="50">
        <v>1</v>
      </c>
      <c r="K44" s="50">
        <v>2</v>
      </c>
      <c r="L44" s="50">
        <v>0</v>
      </c>
      <c r="M44" s="50">
        <v>20</v>
      </c>
      <c r="N44" s="50">
        <v>0</v>
      </c>
      <c r="O44" s="15">
        <f t="shared" si="0"/>
        <v>18</v>
      </c>
      <c r="P44" s="15">
        <f t="shared" si="1"/>
        <v>38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20</v>
      </c>
      <c r="N45" s="50">
        <v>0</v>
      </c>
      <c r="O45" s="15">
        <f t="shared" si="0"/>
        <v>5</v>
      </c>
      <c r="P45" s="15">
        <f t="shared" si="1"/>
        <v>25</v>
      </c>
    </row>
    <row r="46" spans="2:20" ht="23.1" customHeight="1" x14ac:dyDescent="0.25">
      <c r="B46" s="24" t="s">
        <v>73</v>
      </c>
      <c r="C46" s="50">
        <v>2</v>
      </c>
      <c r="D46" s="50">
        <v>2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7</v>
      </c>
      <c r="P46" s="15">
        <f t="shared" si="1"/>
        <v>23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6</v>
      </c>
      <c r="P47" s="15">
        <f t="shared" si="1"/>
        <v>27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6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7</v>
      </c>
      <c r="P49" s="15">
        <f t="shared" si="1"/>
        <v>27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2</v>
      </c>
      <c r="L50" s="50">
        <v>0</v>
      </c>
      <c r="M50" s="50">
        <v>16</v>
      </c>
      <c r="N50" s="50">
        <v>0</v>
      </c>
      <c r="O50" s="15">
        <f t="shared" si="0"/>
        <v>6</v>
      </c>
      <c r="P50" s="15">
        <f t="shared" si="1"/>
        <v>22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/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1</v>
      </c>
      <c r="L51" s="50">
        <v>0</v>
      </c>
      <c r="M51" s="50">
        <v>18</v>
      </c>
      <c r="N51" s="50">
        <v>0</v>
      </c>
      <c r="O51" s="15">
        <f t="shared" si="0"/>
        <v>11</v>
      </c>
      <c r="P51" s="15">
        <f t="shared" si="1"/>
        <v>29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4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0</v>
      </c>
      <c r="M52" s="50">
        <v>13</v>
      </c>
      <c r="N52" s="50">
        <v>0</v>
      </c>
      <c r="O52" s="15">
        <f t="shared" si="0"/>
        <v>10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13</v>
      </c>
      <c r="N53" s="50">
        <v>0</v>
      </c>
      <c r="O53" s="15">
        <f t="shared" si="0"/>
        <v>11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17</v>
      </c>
      <c r="N54" s="50">
        <v>0</v>
      </c>
      <c r="O54" s="15">
        <f t="shared" si="0"/>
        <v>9</v>
      </c>
      <c r="P54" s="15">
        <f t="shared" si="1"/>
        <v>26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2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2</v>
      </c>
      <c r="L55" s="50">
        <v>0</v>
      </c>
      <c r="M55" s="50">
        <v>23</v>
      </c>
      <c r="N55" s="50">
        <v>0</v>
      </c>
      <c r="O55" s="15">
        <f t="shared" si="0"/>
        <v>14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2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2</v>
      </c>
      <c r="L56" s="50">
        <v>0</v>
      </c>
      <c r="M56" s="50">
        <v>23</v>
      </c>
      <c r="N56" s="50">
        <v>0</v>
      </c>
      <c r="O56" s="15">
        <f t="shared" si="0"/>
        <v>12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25</v>
      </c>
      <c r="N57" s="50">
        <v>0</v>
      </c>
      <c r="O57" s="15">
        <f t="shared" si="0"/>
        <v>9</v>
      </c>
      <c r="P57" s="15">
        <f t="shared" si="1"/>
        <v>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172</v>
      </c>
      <c r="D58" s="16">
        <f t="shared" si="21"/>
        <v>5</v>
      </c>
      <c r="E58" s="16">
        <f t="shared" si="21"/>
        <v>57</v>
      </c>
      <c r="F58" s="16">
        <f t="shared" si="21"/>
        <v>89</v>
      </c>
      <c r="G58" s="16">
        <f t="shared" si="21"/>
        <v>0</v>
      </c>
      <c r="H58" s="16">
        <f t="shared" si="21"/>
        <v>1</v>
      </c>
      <c r="I58" s="16">
        <f t="shared" si="21"/>
        <v>71</v>
      </c>
      <c r="J58" s="16">
        <f t="shared" si="21"/>
        <v>12</v>
      </c>
      <c r="K58" s="16">
        <f t="shared" si="21"/>
        <v>23</v>
      </c>
      <c r="L58" s="16">
        <f t="shared" si="21"/>
        <v>0</v>
      </c>
      <c r="M58" s="16">
        <f t="shared" si="21"/>
        <v>781</v>
      </c>
      <c r="N58" s="16">
        <f t="shared" si="21"/>
        <v>0</v>
      </c>
      <c r="O58" s="16">
        <f t="shared" si="21"/>
        <v>430</v>
      </c>
      <c r="P58" s="16">
        <f t="shared" si="21"/>
        <v>1211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0.14203137902559868</v>
      </c>
      <c r="D59" s="43">
        <f t="shared" si="22"/>
        <v>4.1288191577208916E-3</v>
      </c>
      <c r="E59" s="43">
        <f t="shared" si="22"/>
        <v>4.7068538398018167E-2</v>
      </c>
      <c r="F59" s="43">
        <f t="shared" si="22"/>
        <v>7.3492981007431873E-2</v>
      </c>
      <c r="G59" s="43">
        <f t="shared" si="22"/>
        <v>0</v>
      </c>
      <c r="H59" s="43">
        <f t="shared" si="22"/>
        <v>8.2576383154417832E-4</v>
      </c>
      <c r="I59" s="43">
        <f t="shared" si="22"/>
        <v>5.8629232039636665E-2</v>
      </c>
      <c r="J59" s="43">
        <f t="shared" si="22"/>
        <v>9.9091659785301399E-3</v>
      </c>
      <c r="K59" s="43">
        <f t="shared" si="22"/>
        <v>1.8992568125516102E-2</v>
      </c>
      <c r="L59" s="43">
        <f t="shared" si="22"/>
        <v>0</v>
      </c>
      <c r="M59" s="43">
        <f t="shared" si="22"/>
        <v>0.64492155243600335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</v>
      </c>
      <c r="D60" s="44">
        <f t="shared" ref="D60:N60" si="23">D58/$O$58</f>
        <v>1.1627906976744186E-2</v>
      </c>
      <c r="E60" s="44">
        <f t="shared" si="23"/>
        <v>0.13255813953488371</v>
      </c>
      <c r="F60" s="44">
        <f t="shared" si="23"/>
        <v>0.2069767441860465</v>
      </c>
      <c r="G60" s="44">
        <f t="shared" si="23"/>
        <v>0</v>
      </c>
      <c r="H60" s="44">
        <f t="shared" si="23"/>
        <v>2.3255813953488372E-3</v>
      </c>
      <c r="I60" s="44">
        <f t="shared" si="23"/>
        <v>0.16511627906976745</v>
      </c>
      <c r="J60" s="44">
        <f t="shared" si="23"/>
        <v>2.7906976744186046E-2</v>
      </c>
      <c r="K60" s="44">
        <f t="shared" si="23"/>
        <v>5.3488372093023255E-2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52" sqref="C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'31.10.MUTUKULA-MASAKA'!C3:G3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55" t="s">
        <v>170</v>
      </c>
      <c r="H5" s="56"/>
      <c r="I5" s="14"/>
      <c r="J5" s="2" t="s">
        <v>5</v>
      </c>
      <c r="K5" s="55" t="s">
        <v>173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181</v>
      </c>
      <c r="E6" s="56"/>
      <c r="F6" s="2" t="s">
        <v>2</v>
      </c>
      <c r="G6" s="55" t="s">
        <v>182</v>
      </c>
      <c r="H6" s="56"/>
      <c r="J6" s="2" t="s">
        <v>21</v>
      </c>
      <c r="K6" s="55" t="s">
        <v>173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9</v>
      </c>
      <c r="T10" s="17">
        <f t="shared" si="2"/>
        <v>0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19</v>
      </c>
      <c r="AF10" s="31">
        <f t="shared" si="2"/>
        <v>48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</v>
      </c>
      <c r="P11" s="15">
        <f t="shared" si="1"/>
        <v>10</v>
      </c>
      <c r="R11" s="1" t="s">
        <v>7</v>
      </c>
      <c r="S11" s="17">
        <f t="shared" ref="S11:AF11" si="3">SUM(C14:C17)</f>
        <v>13</v>
      </c>
      <c r="T11" s="17">
        <f t="shared" si="3"/>
        <v>2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44</v>
      </c>
      <c r="AD11" s="17">
        <f t="shared" si="3"/>
        <v>0</v>
      </c>
      <c r="AE11" s="31">
        <f t="shared" si="3"/>
        <v>22</v>
      </c>
      <c r="AF11" s="31">
        <f t="shared" si="3"/>
        <v>66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6</v>
      </c>
      <c r="P12" s="15">
        <f t="shared" si="1"/>
        <v>11</v>
      </c>
      <c r="R12" s="1" t="s">
        <v>8</v>
      </c>
      <c r="S12" s="17">
        <f t="shared" ref="S12:AF12" si="4">SUM(C18:C21)</f>
        <v>7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69</v>
      </c>
      <c r="AD12" s="17">
        <f t="shared" si="4"/>
        <v>0</v>
      </c>
      <c r="AE12" s="31">
        <f t="shared" si="4"/>
        <v>17</v>
      </c>
      <c r="AF12" s="31">
        <f t="shared" si="4"/>
        <v>86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7</v>
      </c>
      <c r="P13" s="15">
        <f t="shared" si="1"/>
        <v>19</v>
      </c>
      <c r="R13" s="1" t="s">
        <v>9</v>
      </c>
      <c r="S13" s="17">
        <f t="shared" ref="S13:AF13" si="5">SUM(C22:C25)</f>
        <v>17</v>
      </c>
      <c r="T13" s="17">
        <f t="shared" si="5"/>
        <v>7</v>
      </c>
      <c r="U13" s="17">
        <f t="shared" si="5"/>
        <v>1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58</v>
      </c>
      <c r="AD13" s="17">
        <f t="shared" si="5"/>
        <v>0</v>
      </c>
      <c r="AE13" s="31">
        <f t="shared" si="5"/>
        <v>42</v>
      </c>
      <c r="AF13" s="31">
        <f t="shared" si="5"/>
        <v>100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6</v>
      </c>
      <c r="P14" s="15">
        <f t="shared" si="1"/>
        <v>19</v>
      </c>
      <c r="R14" s="1" t="s">
        <v>10</v>
      </c>
      <c r="S14" s="17">
        <f t="shared" ref="S14:AF14" si="6">SUM(C26:C29)</f>
        <v>8</v>
      </c>
      <c r="T14" s="17">
        <f t="shared" si="6"/>
        <v>1</v>
      </c>
      <c r="U14" s="17">
        <f t="shared" si="6"/>
        <v>1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1</v>
      </c>
      <c r="AB14" s="17">
        <f t="shared" si="6"/>
        <v>1</v>
      </c>
      <c r="AC14" s="17">
        <f t="shared" si="6"/>
        <v>53</v>
      </c>
      <c r="AD14" s="17">
        <f t="shared" si="6"/>
        <v>0</v>
      </c>
      <c r="AE14" s="31">
        <f t="shared" si="6"/>
        <v>24</v>
      </c>
      <c r="AF14" s="31">
        <f t="shared" si="6"/>
        <v>77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2</v>
      </c>
      <c r="P15" s="15">
        <f t="shared" si="1"/>
        <v>13</v>
      </c>
      <c r="R15" s="1" t="s">
        <v>11</v>
      </c>
      <c r="S15" s="17">
        <f t="shared" ref="S15:AF15" si="7">SUM(C30:C33)</f>
        <v>9</v>
      </c>
      <c r="T15" s="17">
        <f t="shared" si="7"/>
        <v>3</v>
      </c>
      <c r="U15" s="17">
        <f t="shared" si="7"/>
        <v>2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47</v>
      </c>
      <c r="AD15" s="17">
        <f t="shared" si="7"/>
        <v>0</v>
      </c>
      <c r="AE15" s="31">
        <f t="shared" si="7"/>
        <v>28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2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5</v>
      </c>
      <c r="P16" s="15">
        <f t="shared" si="1"/>
        <v>16</v>
      </c>
      <c r="R16" s="1" t="s">
        <v>12</v>
      </c>
      <c r="S16" s="17">
        <f t="shared" ref="S16:AF16" si="8">SUM(C34:C37)</f>
        <v>9</v>
      </c>
      <c r="T16" s="17">
        <f t="shared" si="8"/>
        <v>0</v>
      </c>
      <c r="U16" s="17">
        <f t="shared" si="8"/>
        <v>2</v>
      </c>
      <c r="V16" s="17">
        <f t="shared" si="8"/>
        <v>6</v>
      </c>
      <c r="W16" s="17">
        <f t="shared" si="8"/>
        <v>2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5</v>
      </c>
      <c r="AB16" s="17">
        <f t="shared" si="8"/>
        <v>3</v>
      </c>
      <c r="AC16" s="17">
        <f t="shared" si="8"/>
        <v>49</v>
      </c>
      <c r="AD16" s="17">
        <f t="shared" si="8"/>
        <v>0</v>
      </c>
      <c r="AE16" s="31">
        <f t="shared" si="8"/>
        <v>32</v>
      </c>
      <c r="AF16" s="31">
        <f t="shared" si="8"/>
        <v>81</v>
      </c>
    </row>
    <row r="17" spans="2:32" ht="23.1" customHeight="1" x14ac:dyDescent="0.25">
      <c r="B17" s="23" t="s">
        <v>44</v>
      </c>
      <c r="C17" s="50">
        <v>5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9</v>
      </c>
      <c r="P17" s="15">
        <f t="shared" si="1"/>
        <v>18</v>
      </c>
      <c r="R17" s="1" t="s">
        <v>13</v>
      </c>
      <c r="S17" s="17">
        <f t="shared" ref="S17:AF17" si="9">SUM(C38:C41)</f>
        <v>15</v>
      </c>
      <c r="T17" s="17">
        <f t="shared" si="9"/>
        <v>1</v>
      </c>
      <c r="U17" s="17">
        <f t="shared" si="9"/>
        <v>1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4</v>
      </c>
      <c r="AB17" s="17">
        <f t="shared" si="9"/>
        <v>0</v>
      </c>
      <c r="AC17" s="17">
        <f t="shared" si="9"/>
        <v>56</v>
      </c>
      <c r="AD17" s="17">
        <f t="shared" si="9"/>
        <v>0</v>
      </c>
      <c r="AE17" s="31">
        <f t="shared" si="9"/>
        <v>34</v>
      </c>
      <c r="AF17" s="31">
        <f t="shared" si="9"/>
        <v>90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4</v>
      </c>
      <c r="P18" s="15">
        <f t="shared" si="1"/>
        <v>14</v>
      </c>
      <c r="R18" s="1" t="s">
        <v>14</v>
      </c>
      <c r="S18" s="17">
        <f t="shared" ref="S18:AF18" si="10">SUM(C42:C45)</f>
        <v>8</v>
      </c>
      <c r="T18" s="17">
        <f t="shared" si="10"/>
        <v>2</v>
      </c>
      <c r="U18" s="17">
        <f t="shared" si="10"/>
        <v>0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6</v>
      </c>
      <c r="AA18" s="17">
        <f t="shared" si="10"/>
        <v>2</v>
      </c>
      <c r="AB18" s="17">
        <f t="shared" si="10"/>
        <v>0</v>
      </c>
      <c r="AC18" s="17">
        <f t="shared" si="10"/>
        <v>71</v>
      </c>
      <c r="AD18" s="17">
        <f t="shared" si="10"/>
        <v>0</v>
      </c>
      <c r="AE18" s="31">
        <f t="shared" si="10"/>
        <v>30</v>
      </c>
      <c r="AF18" s="31">
        <f t="shared" si="10"/>
        <v>101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1</v>
      </c>
      <c r="P19" s="15">
        <f t="shared" si="1"/>
        <v>12</v>
      </c>
      <c r="R19" s="1" t="s">
        <v>15</v>
      </c>
      <c r="S19" s="17">
        <f t="shared" ref="S19:AF19" si="11">SUM(C46:C49)</f>
        <v>10</v>
      </c>
      <c r="T19" s="17">
        <f t="shared" si="11"/>
        <v>1</v>
      </c>
      <c r="U19" s="17">
        <f t="shared" si="11"/>
        <v>1</v>
      </c>
      <c r="V19" s="17">
        <f t="shared" si="11"/>
        <v>5</v>
      </c>
      <c r="W19" s="17">
        <f t="shared" si="11"/>
        <v>1</v>
      </c>
      <c r="X19" s="17">
        <f t="shared" si="11"/>
        <v>2</v>
      </c>
      <c r="Y19" s="17">
        <f t="shared" si="11"/>
        <v>4</v>
      </c>
      <c r="Z19" s="17">
        <f t="shared" si="11"/>
        <v>8</v>
      </c>
      <c r="AA19" s="17">
        <f t="shared" si="11"/>
        <v>0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32</v>
      </c>
      <c r="AF19" s="31">
        <f t="shared" si="11"/>
        <v>89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5</v>
      </c>
      <c r="P20" s="15">
        <f t="shared" si="1"/>
        <v>21</v>
      </c>
      <c r="R20" s="1" t="s">
        <v>16</v>
      </c>
      <c r="S20" s="17">
        <f t="shared" ref="S20:AF20" si="12">SUM(C50:C53)</f>
        <v>8</v>
      </c>
      <c r="T20" s="17">
        <f t="shared" si="12"/>
        <v>1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4</v>
      </c>
      <c r="AB20" s="17">
        <f t="shared" si="12"/>
        <v>0</v>
      </c>
      <c r="AC20" s="17">
        <f t="shared" si="12"/>
        <v>70</v>
      </c>
      <c r="AD20" s="17">
        <f t="shared" si="12"/>
        <v>0</v>
      </c>
      <c r="AE20" s="31">
        <f t="shared" si="12"/>
        <v>26</v>
      </c>
      <c r="AF20" s="31">
        <f t="shared" si="12"/>
        <v>96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32</v>
      </c>
      <c r="N21" s="50">
        <v>0</v>
      </c>
      <c r="O21" s="15">
        <f t="shared" si="0"/>
        <v>7</v>
      </c>
      <c r="P21" s="15">
        <f t="shared" si="1"/>
        <v>39</v>
      </c>
      <c r="R21" s="36" t="s">
        <v>20</v>
      </c>
      <c r="S21" s="34">
        <f t="shared" ref="S21:AF21" si="13">SUM(C54:C57)</f>
        <v>10</v>
      </c>
      <c r="T21" s="17">
        <f t="shared" si="13"/>
        <v>0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8</v>
      </c>
      <c r="AA21" s="17">
        <f t="shared" si="13"/>
        <v>6</v>
      </c>
      <c r="AB21" s="17">
        <f t="shared" si="13"/>
        <v>5</v>
      </c>
      <c r="AC21" s="17">
        <f t="shared" si="13"/>
        <v>63</v>
      </c>
      <c r="AD21" s="17">
        <f t="shared" si="13"/>
        <v>0</v>
      </c>
      <c r="AE21" s="31">
        <f t="shared" si="13"/>
        <v>36</v>
      </c>
      <c r="AF21" s="31">
        <f t="shared" si="13"/>
        <v>99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10</v>
      </c>
      <c r="N22" s="50">
        <v>0</v>
      </c>
      <c r="O22" s="15">
        <f t="shared" si="0"/>
        <v>10</v>
      </c>
      <c r="P22" s="15">
        <f t="shared" si="1"/>
        <v>20</v>
      </c>
      <c r="R22" s="38" t="s">
        <v>90</v>
      </c>
      <c r="S22" s="39">
        <f>MAX(S10:S12)</f>
        <v>13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7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69</v>
      </c>
      <c r="AD22" s="39">
        <f t="shared" si="14"/>
        <v>0</v>
      </c>
      <c r="AE22" s="40">
        <f t="shared" si="14"/>
        <v>22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5</v>
      </c>
      <c r="D23" s="50">
        <v>2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10</v>
      </c>
      <c r="P23" s="15">
        <f t="shared" si="1"/>
        <v>24</v>
      </c>
      <c r="R23" s="38" t="s">
        <v>91</v>
      </c>
      <c r="S23" s="39">
        <f>MAX(S13:S18)</f>
        <v>17</v>
      </c>
      <c r="T23" s="39">
        <f t="shared" ref="T23:AF23" si="15">MAX(T13:T18)</f>
        <v>7</v>
      </c>
      <c r="U23" s="39">
        <f t="shared" si="15"/>
        <v>2</v>
      </c>
      <c r="V23" s="39">
        <f t="shared" si="15"/>
        <v>9</v>
      </c>
      <c r="W23" s="39">
        <f t="shared" si="15"/>
        <v>2</v>
      </c>
      <c r="X23" s="39">
        <f t="shared" si="15"/>
        <v>0</v>
      </c>
      <c r="Y23" s="39">
        <f t="shared" si="15"/>
        <v>6</v>
      </c>
      <c r="Z23" s="39">
        <f t="shared" si="15"/>
        <v>6</v>
      </c>
      <c r="AA23" s="39">
        <f t="shared" si="15"/>
        <v>5</v>
      </c>
      <c r="AB23" s="39">
        <f t="shared" si="15"/>
        <v>3</v>
      </c>
      <c r="AC23" s="39">
        <f t="shared" si="15"/>
        <v>71</v>
      </c>
      <c r="AD23" s="39">
        <f t="shared" si="15"/>
        <v>0</v>
      </c>
      <c r="AE23" s="40">
        <f t="shared" si="15"/>
        <v>42</v>
      </c>
      <c r="AF23" s="40">
        <f t="shared" si="15"/>
        <v>101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9</v>
      </c>
      <c r="P24" s="15">
        <f t="shared" si="1"/>
        <v>25</v>
      </c>
      <c r="R24" s="38" t="s">
        <v>92</v>
      </c>
      <c r="S24" s="39">
        <f>MAX(S19:S21)</f>
        <v>10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5</v>
      </c>
      <c r="W24" s="39">
        <f t="shared" si="16"/>
        <v>1</v>
      </c>
      <c r="X24" s="39">
        <f t="shared" si="16"/>
        <v>2</v>
      </c>
      <c r="Y24" s="39">
        <f t="shared" si="16"/>
        <v>4</v>
      </c>
      <c r="Z24" s="39">
        <f t="shared" si="16"/>
        <v>8</v>
      </c>
      <c r="AA24" s="39">
        <f t="shared" si="16"/>
        <v>6</v>
      </c>
      <c r="AB24" s="39">
        <f t="shared" si="16"/>
        <v>5</v>
      </c>
      <c r="AC24" s="39">
        <f t="shared" si="16"/>
        <v>70</v>
      </c>
      <c r="AD24" s="39">
        <f t="shared" si="16"/>
        <v>0</v>
      </c>
      <c r="AE24" s="40">
        <f t="shared" si="16"/>
        <v>36</v>
      </c>
      <c r="AF24" s="40">
        <f t="shared" si="16"/>
        <v>99</v>
      </c>
    </row>
    <row r="25" spans="2:32" ht="23.1" customHeight="1" x14ac:dyDescent="0.25">
      <c r="B25" s="23" t="s">
        <v>52</v>
      </c>
      <c r="C25" s="50">
        <v>3</v>
      </c>
      <c r="D25" s="50">
        <v>4</v>
      </c>
      <c r="E25" s="50">
        <v>0</v>
      </c>
      <c r="F25" s="50">
        <v>4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13</v>
      </c>
      <c r="P25" s="15">
        <f t="shared" si="1"/>
        <v>31</v>
      </c>
      <c r="R25" s="37" t="s">
        <v>85</v>
      </c>
      <c r="S25" s="35">
        <f t="shared" ref="S25:AF25" si="17">SUM(S10:S12)</f>
        <v>29</v>
      </c>
      <c r="T25" s="16">
        <f t="shared" si="17"/>
        <v>2</v>
      </c>
      <c r="U25" s="16">
        <f t="shared" si="17"/>
        <v>2</v>
      </c>
      <c r="V25" s="16">
        <f t="shared" si="17"/>
        <v>11</v>
      </c>
      <c r="W25" s="16">
        <f t="shared" si="17"/>
        <v>1</v>
      </c>
      <c r="X25" s="16">
        <f t="shared" si="17"/>
        <v>0</v>
      </c>
      <c r="Y25" s="16">
        <f t="shared" si="17"/>
        <v>11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142</v>
      </c>
      <c r="AD25" s="16">
        <f t="shared" si="17"/>
        <v>0</v>
      </c>
      <c r="AE25" s="32">
        <f t="shared" si="17"/>
        <v>58</v>
      </c>
      <c r="AF25" s="32">
        <f t="shared" si="17"/>
        <v>200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1</v>
      </c>
      <c r="M26" s="50">
        <v>15</v>
      </c>
      <c r="N26" s="50">
        <v>0</v>
      </c>
      <c r="O26" s="15">
        <f t="shared" si="0"/>
        <v>6</v>
      </c>
      <c r="P26" s="15">
        <f t="shared" si="1"/>
        <v>21</v>
      </c>
      <c r="R26" s="28" t="s">
        <v>86</v>
      </c>
      <c r="S26" s="16">
        <f t="shared" ref="S26:AF26" si="18">SUM(S13:S18)</f>
        <v>66</v>
      </c>
      <c r="T26" s="16">
        <f t="shared" si="18"/>
        <v>14</v>
      </c>
      <c r="U26" s="16">
        <f t="shared" si="18"/>
        <v>7</v>
      </c>
      <c r="V26" s="16">
        <f t="shared" si="18"/>
        <v>39</v>
      </c>
      <c r="W26" s="16">
        <f t="shared" si="18"/>
        <v>2</v>
      </c>
      <c r="X26" s="16">
        <f t="shared" si="18"/>
        <v>0</v>
      </c>
      <c r="Y26" s="16">
        <f t="shared" si="18"/>
        <v>28</v>
      </c>
      <c r="Z26" s="16">
        <f t="shared" si="18"/>
        <v>17</v>
      </c>
      <c r="AA26" s="16">
        <f t="shared" si="18"/>
        <v>13</v>
      </c>
      <c r="AB26" s="16">
        <f t="shared" si="18"/>
        <v>4</v>
      </c>
      <c r="AC26" s="16">
        <f t="shared" si="18"/>
        <v>334</v>
      </c>
      <c r="AD26" s="16">
        <f t="shared" si="18"/>
        <v>0</v>
      </c>
      <c r="AE26" s="32">
        <f t="shared" si="18"/>
        <v>190</v>
      </c>
      <c r="AF26" s="32">
        <f t="shared" si="18"/>
        <v>524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6</v>
      </c>
      <c r="P27" s="15">
        <f t="shared" si="1"/>
        <v>18</v>
      </c>
      <c r="R27" s="29" t="s">
        <v>87</v>
      </c>
      <c r="S27" s="16">
        <f t="shared" ref="S27:AF27" si="19">SUM(S19:S21)</f>
        <v>28</v>
      </c>
      <c r="T27" s="16">
        <f t="shared" si="19"/>
        <v>2</v>
      </c>
      <c r="U27" s="16">
        <f t="shared" si="19"/>
        <v>3</v>
      </c>
      <c r="V27" s="16">
        <f t="shared" si="19"/>
        <v>14</v>
      </c>
      <c r="W27" s="16">
        <f t="shared" si="19"/>
        <v>1</v>
      </c>
      <c r="X27" s="16">
        <f t="shared" si="19"/>
        <v>2</v>
      </c>
      <c r="Y27" s="16">
        <f t="shared" si="19"/>
        <v>10</v>
      </c>
      <c r="Z27" s="16">
        <f t="shared" si="19"/>
        <v>19</v>
      </c>
      <c r="AA27" s="16">
        <f t="shared" si="19"/>
        <v>10</v>
      </c>
      <c r="AB27" s="16">
        <f t="shared" si="19"/>
        <v>5</v>
      </c>
      <c r="AC27" s="16">
        <f t="shared" si="19"/>
        <v>190</v>
      </c>
      <c r="AD27" s="16">
        <f t="shared" si="19"/>
        <v>0</v>
      </c>
      <c r="AE27" s="32">
        <f t="shared" si="19"/>
        <v>94</v>
      </c>
      <c r="AF27" s="32">
        <f t="shared" si="19"/>
        <v>284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6</v>
      </c>
      <c r="P28" s="15">
        <f t="shared" si="1"/>
        <v>17</v>
      </c>
      <c r="R28" s="5" t="s">
        <v>17</v>
      </c>
      <c r="S28" s="16">
        <f t="shared" ref="S28:AF28" si="20">SUM(S10:S21)</f>
        <v>123</v>
      </c>
      <c r="T28" s="16">
        <f t="shared" si="20"/>
        <v>18</v>
      </c>
      <c r="U28" s="16">
        <f t="shared" si="20"/>
        <v>12</v>
      </c>
      <c r="V28" s="16">
        <f t="shared" si="20"/>
        <v>64</v>
      </c>
      <c r="W28" s="16">
        <f t="shared" si="20"/>
        <v>4</v>
      </c>
      <c r="X28" s="16">
        <f t="shared" si="20"/>
        <v>2</v>
      </c>
      <c r="Y28" s="16">
        <f t="shared" si="20"/>
        <v>49</v>
      </c>
      <c r="Z28" s="16">
        <f t="shared" si="20"/>
        <v>38</v>
      </c>
      <c r="AA28" s="16">
        <f t="shared" si="20"/>
        <v>23</v>
      </c>
      <c r="AB28" s="16">
        <f t="shared" si="20"/>
        <v>9</v>
      </c>
      <c r="AC28" s="16">
        <f t="shared" si="20"/>
        <v>666</v>
      </c>
      <c r="AD28" s="16">
        <f t="shared" si="20"/>
        <v>0</v>
      </c>
      <c r="AE28" s="32">
        <f t="shared" si="20"/>
        <v>342</v>
      </c>
      <c r="AF28" s="32">
        <f t="shared" si="20"/>
        <v>1008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6</v>
      </c>
      <c r="P29" s="15">
        <f t="shared" si="1"/>
        <v>21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2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6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8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8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6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1</v>
      </c>
      <c r="J34" s="50">
        <v>0</v>
      </c>
      <c r="K34" s="50">
        <v>2</v>
      </c>
      <c r="L34" s="50">
        <v>0</v>
      </c>
      <c r="M34" s="50">
        <v>14</v>
      </c>
      <c r="N34" s="50">
        <v>0</v>
      </c>
      <c r="O34" s="15">
        <f t="shared" si="0"/>
        <v>8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2</v>
      </c>
      <c r="M35" s="50">
        <v>18</v>
      </c>
      <c r="N35" s="50">
        <v>0</v>
      </c>
      <c r="O35" s="15">
        <f t="shared" si="0"/>
        <v>9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1</v>
      </c>
      <c r="H36" s="50">
        <v>0</v>
      </c>
      <c r="I36" s="50">
        <v>1</v>
      </c>
      <c r="J36" s="50">
        <v>0</v>
      </c>
      <c r="K36" s="50">
        <v>2</v>
      </c>
      <c r="L36" s="50">
        <v>0</v>
      </c>
      <c r="M36" s="50">
        <v>5</v>
      </c>
      <c r="N36" s="50">
        <v>0</v>
      </c>
      <c r="O36" s="15">
        <f t="shared" si="0"/>
        <v>6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1</v>
      </c>
      <c r="G37" s="50">
        <v>1</v>
      </c>
      <c r="H37" s="50">
        <v>0</v>
      </c>
      <c r="I37" s="50">
        <v>1</v>
      </c>
      <c r="J37" s="50">
        <v>1</v>
      </c>
      <c r="K37" s="50">
        <v>1</v>
      </c>
      <c r="L37" s="50">
        <v>1</v>
      </c>
      <c r="M37" s="50">
        <v>12</v>
      </c>
      <c r="N37" s="50">
        <v>0</v>
      </c>
      <c r="O37" s="15">
        <f t="shared" si="0"/>
        <v>9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16</v>
      </c>
      <c r="N38" s="50">
        <v>0</v>
      </c>
      <c r="O38" s="15">
        <f t="shared" si="0"/>
        <v>7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8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0</v>
      </c>
      <c r="M40" s="50">
        <v>14</v>
      </c>
      <c r="N40" s="50">
        <v>0</v>
      </c>
      <c r="O40" s="15">
        <f t="shared" si="0"/>
        <v>8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2</v>
      </c>
      <c r="J41" s="50">
        <v>1</v>
      </c>
      <c r="K41" s="50">
        <v>2</v>
      </c>
      <c r="L41" s="50">
        <v>0</v>
      </c>
      <c r="M41" s="50">
        <v>14</v>
      </c>
      <c r="N41" s="50">
        <v>0</v>
      </c>
      <c r="O41" s="15">
        <f t="shared" si="0"/>
        <v>11</v>
      </c>
      <c r="P41" s="15">
        <f t="shared" si="1"/>
        <v>25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13</v>
      </c>
      <c r="N42" s="50">
        <v>0</v>
      </c>
      <c r="O42" s="15">
        <f t="shared" si="0"/>
        <v>5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0</v>
      </c>
      <c r="D43" s="50">
        <v>2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20</v>
      </c>
      <c r="N43" s="50">
        <v>0</v>
      </c>
      <c r="O43" s="15">
        <f t="shared" si="0"/>
        <v>6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18</v>
      </c>
      <c r="N44" s="50">
        <v>0</v>
      </c>
      <c r="O44" s="15">
        <f t="shared" si="0"/>
        <v>6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6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1</v>
      </c>
      <c r="J45" s="50">
        <v>3</v>
      </c>
      <c r="K45" s="50">
        <v>0</v>
      </c>
      <c r="L45" s="50">
        <v>0</v>
      </c>
      <c r="M45" s="50">
        <v>20</v>
      </c>
      <c r="N45" s="50">
        <v>0</v>
      </c>
      <c r="O45" s="15">
        <f t="shared" si="0"/>
        <v>13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4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1</v>
      </c>
      <c r="G47" s="50">
        <v>0</v>
      </c>
      <c r="H47" s="50">
        <v>1</v>
      </c>
      <c r="I47" s="50">
        <v>2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9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1</v>
      </c>
      <c r="F48" s="50">
        <v>1</v>
      </c>
      <c r="G48" s="50">
        <v>0</v>
      </c>
      <c r="H48" s="50">
        <v>1</v>
      </c>
      <c r="I48" s="50">
        <v>0</v>
      </c>
      <c r="J48" s="50">
        <v>5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11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3</v>
      </c>
      <c r="G49" s="50">
        <v>1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8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1</v>
      </c>
      <c r="E50" s="50">
        <v>0</v>
      </c>
      <c r="F50" s="50">
        <v>2</v>
      </c>
      <c r="G50" s="50">
        <v>0</v>
      </c>
      <c r="H50" s="50">
        <v>0</v>
      </c>
      <c r="I50" s="50">
        <v>3</v>
      </c>
      <c r="J50" s="50">
        <v>0</v>
      </c>
      <c r="K50" s="50">
        <v>2</v>
      </c>
      <c r="L50" s="50">
        <v>0</v>
      </c>
      <c r="M50" s="50">
        <v>14</v>
      </c>
      <c r="N50" s="50">
        <v>0</v>
      </c>
      <c r="O50" s="15">
        <f t="shared" si="0"/>
        <v>11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14</v>
      </c>
      <c r="N51" s="50">
        <v>0</v>
      </c>
      <c r="O51" s="15">
        <f t="shared" si="0"/>
        <v>4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1</v>
      </c>
      <c r="L52" s="50">
        <v>0</v>
      </c>
      <c r="M52" s="50">
        <v>21</v>
      </c>
      <c r="N52" s="50">
        <v>0</v>
      </c>
      <c r="O52" s="15">
        <f t="shared" si="0"/>
        <v>6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5</v>
      </c>
      <c r="P53" s="15">
        <f t="shared" si="1"/>
        <v>26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3</v>
      </c>
      <c r="K54" s="50">
        <v>1</v>
      </c>
      <c r="L54" s="50">
        <v>0</v>
      </c>
      <c r="M54" s="50">
        <v>12</v>
      </c>
      <c r="N54" s="50">
        <v>0</v>
      </c>
      <c r="O54" s="15">
        <f t="shared" si="0"/>
        <v>11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1</v>
      </c>
      <c r="J55" s="50">
        <v>2</v>
      </c>
      <c r="K55" s="50">
        <v>2</v>
      </c>
      <c r="L55" s="50">
        <v>0</v>
      </c>
      <c r="M55" s="50">
        <v>11</v>
      </c>
      <c r="N55" s="50">
        <v>0</v>
      </c>
      <c r="O55" s="15">
        <f t="shared" si="0"/>
        <v>10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1</v>
      </c>
      <c r="L56" s="50">
        <v>1</v>
      </c>
      <c r="M56" s="50">
        <v>19</v>
      </c>
      <c r="N56" s="50">
        <v>0</v>
      </c>
      <c r="O56" s="15">
        <f t="shared" si="0"/>
        <v>4</v>
      </c>
      <c r="P56" s="15">
        <f t="shared" si="1"/>
        <v>23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2</v>
      </c>
      <c r="K57" s="50">
        <v>2</v>
      </c>
      <c r="L57" s="50">
        <v>4</v>
      </c>
      <c r="M57" s="50">
        <v>21</v>
      </c>
      <c r="N57" s="50">
        <v>0</v>
      </c>
      <c r="O57" s="15">
        <f t="shared" si="0"/>
        <v>11</v>
      </c>
      <c r="P57" s="15">
        <f t="shared" si="1"/>
        <v>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123</v>
      </c>
      <c r="D58" s="16">
        <f t="shared" si="21"/>
        <v>18</v>
      </c>
      <c r="E58" s="16">
        <f t="shared" si="21"/>
        <v>12</v>
      </c>
      <c r="F58" s="16">
        <f t="shared" si="21"/>
        <v>64</v>
      </c>
      <c r="G58" s="16">
        <f t="shared" si="21"/>
        <v>4</v>
      </c>
      <c r="H58" s="16">
        <f t="shared" si="21"/>
        <v>2</v>
      </c>
      <c r="I58" s="16">
        <f t="shared" si="21"/>
        <v>49</v>
      </c>
      <c r="J58" s="16">
        <f t="shared" si="21"/>
        <v>38</v>
      </c>
      <c r="K58" s="16">
        <f t="shared" si="21"/>
        <v>23</v>
      </c>
      <c r="L58" s="16">
        <f t="shared" si="21"/>
        <v>9</v>
      </c>
      <c r="M58" s="16">
        <f t="shared" si="21"/>
        <v>666</v>
      </c>
      <c r="N58" s="16">
        <f t="shared" si="21"/>
        <v>0</v>
      </c>
      <c r="O58" s="16">
        <f t="shared" si="21"/>
        <v>342</v>
      </c>
      <c r="P58" s="16">
        <f t="shared" si="21"/>
        <v>1008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0.12202380952380952</v>
      </c>
      <c r="D59" s="43">
        <f t="shared" si="22"/>
        <v>1.7857142857142856E-2</v>
      </c>
      <c r="E59" s="43">
        <f t="shared" si="22"/>
        <v>1.1904761904761904E-2</v>
      </c>
      <c r="F59" s="43">
        <f t="shared" si="22"/>
        <v>6.3492063492063489E-2</v>
      </c>
      <c r="G59" s="43">
        <f t="shared" si="22"/>
        <v>3.968253968253968E-3</v>
      </c>
      <c r="H59" s="43">
        <f t="shared" si="22"/>
        <v>1.984126984126984E-3</v>
      </c>
      <c r="I59" s="43">
        <f t="shared" si="22"/>
        <v>4.8611111111111112E-2</v>
      </c>
      <c r="J59" s="43">
        <f t="shared" si="22"/>
        <v>3.7698412698412696E-2</v>
      </c>
      <c r="K59" s="43">
        <f t="shared" si="22"/>
        <v>2.2817460317460316E-2</v>
      </c>
      <c r="L59" s="43">
        <f t="shared" si="22"/>
        <v>8.9285714285714281E-3</v>
      </c>
      <c r="M59" s="43">
        <f t="shared" si="22"/>
        <v>0.6607142857142857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0.35964912280701755</v>
      </c>
      <c r="D60" s="44">
        <f t="shared" ref="D60:N60" si="23">D58/$O$58</f>
        <v>5.2631578947368418E-2</v>
      </c>
      <c r="E60" s="44">
        <f t="shared" si="23"/>
        <v>3.5087719298245612E-2</v>
      </c>
      <c r="F60" s="44">
        <f t="shared" si="23"/>
        <v>0.1871345029239766</v>
      </c>
      <c r="G60" s="44">
        <f t="shared" si="23"/>
        <v>1.1695906432748537E-2</v>
      </c>
      <c r="H60" s="44">
        <f t="shared" si="23"/>
        <v>5.8479532163742687E-3</v>
      </c>
      <c r="I60" s="44">
        <f t="shared" si="23"/>
        <v>0.14327485380116958</v>
      </c>
      <c r="J60" s="44">
        <f t="shared" si="23"/>
        <v>0.1111111111111111</v>
      </c>
      <c r="K60" s="44">
        <f t="shared" si="23"/>
        <v>6.725146198830409E-2</v>
      </c>
      <c r="L60" s="44">
        <f t="shared" si="23"/>
        <v>2.6315789473684209E-2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43" zoomScale="60" workbookViewId="0">
      <selection activeCell="I3" sqref="I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55" t="str">
        <f>'28.10 MUTUKULA-MASAKA-24HR'!G5:H5</f>
        <v>MUTUKULA</v>
      </c>
      <c r="H5" s="56"/>
      <c r="I5" s="14"/>
      <c r="J5" s="2" t="s">
        <v>5</v>
      </c>
      <c r="K5" s="55" t="s">
        <v>166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 Masaka-Mutukula'!D6:E6</f>
        <v>MASAKA</v>
      </c>
      <c r="E6" s="56"/>
      <c r="F6" s="2" t="s">
        <v>2</v>
      </c>
      <c r="G6" s="55" t="str">
        <f>'31.10 Masaka-Mutukula'!G6:H6</f>
        <v>MUTUKULA</v>
      </c>
      <c r="H6" s="56"/>
      <c r="J6" s="2" t="s">
        <v>21</v>
      </c>
      <c r="K6" s="55" t="str">
        <f>'28.10 MUTUKULA-MASAKA-24HR'!K6:L6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12</v>
      </c>
      <c r="AF10" s="31">
        <f t="shared" si="2"/>
        <v>39</v>
      </c>
    </row>
    <row r="11" spans="2:32" s="6" customFormat="1" ht="23.1" customHeight="1" x14ac:dyDescent="0.25">
      <c r="B11" s="45" t="s">
        <v>38</v>
      </c>
      <c r="C11" s="50">
        <v>3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4</v>
      </c>
      <c r="P11" s="15">
        <f t="shared" si="1"/>
        <v>10</v>
      </c>
      <c r="R11" s="1" t="s">
        <v>7</v>
      </c>
      <c r="S11" s="17">
        <f t="shared" ref="S11:AF11" si="3">SUM(C14:C17)</f>
        <v>17</v>
      </c>
      <c r="T11" s="17">
        <f t="shared" si="3"/>
        <v>2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7</v>
      </c>
      <c r="AB11" s="17">
        <f t="shared" si="3"/>
        <v>2</v>
      </c>
      <c r="AC11" s="17">
        <f t="shared" si="3"/>
        <v>53</v>
      </c>
      <c r="AD11" s="17">
        <f t="shared" si="3"/>
        <v>0</v>
      </c>
      <c r="AE11" s="31">
        <f t="shared" si="3"/>
        <v>33</v>
      </c>
      <c r="AF11" s="31">
        <f t="shared" si="3"/>
        <v>86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5</v>
      </c>
      <c r="T12" s="17">
        <f t="shared" si="4"/>
        <v>0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1</v>
      </c>
      <c r="Y12" s="17">
        <f t="shared" si="4"/>
        <v>12</v>
      </c>
      <c r="Z12" s="17">
        <f t="shared" si="4"/>
        <v>2</v>
      </c>
      <c r="AA12" s="17">
        <f t="shared" si="4"/>
        <v>2</v>
      </c>
      <c r="AB12" s="17">
        <f t="shared" si="4"/>
        <v>2</v>
      </c>
      <c r="AC12" s="17">
        <f t="shared" si="4"/>
        <v>43</v>
      </c>
      <c r="AD12" s="17">
        <f t="shared" si="4"/>
        <v>0</v>
      </c>
      <c r="AE12" s="31">
        <f t="shared" si="4"/>
        <v>29</v>
      </c>
      <c r="AF12" s="31">
        <f t="shared" si="4"/>
        <v>72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2</v>
      </c>
      <c r="L13" s="50">
        <v>0</v>
      </c>
      <c r="M13" s="50">
        <v>12</v>
      </c>
      <c r="N13" s="50">
        <v>0</v>
      </c>
      <c r="O13" s="15">
        <f t="shared" si="0"/>
        <v>6</v>
      </c>
      <c r="P13" s="15">
        <f t="shared" si="1"/>
        <v>18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0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4</v>
      </c>
      <c r="AB13" s="17">
        <f t="shared" si="5"/>
        <v>0</v>
      </c>
      <c r="AC13" s="17">
        <f t="shared" si="5"/>
        <v>14</v>
      </c>
      <c r="AD13" s="17">
        <f t="shared" si="5"/>
        <v>0</v>
      </c>
      <c r="AE13" s="31">
        <f t="shared" si="5"/>
        <v>12</v>
      </c>
      <c r="AF13" s="31">
        <f t="shared" si="5"/>
        <v>26</v>
      </c>
    </row>
    <row r="14" spans="2:32" ht="23.1" customHeight="1" x14ac:dyDescent="0.25">
      <c r="B14" s="45" t="s">
        <v>41</v>
      </c>
      <c r="C14" s="50">
        <v>4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3</v>
      </c>
      <c r="L14" s="50">
        <v>0</v>
      </c>
      <c r="M14" s="50">
        <v>13</v>
      </c>
      <c r="N14" s="50">
        <v>0</v>
      </c>
      <c r="O14" s="15">
        <f t="shared" si="0"/>
        <v>8</v>
      </c>
      <c r="P14" s="15">
        <f t="shared" si="1"/>
        <v>21</v>
      </c>
      <c r="R14" s="1" t="s">
        <v>10</v>
      </c>
      <c r="S14" s="17">
        <f t="shared" ref="S14:AF14" si="6">SUM(C26:C29)</f>
        <v>9</v>
      </c>
      <c r="T14" s="17">
        <f t="shared" si="6"/>
        <v>1</v>
      </c>
      <c r="U14" s="17">
        <f t="shared" si="6"/>
        <v>1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23</v>
      </c>
      <c r="AF14" s="31">
        <f t="shared" si="6"/>
        <v>61</v>
      </c>
    </row>
    <row r="15" spans="2:32" ht="23.1" customHeight="1" x14ac:dyDescent="0.25">
      <c r="B15" s="45" t="s">
        <v>42</v>
      </c>
      <c r="C15" s="50">
        <v>7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1</v>
      </c>
      <c r="M15" s="50">
        <v>10</v>
      </c>
      <c r="N15" s="50">
        <v>0</v>
      </c>
      <c r="O15" s="15">
        <f t="shared" si="0"/>
        <v>9</v>
      </c>
      <c r="P15" s="15">
        <f t="shared" si="1"/>
        <v>19</v>
      </c>
      <c r="R15" s="1" t="s">
        <v>11</v>
      </c>
      <c r="S15" s="17">
        <f t="shared" ref="S15:AF15" si="7">SUM(C30:C33)</f>
        <v>11</v>
      </c>
      <c r="T15" s="17">
        <f t="shared" si="7"/>
        <v>2</v>
      </c>
      <c r="U15" s="17">
        <f t="shared" si="7"/>
        <v>0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43</v>
      </c>
      <c r="AD15" s="17">
        <f t="shared" si="7"/>
        <v>0</v>
      </c>
      <c r="AE15" s="31">
        <f t="shared" si="7"/>
        <v>24</v>
      </c>
      <c r="AF15" s="31">
        <f t="shared" si="7"/>
        <v>67</v>
      </c>
    </row>
    <row r="16" spans="2:32" ht="23.1" customHeight="1" x14ac:dyDescent="0.25">
      <c r="B16" s="45" t="s">
        <v>43</v>
      </c>
      <c r="C16" s="50">
        <v>3</v>
      </c>
      <c r="D16" s="50">
        <v>1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1</v>
      </c>
      <c r="L16" s="50">
        <v>1</v>
      </c>
      <c r="M16" s="50">
        <v>15</v>
      </c>
      <c r="N16" s="50">
        <v>0</v>
      </c>
      <c r="O16" s="15">
        <f t="shared" si="0"/>
        <v>9</v>
      </c>
      <c r="P16" s="15">
        <f t="shared" si="1"/>
        <v>24</v>
      </c>
      <c r="R16" s="1" t="s">
        <v>12</v>
      </c>
      <c r="S16" s="17">
        <f t="shared" ref="S16:AF16" si="8">SUM(C34:C37)</f>
        <v>8</v>
      </c>
      <c r="T16" s="17">
        <f t="shared" si="8"/>
        <v>2</v>
      </c>
      <c r="U16" s="17">
        <f t="shared" si="8"/>
        <v>0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4</v>
      </c>
      <c r="AA16" s="17">
        <f t="shared" si="8"/>
        <v>1</v>
      </c>
      <c r="AB16" s="17">
        <f t="shared" si="8"/>
        <v>2</v>
      </c>
      <c r="AC16" s="17">
        <f t="shared" si="8"/>
        <v>40</v>
      </c>
      <c r="AD16" s="17">
        <f t="shared" si="8"/>
        <v>0</v>
      </c>
      <c r="AE16" s="31">
        <f t="shared" si="8"/>
        <v>26</v>
      </c>
      <c r="AF16" s="31">
        <f t="shared" si="8"/>
        <v>66</v>
      </c>
    </row>
    <row r="17" spans="2:32" ht="23.1" customHeight="1" x14ac:dyDescent="0.25">
      <c r="B17" s="45" t="s">
        <v>44</v>
      </c>
      <c r="C17" s="50">
        <v>3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3</v>
      </c>
      <c r="L17" s="50">
        <v>0</v>
      </c>
      <c r="M17" s="50">
        <v>15</v>
      </c>
      <c r="N17" s="50">
        <v>0</v>
      </c>
      <c r="O17" s="15">
        <f t="shared" si="0"/>
        <v>7</v>
      </c>
      <c r="P17" s="15">
        <f t="shared" si="1"/>
        <v>22</v>
      </c>
      <c r="R17" s="1" t="s">
        <v>13</v>
      </c>
      <c r="S17" s="17">
        <f t="shared" ref="S17:AF17" si="9">SUM(C38:C41)</f>
        <v>17</v>
      </c>
      <c r="T17" s="17">
        <f t="shared" si="9"/>
        <v>2</v>
      </c>
      <c r="U17" s="17">
        <f t="shared" si="9"/>
        <v>0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61</v>
      </c>
      <c r="AD17" s="17">
        <f t="shared" si="9"/>
        <v>0</v>
      </c>
      <c r="AE17" s="31">
        <f t="shared" si="9"/>
        <v>33</v>
      </c>
      <c r="AF17" s="31">
        <f t="shared" si="9"/>
        <v>94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1</v>
      </c>
      <c r="M18" s="50">
        <v>11</v>
      </c>
      <c r="N18" s="50">
        <v>0</v>
      </c>
      <c r="O18" s="15">
        <f t="shared" si="0"/>
        <v>12</v>
      </c>
      <c r="P18" s="15">
        <f t="shared" si="1"/>
        <v>23</v>
      </c>
      <c r="R18" s="1" t="s">
        <v>14</v>
      </c>
      <c r="S18" s="17">
        <f t="shared" ref="S18:AF18" si="10">SUM(C42:C45)</f>
        <v>12</v>
      </c>
      <c r="T18" s="17">
        <f t="shared" si="10"/>
        <v>2</v>
      </c>
      <c r="U18" s="17">
        <f t="shared" si="10"/>
        <v>0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36</v>
      </c>
      <c r="AF18" s="31">
        <f t="shared" si="10"/>
        <v>63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1</v>
      </c>
      <c r="I19" s="50">
        <v>1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3</v>
      </c>
      <c r="P19" s="15">
        <f t="shared" si="1"/>
        <v>19</v>
      </c>
      <c r="R19" s="1" t="s">
        <v>15</v>
      </c>
      <c r="S19" s="17">
        <f t="shared" ref="S19:AF19" si="11">SUM(C46:C49)</f>
        <v>14</v>
      </c>
      <c r="T19" s="17">
        <f t="shared" si="11"/>
        <v>6</v>
      </c>
      <c r="U19" s="17">
        <f t="shared" si="11"/>
        <v>1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21</v>
      </c>
      <c r="AD19" s="17">
        <f t="shared" si="11"/>
        <v>0</v>
      </c>
      <c r="AE19" s="31">
        <f t="shared" si="11"/>
        <v>33</v>
      </c>
      <c r="AF19" s="31">
        <f t="shared" si="11"/>
        <v>54</v>
      </c>
    </row>
    <row r="20" spans="2:32" ht="23.1" customHeight="1" x14ac:dyDescent="0.25">
      <c r="B20" s="45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6</v>
      </c>
      <c r="J20" s="50">
        <v>1</v>
      </c>
      <c r="K20" s="50">
        <v>0</v>
      </c>
      <c r="L20" s="50">
        <v>1</v>
      </c>
      <c r="M20" s="50">
        <v>5</v>
      </c>
      <c r="N20" s="50">
        <v>0</v>
      </c>
      <c r="O20" s="15">
        <f t="shared" si="0"/>
        <v>11</v>
      </c>
      <c r="P20" s="15">
        <f t="shared" si="1"/>
        <v>16</v>
      </c>
      <c r="R20" s="1" t="s">
        <v>16</v>
      </c>
      <c r="S20" s="17">
        <f t="shared" ref="S20:AF20" si="12">SUM(C50:C53)</f>
        <v>6</v>
      </c>
      <c r="T20" s="17">
        <f t="shared" si="12"/>
        <v>1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36</v>
      </c>
      <c r="AD20" s="17">
        <f t="shared" si="12"/>
        <v>0</v>
      </c>
      <c r="AE20" s="31">
        <f t="shared" si="12"/>
        <v>17</v>
      </c>
      <c r="AF20" s="31">
        <f t="shared" si="12"/>
        <v>53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2</v>
      </c>
      <c r="L21" s="50">
        <v>0</v>
      </c>
      <c r="M21" s="50">
        <v>11</v>
      </c>
      <c r="N21" s="50">
        <v>0</v>
      </c>
      <c r="O21" s="15">
        <f t="shared" si="0"/>
        <v>3</v>
      </c>
      <c r="P21" s="15">
        <f t="shared" si="1"/>
        <v>14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0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3</v>
      </c>
      <c r="AB21" s="17">
        <f t="shared" si="13"/>
        <v>1</v>
      </c>
      <c r="AC21" s="17">
        <f t="shared" si="13"/>
        <v>52</v>
      </c>
      <c r="AD21" s="17">
        <f t="shared" si="13"/>
        <v>0</v>
      </c>
      <c r="AE21" s="31">
        <f t="shared" si="13"/>
        <v>19</v>
      </c>
      <c r="AF21" s="31">
        <f t="shared" si="13"/>
        <v>71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3</v>
      </c>
      <c r="L22" s="50">
        <v>0</v>
      </c>
      <c r="M22" s="50">
        <v>4</v>
      </c>
      <c r="N22" s="50">
        <v>0</v>
      </c>
      <c r="O22" s="15">
        <f t="shared" si="0"/>
        <v>6</v>
      </c>
      <c r="P22" s="15">
        <f t="shared" si="1"/>
        <v>10</v>
      </c>
      <c r="R22" s="36" t="s">
        <v>146</v>
      </c>
      <c r="S22" s="34">
        <f>SUM(C58:C61)</f>
        <v>10</v>
      </c>
      <c r="T22" s="34">
        <f t="shared" ref="T22:AF22" si="14">SUM(D58:D61)</f>
        <v>3</v>
      </c>
      <c r="U22" s="34">
        <f t="shared" si="14"/>
        <v>0</v>
      </c>
      <c r="V22" s="34">
        <f t="shared" si="14"/>
        <v>9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96</v>
      </c>
      <c r="AD22" s="34">
        <f t="shared" si="14"/>
        <v>0</v>
      </c>
      <c r="AE22" s="31">
        <f t="shared" si="14"/>
        <v>26</v>
      </c>
      <c r="AF22" s="31">
        <f t="shared" si="14"/>
        <v>122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0</v>
      </c>
      <c r="P23" s="15">
        <f t="shared" si="1"/>
        <v>2</v>
      </c>
      <c r="R23" s="36" t="s">
        <v>147</v>
      </c>
      <c r="S23" s="34">
        <f>SUM(C62:C65)</f>
        <v>15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3</v>
      </c>
      <c r="W23" s="34">
        <f t="shared" si="15"/>
        <v>0</v>
      </c>
      <c r="X23" s="34">
        <f t="shared" si="15"/>
        <v>1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25</v>
      </c>
      <c r="AD23" s="34">
        <f t="shared" si="15"/>
        <v>0</v>
      </c>
      <c r="AE23" s="31">
        <f t="shared" si="15"/>
        <v>21</v>
      </c>
      <c r="AF23" s="31">
        <f t="shared" si="15"/>
        <v>46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2</v>
      </c>
      <c r="N24" s="50">
        <v>0</v>
      </c>
      <c r="O24" s="15">
        <f t="shared" si="0"/>
        <v>2</v>
      </c>
      <c r="P24" s="15">
        <f t="shared" si="1"/>
        <v>4</v>
      </c>
      <c r="R24" s="36" t="s">
        <v>148</v>
      </c>
      <c r="S24" s="34">
        <f>SUM(C66:C69)</f>
        <v>13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32</v>
      </c>
      <c r="AD24" s="34">
        <f t="shared" si="16"/>
        <v>0</v>
      </c>
      <c r="AE24" s="31">
        <f t="shared" si="16"/>
        <v>18</v>
      </c>
      <c r="AF24" s="31">
        <f t="shared" si="16"/>
        <v>50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4</v>
      </c>
      <c r="P25" s="15">
        <f t="shared" si="1"/>
        <v>10</v>
      </c>
      <c r="R25" s="36" t="s">
        <v>149</v>
      </c>
      <c r="S25" s="34">
        <f>SUM(C70:C73)</f>
        <v>9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2</v>
      </c>
      <c r="AB25" s="34">
        <f t="shared" si="17"/>
        <v>0</v>
      </c>
      <c r="AC25" s="34">
        <f t="shared" si="17"/>
        <v>15</v>
      </c>
      <c r="AD25" s="34">
        <f t="shared" si="17"/>
        <v>0</v>
      </c>
      <c r="AE25" s="31">
        <f t="shared" si="17"/>
        <v>17</v>
      </c>
      <c r="AF25" s="31">
        <f t="shared" si="17"/>
        <v>32</v>
      </c>
    </row>
    <row r="26" spans="2:32" ht="23.1" customHeight="1" x14ac:dyDescent="0.25">
      <c r="B26" s="45" t="s">
        <v>53</v>
      </c>
      <c r="C26" s="50">
        <v>2</v>
      </c>
      <c r="D26" s="50">
        <v>1</v>
      </c>
      <c r="E26" s="50">
        <v>0</v>
      </c>
      <c r="F26" s="50">
        <v>4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1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4</v>
      </c>
      <c r="AB26" s="34">
        <f t="shared" si="18"/>
        <v>3</v>
      </c>
      <c r="AC26" s="34">
        <f t="shared" si="18"/>
        <v>2</v>
      </c>
      <c r="AD26" s="34">
        <f t="shared" si="18"/>
        <v>0</v>
      </c>
      <c r="AE26" s="31">
        <f t="shared" si="18"/>
        <v>10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7</v>
      </c>
      <c r="P27" s="15">
        <f t="shared" si="1"/>
        <v>20</v>
      </c>
      <c r="R27" s="36" t="s">
        <v>151</v>
      </c>
      <c r="S27" s="34">
        <f>SUM(C78:C81)</f>
        <v>3</v>
      </c>
      <c r="T27" s="34">
        <f t="shared" ref="T27:AF27" si="19">SUM(D78:D81)</f>
        <v>2</v>
      </c>
      <c r="U27" s="34">
        <f t="shared" si="19"/>
        <v>0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8</v>
      </c>
      <c r="AF27" s="31">
        <f t="shared" si="19"/>
        <v>12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8</v>
      </c>
      <c r="N28" s="50">
        <v>0</v>
      </c>
      <c r="O28" s="15">
        <f t="shared" si="0"/>
        <v>6</v>
      </c>
      <c r="P28" s="15">
        <f t="shared" si="1"/>
        <v>14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2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3</v>
      </c>
      <c r="P29" s="15">
        <f t="shared" si="1"/>
        <v>12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3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5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4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2</v>
      </c>
      <c r="L30" s="50">
        <v>0</v>
      </c>
      <c r="M30" s="50">
        <v>18</v>
      </c>
      <c r="N30" s="50">
        <v>0</v>
      </c>
      <c r="O30" s="15">
        <f t="shared" si="0"/>
        <v>6</v>
      </c>
      <c r="P30" s="15">
        <f t="shared" si="1"/>
        <v>24</v>
      </c>
      <c r="R30" s="36" t="s">
        <v>154</v>
      </c>
      <c r="S30" s="34">
        <f>SUM(C90:C93)</f>
        <v>0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2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4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6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9</v>
      </c>
      <c r="P31" s="15">
        <f t="shared" si="1"/>
        <v>18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4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7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4</v>
      </c>
      <c r="P32" s="15">
        <f t="shared" si="1"/>
        <v>14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6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12</v>
      </c>
      <c r="AF32" s="31">
        <f t="shared" si="24"/>
        <v>13</v>
      </c>
    </row>
    <row r="33" spans="2:32" ht="23.1" customHeight="1" x14ac:dyDescent="0.25">
      <c r="B33" s="45" t="s">
        <v>60</v>
      </c>
      <c r="C33" s="50">
        <v>2</v>
      </c>
      <c r="D33" s="50">
        <v>2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5</v>
      </c>
      <c r="P33" s="15">
        <f t="shared" si="1"/>
        <v>11</v>
      </c>
      <c r="R33" s="33" t="s">
        <v>157</v>
      </c>
      <c r="S33" s="34">
        <f>SUM(C102:C105)</f>
        <v>5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26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0</v>
      </c>
      <c r="AA33" s="34">
        <f t="shared" si="25"/>
        <v>3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38</v>
      </c>
      <c r="AF33" s="31">
        <f t="shared" si="25"/>
        <v>52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2</v>
      </c>
      <c r="M34" s="50">
        <v>9</v>
      </c>
      <c r="N34" s="50">
        <v>0</v>
      </c>
      <c r="O34" s="15">
        <f t="shared" si="0"/>
        <v>6</v>
      </c>
      <c r="P34" s="15">
        <f t="shared" si="1"/>
        <v>15</v>
      </c>
      <c r="R34" s="38" t="s">
        <v>90</v>
      </c>
      <c r="S34" s="39">
        <f t="shared" ref="S34:AF34" si="26">MAX(S10:S12)</f>
        <v>17</v>
      </c>
      <c r="T34" s="39">
        <f t="shared" si="26"/>
        <v>2</v>
      </c>
      <c r="U34" s="39">
        <f t="shared" si="26"/>
        <v>2</v>
      </c>
      <c r="V34" s="39">
        <f t="shared" si="26"/>
        <v>3</v>
      </c>
      <c r="W34" s="39">
        <f t="shared" si="26"/>
        <v>0</v>
      </c>
      <c r="X34" s="39">
        <f t="shared" si="26"/>
        <v>1</v>
      </c>
      <c r="Y34" s="39">
        <f t="shared" si="26"/>
        <v>12</v>
      </c>
      <c r="Z34" s="39">
        <f t="shared" si="26"/>
        <v>2</v>
      </c>
      <c r="AA34" s="39">
        <f t="shared" si="26"/>
        <v>7</v>
      </c>
      <c r="AB34" s="39">
        <f t="shared" si="26"/>
        <v>2</v>
      </c>
      <c r="AC34" s="39">
        <f t="shared" si="26"/>
        <v>53</v>
      </c>
      <c r="AD34" s="39">
        <f t="shared" si="26"/>
        <v>0</v>
      </c>
      <c r="AE34" s="40">
        <f t="shared" si="26"/>
        <v>33</v>
      </c>
      <c r="AF34" s="40">
        <f t="shared" si="26"/>
        <v>86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2</v>
      </c>
      <c r="J35" s="50">
        <v>1</v>
      </c>
      <c r="K35" s="50">
        <v>1</v>
      </c>
      <c r="L35" s="50">
        <v>0</v>
      </c>
      <c r="M35" s="50">
        <v>8</v>
      </c>
      <c r="N35" s="50">
        <v>0</v>
      </c>
      <c r="O35" s="15">
        <f t="shared" si="0"/>
        <v>6</v>
      </c>
      <c r="P35" s="15">
        <f t="shared" si="1"/>
        <v>14</v>
      </c>
      <c r="R35" s="38" t="s">
        <v>91</v>
      </c>
      <c r="S35" s="39">
        <f t="shared" ref="S35:AF35" si="27">MAX(S13:S18)</f>
        <v>17</v>
      </c>
      <c r="T35" s="39">
        <f t="shared" si="27"/>
        <v>2</v>
      </c>
      <c r="U35" s="39">
        <f t="shared" si="27"/>
        <v>1</v>
      </c>
      <c r="V35" s="39">
        <f t="shared" si="27"/>
        <v>13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6</v>
      </c>
      <c r="AA35" s="39">
        <f t="shared" si="27"/>
        <v>4</v>
      </c>
      <c r="AB35" s="39">
        <f t="shared" si="27"/>
        <v>2</v>
      </c>
      <c r="AC35" s="39">
        <f t="shared" si="27"/>
        <v>61</v>
      </c>
      <c r="AD35" s="39">
        <f t="shared" si="27"/>
        <v>0</v>
      </c>
      <c r="AE35" s="40">
        <f t="shared" si="27"/>
        <v>36</v>
      </c>
      <c r="AF35" s="40">
        <f t="shared" si="27"/>
        <v>94</v>
      </c>
    </row>
    <row r="36" spans="2:32" ht="23.1" customHeight="1" x14ac:dyDescent="0.25">
      <c r="B36" s="46" t="s">
        <v>63</v>
      </c>
      <c r="C36" s="50">
        <v>1</v>
      </c>
      <c r="D36" s="50">
        <v>1</v>
      </c>
      <c r="E36" s="50">
        <v>0</v>
      </c>
      <c r="F36" s="50">
        <v>3</v>
      </c>
      <c r="G36" s="50">
        <v>0</v>
      </c>
      <c r="H36" s="50">
        <v>0</v>
      </c>
      <c r="I36" s="50">
        <v>0</v>
      </c>
      <c r="J36" s="50">
        <v>3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8</v>
      </c>
      <c r="P36" s="15">
        <f t="shared" si="1"/>
        <v>22</v>
      </c>
      <c r="R36" s="38" t="s">
        <v>92</v>
      </c>
      <c r="S36" s="39">
        <f t="shared" ref="S36:AF36" si="28">MAX(S19:S21)</f>
        <v>14</v>
      </c>
      <c r="T36" s="39">
        <f t="shared" si="28"/>
        <v>6</v>
      </c>
      <c r="U36" s="39">
        <f t="shared" si="28"/>
        <v>1</v>
      </c>
      <c r="V36" s="39">
        <f t="shared" si="28"/>
        <v>10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2</v>
      </c>
      <c r="AA36" s="39">
        <f t="shared" si="28"/>
        <v>3</v>
      </c>
      <c r="AB36" s="39">
        <f t="shared" si="28"/>
        <v>1</v>
      </c>
      <c r="AC36" s="39">
        <f t="shared" si="28"/>
        <v>52</v>
      </c>
      <c r="AD36" s="39">
        <f t="shared" si="28"/>
        <v>0</v>
      </c>
      <c r="AE36" s="40">
        <f t="shared" si="28"/>
        <v>33</v>
      </c>
      <c r="AF36" s="40">
        <f t="shared" si="28"/>
        <v>71</v>
      </c>
    </row>
    <row r="37" spans="2:32" ht="23.1" customHeight="1" x14ac:dyDescent="0.25">
      <c r="B37" s="45" t="s">
        <v>64</v>
      </c>
      <c r="C37" s="50">
        <v>4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6</v>
      </c>
      <c r="P37" s="15">
        <f t="shared" si="1"/>
        <v>15</v>
      </c>
      <c r="R37" s="37" t="s">
        <v>85</v>
      </c>
      <c r="S37" s="35">
        <f t="shared" ref="S37:AF37" si="29">SUM(S10:S12)</f>
        <v>29</v>
      </c>
      <c r="T37" s="16">
        <f t="shared" si="29"/>
        <v>3</v>
      </c>
      <c r="U37" s="16">
        <f t="shared" si="29"/>
        <v>2</v>
      </c>
      <c r="V37" s="16">
        <f t="shared" si="29"/>
        <v>6</v>
      </c>
      <c r="W37" s="16">
        <f t="shared" si="29"/>
        <v>0</v>
      </c>
      <c r="X37" s="16">
        <f t="shared" si="29"/>
        <v>1</v>
      </c>
      <c r="Y37" s="16">
        <f t="shared" si="29"/>
        <v>14</v>
      </c>
      <c r="Z37" s="16">
        <f t="shared" si="29"/>
        <v>4</v>
      </c>
      <c r="AA37" s="16">
        <f t="shared" si="29"/>
        <v>11</v>
      </c>
      <c r="AB37" s="16">
        <f t="shared" si="29"/>
        <v>4</v>
      </c>
      <c r="AC37" s="16">
        <f t="shared" si="29"/>
        <v>123</v>
      </c>
      <c r="AD37" s="16">
        <f t="shared" si="29"/>
        <v>0</v>
      </c>
      <c r="AE37" s="32">
        <f t="shared" si="29"/>
        <v>74</v>
      </c>
      <c r="AF37" s="32">
        <f t="shared" si="29"/>
        <v>197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6</v>
      </c>
      <c r="P38" s="15">
        <f t="shared" si="1"/>
        <v>22</v>
      </c>
      <c r="R38" s="28" t="s">
        <v>86</v>
      </c>
      <c r="S38" s="16">
        <f t="shared" ref="S38:AF38" si="30">SUM(S13:S18)</f>
        <v>61</v>
      </c>
      <c r="T38" s="16">
        <f t="shared" si="30"/>
        <v>9</v>
      </c>
      <c r="U38" s="16">
        <f t="shared" si="30"/>
        <v>1</v>
      </c>
      <c r="V38" s="16">
        <f t="shared" si="30"/>
        <v>44</v>
      </c>
      <c r="W38" s="16">
        <f t="shared" si="30"/>
        <v>0</v>
      </c>
      <c r="X38" s="16">
        <f t="shared" si="30"/>
        <v>0</v>
      </c>
      <c r="Y38" s="16">
        <f t="shared" si="30"/>
        <v>13</v>
      </c>
      <c r="Z38" s="16">
        <f t="shared" si="30"/>
        <v>16</v>
      </c>
      <c r="AA38" s="16">
        <f t="shared" si="30"/>
        <v>8</v>
      </c>
      <c r="AB38" s="16">
        <f t="shared" si="30"/>
        <v>2</v>
      </c>
      <c r="AC38" s="16">
        <f t="shared" si="30"/>
        <v>223</v>
      </c>
      <c r="AD38" s="16">
        <f t="shared" si="30"/>
        <v>0</v>
      </c>
      <c r="AE38" s="32">
        <f t="shared" si="30"/>
        <v>154</v>
      </c>
      <c r="AF38" s="32">
        <f t="shared" si="30"/>
        <v>377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8</v>
      </c>
      <c r="P39" s="15">
        <f t="shared" si="1"/>
        <v>20</v>
      </c>
      <c r="R39" s="29" t="s">
        <v>87</v>
      </c>
      <c r="S39" s="16">
        <f t="shared" ref="S39:AF39" si="31">SUM(S19:S21)</f>
        <v>24</v>
      </c>
      <c r="T39" s="16">
        <f t="shared" si="31"/>
        <v>9</v>
      </c>
      <c r="U39" s="16">
        <f t="shared" si="31"/>
        <v>2</v>
      </c>
      <c r="V39" s="16">
        <f t="shared" si="31"/>
        <v>23</v>
      </c>
      <c r="W39" s="16">
        <f t="shared" si="31"/>
        <v>0</v>
      </c>
      <c r="X39" s="16">
        <f t="shared" si="31"/>
        <v>0</v>
      </c>
      <c r="Y39" s="16">
        <f t="shared" si="31"/>
        <v>3</v>
      </c>
      <c r="Z39" s="16">
        <f t="shared" si="31"/>
        <v>4</v>
      </c>
      <c r="AA39" s="16">
        <f t="shared" si="31"/>
        <v>3</v>
      </c>
      <c r="AB39" s="16">
        <f t="shared" si="31"/>
        <v>1</v>
      </c>
      <c r="AC39" s="16">
        <f t="shared" si="31"/>
        <v>109</v>
      </c>
      <c r="AD39" s="16">
        <f t="shared" si="31"/>
        <v>0</v>
      </c>
      <c r="AE39" s="32">
        <f t="shared" si="31"/>
        <v>69</v>
      </c>
      <c r="AF39" s="32">
        <f t="shared" si="31"/>
        <v>178</v>
      </c>
    </row>
    <row r="40" spans="2:32" ht="23.1" customHeight="1" x14ac:dyDescent="0.25">
      <c r="B40" s="46" t="s">
        <v>67</v>
      </c>
      <c r="C40" s="50">
        <v>7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24</v>
      </c>
      <c r="N40" s="50">
        <v>0</v>
      </c>
      <c r="O40" s="15">
        <f t="shared" si="0"/>
        <v>11</v>
      </c>
      <c r="P40" s="15">
        <f t="shared" si="1"/>
        <v>35</v>
      </c>
      <c r="R40" s="5" t="s">
        <v>17</v>
      </c>
      <c r="S40" s="16">
        <f t="shared" ref="S40:AF40" si="32">SUM(S10:S21)</f>
        <v>114</v>
      </c>
      <c r="T40" s="16">
        <f t="shared" si="32"/>
        <v>21</v>
      </c>
      <c r="U40" s="16">
        <f t="shared" si="32"/>
        <v>5</v>
      </c>
      <c r="V40" s="16">
        <f t="shared" si="32"/>
        <v>73</v>
      </c>
      <c r="W40" s="16">
        <f t="shared" si="32"/>
        <v>0</v>
      </c>
      <c r="X40" s="16">
        <f t="shared" si="32"/>
        <v>1</v>
      </c>
      <c r="Y40" s="16">
        <f t="shared" si="32"/>
        <v>30</v>
      </c>
      <c r="Z40" s="16">
        <f t="shared" si="32"/>
        <v>24</v>
      </c>
      <c r="AA40" s="16">
        <f t="shared" si="32"/>
        <v>22</v>
      </c>
      <c r="AB40" s="16">
        <f t="shared" si="32"/>
        <v>7</v>
      </c>
      <c r="AC40" s="16">
        <f t="shared" si="32"/>
        <v>455</v>
      </c>
      <c r="AD40" s="16">
        <f t="shared" si="32"/>
        <v>0</v>
      </c>
      <c r="AE40" s="32">
        <f t="shared" si="32"/>
        <v>297</v>
      </c>
      <c r="AF40" s="32">
        <f t="shared" si="32"/>
        <v>752</v>
      </c>
    </row>
    <row r="41" spans="2:32" ht="23.1" customHeight="1" x14ac:dyDescent="0.25">
      <c r="B41" s="45" t="s">
        <v>68</v>
      </c>
      <c r="C41" s="50">
        <v>5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8</v>
      </c>
      <c r="P41" s="15">
        <f t="shared" si="1"/>
        <v>17</v>
      </c>
      <c r="R41" s="5" t="s">
        <v>159</v>
      </c>
      <c r="S41" s="16">
        <f>SUM(S10:S33)</f>
        <v>176</v>
      </c>
      <c r="T41" s="16">
        <f t="shared" ref="T41:AF41" si="33">SUM(T10:T33)</f>
        <v>28</v>
      </c>
      <c r="U41" s="16">
        <f t="shared" si="33"/>
        <v>5</v>
      </c>
      <c r="V41" s="16">
        <f t="shared" si="33"/>
        <v>120</v>
      </c>
      <c r="W41" s="16">
        <f t="shared" si="33"/>
        <v>1</v>
      </c>
      <c r="X41" s="16">
        <f t="shared" si="33"/>
        <v>4</v>
      </c>
      <c r="Y41" s="16">
        <f t="shared" si="33"/>
        <v>42</v>
      </c>
      <c r="Z41" s="16">
        <f t="shared" si="33"/>
        <v>32</v>
      </c>
      <c r="AA41" s="16">
        <f t="shared" si="33"/>
        <v>47</v>
      </c>
      <c r="AB41" s="16">
        <f t="shared" si="33"/>
        <v>10</v>
      </c>
      <c r="AC41" s="16">
        <f t="shared" si="33"/>
        <v>647</v>
      </c>
      <c r="AD41" s="16">
        <f t="shared" si="33"/>
        <v>0</v>
      </c>
      <c r="AE41" s="32">
        <f t="shared" si="33"/>
        <v>465</v>
      </c>
      <c r="AF41" s="32">
        <f t="shared" si="33"/>
        <v>1112</v>
      </c>
    </row>
    <row r="42" spans="2:32" ht="23.1" customHeight="1" x14ac:dyDescent="0.25">
      <c r="B42" s="46" t="s">
        <v>69</v>
      </c>
      <c r="C42" s="50">
        <v>5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8</v>
      </c>
      <c r="P42" s="15">
        <f t="shared" si="1"/>
        <v>16</v>
      </c>
      <c r="R42" s="5" t="s">
        <v>160</v>
      </c>
      <c r="S42" s="48">
        <f>S41/S40</f>
        <v>1.5438596491228069</v>
      </c>
      <c r="T42" s="48">
        <f t="shared" ref="T42:AF42" si="34">T41/T40</f>
        <v>1.3333333333333333</v>
      </c>
      <c r="U42" s="48">
        <f t="shared" si="34"/>
        <v>1</v>
      </c>
      <c r="V42" s="48">
        <f t="shared" si="34"/>
        <v>1.6438356164383561</v>
      </c>
      <c r="W42" s="48" t="e">
        <f t="shared" si="34"/>
        <v>#DIV/0!</v>
      </c>
      <c r="X42" s="48">
        <f t="shared" si="34"/>
        <v>4</v>
      </c>
      <c r="Y42" s="48">
        <f t="shared" si="34"/>
        <v>1.4</v>
      </c>
      <c r="Z42" s="48">
        <f t="shared" si="34"/>
        <v>1.3333333333333333</v>
      </c>
      <c r="AA42" s="48">
        <f t="shared" si="34"/>
        <v>2.1363636363636362</v>
      </c>
      <c r="AB42" s="48">
        <f t="shared" si="34"/>
        <v>1.4285714285714286</v>
      </c>
      <c r="AC42" s="48">
        <f t="shared" si="34"/>
        <v>1.421978021978022</v>
      </c>
      <c r="AD42" s="48" t="e">
        <f t="shared" si="34"/>
        <v>#DIV/0!</v>
      </c>
      <c r="AE42" s="48">
        <f t="shared" si="34"/>
        <v>1.5656565656565657</v>
      </c>
      <c r="AF42" s="48">
        <f t="shared" si="34"/>
        <v>1.4787234042553192</v>
      </c>
    </row>
    <row r="43" spans="2:32" ht="23.1" customHeight="1" x14ac:dyDescent="0.25">
      <c r="B43" s="45" t="s">
        <v>70</v>
      </c>
      <c r="C43" s="50">
        <v>2</v>
      </c>
      <c r="D43" s="50">
        <v>0</v>
      </c>
      <c r="E43" s="50">
        <v>0</v>
      </c>
      <c r="F43" s="50">
        <v>7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9</v>
      </c>
      <c r="P43" s="15">
        <f t="shared" si="1"/>
        <v>13</v>
      </c>
    </row>
    <row r="44" spans="2:32" ht="23.1" customHeight="1" x14ac:dyDescent="0.25">
      <c r="B44" s="47" t="s">
        <v>71</v>
      </c>
      <c r="C44" s="50">
        <v>3</v>
      </c>
      <c r="D44" s="50">
        <v>2</v>
      </c>
      <c r="E44" s="50">
        <v>0</v>
      </c>
      <c r="F44" s="50">
        <v>4</v>
      </c>
      <c r="G44" s="50">
        <v>0</v>
      </c>
      <c r="H44" s="50">
        <v>0</v>
      </c>
      <c r="I44" s="50">
        <v>1</v>
      </c>
      <c r="J44" s="50">
        <v>3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13</v>
      </c>
      <c r="P44" s="15">
        <f t="shared" si="1"/>
        <v>25</v>
      </c>
    </row>
    <row r="45" spans="2:32" ht="23.1" customHeight="1" x14ac:dyDescent="0.25">
      <c r="B45" s="45" t="s">
        <v>72</v>
      </c>
      <c r="C45" s="50">
        <v>2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3</v>
      </c>
      <c r="N45" s="50">
        <v>0</v>
      </c>
      <c r="O45" s="15">
        <f t="shared" si="0"/>
        <v>6</v>
      </c>
      <c r="P45" s="15">
        <f t="shared" si="1"/>
        <v>9</v>
      </c>
    </row>
    <row r="46" spans="2:32" ht="23.1" customHeight="1" x14ac:dyDescent="0.25">
      <c r="B46" s="46" t="s">
        <v>73</v>
      </c>
      <c r="C46" s="50">
        <v>7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9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1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8</v>
      </c>
      <c r="P47" s="15">
        <f t="shared" si="1"/>
        <v>9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5</v>
      </c>
      <c r="P48" s="15">
        <f t="shared" si="1"/>
        <v>11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5</v>
      </c>
      <c r="E49" s="50">
        <v>1</v>
      </c>
      <c r="F49" s="50">
        <v>3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11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0</v>
      </c>
      <c r="P50" s="15">
        <f t="shared" si="1"/>
        <v>0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1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7</v>
      </c>
      <c r="P51" s="15">
        <f t="shared" si="1"/>
        <v>18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2</v>
      </c>
      <c r="P52" s="15">
        <f t="shared" si="1"/>
        <v>12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1</v>
      </c>
      <c r="F53" s="50">
        <v>2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15</v>
      </c>
      <c r="N53" s="50">
        <v>0</v>
      </c>
      <c r="O53" s="15">
        <f t="shared" si="0"/>
        <v>8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1</v>
      </c>
      <c r="M54" s="50">
        <v>14</v>
      </c>
      <c r="N54" s="50">
        <v>0</v>
      </c>
      <c r="O54" s="15">
        <f t="shared" si="0"/>
        <v>5</v>
      </c>
      <c r="P54" s="15">
        <f t="shared" si="1"/>
        <v>19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1</v>
      </c>
      <c r="L55" s="50">
        <v>0</v>
      </c>
      <c r="M55" s="50">
        <v>17</v>
      </c>
      <c r="N55" s="50">
        <v>0</v>
      </c>
      <c r="O55" s="15">
        <f t="shared" si="0"/>
        <v>5</v>
      </c>
      <c r="P55" s="15">
        <f t="shared" si="1"/>
        <v>22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2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6</v>
      </c>
      <c r="P56" s="15">
        <f t="shared" si="1"/>
        <v>17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10</v>
      </c>
      <c r="N57" s="50">
        <v>0</v>
      </c>
      <c r="O57" s="15">
        <f t="shared" si="0"/>
        <v>3</v>
      </c>
      <c r="P57" s="15">
        <f t="shared" si="1"/>
        <v>13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2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16</v>
      </c>
      <c r="N58" s="50">
        <v>0</v>
      </c>
      <c r="O58" s="15">
        <f t="shared" si="0"/>
        <v>6</v>
      </c>
      <c r="P58" s="15">
        <f t="shared" si="1"/>
        <v>22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0</v>
      </c>
      <c r="F59" s="50">
        <v>2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26</v>
      </c>
      <c r="N59" s="50">
        <v>0</v>
      </c>
      <c r="O59" s="15">
        <f t="shared" si="0"/>
        <v>4</v>
      </c>
      <c r="P59" s="15">
        <f t="shared" si="1"/>
        <v>30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0</v>
      </c>
      <c r="E60" s="50">
        <v>0</v>
      </c>
      <c r="F60" s="50">
        <v>3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29</v>
      </c>
      <c r="N60" s="50">
        <v>0</v>
      </c>
      <c r="O60" s="15">
        <f t="shared" si="0"/>
        <v>7</v>
      </c>
      <c r="P60" s="15">
        <f t="shared" si="1"/>
        <v>36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1</v>
      </c>
      <c r="E61" s="50">
        <v>0</v>
      </c>
      <c r="F61" s="50">
        <v>3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25</v>
      </c>
      <c r="N61" s="50">
        <v>0</v>
      </c>
      <c r="O61" s="15">
        <f t="shared" si="0"/>
        <v>9</v>
      </c>
      <c r="P61" s="15">
        <f t="shared" si="1"/>
        <v>34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1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0"/>
        <v>4</v>
      </c>
      <c r="P62" s="15">
        <f t="shared" si="1"/>
        <v>11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0</v>
      </c>
      <c r="E63" s="50">
        <v>0</v>
      </c>
      <c r="F63" s="50">
        <v>0</v>
      </c>
      <c r="G63" s="50">
        <v>0</v>
      </c>
      <c r="H63" s="50">
        <v>1</v>
      </c>
      <c r="I63" s="50">
        <v>1</v>
      </c>
      <c r="J63" s="50">
        <v>0</v>
      </c>
      <c r="K63" s="50">
        <v>0</v>
      </c>
      <c r="L63" s="50">
        <v>0</v>
      </c>
      <c r="M63" s="50">
        <v>8</v>
      </c>
      <c r="N63" s="50">
        <v>0</v>
      </c>
      <c r="O63" s="15">
        <f t="shared" si="0"/>
        <v>8</v>
      </c>
      <c r="P63" s="15">
        <f t="shared" si="1"/>
        <v>16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7</v>
      </c>
      <c r="N64" s="50">
        <v>0</v>
      </c>
      <c r="O64" s="15">
        <f t="shared" si="0"/>
        <v>1</v>
      </c>
      <c r="P64" s="15">
        <f t="shared" si="1"/>
        <v>8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0</v>
      </c>
      <c r="F65" s="50">
        <v>2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8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10</v>
      </c>
      <c r="N66" s="50">
        <v>0</v>
      </c>
      <c r="O66" s="15">
        <f t="shared" si="0"/>
        <v>4</v>
      </c>
      <c r="P66" s="15">
        <f t="shared" si="1"/>
        <v>14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6</v>
      </c>
      <c r="N67" s="50">
        <v>0</v>
      </c>
      <c r="O67" s="15">
        <f t="shared" si="0"/>
        <v>2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2</v>
      </c>
      <c r="K68" s="50">
        <v>0</v>
      </c>
      <c r="L68" s="50">
        <v>0</v>
      </c>
      <c r="M68" s="50">
        <v>11</v>
      </c>
      <c r="N68" s="50">
        <v>0</v>
      </c>
      <c r="O68" s="15">
        <f t="shared" si="0"/>
        <v>8</v>
      </c>
      <c r="P68" s="15">
        <f t="shared" si="1"/>
        <v>19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1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5</v>
      </c>
      <c r="N69" s="50">
        <v>0</v>
      </c>
      <c r="O69" s="15">
        <f t="shared" si="0"/>
        <v>4</v>
      </c>
      <c r="P69" s="15">
        <f t="shared" si="1"/>
        <v>9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3</v>
      </c>
      <c r="P70" s="15">
        <f t="shared" si="1"/>
        <v>6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4</v>
      </c>
      <c r="N71" s="50">
        <v>0</v>
      </c>
      <c r="O71" s="15">
        <f t="shared" si="0"/>
        <v>4</v>
      </c>
      <c r="P71" s="15">
        <f t="shared" si="1"/>
        <v>8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1</v>
      </c>
      <c r="L72" s="50">
        <v>0</v>
      </c>
      <c r="M72" s="50">
        <v>4</v>
      </c>
      <c r="N72" s="50">
        <v>0</v>
      </c>
      <c r="O72" s="15">
        <f t="shared" si="0"/>
        <v>4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3</v>
      </c>
      <c r="J73" s="50">
        <v>1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6</v>
      </c>
      <c r="P73" s="15">
        <f t="shared" si="1"/>
        <v>10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2</v>
      </c>
      <c r="L74" s="50">
        <v>0</v>
      </c>
      <c r="M74" s="50">
        <v>1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1</v>
      </c>
      <c r="H75" s="50">
        <v>0</v>
      </c>
      <c r="I75" s="50">
        <v>0</v>
      </c>
      <c r="J75" s="50">
        <v>0</v>
      </c>
      <c r="K75" s="50">
        <v>1</v>
      </c>
      <c r="L75" s="50">
        <v>0</v>
      </c>
      <c r="M75" s="50">
        <v>1</v>
      </c>
      <c r="N75" s="50">
        <v>0</v>
      </c>
      <c r="O75" s="15">
        <f t="shared" si="35"/>
        <v>3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2</v>
      </c>
      <c r="M76" s="50">
        <v>0</v>
      </c>
      <c r="N76" s="50">
        <v>0</v>
      </c>
      <c r="O76" s="15">
        <f t="shared" si="35"/>
        <v>2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1</v>
      </c>
      <c r="L77" s="50">
        <v>1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3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0</v>
      </c>
      <c r="M80" s="50">
        <v>3</v>
      </c>
      <c r="N80" s="50">
        <v>0</v>
      </c>
      <c r="O80" s="15">
        <f t="shared" si="35"/>
        <v>3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1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1</v>
      </c>
      <c r="N86" s="50"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1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1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1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2</v>
      </c>
      <c r="L94" s="50">
        <v>0</v>
      </c>
      <c r="M94" s="50">
        <v>0</v>
      </c>
      <c r="N94" s="50">
        <v>0</v>
      </c>
      <c r="O94" s="15">
        <f t="shared" si="35"/>
        <v>3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2</v>
      </c>
      <c r="L97" s="50">
        <v>0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3</v>
      </c>
      <c r="L98" s="50">
        <v>0</v>
      </c>
      <c r="M98" s="50">
        <v>1</v>
      </c>
      <c r="N98" s="50">
        <v>0</v>
      </c>
      <c r="O98" s="15">
        <f t="shared" si="35"/>
        <v>4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2</v>
      </c>
      <c r="L99" s="50">
        <v>0</v>
      </c>
      <c r="M99" s="50">
        <v>0</v>
      </c>
      <c r="N99" s="50">
        <v>0</v>
      </c>
      <c r="O99" s="15">
        <f t="shared" si="35"/>
        <v>4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1</v>
      </c>
      <c r="K101" s="50">
        <v>1</v>
      </c>
      <c r="L101" s="50">
        <v>0</v>
      </c>
      <c r="M101" s="50">
        <v>0</v>
      </c>
      <c r="N101" s="50"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2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1</v>
      </c>
      <c r="L104" s="50">
        <v>0</v>
      </c>
      <c r="M104" s="50">
        <v>5</v>
      </c>
      <c r="N104" s="50">
        <v>0</v>
      </c>
      <c r="O104" s="15">
        <f t="shared" si="35"/>
        <v>2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/>
      <c r="E105" s="50">
        <v>0</v>
      </c>
      <c r="F105" s="50">
        <v>26</v>
      </c>
      <c r="G105" s="50">
        <v>0</v>
      </c>
      <c r="H105" s="50">
        <v>0</v>
      </c>
      <c r="I105" s="50">
        <v>0</v>
      </c>
      <c r="J105" s="50">
        <v>0</v>
      </c>
      <c r="K105" s="50">
        <v>2</v>
      </c>
      <c r="L105" s="50">
        <v>0</v>
      </c>
      <c r="M105" s="50">
        <v>5</v>
      </c>
      <c r="N105" s="50">
        <v>0</v>
      </c>
      <c r="O105" s="15">
        <f t="shared" si="35"/>
        <v>31</v>
      </c>
      <c r="P105" s="15">
        <f t="shared" si="36"/>
        <v>36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176</v>
      </c>
      <c r="D106" s="16">
        <f t="shared" ref="D106:P106" si="37">SUM(D10:D105)</f>
        <v>28</v>
      </c>
      <c r="E106" s="16">
        <f t="shared" si="37"/>
        <v>5</v>
      </c>
      <c r="F106" s="16">
        <f t="shared" si="37"/>
        <v>120</v>
      </c>
      <c r="G106" s="16">
        <f t="shared" si="37"/>
        <v>1</v>
      </c>
      <c r="H106" s="16">
        <f t="shared" si="37"/>
        <v>4</v>
      </c>
      <c r="I106" s="16">
        <f t="shared" si="37"/>
        <v>42</v>
      </c>
      <c r="J106" s="16">
        <f t="shared" si="37"/>
        <v>32</v>
      </c>
      <c r="K106" s="16">
        <f t="shared" si="37"/>
        <v>47</v>
      </c>
      <c r="L106" s="16">
        <f t="shared" si="37"/>
        <v>10</v>
      </c>
      <c r="M106" s="16">
        <f t="shared" si="37"/>
        <v>647</v>
      </c>
      <c r="N106" s="16">
        <f t="shared" si="37"/>
        <v>0</v>
      </c>
      <c r="O106" s="16">
        <f t="shared" si="37"/>
        <v>465</v>
      </c>
      <c r="P106" s="16">
        <f t="shared" si="37"/>
        <v>1112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0.15827338129496402</v>
      </c>
      <c r="D107" s="43">
        <f t="shared" si="38"/>
        <v>2.5179856115107913E-2</v>
      </c>
      <c r="E107" s="43">
        <f t="shared" si="38"/>
        <v>4.4964028776978415E-3</v>
      </c>
      <c r="F107" s="43">
        <f t="shared" si="38"/>
        <v>0.1079136690647482</v>
      </c>
      <c r="G107" s="43">
        <f t="shared" si="38"/>
        <v>8.9928057553956839E-4</v>
      </c>
      <c r="H107" s="43">
        <f t="shared" si="38"/>
        <v>3.5971223021582736E-3</v>
      </c>
      <c r="I107" s="43">
        <f t="shared" si="38"/>
        <v>3.7769784172661872E-2</v>
      </c>
      <c r="J107" s="43">
        <f t="shared" si="38"/>
        <v>2.8776978417266189E-2</v>
      </c>
      <c r="K107" s="43">
        <f t="shared" si="38"/>
        <v>4.2266187050359713E-2</v>
      </c>
      <c r="L107" s="43">
        <f t="shared" si="38"/>
        <v>8.9928057553956831E-3</v>
      </c>
      <c r="M107" s="43">
        <f t="shared" si="38"/>
        <v>0.58183453237410077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0.37849462365591396</v>
      </c>
      <c r="D108" s="44">
        <f t="shared" ref="D108:N108" si="39">D106/$O$106</f>
        <v>6.0215053763440864E-2</v>
      </c>
      <c r="E108" s="44">
        <f t="shared" si="39"/>
        <v>1.0752688172043012E-2</v>
      </c>
      <c r="F108" s="44">
        <f t="shared" si="39"/>
        <v>0.25806451612903225</v>
      </c>
      <c r="G108" s="44">
        <f t="shared" si="39"/>
        <v>2.1505376344086021E-3</v>
      </c>
      <c r="H108" s="44">
        <f t="shared" si="39"/>
        <v>8.6021505376344086E-3</v>
      </c>
      <c r="I108" s="44">
        <f t="shared" si="39"/>
        <v>9.0322580645161285E-2</v>
      </c>
      <c r="J108" s="44">
        <f t="shared" si="39"/>
        <v>6.8817204301075269E-2</v>
      </c>
      <c r="K108" s="44">
        <f t="shared" si="39"/>
        <v>0.1010752688172043</v>
      </c>
      <c r="L108" s="44">
        <f t="shared" si="39"/>
        <v>2.1505376344086023E-2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43" zoomScale="60" workbookViewId="0">
      <selection activeCell="B1" sqref="B1:AE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55" t="str">
        <f>'26.10 MASAKA-MUTUKULA-24HR'!G5:H5</f>
        <v>MUTUKULA</v>
      </c>
      <c r="H5" s="56"/>
      <c r="I5" s="14"/>
      <c r="J5" s="2" t="s">
        <v>5</v>
      </c>
      <c r="K5" s="55" t="s">
        <v>179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'31.10.MUTUKULA-MASAKA'!D6:E6</f>
        <v>MUTUKULA</v>
      </c>
      <c r="E6" s="56"/>
      <c r="F6" s="2" t="s">
        <v>2</v>
      </c>
      <c r="G6" s="55" t="str">
        <f>'31.10.MUTUKULA-MASAKA'!G6:H6</f>
        <v>MASAKA</v>
      </c>
      <c r="H6" s="56"/>
      <c r="J6" s="2" t="s">
        <v>21</v>
      </c>
      <c r="K6" s="55" t="str">
        <f>'26.10 MASAKA-MUTUKULA-24HR'!K6:L6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15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2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28</v>
      </c>
      <c r="AD10" s="17">
        <f t="shared" si="2"/>
        <v>0</v>
      </c>
      <c r="AE10" s="31">
        <f t="shared" si="2"/>
        <v>14</v>
      </c>
      <c r="AF10" s="31">
        <f t="shared" si="2"/>
        <v>42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1</v>
      </c>
      <c r="P11" s="15">
        <f t="shared" si="1"/>
        <v>10</v>
      </c>
      <c r="R11" s="1" t="s">
        <v>7</v>
      </c>
      <c r="S11" s="17">
        <f t="shared" ref="S11:AF11" si="3">SUM(C14:C17)</f>
        <v>10</v>
      </c>
      <c r="T11" s="17">
        <f t="shared" si="3"/>
        <v>1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4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18</v>
      </c>
      <c r="AF11" s="31">
        <f t="shared" si="3"/>
        <v>46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5</v>
      </c>
      <c r="P12" s="15">
        <f t="shared" si="1"/>
        <v>6</v>
      </c>
      <c r="R12" s="1" t="s">
        <v>8</v>
      </c>
      <c r="S12" s="17">
        <f t="shared" ref="S12:AF12" si="4">SUM(C18:C21)</f>
        <v>10</v>
      </c>
      <c r="T12" s="17">
        <f t="shared" si="4"/>
        <v>2</v>
      </c>
      <c r="U12" s="17">
        <f t="shared" si="4"/>
        <v>2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41</v>
      </c>
      <c r="AD12" s="17">
        <f t="shared" si="4"/>
        <v>0</v>
      </c>
      <c r="AE12" s="31">
        <f t="shared" si="4"/>
        <v>27</v>
      </c>
      <c r="AF12" s="31">
        <f t="shared" si="4"/>
        <v>68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8</v>
      </c>
      <c r="T13" s="17">
        <f t="shared" si="5"/>
        <v>3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10</v>
      </c>
      <c r="AB13" s="17">
        <f t="shared" si="5"/>
        <v>1</v>
      </c>
      <c r="AC13" s="17">
        <f t="shared" si="5"/>
        <v>24</v>
      </c>
      <c r="AD13" s="17">
        <f t="shared" si="5"/>
        <v>0</v>
      </c>
      <c r="AE13" s="31">
        <f t="shared" si="5"/>
        <v>29</v>
      </c>
      <c r="AF13" s="31">
        <f t="shared" si="5"/>
        <v>53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2</v>
      </c>
      <c r="P14" s="15">
        <f t="shared" si="1"/>
        <v>17</v>
      </c>
      <c r="R14" s="1" t="s">
        <v>10</v>
      </c>
      <c r="S14" s="17">
        <f t="shared" ref="S14:AF14" si="6">SUM(C26:C29)</f>
        <v>8</v>
      </c>
      <c r="T14" s="17">
        <f t="shared" si="6"/>
        <v>2</v>
      </c>
      <c r="U14" s="17">
        <f t="shared" si="6"/>
        <v>0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48</v>
      </c>
      <c r="AD14" s="17">
        <f t="shared" si="6"/>
        <v>0</v>
      </c>
      <c r="AE14" s="31">
        <f t="shared" si="6"/>
        <v>22</v>
      </c>
      <c r="AF14" s="31">
        <f t="shared" si="6"/>
        <v>70</v>
      </c>
    </row>
    <row r="15" spans="2:32" ht="23.1" customHeight="1" x14ac:dyDescent="0.25">
      <c r="B15" s="45" t="s">
        <v>42</v>
      </c>
      <c r="C15" s="50">
        <v>4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4</v>
      </c>
      <c r="L15" s="50">
        <v>0</v>
      </c>
      <c r="M15" s="50">
        <v>4</v>
      </c>
      <c r="N15" s="50">
        <v>0</v>
      </c>
      <c r="O15" s="15">
        <f t="shared" si="0"/>
        <v>10</v>
      </c>
      <c r="P15" s="15">
        <f t="shared" si="1"/>
        <v>14</v>
      </c>
      <c r="R15" s="1" t="s">
        <v>11</v>
      </c>
      <c r="S15" s="17">
        <f t="shared" ref="S15:AF15" si="7">SUM(C30:C33)</f>
        <v>14</v>
      </c>
      <c r="T15" s="17">
        <f t="shared" si="7"/>
        <v>5</v>
      </c>
      <c r="U15" s="17">
        <f t="shared" si="7"/>
        <v>0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5</v>
      </c>
      <c r="AB15" s="17">
        <f t="shared" si="7"/>
        <v>1</v>
      </c>
      <c r="AC15" s="17">
        <f t="shared" si="7"/>
        <v>31</v>
      </c>
      <c r="AD15" s="17">
        <f t="shared" si="7"/>
        <v>0</v>
      </c>
      <c r="AE15" s="31">
        <f t="shared" si="7"/>
        <v>34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2</v>
      </c>
      <c r="P16" s="15">
        <f t="shared" si="1"/>
        <v>6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0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6</v>
      </c>
      <c r="AB16" s="17">
        <f t="shared" si="8"/>
        <v>0</v>
      </c>
      <c r="AC16" s="17">
        <f t="shared" si="8"/>
        <v>33</v>
      </c>
      <c r="AD16" s="17">
        <f t="shared" si="8"/>
        <v>0</v>
      </c>
      <c r="AE16" s="31">
        <f t="shared" si="8"/>
        <v>25</v>
      </c>
      <c r="AF16" s="31">
        <f t="shared" si="8"/>
        <v>58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4</v>
      </c>
      <c r="P17" s="15">
        <f t="shared" si="1"/>
        <v>9</v>
      </c>
      <c r="R17" s="1" t="s">
        <v>13</v>
      </c>
      <c r="S17" s="17">
        <f t="shared" ref="S17:AF17" si="9">SUM(C38:C41)</f>
        <v>10</v>
      </c>
      <c r="T17" s="17">
        <f t="shared" si="9"/>
        <v>3</v>
      </c>
      <c r="U17" s="17">
        <f t="shared" si="9"/>
        <v>3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3</v>
      </c>
      <c r="AA17" s="17">
        <f t="shared" si="9"/>
        <v>3</v>
      </c>
      <c r="AB17" s="17">
        <f t="shared" si="9"/>
        <v>2</v>
      </c>
      <c r="AC17" s="17">
        <f t="shared" si="9"/>
        <v>43</v>
      </c>
      <c r="AD17" s="17">
        <f t="shared" si="9"/>
        <v>0</v>
      </c>
      <c r="AE17" s="31">
        <f t="shared" si="9"/>
        <v>33</v>
      </c>
      <c r="AF17" s="31">
        <f t="shared" si="9"/>
        <v>76</v>
      </c>
    </row>
    <row r="18" spans="2:32" ht="23.1" customHeight="1" x14ac:dyDescent="0.25">
      <c r="B18" s="45" t="s">
        <v>45</v>
      </c>
      <c r="C18" s="50">
        <v>2</v>
      </c>
      <c r="D18" s="50">
        <v>2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7</v>
      </c>
      <c r="P18" s="15">
        <f t="shared" si="1"/>
        <v>17</v>
      </c>
      <c r="R18" s="1" t="s">
        <v>14</v>
      </c>
      <c r="S18" s="17">
        <f t="shared" ref="S18:AF18" si="10">SUM(C42:C45)</f>
        <v>14</v>
      </c>
      <c r="T18" s="17">
        <f t="shared" si="10"/>
        <v>2</v>
      </c>
      <c r="U18" s="17">
        <f t="shared" si="10"/>
        <v>2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5</v>
      </c>
      <c r="AB18" s="17">
        <f t="shared" si="10"/>
        <v>0</v>
      </c>
      <c r="AC18" s="17">
        <f t="shared" si="10"/>
        <v>33</v>
      </c>
      <c r="AD18" s="17">
        <f t="shared" si="10"/>
        <v>0</v>
      </c>
      <c r="AE18" s="31">
        <f t="shared" si="10"/>
        <v>40</v>
      </c>
      <c r="AF18" s="31">
        <f t="shared" si="10"/>
        <v>73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3</v>
      </c>
      <c r="P19" s="15">
        <f t="shared" si="1"/>
        <v>11</v>
      </c>
      <c r="R19" s="1" t="s">
        <v>15</v>
      </c>
      <c r="S19" s="17">
        <f t="shared" ref="S19:AF19" si="11">SUM(C46:C49)</f>
        <v>12</v>
      </c>
      <c r="T19" s="17">
        <f t="shared" si="11"/>
        <v>4</v>
      </c>
      <c r="U19" s="17">
        <f t="shared" si="11"/>
        <v>1</v>
      </c>
      <c r="V19" s="17">
        <f t="shared" si="11"/>
        <v>9</v>
      </c>
      <c r="W19" s="17">
        <f t="shared" si="11"/>
        <v>0</v>
      </c>
      <c r="X19" s="17">
        <f t="shared" si="11"/>
        <v>1</v>
      </c>
      <c r="Y19" s="17">
        <f t="shared" si="11"/>
        <v>4</v>
      </c>
      <c r="Z19" s="17">
        <f t="shared" si="11"/>
        <v>6</v>
      </c>
      <c r="AA19" s="17">
        <f t="shared" si="11"/>
        <v>8</v>
      </c>
      <c r="AB19" s="17">
        <f t="shared" si="11"/>
        <v>0</v>
      </c>
      <c r="AC19" s="17">
        <f t="shared" si="11"/>
        <v>15</v>
      </c>
      <c r="AD19" s="17">
        <f t="shared" si="11"/>
        <v>0</v>
      </c>
      <c r="AE19" s="31">
        <f t="shared" si="11"/>
        <v>45</v>
      </c>
      <c r="AF19" s="31">
        <f t="shared" si="11"/>
        <v>60</v>
      </c>
    </row>
    <row r="20" spans="2:32" ht="23.1" customHeight="1" x14ac:dyDescent="0.25">
      <c r="B20" s="45" t="s">
        <v>47</v>
      </c>
      <c r="C20" s="50">
        <v>5</v>
      </c>
      <c r="D20" s="50">
        <v>0</v>
      </c>
      <c r="E20" s="50">
        <v>1</v>
      </c>
      <c r="F20" s="50">
        <v>3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1</v>
      </c>
      <c r="M20" s="50">
        <v>19</v>
      </c>
      <c r="N20" s="50">
        <v>0</v>
      </c>
      <c r="O20" s="15">
        <f t="shared" si="0"/>
        <v>14</v>
      </c>
      <c r="P20" s="15">
        <f t="shared" si="1"/>
        <v>33</v>
      </c>
      <c r="R20" s="1" t="s">
        <v>16</v>
      </c>
      <c r="S20" s="17">
        <f t="shared" ref="S20:AF20" si="12">SUM(C50:C53)</f>
        <v>15</v>
      </c>
      <c r="T20" s="17">
        <f t="shared" si="12"/>
        <v>4</v>
      </c>
      <c r="U20" s="17">
        <f t="shared" si="12"/>
        <v>0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3</v>
      </c>
      <c r="AB20" s="17">
        <f t="shared" si="12"/>
        <v>2</v>
      </c>
      <c r="AC20" s="17">
        <f t="shared" si="12"/>
        <v>50</v>
      </c>
      <c r="AD20" s="17">
        <f t="shared" si="12"/>
        <v>0</v>
      </c>
      <c r="AE20" s="31">
        <f t="shared" si="12"/>
        <v>34</v>
      </c>
      <c r="AF20" s="31">
        <f t="shared" si="12"/>
        <v>84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3</v>
      </c>
      <c r="P21" s="15">
        <f t="shared" si="1"/>
        <v>7</v>
      </c>
      <c r="R21" s="36" t="s">
        <v>20</v>
      </c>
      <c r="S21" s="34">
        <f t="shared" ref="S21:AF21" si="13">SUM(C54:C57)</f>
        <v>14</v>
      </c>
      <c r="T21" s="17">
        <f t="shared" si="13"/>
        <v>4</v>
      </c>
      <c r="U21" s="17">
        <f t="shared" si="13"/>
        <v>0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6</v>
      </c>
      <c r="AA21" s="17">
        <f t="shared" si="13"/>
        <v>6</v>
      </c>
      <c r="AB21" s="17">
        <f t="shared" si="13"/>
        <v>1</v>
      </c>
      <c r="AC21" s="17">
        <f t="shared" si="13"/>
        <v>64</v>
      </c>
      <c r="AD21" s="17">
        <f t="shared" si="13"/>
        <v>0</v>
      </c>
      <c r="AE21" s="31">
        <f t="shared" si="13"/>
        <v>43</v>
      </c>
      <c r="AF21" s="31">
        <f t="shared" si="13"/>
        <v>107</v>
      </c>
    </row>
    <row r="22" spans="2:32" ht="23.1" customHeight="1" x14ac:dyDescent="0.25">
      <c r="B22" s="45" t="s">
        <v>49</v>
      </c>
      <c r="C22" s="50">
        <v>2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3</v>
      </c>
      <c r="P22" s="15">
        <f t="shared" si="1"/>
        <v>7</v>
      </c>
      <c r="R22" s="36" t="s">
        <v>146</v>
      </c>
      <c r="S22" s="34">
        <f>SUM(C58:C61)</f>
        <v>9</v>
      </c>
      <c r="T22" s="34">
        <f t="shared" ref="T22:AF22" si="14">SUM(D58:D61)</f>
        <v>6</v>
      </c>
      <c r="U22" s="34">
        <f t="shared" si="14"/>
        <v>0</v>
      </c>
      <c r="V22" s="34">
        <f t="shared" si="14"/>
        <v>5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98</v>
      </c>
      <c r="AD22" s="34">
        <f t="shared" si="14"/>
        <v>0</v>
      </c>
      <c r="AE22" s="31">
        <f t="shared" si="14"/>
        <v>26</v>
      </c>
      <c r="AF22" s="31">
        <f t="shared" si="14"/>
        <v>124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3</v>
      </c>
      <c r="P23" s="15">
        <f t="shared" si="1"/>
        <v>8</v>
      </c>
      <c r="R23" s="36" t="s">
        <v>147</v>
      </c>
      <c r="S23" s="34">
        <f>SUM(C62:C65)</f>
        <v>16</v>
      </c>
      <c r="T23" s="34">
        <f t="shared" ref="T23:AF23" si="15">SUM(D62:D65)</f>
        <v>3</v>
      </c>
      <c r="U23" s="34">
        <f t="shared" si="15"/>
        <v>1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7</v>
      </c>
      <c r="AA23" s="34">
        <f t="shared" si="15"/>
        <v>1</v>
      </c>
      <c r="AB23" s="34">
        <f t="shared" si="15"/>
        <v>0</v>
      </c>
      <c r="AC23" s="34">
        <f t="shared" si="15"/>
        <v>42</v>
      </c>
      <c r="AD23" s="34">
        <f t="shared" si="15"/>
        <v>0</v>
      </c>
      <c r="AE23" s="31">
        <f t="shared" si="15"/>
        <v>35</v>
      </c>
      <c r="AF23" s="31">
        <f t="shared" si="15"/>
        <v>77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1</v>
      </c>
      <c r="M24" s="50">
        <v>6</v>
      </c>
      <c r="N24" s="50">
        <v>0</v>
      </c>
      <c r="O24" s="15">
        <f t="shared" si="0"/>
        <v>7</v>
      </c>
      <c r="P24" s="15">
        <f t="shared" si="1"/>
        <v>13</v>
      </c>
      <c r="R24" s="36" t="s">
        <v>148</v>
      </c>
      <c r="S24" s="34">
        <f>SUM(C66:C69)</f>
        <v>12</v>
      </c>
      <c r="T24" s="34">
        <f t="shared" ref="T24:AF24" si="16">SUM(D66:D69)</f>
        <v>4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2</v>
      </c>
      <c r="Z24" s="34">
        <f t="shared" si="16"/>
        <v>3</v>
      </c>
      <c r="AA24" s="34">
        <f t="shared" si="16"/>
        <v>2</v>
      </c>
      <c r="AB24" s="34">
        <f t="shared" si="16"/>
        <v>0</v>
      </c>
      <c r="AC24" s="34">
        <f t="shared" si="16"/>
        <v>37</v>
      </c>
      <c r="AD24" s="34">
        <f t="shared" si="16"/>
        <v>0</v>
      </c>
      <c r="AE24" s="31">
        <f t="shared" si="16"/>
        <v>25</v>
      </c>
      <c r="AF24" s="31">
        <f t="shared" si="16"/>
        <v>62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10</v>
      </c>
      <c r="L25" s="50">
        <v>0</v>
      </c>
      <c r="M25" s="50">
        <v>9</v>
      </c>
      <c r="N25" s="50">
        <v>0</v>
      </c>
      <c r="O25" s="15">
        <f t="shared" si="0"/>
        <v>16</v>
      </c>
      <c r="P25" s="15">
        <f t="shared" si="1"/>
        <v>25</v>
      </c>
      <c r="R25" s="36" t="s">
        <v>149</v>
      </c>
      <c r="S25" s="34">
        <f>SUM(C70:C73)</f>
        <v>3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23</v>
      </c>
      <c r="AD25" s="34">
        <f t="shared" si="17"/>
        <v>0</v>
      </c>
      <c r="AE25" s="31">
        <f t="shared" si="17"/>
        <v>7</v>
      </c>
      <c r="AF25" s="31">
        <f t="shared" si="17"/>
        <v>30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5</v>
      </c>
      <c r="P26" s="15">
        <f t="shared" si="1"/>
        <v>17</v>
      </c>
      <c r="R26" s="36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5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5</v>
      </c>
      <c r="P27" s="15">
        <f t="shared" si="1"/>
        <v>16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2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2</v>
      </c>
      <c r="D28" s="50">
        <v>2</v>
      </c>
      <c r="E28" s="50">
        <v>0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8</v>
      </c>
      <c r="P28" s="15">
        <f t="shared" si="1"/>
        <v>20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0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4</v>
      </c>
      <c r="P29" s="15">
        <f t="shared" si="1"/>
        <v>17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2</v>
      </c>
      <c r="G30" s="50">
        <v>0</v>
      </c>
      <c r="H30" s="50">
        <v>0</v>
      </c>
      <c r="I30" s="50">
        <v>2</v>
      </c>
      <c r="J30" s="50">
        <v>1</v>
      </c>
      <c r="K30" s="50">
        <v>1</v>
      </c>
      <c r="L30" s="50">
        <v>1</v>
      </c>
      <c r="M30" s="50">
        <v>5</v>
      </c>
      <c r="N30" s="50">
        <v>0</v>
      </c>
      <c r="O30" s="15">
        <f t="shared" si="0"/>
        <v>9</v>
      </c>
      <c r="P30" s="15">
        <f t="shared" si="1"/>
        <v>14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4</v>
      </c>
      <c r="D31" s="50">
        <v>2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9</v>
      </c>
      <c r="N31" s="50">
        <v>0</v>
      </c>
      <c r="O31" s="15">
        <f t="shared" si="0"/>
        <v>8</v>
      </c>
      <c r="P31" s="15">
        <f t="shared" si="1"/>
        <v>17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0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4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1</v>
      </c>
      <c r="K32" s="50">
        <v>1</v>
      </c>
      <c r="L32" s="50">
        <v>0</v>
      </c>
      <c r="M32" s="50">
        <v>9</v>
      </c>
      <c r="N32" s="50">
        <v>0</v>
      </c>
      <c r="O32" s="15">
        <f t="shared" si="0"/>
        <v>8</v>
      </c>
      <c r="P32" s="15">
        <f t="shared" si="1"/>
        <v>17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1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4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5</v>
      </c>
      <c r="D33" s="50">
        <v>2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8</v>
      </c>
      <c r="N33" s="50">
        <v>0</v>
      </c>
      <c r="O33" s="15">
        <f t="shared" si="0"/>
        <v>9</v>
      </c>
      <c r="P33" s="15">
        <f t="shared" si="1"/>
        <v>17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</v>
      </c>
      <c r="AD33" s="34">
        <f t="shared" si="25"/>
        <v>0</v>
      </c>
      <c r="AE33" s="31">
        <f t="shared" si="25"/>
        <v>6</v>
      </c>
      <c r="AF33" s="31">
        <f t="shared" si="25"/>
        <v>11</v>
      </c>
    </row>
    <row r="34" spans="2:32" ht="23.1" customHeight="1" x14ac:dyDescent="0.25">
      <c r="B34" s="46" t="s">
        <v>61</v>
      </c>
      <c r="C34" s="50">
        <v>3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2</v>
      </c>
      <c r="L34" s="50">
        <v>0</v>
      </c>
      <c r="M34" s="50">
        <v>8</v>
      </c>
      <c r="N34" s="50">
        <v>0</v>
      </c>
      <c r="O34" s="15">
        <f t="shared" si="0"/>
        <v>7</v>
      </c>
      <c r="P34" s="15">
        <f t="shared" si="1"/>
        <v>15</v>
      </c>
      <c r="R34" s="38" t="s">
        <v>90</v>
      </c>
      <c r="S34" s="39">
        <f t="shared" ref="S34:AF34" si="26">MAX(S10:S12)</f>
        <v>10</v>
      </c>
      <c r="T34" s="39">
        <f t="shared" si="26"/>
        <v>2</v>
      </c>
      <c r="U34" s="39">
        <f t="shared" si="26"/>
        <v>2</v>
      </c>
      <c r="V34" s="39">
        <f t="shared" si="26"/>
        <v>7</v>
      </c>
      <c r="W34" s="39">
        <f t="shared" si="26"/>
        <v>2</v>
      </c>
      <c r="X34" s="39">
        <f t="shared" si="26"/>
        <v>0</v>
      </c>
      <c r="Y34" s="39">
        <f t="shared" si="26"/>
        <v>3</v>
      </c>
      <c r="Z34" s="39">
        <f t="shared" si="26"/>
        <v>2</v>
      </c>
      <c r="AA34" s="39">
        <f t="shared" si="26"/>
        <v>4</v>
      </c>
      <c r="AB34" s="39">
        <f t="shared" si="26"/>
        <v>1</v>
      </c>
      <c r="AC34" s="39">
        <f t="shared" si="26"/>
        <v>41</v>
      </c>
      <c r="AD34" s="39">
        <f t="shared" si="26"/>
        <v>0</v>
      </c>
      <c r="AE34" s="40">
        <f t="shared" si="26"/>
        <v>27</v>
      </c>
      <c r="AF34" s="40">
        <f t="shared" si="26"/>
        <v>68</v>
      </c>
    </row>
    <row r="35" spans="2:32" ht="23.1" customHeight="1" x14ac:dyDescent="0.25">
      <c r="B35" s="46" t="s">
        <v>62</v>
      </c>
      <c r="C35" s="50">
        <v>3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6</v>
      </c>
      <c r="P35" s="15">
        <f t="shared" si="1"/>
        <v>12</v>
      </c>
      <c r="R35" s="38" t="s">
        <v>91</v>
      </c>
      <c r="S35" s="39">
        <f t="shared" ref="S35:AF35" si="27">MAX(S13:S18)</f>
        <v>14</v>
      </c>
      <c r="T35" s="39">
        <f t="shared" si="27"/>
        <v>5</v>
      </c>
      <c r="U35" s="39">
        <f t="shared" si="27"/>
        <v>3</v>
      </c>
      <c r="V35" s="39">
        <f t="shared" si="27"/>
        <v>8</v>
      </c>
      <c r="W35" s="39">
        <f t="shared" si="27"/>
        <v>0</v>
      </c>
      <c r="X35" s="39">
        <f t="shared" si="27"/>
        <v>0</v>
      </c>
      <c r="Y35" s="39">
        <f t="shared" si="27"/>
        <v>7</v>
      </c>
      <c r="Z35" s="39">
        <f t="shared" si="27"/>
        <v>3</v>
      </c>
      <c r="AA35" s="39">
        <f t="shared" si="27"/>
        <v>10</v>
      </c>
      <c r="AB35" s="39">
        <f t="shared" si="27"/>
        <v>2</v>
      </c>
      <c r="AC35" s="39">
        <f t="shared" si="27"/>
        <v>48</v>
      </c>
      <c r="AD35" s="39">
        <f t="shared" si="27"/>
        <v>0</v>
      </c>
      <c r="AE35" s="40">
        <f t="shared" si="27"/>
        <v>40</v>
      </c>
      <c r="AF35" s="40">
        <f t="shared" si="27"/>
        <v>76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4</v>
      </c>
      <c r="P36" s="15">
        <f t="shared" si="1"/>
        <v>18</v>
      </c>
      <c r="R36" s="38" t="s">
        <v>92</v>
      </c>
      <c r="S36" s="39">
        <f t="shared" ref="S36:AF36" si="28">MAX(S19:S21)</f>
        <v>15</v>
      </c>
      <c r="T36" s="39">
        <f t="shared" si="28"/>
        <v>4</v>
      </c>
      <c r="U36" s="39">
        <f t="shared" si="28"/>
        <v>1</v>
      </c>
      <c r="V36" s="39">
        <f t="shared" si="28"/>
        <v>12</v>
      </c>
      <c r="W36" s="39">
        <f t="shared" si="28"/>
        <v>0</v>
      </c>
      <c r="X36" s="39">
        <f t="shared" si="28"/>
        <v>1</v>
      </c>
      <c r="Y36" s="39">
        <f t="shared" si="28"/>
        <v>4</v>
      </c>
      <c r="Z36" s="39">
        <f t="shared" si="28"/>
        <v>6</v>
      </c>
      <c r="AA36" s="39">
        <f t="shared" si="28"/>
        <v>8</v>
      </c>
      <c r="AB36" s="39">
        <f t="shared" si="28"/>
        <v>2</v>
      </c>
      <c r="AC36" s="39">
        <f t="shared" si="28"/>
        <v>64</v>
      </c>
      <c r="AD36" s="39">
        <f t="shared" si="28"/>
        <v>0</v>
      </c>
      <c r="AE36" s="40">
        <f t="shared" si="28"/>
        <v>45</v>
      </c>
      <c r="AF36" s="40">
        <f t="shared" si="28"/>
        <v>107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4</v>
      </c>
      <c r="L37" s="50">
        <v>0</v>
      </c>
      <c r="M37" s="50">
        <v>5</v>
      </c>
      <c r="N37" s="50">
        <v>0</v>
      </c>
      <c r="O37" s="15">
        <f t="shared" si="0"/>
        <v>8</v>
      </c>
      <c r="P37" s="15">
        <f t="shared" si="1"/>
        <v>13</v>
      </c>
      <c r="R37" s="37" t="s">
        <v>85</v>
      </c>
      <c r="S37" s="35">
        <f t="shared" ref="S37:AF37" si="29">SUM(S10:S12)</f>
        <v>28</v>
      </c>
      <c r="T37" s="16">
        <f t="shared" si="29"/>
        <v>3</v>
      </c>
      <c r="U37" s="16">
        <f t="shared" si="29"/>
        <v>2</v>
      </c>
      <c r="V37" s="16">
        <f t="shared" si="29"/>
        <v>11</v>
      </c>
      <c r="W37" s="16">
        <f t="shared" si="29"/>
        <v>2</v>
      </c>
      <c r="X37" s="16">
        <f t="shared" si="29"/>
        <v>0</v>
      </c>
      <c r="Y37" s="16">
        <f t="shared" si="29"/>
        <v>5</v>
      </c>
      <c r="Z37" s="16">
        <f t="shared" si="29"/>
        <v>3</v>
      </c>
      <c r="AA37" s="16">
        <f t="shared" si="29"/>
        <v>4</v>
      </c>
      <c r="AB37" s="16">
        <f t="shared" si="29"/>
        <v>1</v>
      </c>
      <c r="AC37" s="16">
        <f t="shared" si="29"/>
        <v>97</v>
      </c>
      <c r="AD37" s="16">
        <f t="shared" si="29"/>
        <v>0</v>
      </c>
      <c r="AE37" s="32">
        <f t="shared" si="29"/>
        <v>59</v>
      </c>
      <c r="AF37" s="32">
        <f t="shared" si="29"/>
        <v>156</v>
      </c>
    </row>
    <row r="38" spans="2:32" ht="23.1" customHeight="1" x14ac:dyDescent="0.25">
      <c r="B38" s="46" t="s">
        <v>65</v>
      </c>
      <c r="C38" s="50">
        <v>4</v>
      </c>
      <c r="D38" s="50">
        <v>0</v>
      </c>
      <c r="E38" s="50">
        <v>3</v>
      </c>
      <c r="F38" s="50">
        <v>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10</v>
      </c>
      <c r="P38" s="15">
        <f t="shared" si="1"/>
        <v>20</v>
      </c>
      <c r="R38" s="28" t="s">
        <v>86</v>
      </c>
      <c r="S38" s="16">
        <f t="shared" ref="S38:AF38" si="30">SUM(S13:S18)</f>
        <v>65</v>
      </c>
      <c r="T38" s="16">
        <f t="shared" si="30"/>
        <v>17</v>
      </c>
      <c r="U38" s="16">
        <f t="shared" si="30"/>
        <v>7</v>
      </c>
      <c r="V38" s="16">
        <f t="shared" si="30"/>
        <v>27</v>
      </c>
      <c r="W38" s="16">
        <f t="shared" si="30"/>
        <v>0</v>
      </c>
      <c r="X38" s="16">
        <f t="shared" si="30"/>
        <v>0</v>
      </c>
      <c r="Y38" s="16">
        <f t="shared" si="30"/>
        <v>23</v>
      </c>
      <c r="Z38" s="16">
        <f t="shared" si="30"/>
        <v>11</v>
      </c>
      <c r="AA38" s="16">
        <f t="shared" si="30"/>
        <v>29</v>
      </c>
      <c r="AB38" s="16">
        <f t="shared" si="30"/>
        <v>4</v>
      </c>
      <c r="AC38" s="16">
        <f t="shared" si="30"/>
        <v>212</v>
      </c>
      <c r="AD38" s="16">
        <f t="shared" si="30"/>
        <v>0</v>
      </c>
      <c r="AE38" s="32">
        <f t="shared" si="30"/>
        <v>183</v>
      </c>
      <c r="AF38" s="32">
        <f t="shared" si="30"/>
        <v>395</v>
      </c>
    </row>
    <row r="39" spans="2:32" ht="23.1" customHeight="1" x14ac:dyDescent="0.25">
      <c r="B39" s="46" t="s">
        <v>66</v>
      </c>
      <c r="C39" s="50">
        <v>2</v>
      </c>
      <c r="D39" s="50">
        <v>3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2</v>
      </c>
      <c r="M39" s="50">
        <v>10</v>
      </c>
      <c r="N39" s="50">
        <v>0</v>
      </c>
      <c r="O39" s="15">
        <f t="shared" si="0"/>
        <v>9</v>
      </c>
      <c r="P39" s="15">
        <f t="shared" si="1"/>
        <v>19</v>
      </c>
      <c r="R39" s="29" t="s">
        <v>87</v>
      </c>
      <c r="S39" s="16">
        <f t="shared" ref="S39:AF39" si="31">SUM(S19:S21)</f>
        <v>41</v>
      </c>
      <c r="T39" s="16">
        <f t="shared" si="31"/>
        <v>12</v>
      </c>
      <c r="U39" s="16">
        <f t="shared" si="31"/>
        <v>1</v>
      </c>
      <c r="V39" s="16">
        <f t="shared" si="31"/>
        <v>27</v>
      </c>
      <c r="W39" s="16">
        <f t="shared" si="31"/>
        <v>0</v>
      </c>
      <c r="X39" s="16">
        <f t="shared" si="31"/>
        <v>1</v>
      </c>
      <c r="Y39" s="16">
        <f t="shared" si="31"/>
        <v>8</v>
      </c>
      <c r="Z39" s="16">
        <f t="shared" si="31"/>
        <v>12</v>
      </c>
      <c r="AA39" s="16">
        <f t="shared" si="31"/>
        <v>17</v>
      </c>
      <c r="AB39" s="16">
        <f t="shared" si="31"/>
        <v>3</v>
      </c>
      <c r="AC39" s="16">
        <f t="shared" si="31"/>
        <v>129</v>
      </c>
      <c r="AD39" s="16">
        <f t="shared" si="31"/>
        <v>0</v>
      </c>
      <c r="AE39" s="32">
        <f t="shared" si="31"/>
        <v>122</v>
      </c>
      <c r="AF39" s="32">
        <f t="shared" si="31"/>
        <v>251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2</v>
      </c>
      <c r="L40" s="50">
        <v>0</v>
      </c>
      <c r="M40" s="50">
        <v>7</v>
      </c>
      <c r="N40" s="50">
        <v>0</v>
      </c>
      <c r="O40" s="15">
        <f t="shared" si="0"/>
        <v>7</v>
      </c>
      <c r="P40" s="15">
        <f t="shared" si="1"/>
        <v>14</v>
      </c>
      <c r="R40" s="5" t="s">
        <v>17</v>
      </c>
      <c r="S40" s="16">
        <f t="shared" ref="S40:AF40" si="32">SUM(S10:S21)</f>
        <v>134</v>
      </c>
      <c r="T40" s="16">
        <f t="shared" si="32"/>
        <v>32</v>
      </c>
      <c r="U40" s="16">
        <f t="shared" si="32"/>
        <v>10</v>
      </c>
      <c r="V40" s="16">
        <f t="shared" si="32"/>
        <v>65</v>
      </c>
      <c r="W40" s="16">
        <f t="shared" si="32"/>
        <v>2</v>
      </c>
      <c r="X40" s="16">
        <f t="shared" si="32"/>
        <v>1</v>
      </c>
      <c r="Y40" s="16">
        <f t="shared" si="32"/>
        <v>36</v>
      </c>
      <c r="Z40" s="16">
        <f t="shared" si="32"/>
        <v>26</v>
      </c>
      <c r="AA40" s="16">
        <f t="shared" si="32"/>
        <v>50</v>
      </c>
      <c r="AB40" s="16">
        <f t="shared" si="32"/>
        <v>8</v>
      </c>
      <c r="AC40" s="16">
        <f t="shared" si="32"/>
        <v>438</v>
      </c>
      <c r="AD40" s="16">
        <f t="shared" si="32"/>
        <v>0</v>
      </c>
      <c r="AE40" s="32">
        <f t="shared" si="32"/>
        <v>364</v>
      </c>
      <c r="AF40" s="32">
        <f t="shared" si="32"/>
        <v>802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0</v>
      </c>
      <c r="M41" s="50">
        <v>16</v>
      </c>
      <c r="N41" s="50">
        <v>0</v>
      </c>
      <c r="O41" s="15">
        <f t="shared" si="0"/>
        <v>7</v>
      </c>
      <c r="P41" s="15">
        <f t="shared" si="1"/>
        <v>23</v>
      </c>
      <c r="R41" s="5" t="s">
        <v>159</v>
      </c>
      <c r="S41" s="16">
        <f>SUM(S10:S33)</f>
        <v>178</v>
      </c>
      <c r="T41" s="16">
        <f t="shared" ref="T41:AF41" si="33">SUM(T10:T33)</f>
        <v>47</v>
      </c>
      <c r="U41" s="16">
        <f t="shared" si="33"/>
        <v>11</v>
      </c>
      <c r="V41" s="16">
        <f t="shared" si="33"/>
        <v>84</v>
      </c>
      <c r="W41" s="16">
        <f t="shared" si="33"/>
        <v>2</v>
      </c>
      <c r="X41" s="16">
        <f t="shared" si="33"/>
        <v>2</v>
      </c>
      <c r="Y41" s="16">
        <f t="shared" si="33"/>
        <v>49</v>
      </c>
      <c r="Z41" s="16">
        <f t="shared" si="33"/>
        <v>38</v>
      </c>
      <c r="AA41" s="16">
        <f t="shared" si="33"/>
        <v>55</v>
      </c>
      <c r="AB41" s="16">
        <f t="shared" si="33"/>
        <v>8</v>
      </c>
      <c r="AC41" s="16">
        <f t="shared" si="33"/>
        <v>656</v>
      </c>
      <c r="AD41" s="16">
        <f t="shared" si="33"/>
        <v>0</v>
      </c>
      <c r="AE41" s="32">
        <f t="shared" si="33"/>
        <v>474</v>
      </c>
      <c r="AF41" s="32">
        <f t="shared" si="33"/>
        <v>1130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0</v>
      </c>
      <c r="F42" s="50">
        <v>3</v>
      </c>
      <c r="G42" s="50">
        <v>0</v>
      </c>
      <c r="H42" s="50">
        <v>0</v>
      </c>
      <c r="I42" s="50">
        <v>1</v>
      </c>
      <c r="J42" s="50">
        <v>0</v>
      </c>
      <c r="K42" s="50">
        <v>2</v>
      </c>
      <c r="L42" s="50">
        <v>0</v>
      </c>
      <c r="M42" s="50">
        <v>8</v>
      </c>
      <c r="N42" s="50">
        <v>0</v>
      </c>
      <c r="O42" s="15">
        <f t="shared" si="0"/>
        <v>9</v>
      </c>
      <c r="P42" s="15">
        <f t="shared" si="1"/>
        <v>17</v>
      </c>
      <c r="R42" s="5" t="s">
        <v>160</v>
      </c>
      <c r="S42" s="48">
        <f>S41/S40</f>
        <v>1.3283582089552239</v>
      </c>
      <c r="T42" s="48">
        <f t="shared" ref="T42:AF42" si="34">T41/T40</f>
        <v>1.46875</v>
      </c>
      <c r="U42" s="48">
        <f t="shared" si="34"/>
        <v>1.1000000000000001</v>
      </c>
      <c r="V42" s="48">
        <f t="shared" si="34"/>
        <v>1.2923076923076924</v>
      </c>
      <c r="W42" s="48">
        <f t="shared" si="34"/>
        <v>1</v>
      </c>
      <c r="X42" s="48">
        <f t="shared" si="34"/>
        <v>2</v>
      </c>
      <c r="Y42" s="48">
        <f t="shared" si="34"/>
        <v>1.3611111111111112</v>
      </c>
      <c r="Z42" s="48">
        <f t="shared" si="34"/>
        <v>1.4615384615384615</v>
      </c>
      <c r="AA42" s="48">
        <f t="shared" si="34"/>
        <v>1.1000000000000001</v>
      </c>
      <c r="AB42" s="48">
        <f t="shared" si="34"/>
        <v>1</v>
      </c>
      <c r="AC42" s="48">
        <f t="shared" si="34"/>
        <v>1.4977168949771689</v>
      </c>
      <c r="AD42" s="48" t="e">
        <f t="shared" si="34"/>
        <v>#DIV/0!</v>
      </c>
      <c r="AE42" s="48">
        <f t="shared" si="34"/>
        <v>1.3021978021978022</v>
      </c>
      <c r="AF42" s="48">
        <f t="shared" si="34"/>
        <v>1.4089775561097257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0</v>
      </c>
      <c r="M43" s="50">
        <v>7</v>
      </c>
      <c r="N43" s="50">
        <v>0</v>
      </c>
      <c r="O43" s="15">
        <f t="shared" si="0"/>
        <v>9</v>
      </c>
      <c r="P43" s="15">
        <f t="shared" si="1"/>
        <v>16</v>
      </c>
    </row>
    <row r="44" spans="2:32" ht="23.1" customHeight="1" x14ac:dyDescent="0.25">
      <c r="B44" s="47" t="s">
        <v>71</v>
      </c>
      <c r="C44" s="50">
        <v>4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1</v>
      </c>
      <c r="J44" s="50">
        <v>3</v>
      </c>
      <c r="K44" s="50">
        <v>1</v>
      </c>
      <c r="L44" s="50">
        <v>0</v>
      </c>
      <c r="M44" s="50">
        <v>10</v>
      </c>
      <c r="N44" s="50">
        <v>0</v>
      </c>
      <c r="O44" s="15">
        <f t="shared" si="0"/>
        <v>11</v>
      </c>
      <c r="P44" s="15">
        <f t="shared" si="1"/>
        <v>21</v>
      </c>
    </row>
    <row r="45" spans="2:32" ht="23.1" customHeight="1" x14ac:dyDescent="0.25">
      <c r="B45" s="45" t="s">
        <v>72</v>
      </c>
      <c r="C45" s="50">
        <v>4</v>
      </c>
      <c r="D45" s="50">
        <v>1</v>
      </c>
      <c r="E45" s="50">
        <v>0</v>
      </c>
      <c r="F45" s="50">
        <v>4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8</v>
      </c>
      <c r="N45" s="50">
        <v>0</v>
      </c>
      <c r="O45" s="15">
        <f t="shared" si="0"/>
        <v>11</v>
      </c>
      <c r="P45" s="15">
        <f t="shared" si="1"/>
        <v>19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4</v>
      </c>
      <c r="K46" s="50">
        <v>2</v>
      </c>
      <c r="L46" s="50">
        <v>0</v>
      </c>
      <c r="M46" s="50">
        <v>3</v>
      </c>
      <c r="N46" s="50">
        <v>0</v>
      </c>
      <c r="O46" s="15">
        <f t="shared" si="0"/>
        <v>12</v>
      </c>
      <c r="P46" s="15">
        <f t="shared" si="1"/>
        <v>15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1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7</v>
      </c>
      <c r="P47" s="15">
        <f t="shared" si="1"/>
        <v>9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3</v>
      </c>
      <c r="J48" s="50">
        <v>2</v>
      </c>
      <c r="K48" s="50">
        <v>6</v>
      </c>
      <c r="L48" s="50">
        <v>0</v>
      </c>
      <c r="M48" s="50">
        <v>3</v>
      </c>
      <c r="N48" s="50">
        <v>0</v>
      </c>
      <c r="O48" s="15">
        <f t="shared" si="0"/>
        <v>17</v>
      </c>
      <c r="P48" s="15">
        <f t="shared" si="1"/>
        <v>20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2</v>
      </c>
      <c r="E49" s="50">
        <v>0</v>
      </c>
      <c r="F49" s="50">
        <v>5</v>
      </c>
      <c r="G49" s="50">
        <v>0</v>
      </c>
      <c r="H49" s="50">
        <v>1</v>
      </c>
      <c r="I49" s="50">
        <v>0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9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1</v>
      </c>
      <c r="M50" s="50">
        <v>6</v>
      </c>
      <c r="N50" s="50">
        <v>0</v>
      </c>
      <c r="O50" s="15">
        <f t="shared" si="0"/>
        <v>4</v>
      </c>
      <c r="P50" s="15">
        <f t="shared" si="1"/>
        <v>10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0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12</v>
      </c>
      <c r="N51" s="50">
        <v>0</v>
      </c>
      <c r="O51" s="15">
        <f t="shared" si="0"/>
        <v>11</v>
      </c>
      <c r="P51" s="15">
        <f t="shared" si="1"/>
        <v>23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2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2</v>
      </c>
      <c r="L52" s="50">
        <v>0</v>
      </c>
      <c r="M52" s="50">
        <v>22</v>
      </c>
      <c r="N52" s="50">
        <v>0</v>
      </c>
      <c r="O52" s="15">
        <f t="shared" si="0"/>
        <v>13</v>
      </c>
      <c r="P52" s="15">
        <f t="shared" si="1"/>
        <v>35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2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10</v>
      </c>
      <c r="N53" s="50">
        <v>0</v>
      </c>
      <c r="O53" s="15">
        <f t="shared" si="0"/>
        <v>6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6</v>
      </c>
      <c r="P54" s="15">
        <f t="shared" si="1"/>
        <v>21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3</v>
      </c>
      <c r="E55" s="50">
        <v>0</v>
      </c>
      <c r="F55" s="50">
        <v>4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14</v>
      </c>
      <c r="N55" s="50">
        <v>0</v>
      </c>
      <c r="O55" s="15">
        <f t="shared" si="0"/>
        <v>14</v>
      </c>
      <c r="P55" s="15">
        <f t="shared" si="1"/>
        <v>28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1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5</v>
      </c>
      <c r="K56" s="50">
        <v>4</v>
      </c>
      <c r="L56" s="50">
        <v>0</v>
      </c>
      <c r="M56" s="50">
        <v>12</v>
      </c>
      <c r="N56" s="50">
        <v>0</v>
      </c>
      <c r="O56" s="15">
        <f t="shared" si="0"/>
        <v>14</v>
      </c>
      <c r="P56" s="15">
        <f t="shared" si="1"/>
        <v>26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1</v>
      </c>
      <c r="M57" s="50">
        <v>23</v>
      </c>
      <c r="N57" s="50">
        <v>0</v>
      </c>
      <c r="O57" s="15">
        <f t="shared" si="0"/>
        <v>9</v>
      </c>
      <c r="P57" s="15">
        <f t="shared" si="1"/>
        <v>32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13</v>
      </c>
      <c r="N58" s="50">
        <v>0</v>
      </c>
      <c r="O58" s="15">
        <f t="shared" si="0"/>
        <v>1</v>
      </c>
      <c r="P58" s="15">
        <f t="shared" si="1"/>
        <v>14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33</v>
      </c>
      <c r="N59" s="50">
        <v>0</v>
      </c>
      <c r="O59" s="15">
        <f t="shared" si="0"/>
        <v>7</v>
      </c>
      <c r="P59" s="15">
        <f t="shared" si="1"/>
        <v>40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4</v>
      </c>
      <c r="E60" s="50">
        <v>0</v>
      </c>
      <c r="F60" s="50">
        <v>1</v>
      </c>
      <c r="G60" s="50">
        <v>0</v>
      </c>
      <c r="H60" s="50">
        <v>0</v>
      </c>
      <c r="I60" s="50">
        <v>2</v>
      </c>
      <c r="J60" s="50">
        <v>0</v>
      </c>
      <c r="K60" s="50">
        <v>1</v>
      </c>
      <c r="L60" s="50">
        <v>0</v>
      </c>
      <c r="M60" s="50">
        <v>35</v>
      </c>
      <c r="N60" s="50">
        <v>0</v>
      </c>
      <c r="O60" s="15">
        <f t="shared" si="0"/>
        <v>9</v>
      </c>
      <c r="P60" s="15">
        <f t="shared" si="1"/>
        <v>44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2</v>
      </c>
      <c r="E61" s="50">
        <v>0</v>
      </c>
      <c r="F61" s="50">
        <v>2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0"/>
        <v>9</v>
      </c>
      <c r="P61" s="15">
        <f t="shared" si="1"/>
        <v>26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2</v>
      </c>
      <c r="E62" s="50">
        <v>0</v>
      </c>
      <c r="F62" s="50">
        <v>1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10</v>
      </c>
      <c r="N62" s="50">
        <v>0</v>
      </c>
      <c r="O62" s="15">
        <f t="shared" si="0"/>
        <v>8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7</v>
      </c>
      <c r="D63" s="50">
        <v>1</v>
      </c>
      <c r="E63" s="50">
        <v>0</v>
      </c>
      <c r="F63" s="50">
        <v>1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12</v>
      </c>
      <c r="N63" s="50">
        <v>0</v>
      </c>
      <c r="O63" s="15">
        <f t="shared" si="0"/>
        <v>10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1</v>
      </c>
      <c r="J64" s="50">
        <v>3</v>
      </c>
      <c r="K64" s="50">
        <v>1</v>
      </c>
      <c r="L64" s="50">
        <v>0</v>
      </c>
      <c r="M64" s="50">
        <v>10</v>
      </c>
      <c r="N64" s="50">
        <v>0</v>
      </c>
      <c r="O64" s="15">
        <f t="shared" si="0"/>
        <v>9</v>
      </c>
      <c r="P64" s="15">
        <f t="shared" si="1"/>
        <v>19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1</v>
      </c>
      <c r="J65" s="50">
        <v>3</v>
      </c>
      <c r="K65" s="50">
        <v>0</v>
      </c>
      <c r="L65" s="50">
        <v>0</v>
      </c>
      <c r="M65" s="50">
        <v>10</v>
      </c>
      <c r="N65" s="50">
        <v>0</v>
      </c>
      <c r="O65" s="15">
        <f t="shared" si="0"/>
        <v>8</v>
      </c>
      <c r="P65" s="15">
        <f t="shared" si="1"/>
        <v>18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1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2</v>
      </c>
      <c r="K66" s="50">
        <v>0</v>
      </c>
      <c r="L66" s="50">
        <v>0</v>
      </c>
      <c r="M66" s="50">
        <v>6</v>
      </c>
      <c r="N66" s="50">
        <v>0</v>
      </c>
      <c r="O66" s="15">
        <f t="shared" si="0"/>
        <v>9</v>
      </c>
      <c r="P66" s="15">
        <f t="shared" si="1"/>
        <v>15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0</v>
      </c>
      <c r="M67" s="50">
        <v>14</v>
      </c>
      <c r="N67" s="50">
        <v>0</v>
      </c>
      <c r="O67" s="15">
        <f t="shared" si="0"/>
        <v>5</v>
      </c>
      <c r="P67" s="15">
        <f t="shared" si="1"/>
        <v>19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2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1</v>
      </c>
      <c r="K68" s="50">
        <v>1</v>
      </c>
      <c r="L68" s="50">
        <v>0</v>
      </c>
      <c r="M68" s="50">
        <v>10</v>
      </c>
      <c r="N68" s="50">
        <v>0</v>
      </c>
      <c r="O68" s="15">
        <f t="shared" si="0"/>
        <v>8</v>
      </c>
      <c r="P68" s="15">
        <f t="shared" si="1"/>
        <v>18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0</v>
      </c>
      <c r="F69" s="50">
        <v>1</v>
      </c>
      <c r="G69" s="50">
        <v>0</v>
      </c>
      <c r="H69" s="50">
        <v>1</v>
      </c>
      <c r="I69" s="50">
        <v>0</v>
      </c>
      <c r="J69" s="50">
        <v>0</v>
      </c>
      <c r="K69" s="50">
        <v>0</v>
      </c>
      <c r="L69" s="50">
        <v>0</v>
      </c>
      <c r="M69" s="50">
        <v>7</v>
      </c>
      <c r="N69" s="50">
        <v>0</v>
      </c>
      <c r="O69" s="15">
        <f t="shared" si="0"/>
        <v>3</v>
      </c>
      <c r="P69" s="15">
        <f t="shared" si="1"/>
        <v>10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1</v>
      </c>
      <c r="P70" s="15">
        <f t="shared" si="1"/>
        <v>5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1</v>
      </c>
      <c r="P71" s="15">
        <f t="shared" si="1"/>
        <v>7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10</v>
      </c>
      <c r="N72" s="50">
        <v>0</v>
      </c>
      <c r="O72" s="15">
        <f t="shared" si="0"/>
        <v>3</v>
      </c>
      <c r="P72" s="15">
        <f t="shared" si="1"/>
        <v>13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2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3</v>
      </c>
      <c r="P75" s="15">
        <f t="shared" si="36"/>
        <v>7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0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/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0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2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3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0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3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3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178</v>
      </c>
      <c r="D106" s="16">
        <f t="shared" ref="D106:P106" si="37">SUM(D10:D105)</f>
        <v>47</v>
      </c>
      <c r="E106" s="16">
        <f t="shared" si="37"/>
        <v>11</v>
      </c>
      <c r="F106" s="16">
        <f t="shared" si="37"/>
        <v>84</v>
      </c>
      <c r="G106" s="16">
        <f t="shared" si="37"/>
        <v>2</v>
      </c>
      <c r="H106" s="16">
        <f t="shared" si="37"/>
        <v>2</v>
      </c>
      <c r="I106" s="16">
        <f t="shared" si="37"/>
        <v>49</v>
      </c>
      <c r="J106" s="16">
        <f t="shared" si="37"/>
        <v>38</v>
      </c>
      <c r="K106" s="16">
        <f t="shared" si="37"/>
        <v>55</v>
      </c>
      <c r="L106" s="16">
        <f t="shared" si="37"/>
        <v>8</v>
      </c>
      <c r="M106" s="16">
        <f t="shared" si="37"/>
        <v>656</v>
      </c>
      <c r="N106" s="16">
        <f t="shared" si="37"/>
        <v>0</v>
      </c>
      <c r="O106" s="16">
        <f t="shared" si="37"/>
        <v>474</v>
      </c>
      <c r="P106" s="16">
        <f t="shared" si="37"/>
        <v>1130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0.15752212389380532</v>
      </c>
      <c r="D107" s="43">
        <f t="shared" si="38"/>
        <v>4.15929203539823E-2</v>
      </c>
      <c r="E107" s="43">
        <f t="shared" si="38"/>
        <v>9.7345132743362831E-3</v>
      </c>
      <c r="F107" s="43">
        <f t="shared" si="38"/>
        <v>7.4336283185840707E-2</v>
      </c>
      <c r="G107" s="43">
        <f t="shared" si="38"/>
        <v>1.7699115044247787E-3</v>
      </c>
      <c r="H107" s="43">
        <f t="shared" si="38"/>
        <v>1.7699115044247787E-3</v>
      </c>
      <c r="I107" s="43">
        <f t="shared" si="38"/>
        <v>4.3362831858407079E-2</v>
      </c>
      <c r="J107" s="43">
        <f t="shared" si="38"/>
        <v>3.3628318584070796E-2</v>
      </c>
      <c r="K107" s="43">
        <f t="shared" si="38"/>
        <v>4.8672566371681415E-2</v>
      </c>
      <c r="L107" s="43">
        <f t="shared" si="38"/>
        <v>7.0796460176991149E-3</v>
      </c>
      <c r="M107" s="43">
        <f t="shared" si="38"/>
        <v>0.58053097345132743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0.37552742616033757</v>
      </c>
      <c r="D108" s="44">
        <f t="shared" ref="D108:N108" si="39">D106/$O$106</f>
        <v>9.9156118143459912E-2</v>
      </c>
      <c r="E108" s="44">
        <f t="shared" si="39"/>
        <v>2.3206751054852322E-2</v>
      </c>
      <c r="F108" s="44">
        <f t="shared" si="39"/>
        <v>0.17721518987341772</v>
      </c>
      <c r="G108" s="44">
        <f t="shared" si="39"/>
        <v>4.2194092827004216E-3</v>
      </c>
      <c r="H108" s="44">
        <f t="shared" si="39"/>
        <v>4.2194092827004216E-3</v>
      </c>
      <c r="I108" s="44">
        <f t="shared" si="39"/>
        <v>0.10337552742616034</v>
      </c>
      <c r="J108" s="44">
        <f t="shared" si="39"/>
        <v>8.0168776371308023E-2</v>
      </c>
      <c r="K108" s="44">
        <f t="shared" si="39"/>
        <v>0.1160337552742616</v>
      </c>
      <c r="L108" s="44">
        <f t="shared" si="39"/>
        <v>1.6877637130801686E-2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H14" sqref="H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'31.10.MUTUKULA-MASAKA'!C3:G3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185</v>
      </c>
      <c r="E5" s="3"/>
      <c r="F5" s="41" t="s">
        <v>1</v>
      </c>
      <c r="G5" s="55" t="str">
        <f>'25.10 MASAKA-MUTUKULA'!G5:H5</f>
        <v>MUTUKULA</v>
      </c>
      <c r="H5" s="56"/>
      <c r="I5" s="14"/>
      <c r="J5" s="2" t="s">
        <v>5</v>
      </c>
      <c r="K5" s="55" t="s">
        <v>163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169</v>
      </c>
      <c r="E6" s="56"/>
      <c r="F6" s="2" t="s">
        <v>2</v>
      </c>
      <c r="G6" s="55" t="s">
        <v>170</v>
      </c>
      <c r="H6" s="56"/>
      <c r="J6" s="2" t="s">
        <v>21</v>
      </c>
      <c r="K6" s="55" t="str">
        <f>'25.10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1</v>
      </c>
      <c r="L10" s="50">
        <v>0</v>
      </c>
      <c r="M10" s="50">
        <v>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24</v>
      </c>
      <c r="AD10" s="17">
        <f t="shared" si="2"/>
        <v>0</v>
      </c>
      <c r="AE10" s="31">
        <f t="shared" si="2"/>
        <v>11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1</v>
      </c>
      <c r="P11" s="15">
        <f t="shared" si="1"/>
        <v>1</v>
      </c>
      <c r="R11" s="1" t="s">
        <v>7</v>
      </c>
      <c r="S11" s="17">
        <f t="shared" ref="S11:AF11" si="3">SUM(C14:C17)</f>
        <v>12</v>
      </c>
      <c r="T11" s="17">
        <f t="shared" si="3"/>
        <v>1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47</v>
      </c>
      <c r="AD11" s="17">
        <f t="shared" si="3"/>
        <v>0</v>
      </c>
      <c r="AE11" s="31">
        <f t="shared" si="3"/>
        <v>22</v>
      </c>
      <c r="AF11" s="31">
        <f t="shared" si="3"/>
        <v>69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9</v>
      </c>
      <c r="T12" s="17">
        <f t="shared" si="4"/>
        <v>1</v>
      </c>
      <c r="U12" s="17">
        <f t="shared" si="4"/>
        <v>1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6</v>
      </c>
      <c r="AB12" s="17">
        <f t="shared" si="4"/>
        <v>0</v>
      </c>
      <c r="AC12" s="17">
        <f t="shared" si="4"/>
        <v>63</v>
      </c>
      <c r="AD12" s="17">
        <f t="shared" si="4"/>
        <v>0</v>
      </c>
      <c r="AE12" s="31">
        <f t="shared" si="4"/>
        <v>23</v>
      </c>
      <c r="AF12" s="31">
        <f t="shared" si="4"/>
        <v>86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2</v>
      </c>
      <c r="P13" s="15">
        <f t="shared" si="1"/>
        <v>18</v>
      </c>
      <c r="R13" s="1" t="s">
        <v>9</v>
      </c>
      <c r="S13" s="17">
        <f t="shared" ref="S13:AF13" si="5">SUM(C22:C25)</f>
        <v>14</v>
      </c>
      <c r="T13" s="17">
        <f t="shared" si="5"/>
        <v>0</v>
      </c>
      <c r="U13" s="17">
        <f t="shared" si="5"/>
        <v>1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6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33</v>
      </c>
      <c r="AF13" s="31">
        <f t="shared" si="5"/>
        <v>92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2</v>
      </c>
      <c r="P14" s="15">
        <f t="shared" si="1"/>
        <v>10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0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5</v>
      </c>
      <c r="AB14" s="17">
        <f t="shared" si="6"/>
        <v>0</v>
      </c>
      <c r="AC14" s="17">
        <f t="shared" si="6"/>
        <v>43</v>
      </c>
      <c r="AD14" s="17">
        <f t="shared" si="6"/>
        <v>0</v>
      </c>
      <c r="AE14" s="31">
        <f t="shared" si="6"/>
        <v>19</v>
      </c>
      <c r="AF14" s="31">
        <f t="shared" si="6"/>
        <v>62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6</v>
      </c>
      <c r="P15" s="15">
        <f t="shared" si="1"/>
        <v>19</v>
      </c>
      <c r="R15" s="1" t="s">
        <v>11</v>
      </c>
      <c r="S15" s="17">
        <f t="shared" ref="S15:AF15" si="7">SUM(C30:C33)</f>
        <v>10</v>
      </c>
      <c r="T15" s="17">
        <f t="shared" si="7"/>
        <v>1</v>
      </c>
      <c r="U15" s="17">
        <f t="shared" si="7"/>
        <v>1</v>
      </c>
      <c r="V15" s="17">
        <f t="shared" si="7"/>
        <v>9</v>
      </c>
      <c r="W15" s="17">
        <f t="shared" si="7"/>
        <v>0</v>
      </c>
      <c r="X15" s="17">
        <f t="shared" si="7"/>
        <v>1</v>
      </c>
      <c r="Y15" s="17">
        <f t="shared" si="7"/>
        <v>7</v>
      </c>
      <c r="Z15" s="17">
        <f t="shared" si="7"/>
        <v>0</v>
      </c>
      <c r="AA15" s="17">
        <f t="shared" si="7"/>
        <v>4</v>
      </c>
      <c r="AB15" s="17">
        <f t="shared" si="7"/>
        <v>0</v>
      </c>
      <c r="AC15" s="17">
        <f t="shared" si="7"/>
        <v>42</v>
      </c>
      <c r="AD15" s="17">
        <f t="shared" si="7"/>
        <v>0</v>
      </c>
      <c r="AE15" s="31">
        <f t="shared" si="7"/>
        <v>33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0</v>
      </c>
      <c r="G16" s="50">
        <v>0</v>
      </c>
      <c r="H16" s="50">
        <v>1</v>
      </c>
      <c r="I16" s="50">
        <v>1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7</v>
      </c>
      <c r="P16" s="15">
        <f t="shared" si="1"/>
        <v>18</v>
      </c>
      <c r="R16" s="1" t="s">
        <v>12</v>
      </c>
      <c r="S16" s="17">
        <f t="shared" ref="S16:AF16" si="8">SUM(C34:C37)</f>
        <v>5</v>
      </c>
      <c r="T16" s="17">
        <f t="shared" si="8"/>
        <v>2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3</v>
      </c>
      <c r="AB16" s="17">
        <f t="shared" si="8"/>
        <v>0</v>
      </c>
      <c r="AC16" s="17">
        <f t="shared" si="8"/>
        <v>60</v>
      </c>
      <c r="AD16" s="17">
        <f t="shared" si="8"/>
        <v>0</v>
      </c>
      <c r="AE16" s="31">
        <f t="shared" si="8"/>
        <v>16</v>
      </c>
      <c r="AF16" s="31">
        <f t="shared" si="8"/>
        <v>76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15</v>
      </c>
      <c r="N17" s="50">
        <v>0</v>
      </c>
      <c r="O17" s="15">
        <f t="shared" si="0"/>
        <v>7</v>
      </c>
      <c r="P17" s="15">
        <f t="shared" si="1"/>
        <v>22</v>
      </c>
      <c r="R17" s="1" t="s">
        <v>13</v>
      </c>
      <c r="S17" s="17">
        <f t="shared" ref="S17:AF17" si="9">SUM(C38:C41)</f>
        <v>9</v>
      </c>
      <c r="T17" s="17">
        <f t="shared" si="9"/>
        <v>1</v>
      </c>
      <c r="U17" s="17">
        <f t="shared" si="9"/>
        <v>0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4</v>
      </c>
      <c r="AB17" s="17">
        <f t="shared" si="9"/>
        <v>0</v>
      </c>
      <c r="AC17" s="17">
        <f t="shared" si="9"/>
        <v>55</v>
      </c>
      <c r="AD17" s="17">
        <f t="shared" si="9"/>
        <v>0</v>
      </c>
      <c r="AE17" s="31">
        <f t="shared" si="9"/>
        <v>25</v>
      </c>
      <c r="AF17" s="31">
        <f t="shared" si="9"/>
        <v>80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4</v>
      </c>
      <c r="L18" s="50">
        <v>0</v>
      </c>
      <c r="M18" s="50">
        <v>21</v>
      </c>
      <c r="N18" s="50">
        <v>0</v>
      </c>
      <c r="O18" s="15">
        <f t="shared" si="0"/>
        <v>8</v>
      </c>
      <c r="P18" s="15">
        <f t="shared" si="1"/>
        <v>29</v>
      </c>
      <c r="R18" s="1" t="s">
        <v>14</v>
      </c>
      <c r="S18" s="17">
        <f t="shared" ref="S18:AF18" si="10">SUM(C42:C45)</f>
        <v>10</v>
      </c>
      <c r="T18" s="17">
        <f t="shared" si="10"/>
        <v>0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5</v>
      </c>
      <c r="AB18" s="17">
        <f t="shared" si="10"/>
        <v>0</v>
      </c>
      <c r="AC18" s="17">
        <f t="shared" si="10"/>
        <v>41</v>
      </c>
      <c r="AD18" s="17">
        <f t="shared" si="10"/>
        <v>0</v>
      </c>
      <c r="AE18" s="31">
        <f t="shared" si="10"/>
        <v>25</v>
      </c>
      <c r="AF18" s="31">
        <f t="shared" si="10"/>
        <v>66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4</v>
      </c>
      <c r="P19" s="15">
        <f t="shared" si="1"/>
        <v>14</v>
      </c>
      <c r="R19" s="1" t="s">
        <v>15</v>
      </c>
      <c r="S19" s="17">
        <f t="shared" ref="S19:AF19" si="11">SUM(C46:C49)</f>
        <v>16</v>
      </c>
      <c r="T19" s="17">
        <f t="shared" si="11"/>
        <v>0</v>
      </c>
      <c r="U19" s="17">
        <f t="shared" si="11"/>
        <v>0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67</v>
      </c>
      <c r="AD19" s="17">
        <f t="shared" si="11"/>
        <v>0</v>
      </c>
      <c r="AE19" s="31">
        <f t="shared" si="11"/>
        <v>27</v>
      </c>
      <c r="AF19" s="31">
        <f t="shared" si="11"/>
        <v>94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23</v>
      </c>
      <c r="N20" s="50">
        <v>0</v>
      </c>
      <c r="O20" s="15">
        <f t="shared" si="0"/>
        <v>7</v>
      </c>
      <c r="P20" s="15">
        <f t="shared" si="1"/>
        <v>30</v>
      </c>
      <c r="R20" s="1" t="s">
        <v>16</v>
      </c>
      <c r="S20" s="17">
        <f t="shared" ref="S20:AF20" si="12">SUM(C50:C53)</f>
        <v>9</v>
      </c>
      <c r="T20" s="17">
        <f t="shared" si="12"/>
        <v>1</v>
      </c>
      <c r="U20" s="17">
        <f t="shared" si="12"/>
        <v>1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42</v>
      </c>
      <c r="AD20" s="17">
        <f t="shared" si="12"/>
        <v>0</v>
      </c>
      <c r="AE20" s="31">
        <f t="shared" si="12"/>
        <v>20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9</v>
      </c>
      <c r="N21" s="50">
        <v>0</v>
      </c>
      <c r="O21" s="15">
        <f t="shared" si="0"/>
        <v>4</v>
      </c>
      <c r="P21" s="15">
        <f t="shared" si="1"/>
        <v>13</v>
      </c>
      <c r="R21" s="36" t="s">
        <v>20</v>
      </c>
      <c r="S21" s="34">
        <f t="shared" ref="S21:AF21" si="13">SUM(C54:C57)</f>
        <v>14</v>
      </c>
      <c r="T21" s="17">
        <f t="shared" si="13"/>
        <v>0</v>
      </c>
      <c r="U21" s="17">
        <f t="shared" si="13"/>
        <v>0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3</v>
      </c>
      <c r="AA21" s="17">
        <f t="shared" si="13"/>
        <v>2</v>
      </c>
      <c r="AB21" s="17">
        <f t="shared" si="13"/>
        <v>4</v>
      </c>
      <c r="AC21" s="17">
        <f t="shared" si="13"/>
        <v>37</v>
      </c>
      <c r="AD21" s="17">
        <f t="shared" si="13"/>
        <v>0</v>
      </c>
      <c r="AE21" s="31">
        <f t="shared" si="13"/>
        <v>28</v>
      </c>
      <c r="AF21" s="31">
        <f t="shared" si="13"/>
        <v>65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2</v>
      </c>
      <c r="L22" s="50">
        <v>0</v>
      </c>
      <c r="M22" s="50">
        <v>15</v>
      </c>
      <c r="N22" s="50">
        <v>0</v>
      </c>
      <c r="O22" s="15">
        <f t="shared" si="0"/>
        <v>9</v>
      </c>
      <c r="P22" s="15">
        <f t="shared" si="1"/>
        <v>24</v>
      </c>
      <c r="R22" s="38" t="s">
        <v>90</v>
      </c>
      <c r="S22" s="39">
        <f>MAX(S10:S12)</f>
        <v>12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4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4</v>
      </c>
      <c r="AA22" s="39">
        <f t="shared" si="14"/>
        <v>6</v>
      </c>
      <c r="AB22" s="39">
        <f t="shared" si="14"/>
        <v>0</v>
      </c>
      <c r="AC22" s="39">
        <f t="shared" si="14"/>
        <v>63</v>
      </c>
      <c r="AD22" s="39">
        <f t="shared" si="14"/>
        <v>0</v>
      </c>
      <c r="AE22" s="40">
        <f t="shared" si="14"/>
        <v>23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3</v>
      </c>
      <c r="L23" s="50">
        <v>0</v>
      </c>
      <c r="M23" s="50">
        <v>18</v>
      </c>
      <c r="N23" s="50">
        <v>0</v>
      </c>
      <c r="O23" s="15">
        <f t="shared" si="0"/>
        <v>8</v>
      </c>
      <c r="P23" s="15">
        <f t="shared" si="1"/>
        <v>26</v>
      </c>
      <c r="R23" s="38" t="s">
        <v>91</v>
      </c>
      <c r="S23" s="39">
        <f>MAX(S13:S18)</f>
        <v>14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9</v>
      </c>
      <c r="W23" s="39">
        <f t="shared" si="15"/>
        <v>0</v>
      </c>
      <c r="X23" s="39">
        <f t="shared" si="15"/>
        <v>1</v>
      </c>
      <c r="Y23" s="39">
        <f t="shared" si="15"/>
        <v>7</v>
      </c>
      <c r="Z23" s="39">
        <f t="shared" si="15"/>
        <v>0</v>
      </c>
      <c r="AA23" s="39">
        <f t="shared" si="15"/>
        <v>6</v>
      </c>
      <c r="AB23" s="39">
        <f t="shared" si="15"/>
        <v>0</v>
      </c>
      <c r="AC23" s="39">
        <f t="shared" si="15"/>
        <v>60</v>
      </c>
      <c r="AD23" s="39">
        <f t="shared" si="15"/>
        <v>0</v>
      </c>
      <c r="AE23" s="40">
        <f t="shared" si="15"/>
        <v>33</v>
      </c>
      <c r="AF23" s="40">
        <f t="shared" si="15"/>
        <v>92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17</v>
      </c>
      <c r="N24" s="50">
        <v>0</v>
      </c>
      <c r="O24" s="15">
        <f t="shared" si="0"/>
        <v>9</v>
      </c>
      <c r="P24" s="15">
        <f t="shared" si="1"/>
        <v>26</v>
      </c>
      <c r="R24" s="38" t="s">
        <v>92</v>
      </c>
      <c r="S24" s="39">
        <f>MAX(S19:S21)</f>
        <v>16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8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2</v>
      </c>
      <c r="AB24" s="39">
        <f t="shared" si="16"/>
        <v>4</v>
      </c>
      <c r="AC24" s="39">
        <f t="shared" si="16"/>
        <v>67</v>
      </c>
      <c r="AD24" s="39">
        <f t="shared" si="16"/>
        <v>0</v>
      </c>
      <c r="AE24" s="40">
        <f t="shared" si="16"/>
        <v>28</v>
      </c>
      <c r="AF24" s="40">
        <f t="shared" si="16"/>
        <v>94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7</v>
      </c>
      <c r="P25" s="15">
        <f t="shared" si="1"/>
        <v>16</v>
      </c>
      <c r="R25" s="37" t="s">
        <v>85</v>
      </c>
      <c r="S25" s="35">
        <f t="shared" ref="S25:AF25" si="17">SUM(S10:S12)</f>
        <v>25</v>
      </c>
      <c r="T25" s="16">
        <f t="shared" si="17"/>
        <v>4</v>
      </c>
      <c r="U25" s="16">
        <f t="shared" si="17"/>
        <v>1</v>
      </c>
      <c r="V25" s="16">
        <f t="shared" si="17"/>
        <v>8</v>
      </c>
      <c r="W25" s="16">
        <f t="shared" si="17"/>
        <v>0</v>
      </c>
      <c r="X25" s="16">
        <f t="shared" si="17"/>
        <v>1</v>
      </c>
      <c r="Y25" s="16">
        <f t="shared" si="17"/>
        <v>4</v>
      </c>
      <c r="Z25" s="16">
        <f t="shared" si="17"/>
        <v>5</v>
      </c>
      <c r="AA25" s="16">
        <f t="shared" si="17"/>
        <v>8</v>
      </c>
      <c r="AB25" s="16">
        <f t="shared" si="17"/>
        <v>0</v>
      </c>
      <c r="AC25" s="16">
        <f t="shared" si="17"/>
        <v>134</v>
      </c>
      <c r="AD25" s="16">
        <f t="shared" si="17"/>
        <v>0</v>
      </c>
      <c r="AE25" s="32">
        <f t="shared" si="17"/>
        <v>56</v>
      </c>
      <c r="AF25" s="32">
        <f t="shared" si="17"/>
        <v>190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6</v>
      </c>
      <c r="N26" s="50">
        <v>0</v>
      </c>
      <c r="O26" s="15">
        <f t="shared" si="0"/>
        <v>6</v>
      </c>
      <c r="P26" s="15">
        <f t="shared" si="1"/>
        <v>12</v>
      </c>
      <c r="R26" s="28" t="s">
        <v>86</v>
      </c>
      <c r="S26" s="16">
        <f t="shared" ref="S26:AF26" si="18">SUM(S13:S18)</f>
        <v>55</v>
      </c>
      <c r="T26" s="16">
        <f t="shared" si="18"/>
        <v>4</v>
      </c>
      <c r="U26" s="16">
        <f t="shared" si="18"/>
        <v>2</v>
      </c>
      <c r="V26" s="16">
        <f t="shared" si="18"/>
        <v>34</v>
      </c>
      <c r="W26" s="16">
        <f t="shared" si="18"/>
        <v>0</v>
      </c>
      <c r="X26" s="16">
        <f t="shared" si="18"/>
        <v>1</v>
      </c>
      <c r="Y26" s="16">
        <f t="shared" si="18"/>
        <v>28</v>
      </c>
      <c r="Z26" s="16">
        <f t="shared" si="18"/>
        <v>0</v>
      </c>
      <c r="AA26" s="16">
        <f t="shared" si="18"/>
        <v>27</v>
      </c>
      <c r="AB26" s="16">
        <f t="shared" si="18"/>
        <v>0</v>
      </c>
      <c r="AC26" s="16">
        <f t="shared" si="18"/>
        <v>300</v>
      </c>
      <c r="AD26" s="16">
        <f t="shared" si="18"/>
        <v>0</v>
      </c>
      <c r="AE26" s="32">
        <f t="shared" si="18"/>
        <v>151</v>
      </c>
      <c r="AF26" s="32">
        <f t="shared" si="18"/>
        <v>451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11</v>
      </c>
      <c r="N27" s="50">
        <v>0</v>
      </c>
      <c r="O27" s="15">
        <f t="shared" si="0"/>
        <v>4</v>
      </c>
      <c r="P27" s="15">
        <f t="shared" si="1"/>
        <v>15</v>
      </c>
      <c r="R27" s="29" t="s">
        <v>87</v>
      </c>
      <c r="S27" s="16">
        <f t="shared" ref="S27:AF27" si="19">SUM(S19:S21)</f>
        <v>39</v>
      </c>
      <c r="T27" s="16">
        <f t="shared" si="19"/>
        <v>1</v>
      </c>
      <c r="U27" s="16">
        <f t="shared" si="19"/>
        <v>1</v>
      </c>
      <c r="V27" s="16">
        <f t="shared" si="19"/>
        <v>18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5</v>
      </c>
      <c r="AA27" s="16">
        <f t="shared" si="19"/>
        <v>3</v>
      </c>
      <c r="AB27" s="16">
        <f t="shared" si="19"/>
        <v>4</v>
      </c>
      <c r="AC27" s="16">
        <f t="shared" si="19"/>
        <v>146</v>
      </c>
      <c r="AD27" s="16">
        <f t="shared" si="19"/>
        <v>0</v>
      </c>
      <c r="AE27" s="32">
        <f t="shared" si="19"/>
        <v>75</v>
      </c>
      <c r="AF27" s="32">
        <f t="shared" si="19"/>
        <v>221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2</v>
      </c>
      <c r="L28" s="50">
        <v>0</v>
      </c>
      <c r="M28" s="50">
        <v>13</v>
      </c>
      <c r="N28" s="50">
        <v>0</v>
      </c>
      <c r="O28" s="15">
        <f t="shared" si="0"/>
        <v>6</v>
      </c>
      <c r="P28" s="15">
        <f t="shared" si="1"/>
        <v>19</v>
      </c>
      <c r="R28" s="5" t="s">
        <v>17</v>
      </c>
      <c r="S28" s="16">
        <f t="shared" ref="S28:AF28" si="20">SUM(S10:S21)</f>
        <v>119</v>
      </c>
      <c r="T28" s="16">
        <f t="shared" si="20"/>
        <v>9</v>
      </c>
      <c r="U28" s="16">
        <f t="shared" si="20"/>
        <v>4</v>
      </c>
      <c r="V28" s="16">
        <f t="shared" si="20"/>
        <v>60</v>
      </c>
      <c r="W28" s="16">
        <f t="shared" si="20"/>
        <v>0</v>
      </c>
      <c r="X28" s="16">
        <f t="shared" si="20"/>
        <v>2</v>
      </c>
      <c r="Y28" s="16">
        <f t="shared" si="20"/>
        <v>36</v>
      </c>
      <c r="Z28" s="16">
        <f t="shared" si="20"/>
        <v>10</v>
      </c>
      <c r="AA28" s="16">
        <f t="shared" si="20"/>
        <v>38</v>
      </c>
      <c r="AB28" s="16">
        <f t="shared" si="20"/>
        <v>4</v>
      </c>
      <c r="AC28" s="16">
        <f t="shared" si="20"/>
        <v>580</v>
      </c>
      <c r="AD28" s="16">
        <f t="shared" si="20"/>
        <v>0</v>
      </c>
      <c r="AE28" s="32">
        <f t="shared" si="20"/>
        <v>282</v>
      </c>
      <c r="AF28" s="32">
        <f t="shared" si="20"/>
        <v>862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13</v>
      </c>
      <c r="N29" s="50">
        <v>0</v>
      </c>
      <c r="O29" s="15">
        <f t="shared" si="0"/>
        <v>3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5</v>
      </c>
      <c r="N30" s="50">
        <v>0</v>
      </c>
      <c r="O30" s="15">
        <f t="shared" si="0"/>
        <v>4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3</v>
      </c>
      <c r="L31" s="50">
        <v>0</v>
      </c>
      <c r="M31" s="50">
        <v>12</v>
      </c>
      <c r="N31" s="50">
        <v>0</v>
      </c>
      <c r="O31" s="15">
        <f t="shared" si="0"/>
        <v>7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0</v>
      </c>
      <c r="F32" s="50">
        <v>4</v>
      </c>
      <c r="G32" s="50">
        <v>0</v>
      </c>
      <c r="H32" s="50">
        <v>1</v>
      </c>
      <c r="I32" s="50">
        <v>3</v>
      </c>
      <c r="J32" s="50">
        <v>0</v>
      </c>
      <c r="K32" s="50">
        <v>1</v>
      </c>
      <c r="L32" s="50">
        <v>0</v>
      </c>
      <c r="M32" s="50">
        <v>14</v>
      </c>
      <c r="N32" s="50">
        <v>0</v>
      </c>
      <c r="O32" s="15">
        <f t="shared" si="0"/>
        <v>15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7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16</v>
      </c>
      <c r="N34" s="50">
        <v>0</v>
      </c>
      <c r="O34" s="15">
        <f t="shared" si="0"/>
        <v>6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3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17</v>
      </c>
      <c r="N36" s="50">
        <v>0</v>
      </c>
      <c r="O36" s="15">
        <f t="shared" si="0"/>
        <v>3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1</v>
      </c>
      <c r="L37" s="50">
        <v>0</v>
      </c>
      <c r="M37" s="50">
        <v>19</v>
      </c>
      <c r="N37" s="50">
        <v>0</v>
      </c>
      <c r="O37" s="15">
        <f t="shared" si="0"/>
        <v>4</v>
      </c>
      <c r="P37" s="15">
        <f t="shared" si="1"/>
        <v>23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1</v>
      </c>
      <c r="L38" s="50">
        <v>0</v>
      </c>
      <c r="M38" s="50">
        <v>20</v>
      </c>
      <c r="N38" s="50">
        <v>0</v>
      </c>
      <c r="O38" s="15">
        <f t="shared" si="0"/>
        <v>7</v>
      </c>
      <c r="P38" s="15">
        <f t="shared" si="1"/>
        <v>27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4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0</v>
      </c>
      <c r="F40" s="50">
        <v>3</v>
      </c>
      <c r="G40" s="50">
        <v>0</v>
      </c>
      <c r="H40" s="50">
        <v>0</v>
      </c>
      <c r="I40" s="50">
        <v>2</v>
      </c>
      <c r="J40" s="50">
        <v>0</v>
      </c>
      <c r="K40" s="50">
        <v>2</v>
      </c>
      <c r="L40" s="50">
        <v>0</v>
      </c>
      <c r="M40" s="50">
        <v>14</v>
      </c>
      <c r="N40" s="50">
        <v>0</v>
      </c>
      <c r="O40" s="15">
        <f t="shared" si="0"/>
        <v>10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10</v>
      </c>
      <c r="N41" s="50">
        <v>0</v>
      </c>
      <c r="O41" s="15">
        <f t="shared" si="0"/>
        <v>4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2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3</v>
      </c>
      <c r="L43" s="50">
        <v>0</v>
      </c>
      <c r="M43" s="50">
        <v>16</v>
      </c>
      <c r="N43" s="50">
        <v>0</v>
      </c>
      <c r="O43" s="15">
        <f t="shared" si="0"/>
        <v>9</v>
      </c>
      <c r="P43" s="15">
        <f t="shared" si="1"/>
        <v>25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2</v>
      </c>
      <c r="L44" s="50">
        <v>0</v>
      </c>
      <c r="M44" s="50">
        <v>8</v>
      </c>
      <c r="N44" s="50">
        <v>0</v>
      </c>
      <c r="O44" s="15">
        <f t="shared" si="0"/>
        <v>7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7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6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19</v>
      </c>
      <c r="N47" s="50">
        <v>0</v>
      </c>
      <c r="O47" s="15">
        <f t="shared" si="0"/>
        <v>10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4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7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11</v>
      </c>
      <c r="N50" s="50">
        <v>0</v>
      </c>
      <c r="O50" s="15">
        <f t="shared" si="0"/>
        <v>6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4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5</v>
      </c>
      <c r="P52" s="15">
        <f t="shared" si="1"/>
        <v>25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5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3</v>
      </c>
      <c r="K54" s="50">
        <v>0</v>
      </c>
      <c r="L54" s="50">
        <v>2</v>
      </c>
      <c r="M54" s="50">
        <v>7</v>
      </c>
      <c r="N54" s="50">
        <v>0</v>
      </c>
      <c r="O54" s="15">
        <f t="shared" si="0"/>
        <v>9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3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13</v>
      </c>
      <c r="N56" s="50">
        <v>0</v>
      </c>
      <c r="O56" s="15">
        <f t="shared" si="0"/>
        <v>4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2</v>
      </c>
      <c r="L57" s="50">
        <v>1</v>
      </c>
      <c r="M57" s="50">
        <v>10</v>
      </c>
      <c r="N57" s="50">
        <v>0</v>
      </c>
      <c r="O57" s="15">
        <f t="shared" si="0"/>
        <v>12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119</v>
      </c>
      <c r="D58" s="16">
        <f t="shared" si="21"/>
        <v>9</v>
      </c>
      <c r="E58" s="16">
        <f t="shared" si="21"/>
        <v>4</v>
      </c>
      <c r="F58" s="16">
        <f t="shared" si="21"/>
        <v>60</v>
      </c>
      <c r="G58" s="16">
        <f t="shared" si="21"/>
        <v>0</v>
      </c>
      <c r="H58" s="16">
        <f t="shared" si="21"/>
        <v>2</v>
      </c>
      <c r="I58" s="16">
        <f t="shared" si="21"/>
        <v>36</v>
      </c>
      <c r="J58" s="16">
        <f t="shared" si="21"/>
        <v>10</v>
      </c>
      <c r="K58" s="16">
        <f t="shared" si="21"/>
        <v>38</v>
      </c>
      <c r="L58" s="16">
        <f t="shared" si="21"/>
        <v>4</v>
      </c>
      <c r="M58" s="16">
        <f t="shared" si="21"/>
        <v>580</v>
      </c>
      <c r="N58" s="16">
        <f t="shared" si="21"/>
        <v>0</v>
      </c>
      <c r="O58" s="16">
        <f t="shared" si="21"/>
        <v>282</v>
      </c>
      <c r="P58" s="16">
        <f t="shared" si="21"/>
        <v>862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0.13805104408352667</v>
      </c>
      <c r="D59" s="43">
        <f t="shared" si="22"/>
        <v>1.0440835266821345E-2</v>
      </c>
      <c r="E59" s="43">
        <f t="shared" si="22"/>
        <v>4.6403712296983757E-3</v>
      </c>
      <c r="F59" s="43">
        <f t="shared" si="22"/>
        <v>6.9605568445475635E-2</v>
      </c>
      <c r="G59" s="43">
        <f t="shared" si="22"/>
        <v>0</v>
      </c>
      <c r="H59" s="43">
        <f t="shared" si="22"/>
        <v>2.3201856148491878E-3</v>
      </c>
      <c r="I59" s="43">
        <f t="shared" si="22"/>
        <v>4.1763341067285381E-2</v>
      </c>
      <c r="J59" s="43">
        <f t="shared" si="22"/>
        <v>1.1600928074245939E-2</v>
      </c>
      <c r="K59" s="43">
        <f t="shared" si="22"/>
        <v>4.4083526682134569E-2</v>
      </c>
      <c r="L59" s="43">
        <f t="shared" si="22"/>
        <v>4.6403712296983757E-3</v>
      </c>
      <c r="M59" s="43">
        <f t="shared" si="22"/>
        <v>0.6728538283062645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0.42198581560283688</v>
      </c>
      <c r="D60" s="44">
        <f t="shared" ref="D60:N60" si="23">D58/$O$58</f>
        <v>3.1914893617021274E-2</v>
      </c>
      <c r="E60" s="44">
        <f t="shared" si="23"/>
        <v>1.4184397163120567E-2</v>
      </c>
      <c r="F60" s="44">
        <f t="shared" si="23"/>
        <v>0.21276595744680851</v>
      </c>
      <c r="G60" s="44">
        <f t="shared" si="23"/>
        <v>0</v>
      </c>
      <c r="H60" s="44">
        <f t="shared" si="23"/>
        <v>7.0921985815602835E-3</v>
      </c>
      <c r="I60" s="44">
        <f t="shared" si="23"/>
        <v>0.1276595744680851</v>
      </c>
      <c r="J60" s="44">
        <f t="shared" si="23"/>
        <v>3.5460992907801421E-2</v>
      </c>
      <c r="K60" s="44">
        <f t="shared" si="23"/>
        <v>0.13475177304964539</v>
      </c>
      <c r="L60" s="44">
        <f t="shared" si="23"/>
        <v>1.4184397163120567E-2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F14" sqref="F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'31.10.MUTUKULA-MASAKA'!C3:G3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185</v>
      </c>
      <c r="E5" s="3"/>
      <c r="F5" s="41" t="s">
        <v>1</v>
      </c>
      <c r="G5" s="55" t="str">
        <f>'25.10 MASAKA-MUTUKULA'!G5:H5</f>
        <v>MUTUKULA</v>
      </c>
      <c r="H5" s="56"/>
      <c r="I5" s="14"/>
      <c r="J5" s="2" t="s">
        <v>5</v>
      </c>
      <c r="K5" s="55" t="s">
        <v>163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'31.10.MUTUKULA-MASAKA'!D6:E6</f>
        <v>MUTUKULA</v>
      </c>
      <c r="E6" s="56"/>
      <c r="F6" s="2" t="s">
        <v>2</v>
      </c>
      <c r="G6" s="55" t="str">
        <f>'31.10.MUTUKULA-MASAKA'!G6:H6</f>
        <v>MASAKA</v>
      </c>
      <c r="H6" s="56"/>
      <c r="J6" s="2" t="s">
        <v>21</v>
      </c>
      <c r="K6" s="55" t="str">
        <f>'25.10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0</v>
      </c>
      <c r="AD12" s="17">
        <f t="shared" si="4"/>
        <v>0</v>
      </c>
      <c r="AE12" s="31">
        <f t="shared" si="4"/>
        <v>0</v>
      </c>
      <c r="AF12" s="31">
        <f t="shared" si="4"/>
        <v>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0</v>
      </c>
      <c r="AD13" s="17">
        <f t="shared" si="5"/>
        <v>0</v>
      </c>
      <c r="AE13" s="31">
        <f t="shared" si="5"/>
        <v>0</v>
      </c>
      <c r="AF13" s="31">
        <f t="shared" si="5"/>
        <v>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0</v>
      </c>
      <c r="AD14" s="17">
        <f t="shared" si="6"/>
        <v>0</v>
      </c>
      <c r="AE14" s="31">
        <f t="shared" si="6"/>
        <v>0</v>
      </c>
      <c r="AF14" s="31">
        <f t="shared" si="6"/>
        <v>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0</v>
      </c>
      <c r="AD15" s="17">
        <f t="shared" si="7"/>
        <v>0</v>
      </c>
      <c r="AE15" s="31">
        <f t="shared" si="7"/>
        <v>0</v>
      </c>
      <c r="AF15" s="31">
        <f t="shared" si="7"/>
        <v>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0</v>
      </c>
      <c r="AD16" s="17">
        <f t="shared" si="8"/>
        <v>0</v>
      </c>
      <c r="AE16" s="31">
        <f t="shared" si="8"/>
        <v>0</v>
      </c>
      <c r="AF16" s="31">
        <f t="shared" si="8"/>
        <v>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0</v>
      </c>
      <c r="AF17" s="31">
        <f t="shared" si="9"/>
        <v>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0</v>
      </c>
      <c r="AF18" s="31">
        <f t="shared" si="10"/>
        <v>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0</v>
      </c>
      <c r="AD19" s="17">
        <f t="shared" si="11"/>
        <v>0</v>
      </c>
      <c r="AE19" s="31">
        <f t="shared" si="11"/>
        <v>0</v>
      </c>
      <c r="AF19" s="31">
        <f t="shared" si="11"/>
        <v>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0</v>
      </c>
      <c r="AD20" s="17">
        <f t="shared" si="12"/>
        <v>0</v>
      </c>
      <c r="AE20" s="31">
        <f t="shared" si="12"/>
        <v>0</v>
      </c>
      <c r="AF20" s="31">
        <f t="shared" si="12"/>
        <v>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0</v>
      </c>
      <c r="AD21" s="17">
        <f t="shared" si="13"/>
        <v>0</v>
      </c>
      <c r="AE21" s="31">
        <f t="shared" si="13"/>
        <v>0</v>
      </c>
      <c r="AF21" s="31">
        <f t="shared" si="13"/>
        <v>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0</v>
      </c>
      <c r="AD22" s="39">
        <f t="shared" si="14"/>
        <v>0</v>
      </c>
      <c r="AE22" s="40">
        <f t="shared" si="14"/>
        <v>0</v>
      </c>
      <c r="AF22" s="40">
        <f t="shared" si="14"/>
        <v>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0</v>
      </c>
      <c r="P23" s="15">
        <f t="shared" si="1"/>
        <v>0</v>
      </c>
      <c r="R23" s="38" t="s">
        <v>91</v>
      </c>
      <c r="S23" s="39">
        <f>MAX(S13:S18)</f>
        <v>0</v>
      </c>
      <c r="T23" s="39">
        <f t="shared" ref="T23:AF23" si="15">MAX(T13:T18)</f>
        <v>0</v>
      </c>
      <c r="U23" s="39">
        <f t="shared" si="15"/>
        <v>0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0</v>
      </c>
      <c r="AD23" s="39">
        <f t="shared" si="15"/>
        <v>0</v>
      </c>
      <c r="AE23" s="40">
        <f t="shared" si="15"/>
        <v>0</v>
      </c>
      <c r="AF23" s="40">
        <f t="shared" si="15"/>
        <v>0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0</v>
      </c>
      <c r="P24" s="15">
        <f t="shared" si="1"/>
        <v>0</v>
      </c>
      <c r="R24" s="38" t="s">
        <v>92</v>
      </c>
      <c r="S24" s="39">
        <f>MAX(S19:S21)</f>
        <v>0</v>
      </c>
      <c r="T24" s="39">
        <f t="shared" ref="T24:AF24" si="16">MAX(T19:T21)</f>
        <v>0</v>
      </c>
      <c r="U24" s="39">
        <f t="shared" si="16"/>
        <v>0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0</v>
      </c>
      <c r="AD24" s="39">
        <f t="shared" si="16"/>
        <v>0</v>
      </c>
      <c r="AE24" s="40">
        <f t="shared" si="16"/>
        <v>0</v>
      </c>
      <c r="AF24" s="40">
        <f t="shared" si="16"/>
        <v>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0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0</v>
      </c>
      <c r="AD25" s="16">
        <f t="shared" si="17"/>
        <v>0</v>
      </c>
      <c r="AE25" s="32">
        <f t="shared" si="17"/>
        <v>0</v>
      </c>
      <c r="AF25" s="32">
        <f t="shared" si="17"/>
        <v>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0</v>
      </c>
      <c r="T26" s="16">
        <f t="shared" si="18"/>
        <v>0</v>
      </c>
      <c r="U26" s="16">
        <f t="shared" si="18"/>
        <v>0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0</v>
      </c>
      <c r="AD26" s="16">
        <f t="shared" si="18"/>
        <v>0</v>
      </c>
      <c r="AE26" s="32">
        <f t="shared" si="18"/>
        <v>0</v>
      </c>
      <c r="AF26" s="32">
        <f t="shared" si="18"/>
        <v>0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0</v>
      </c>
      <c r="T27" s="16">
        <f t="shared" si="19"/>
        <v>0</v>
      </c>
      <c r="U27" s="16">
        <f t="shared" si="19"/>
        <v>0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0</v>
      </c>
      <c r="AD27" s="16">
        <f t="shared" si="19"/>
        <v>0</v>
      </c>
      <c r="AE27" s="32">
        <f t="shared" si="19"/>
        <v>0</v>
      </c>
      <c r="AF27" s="32">
        <f t="shared" si="19"/>
        <v>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0</v>
      </c>
      <c r="T28" s="16">
        <f t="shared" si="20"/>
        <v>0</v>
      </c>
      <c r="U28" s="16">
        <f t="shared" si="20"/>
        <v>0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0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0</v>
      </c>
      <c r="AD28" s="16">
        <f t="shared" si="20"/>
        <v>0</v>
      </c>
      <c r="AE28" s="32">
        <f t="shared" si="20"/>
        <v>0</v>
      </c>
      <c r="AF28" s="32">
        <f t="shared" si="20"/>
        <v>0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0</v>
      </c>
      <c r="P29" s="15">
        <f t="shared" si="1"/>
        <v>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0</v>
      </c>
      <c r="P32" s="15">
        <f t="shared" si="1"/>
        <v>0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0</v>
      </c>
      <c r="P46" s="15">
        <f t="shared" si="1"/>
        <v>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0</v>
      </c>
      <c r="P50" s="15">
        <f t="shared" si="1"/>
        <v>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0</v>
      </c>
      <c r="P51" s="15">
        <f t="shared" si="1"/>
        <v>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0</v>
      </c>
      <c r="E58" s="16">
        <f t="shared" si="21"/>
        <v>0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0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0</v>
      </c>
      <c r="N58" s="16">
        <f t="shared" si="21"/>
        <v>0</v>
      </c>
      <c r="O58" s="16">
        <f t="shared" si="21"/>
        <v>0</v>
      </c>
      <c r="P58" s="16">
        <f t="shared" si="21"/>
        <v>0</v>
      </c>
      <c r="R58" s="8"/>
      <c r="T58"/>
    </row>
    <row r="59" spans="2:20" ht="23.1" customHeight="1" x14ac:dyDescent="0.25">
      <c r="B59" s="26" t="s">
        <v>93</v>
      </c>
      <c r="C59" s="43" t="e">
        <f t="shared" ref="C59:N59" si="22">C58/$P$58</f>
        <v>#DIV/0!</v>
      </c>
      <c r="D59" s="43" t="e">
        <f t="shared" si="22"/>
        <v>#DIV/0!</v>
      </c>
      <c r="E59" s="43" t="e">
        <f t="shared" si="22"/>
        <v>#DIV/0!</v>
      </c>
      <c r="F59" s="43" t="e">
        <f t="shared" si="22"/>
        <v>#DIV/0!</v>
      </c>
      <c r="G59" s="43" t="e">
        <f t="shared" si="22"/>
        <v>#DIV/0!</v>
      </c>
      <c r="H59" s="43" t="e">
        <f t="shared" si="22"/>
        <v>#DIV/0!</v>
      </c>
      <c r="I59" s="43" t="e">
        <f t="shared" si="22"/>
        <v>#DIV/0!</v>
      </c>
      <c r="J59" s="43" t="e">
        <f t="shared" si="22"/>
        <v>#DIV/0!</v>
      </c>
      <c r="K59" s="43" t="e">
        <f t="shared" si="22"/>
        <v>#DIV/0!</v>
      </c>
      <c r="L59" s="43" t="e">
        <f t="shared" si="22"/>
        <v>#DIV/0!</v>
      </c>
      <c r="M59" s="43" t="e">
        <f t="shared" si="22"/>
        <v>#DIV/0!</v>
      </c>
      <c r="N59" s="43" t="e">
        <f t="shared" si="22"/>
        <v>#DIV/0!</v>
      </c>
      <c r="R59" s="8"/>
      <c r="T59"/>
    </row>
    <row r="60" spans="2:20" ht="23.1" customHeight="1" x14ac:dyDescent="0.25">
      <c r="B60" s="42" t="s">
        <v>94</v>
      </c>
      <c r="C60" s="44" t="e">
        <f>C58/$O$58</f>
        <v>#DIV/0!</v>
      </c>
      <c r="D60" s="44" t="e">
        <f t="shared" ref="D60:N60" si="23">D58/$O$58</f>
        <v>#DIV/0!</v>
      </c>
      <c r="E60" s="44" t="e">
        <f t="shared" si="23"/>
        <v>#DIV/0!</v>
      </c>
      <c r="F60" s="44" t="e">
        <f t="shared" si="23"/>
        <v>#DIV/0!</v>
      </c>
      <c r="G60" s="44" t="e">
        <f t="shared" si="23"/>
        <v>#DIV/0!</v>
      </c>
      <c r="H60" s="44" t="e">
        <f t="shared" si="23"/>
        <v>#DIV/0!</v>
      </c>
      <c r="I60" s="44" t="e">
        <f t="shared" si="23"/>
        <v>#DIV/0!</v>
      </c>
      <c r="J60" s="44" t="e">
        <f t="shared" si="23"/>
        <v>#DIV/0!</v>
      </c>
      <c r="K60" s="44" t="e">
        <f t="shared" si="23"/>
        <v>#DIV/0!</v>
      </c>
      <c r="L60" s="44" t="e">
        <f t="shared" si="23"/>
        <v>#DIV/0!</v>
      </c>
      <c r="M60" s="44"/>
      <c r="N60" s="44" t="e">
        <f t="shared" si="23"/>
        <v>#DIV/0!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B43" zoomScale="60" workbookViewId="0">
      <selection activeCell="S93" sqref="S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55" t="str">
        <f>'25.10 MUTUKULA-MASAKA'!G5:H5</f>
        <v>MUTUKULA</v>
      </c>
      <c r="H5" s="56"/>
      <c r="I5" s="14"/>
      <c r="J5" s="2" t="s">
        <v>5</v>
      </c>
      <c r="K5" s="55" t="s">
        <v>177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 Masaka-Mutukula'!D6:E6</f>
        <v>MASAKA</v>
      </c>
      <c r="E6" s="56"/>
      <c r="F6" s="2" t="s">
        <v>2</v>
      </c>
      <c r="G6" s="55" t="str">
        <f>'31.10 Masaka-Mutukula'!G6:H6</f>
        <v>MUTUKULA</v>
      </c>
      <c r="H6" s="56"/>
      <c r="J6" s="2" t="s">
        <v>21</v>
      </c>
      <c r="K6" s="55" t="str">
        <f>'25.10 MUTUKULA-MASAKA'!K6:L6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16</v>
      </c>
      <c r="N10" s="50">
        <v>0</v>
      </c>
      <c r="O10" s="15">
        <f>SUM('28.10 MASAKA-MUTUKULA-24HR'!C10:L10,'28.10 MASAKA-MUTUKULA-24HR'!N10)</f>
        <v>4</v>
      </c>
      <c r="P10" s="15">
        <f>SUM('28.10 MASAKA-MUTUKULA-24HR'!C10:N10)</f>
        <v>20</v>
      </c>
      <c r="R10" s="1" t="s">
        <v>6</v>
      </c>
      <c r="S10" s="17">
        <f>SUM('28.10 MASAKA-MUTUKULA-24HR'!C10:C13)</f>
        <v>17</v>
      </c>
      <c r="T10" s="17">
        <f>SUM('28.10 MASAKA-MUTUKULA-24HR'!D10:D13)</f>
        <v>2</v>
      </c>
      <c r="U10" s="17">
        <f>SUM('28.10 MASAKA-MUTUKULA-24HR'!E10:E13)</f>
        <v>0</v>
      </c>
      <c r="V10" s="17">
        <f>SUM('28.10 MASAKA-MUTUKULA-24HR'!F10:F13)</f>
        <v>3</v>
      </c>
      <c r="W10" s="17">
        <f>SUM('28.10 MASAKA-MUTUKULA-24HR'!G10:G13)</f>
        <v>0</v>
      </c>
      <c r="X10" s="17">
        <f>SUM('28.10 MASAKA-MUTUKULA-24HR'!H10:H13)</f>
        <v>0</v>
      </c>
      <c r="Y10" s="17">
        <f>SUM('28.10 MASAKA-MUTUKULA-24HR'!I10:I13)</f>
        <v>2</v>
      </c>
      <c r="Z10" s="17">
        <f>SUM('28.10 MASAKA-MUTUKULA-24HR'!J10:J13)</f>
        <v>8</v>
      </c>
      <c r="AA10" s="17">
        <f>SUM('28.10 MASAKA-MUTUKULA-24HR'!K10:K13)</f>
        <v>1</v>
      </c>
      <c r="AB10" s="17">
        <f>SUM('28.10 MASAKA-MUTUKULA-24HR'!L10:L13)</f>
        <v>0</v>
      </c>
      <c r="AC10" s="17">
        <f>SUM('28.10 MASAKA-MUTUKULA-24HR'!M10:M13)</f>
        <v>46</v>
      </c>
      <c r="AD10" s="17">
        <f>SUM('28.10 MASAKA-MUTUKULA-24HR'!N10:N13)</f>
        <v>0</v>
      </c>
      <c r="AE10" s="31">
        <f>SUM('28.10 MASAKA-MUTUKULA-24HR'!O10:O13)</f>
        <v>33</v>
      </c>
      <c r="AF10" s="31">
        <f>SUM('28.10 MASAKA-MUTUKULA-24HR'!P10:P13)</f>
        <v>79</v>
      </c>
    </row>
    <row r="11" spans="2:32" s="6" customFormat="1" ht="23.1" customHeight="1" x14ac:dyDescent="0.25">
      <c r="B11" s="45" t="s">
        <v>38</v>
      </c>
      <c r="C11" s="50">
        <v>10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>SUM('28.10 MASAKA-MUTUKULA-24HR'!C11:L11,'28.10 MASAKA-MUTUKULA-24HR'!N11)</f>
        <v>11</v>
      </c>
      <c r="P11" s="15">
        <f>SUM('28.10 MASAKA-MUTUKULA-24HR'!C11:N11)</f>
        <v>21</v>
      </c>
      <c r="R11" s="1" t="s">
        <v>7</v>
      </c>
      <c r="S11" s="17">
        <f>SUM('28.10 MASAKA-MUTUKULA-24HR'!C14:C17)</f>
        <v>7</v>
      </c>
      <c r="T11" s="17">
        <f>SUM('28.10 MASAKA-MUTUKULA-24HR'!D14:D17)</f>
        <v>1</v>
      </c>
      <c r="U11" s="17">
        <f>SUM('28.10 MASAKA-MUTUKULA-24HR'!E14:E17)</f>
        <v>0</v>
      </c>
      <c r="V11" s="17">
        <f>SUM('28.10 MASAKA-MUTUKULA-24HR'!F14:F17)</f>
        <v>6</v>
      </c>
      <c r="W11" s="17">
        <f>SUM('28.10 MASAKA-MUTUKULA-24HR'!G14:G17)</f>
        <v>0</v>
      </c>
      <c r="X11" s="17">
        <f>SUM('28.10 MASAKA-MUTUKULA-24HR'!H14:H17)</f>
        <v>0</v>
      </c>
      <c r="Y11" s="17">
        <f>SUM('28.10 MASAKA-MUTUKULA-24HR'!I14:I17)</f>
        <v>1</v>
      </c>
      <c r="Z11" s="17">
        <f>SUM('28.10 MASAKA-MUTUKULA-24HR'!J14:J17)</f>
        <v>10</v>
      </c>
      <c r="AA11" s="17">
        <f>SUM('28.10 MASAKA-MUTUKULA-24HR'!K14:K17)</f>
        <v>0</v>
      </c>
      <c r="AB11" s="17">
        <f>SUM('28.10 MASAKA-MUTUKULA-24HR'!L14:L17)</f>
        <v>0</v>
      </c>
      <c r="AC11" s="17">
        <f>SUM('28.10 MASAKA-MUTUKULA-24HR'!M14:M17)</f>
        <v>46</v>
      </c>
      <c r="AD11" s="17">
        <f>SUM('28.10 MASAKA-MUTUKULA-24HR'!N14:N17)</f>
        <v>0</v>
      </c>
      <c r="AE11" s="31">
        <f>SUM('28.10 MASAKA-MUTUKULA-24HR'!O14:O17)</f>
        <v>25</v>
      </c>
      <c r="AF11" s="31">
        <f>SUM('28.10 MASAKA-MUTUKULA-24HR'!P14:P17)</f>
        <v>71</v>
      </c>
    </row>
    <row r="12" spans="2:32" ht="23.1" customHeight="1" x14ac:dyDescent="0.25">
      <c r="B12" s="45" t="s">
        <v>39</v>
      </c>
      <c r="C12" s="50">
        <v>3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4</v>
      </c>
      <c r="K12" s="50">
        <v>1</v>
      </c>
      <c r="L12" s="50">
        <v>0</v>
      </c>
      <c r="M12" s="50">
        <v>10</v>
      </c>
      <c r="N12" s="50">
        <v>0</v>
      </c>
      <c r="O12" s="15">
        <f>SUM('28.10 MASAKA-MUTUKULA-24HR'!C12:L12,'28.10 MASAKA-MUTUKULA-24HR'!N12)</f>
        <v>10</v>
      </c>
      <c r="P12" s="15">
        <f>SUM('28.10 MASAKA-MUTUKULA-24HR'!C12:N12)</f>
        <v>20</v>
      </c>
      <c r="R12" s="1" t="s">
        <v>8</v>
      </c>
      <c r="S12" s="17">
        <f>SUM('28.10 MASAKA-MUTUKULA-24HR'!C18:C21)</f>
        <v>11</v>
      </c>
      <c r="T12" s="17">
        <f>SUM('28.10 MASAKA-MUTUKULA-24HR'!D18:D21)</f>
        <v>2</v>
      </c>
      <c r="U12" s="17">
        <f>SUM('28.10 MASAKA-MUTUKULA-24HR'!E18:E21)</f>
        <v>0</v>
      </c>
      <c r="V12" s="17">
        <f>SUM('28.10 MASAKA-MUTUKULA-24HR'!F18:F21)</f>
        <v>3</v>
      </c>
      <c r="W12" s="17">
        <f>SUM('28.10 MASAKA-MUTUKULA-24HR'!G18:G21)</f>
        <v>0</v>
      </c>
      <c r="X12" s="17">
        <f>SUM('28.10 MASAKA-MUTUKULA-24HR'!H18:H21)</f>
        <v>0</v>
      </c>
      <c r="Y12" s="17">
        <f>SUM('28.10 MASAKA-MUTUKULA-24HR'!I18:I21)</f>
        <v>1</v>
      </c>
      <c r="Z12" s="17">
        <f>SUM('28.10 MASAKA-MUTUKULA-24HR'!J18:J21)</f>
        <v>6</v>
      </c>
      <c r="AA12" s="17">
        <f>SUM('28.10 MASAKA-MUTUKULA-24HR'!K18:K21)</f>
        <v>7</v>
      </c>
      <c r="AB12" s="17">
        <f>SUM('28.10 MASAKA-MUTUKULA-24HR'!L18:L21)</f>
        <v>0</v>
      </c>
      <c r="AC12" s="17">
        <f>SUM('28.10 MASAKA-MUTUKULA-24HR'!M18:M21)</f>
        <v>41</v>
      </c>
      <c r="AD12" s="17">
        <f>SUM('28.10 MASAKA-MUTUKULA-24HR'!N18:N21)</f>
        <v>0</v>
      </c>
      <c r="AE12" s="31">
        <f>SUM('28.10 MASAKA-MUTUKULA-24HR'!O18:O21)</f>
        <v>30</v>
      </c>
      <c r="AF12" s="31">
        <f>SUM('28.10 MASAKA-MUTUKULA-24HR'!P18:P21)</f>
        <v>71</v>
      </c>
    </row>
    <row r="13" spans="2:32" ht="23.1" customHeight="1" x14ac:dyDescent="0.25">
      <c r="B13" s="45" t="s">
        <v>40</v>
      </c>
      <c r="C13" s="50">
        <v>3</v>
      </c>
      <c r="D13" s="50">
        <v>1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10</v>
      </c>
      <c r="N13" s="50">
        <v>0</v>
      </c>
      <c r="O13" s="15">
        <f>SUM('28.10 MASAKA-MUTUKULA-24HR'!C13:L13,'28.10 MASAKA-MUTUKULA-24HR'!N13)</f>
        <v>8</v>
      </c>
      <c r="P13" s="15">
        <f>SUM('28.10 MASAKA-MUTUKULA-24HR'!C13:N13)</f>
        <v>18</v>
      </c>
      <c r="R13" s="1" t="s">
        <v>9</v>
      </c>
      <c r="S13" s="17">
        <f>SUM('28.10 MASAKA-MUTUKULA-24HR'!C22:C25)</f>
        <v>10</v>
      </c>
      <c r="T13" s="17">
        <f>SUM('28.10 MASAKA-MUTUKULA-24HR'!D22:D25)</f>
        <v>2</v>
      </c>
      <c r="U13" s="17">
        <f>SUM('28.10 MASAKA-MUTUKULA-24HR'!E22:E25)</f>
        <v>1</v>
      </c>
      <c r="V13" s="17">
        <f>SUM('28.10 MASAKA-MUTUKULA-24HR'!F22:F25)</f>
        <v>5</v>
      </c>
      <c r="W13" s="17">
        <f>SUM('28.10 MASAKA-MUTUKULA-24HR'!G22:G25)</f>
        <v>0</v>
      </c>
      <c r="X13" s="17">
        <f>SUM('28.10 MASAKA-MUTUKULA-24HR'!H22:H25)</f>
        <v>0</v>
      </c>
      <c r="Y13" s="17">
        <f>SUM('28.10 MASAKA-MUTUKULA-24HR'!I22:I25)</f>
        <v>2</v>
      </c>
      <c r="Z13" s="17">
        <f>SUM('28.10 MASAKA-MUTUKULA-24HR'!J22:J25)</f>
        <v>7</v>
      </c>
      <c r="AA13" s="17">
        <f>SUM('28.10 MASAKA-MUTUKULA-24HR'!K22:K25)</f>
        <v>2</v>
      </c>
      <c r="AB13" s="17">
        <f>SUM('28.10 MASAKA-MUTUKULA-24HR'!L22:L25)</f>
        <v>0</v>
      </c>
      <c r="AC13" s="17">
        <f>SUM('28.10 MASAKA-MUTUKULA-24HR'!M22:M25)</f>
        <v>45</v>
      </c>
      <c r="AD13" s="17">
        <f>SUM('28.10 MASAKA-MUTUKULA-24HR'!N22:N25)</f>
        <v>0</v>
      </c>
      <c r="AE13" s="31">
        <f>SUM('28.10 MASAKA-MUTUKULA-24HR'!O22:O25)</f>
        <v>29</v>
      </c>
      <c r="AF13" s="31">
        <f>SUM('28.10 MASAKA-MUTUKULA-24HR'!P22:P25)</f>
        <v>74</v>
      </c>
    </row>
    <row r="14" spans="2:32" ht="23.1" customHeight="1" x14ac:dyDescent="0.25">
      <c r="B14" s="45" t="s">
        <v>41</v>
      </c>
      <c r="C14" s="50">
        <v>3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4</v>
      </c>
      <c r="K14" s="50">
        <v>0</v>
      </c>
      <c r="L14" s="50">
        <v>0</v>
      </c>
      <c r="M14" s="50">
        <v>5</v>
      </c>
      <c r="N14" s="50">
        <v>0</v>
      </c>
      <c r="O14" s="15">
        <f>SUM('28.10 MASAKA-MUTUKULA-24HR'!C14:L14,'28.10 MASAKA-MUTUKULA-24HR'!N14)</f>
        <v>8</v>
      </c>
      <c r="P14" s="15">
        <f>SUM('28.10 MASAKA-MUTUKULA-24HR'!C14:N14)</f>
        <v>13</v>
      </c>
      <c r="R14" s="1" t="s">
        <v>10</v>
      </c>
      <c r="S14" s="17">
        <f>SUM('28.10 MASAKA-MUTUKULA-24HR'!C26:C29)</f>
        <v>6</v>
      </c>
      <c r="T14" s="17">
        <f>SUM('28.10 MASAKA-MUTUKULA-24HR'!D26:D29)</f>
        <v>1</v>
      </c>
      <c r="U14" s="17">
        <f>SUM('28.10 MASAKA-MUTUKULA-24HR'!E26:E29)</f>
        <v>0</v>
      </c>
      <c r="V14" s="17">
        <f>SUM('28.10 MASAKA-MUTUKULA-24HR'!F26:F29)</f>
        <v>7</v>
      </c>
      <c r="W14" s="17">
        <f>SUM('28.10 MASAKA-MUTUKULA-24HR'!G26:G29)</f>
        <v>0</v>
      </c>
      <c r="X14" s="17">
        <f>SUM('28.10 MASAKA-MUTUKULA-24HR'!H26:H29)</f>
        <v>0</v>
      </c>
      <c r="Y14" s="17">
        <f>SUM('28.10 MASAKA-MUTUKULA-24HR'!I26:I29)</f>
        <v>1</v>
      </c>
      <c r="Z14" s="17">
        <f>SUM('28.10 MASAKA-MUTUKULA-24HR'!J26:J29)</f>
        <v>9</v>
      </c>
      <c r="AA14" s="17">
        <f>SUM('28.10 MASAKA-MUTUKULA-24HR'!K26:K29)</f>
        <v>1</v>
      </c>
      <c r="AB14" s="17">
        <f>SUM('28.10 MASAKA-MUTUKULA-24HR'!L26:L29)</f>
        <v>0</v>
      </c>
      <c r="AC14" s="17">
        <f>SUM('28.10 MASAKA-MUTUKULA-24HR'!M26:M29)</f>
        <v>42</v>
      </c>
      <c r="AD14" s="17">
        <f>SUM('28.10 MASAKA-MUTUKULA-24HR'!N26:N29)</f>
        <v>0</v>
      </c>
      <c r="AE14" s="31">
        <f>SUM('28.10 MASAKA-MUTUKULA-24HR'!O26:O29)</f>
        <v>25</v>
      </c>
      <c r="AF14" s="31">
        <f>SUM('28.10 MASAKA-MUTUKULA-24HR'!P26:P29)</f>
        <v>67</v>
      </c>
    </row>
    <row r="15" spans="2:32" ht="23.1" customHeight="1" x14ac:dyDescent="0.25">
      <c r="B15" s="45" t="s">
        <v>42</v>
      </c>
      <c r="C15" s="50">
        <v>4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17</v>
      </c>
      <c r="N15" s="50">
        <v>0</v>
      </c>
      <c r="O15" s="15">
        <f>SUM('28.10 MASAKA-MUTUKULA-24HR'!C15:L15,'28.10 MASAKA-MUTUKULA-24HR'!N15)</f>
        <v>7</v>
      </c>
      <c r="P15" s="15">
        <f>SUM('28.10 MASAKA-MUTUKULA-24HR'!C15:N15)</f>
        <v>24</v>
      </c>
      <c r="R15" s="1" t="s">
        <v>11</v>
      </c>
      <c r="S15" s="17">
        <f>SUM('28.10 MASAKA-MUTUKULA-24HR'!C30:C33)</f>
        <v>8</v>
      </c>
      <c r="T15" s="17">
        <f>SUM('28.10 MASAKA-MUTUKULA-24HR'!D30:D33)</f>
        <v>0</v>
      </c>
      <c r="U15" s="17">
        <f>SUM('28.10 MASAKA-MUTUKULA-24HR'!E30:E33)</f>
        <v>1</v>
      </c>
      <c r="V15" s="17">
        <f>SUM('28.10 MASAKA-MUTUKULA-24HR'!F30:F33)</f>
        <v>13</v>
      </c>
      <c r="W15" s="17">
        <f>SUM('28.10 MASAKA-MUTUKULA-24HR'!G30:G33)</f>
        <v>0</v>
      </c>
      <c r="X15" s="17">
        <f>SUM('28.10 MASAKA-MUTUKULA-24HR'!H30:H33)</f>
        <v>0</v>
      </c>
      <c r="Y15" s="17">
        <f>SUM('28.10 MASAKA-MUTUKULA-24HR'!I30:I33)</f>
        <v>3</v>
      </c>
      <c r="Z15" s="17">
        <f>SUM('28.10 MASAKA-MUTUKULA-24HR'!J30:J33)</f>
        <v>3</v>
      </c>
      <c r="AA15" s="17">
        <f>SUM('28.10 MASAKA-MUTUKULA-24HR'!K30:K33)</f>
        <v>1</v>
      </c>
      <c r="AB15" s="17">
        <f>SUM('28.10 MASAKA-MUTUKULA-24HR'!L30:L33)</f>
        <v>0</v>
      </c>
      <c r="AC15" s="17">
        <f>SUM('28.10 MASAKA-MUTUKULA-24HR'!M30:M33)</f>
        <v>29</v>
      </c>
      <c r="AD15" s="17">
        <f>SUM('28.10 MASAKA-MUTUKULA-24HR'!N30:N33)</f>
        <v>0</v>
      </c>
      <c r="AE15" s="31">
        <f>SUM('28.10 MASAKA-MUTUKULA-24HR'!O30:O33)</f>
        <v>29</v>
      </c>
      <c r="AF15" s="31">
        <f>SUM('28.10 MASAKA-MUTUKULA-24HR'!P30:P33)</f>
        <v>58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5</v>
      </c>
      <c r="K16" s="50">
        <v>0</v>
      </c>
      <c r="L16" s="50">
        <v>0</v>
      </c>
      <c r="M16" s="50">
        <v>8</v>
      </c>
      <c r="N16" s="50">
        <v>0</v>
      </c>
      <c r="O16" s="15">
        <f>SUM('28.10 MASAKA-MUTUKULA-24HR'!C16:L16,'28.10 MASAKA-MUTUKULA-24HR'!N16)</f>
        <v>8</v>
      </c>
      <c r="P16" s="15">
        <f>SUM('28.10 MASAKA-MUTUKULA-24HR'!C16:N16)</f>
        <v>16</v>
      </c>
      <c r="R16" s="1" t="s">
        <v>12</v>
      </c>
      <c r="S16" s="17">
        <f>SUM('28.10 MASAKA-MUTUKULA-24HR'!C34:C37)</f>
        <v>8</v>
      </c>
      <c r="T16" s="17">
        <f>SUM('28.10 MASAKA-MUTUKULA-24HR'!D34:D37)</f>
        <v>1</v>
      </c>
      <c r="U16" s="17">
        <f>SUM('28.10 MASAKA-MUTUKULA-24HR'!E34:E37)</f>
        <v>0</v>
      </c>
      <c r="V16" s="17">
        <f>SUM('28.10 MASAKA-MUTUKULA-24HR'!F34:F37)</f>
        <v>15</v>
      </c>
      <c r="W16" s="17">
        <f>SUM('28.10 MASAKA-MUTUKULA-24HR'!G34:G37)</f>
        <v>0</v>
      </c>
      <c r="X16" s="17">
        <f>SUM('28.10 MASAKA-MUTUKULA-24HR'!H34:H37)</f>
        <v>0</v>
      </c>
      <c r="Y16" s="17">
        <f>SUM('28.10 MASAKA-MUTUKULA-24HR'!I34:I37)</f>
        <v>3</v>
      </c>
      <c r="Z16" s="17">
        <f>SUM('28.10 MASAKA-MUTUKULA-24HR'!J34:J37)</f>
        <v>3</v>
      </c>
      <c r="AA16" s="17">
        <f>SUM('28.10 MASAKA-MUTUKULA-24HR'!K34:K37)</f>
        <v>10</v>
      </c>
      <c r="AB16" s="17">
        <f>SUM('28.10 MASAKA-MUTUKULA-24HR'!L34:L37)</f>
        <v>0</v>
      </c>
      <c r="AC16" s="17">
        <f>SUM('28.10 MASAKA-MUTUKULA-24HR'!M34:M37)</f>
        <v>26</v>
      </c>
      <c r="AD16" s="17">
        <f>SUM('28.10 MASAKA-MUTUKULA-24HR'!N34:N37)</f>
        <v>0</v>
      </c>
      <c r="AE16" s="31">
        <f>SUM('28.10 MASAKA-MUTUKULA-24HR'!O34:O37)</f>
        <v>40</v>
      </c>
      <c r="AF16" s="31">
        <f>SUM('28.10 MASAKA-MUTUKULA-24HR'!P34:P37)</f>
        <v>66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>SUM('28.10 MASAKA-MUTUKULA-24HR'!C17:L17,'28.10 MASAKA-MUTUKULA-24HR'!N17)</f>
        <v>2</v>
      </c>
      <c r="P17" s="15">
        <f>SUM('28.10 MASAKA-MUTUKULA-24HR'!C17:N17)</f>
        <v>18</v>
      </c>
      <c r="R17" s="1" t="s">
        <v>13</v>
      </c>
      <c r="S17" s="17">
        <f>SUM('28.10 MASAKA-MUTUKULA-24HR'!C38:C41)</f>
        <v>12</v>
      </c>
      <c r="T17" s="17">
        <f>SUM('28.10 MASAKA-MUTUKULA-24HR'!D38:D41)</f>
        <v>1</v>
      </c>
      <c r="U17" s="17">
        <f>SUM('28.10 MASAKA-MUTUKULA-24HR'!E38:E41)</f>
        <v>2</v>
      </c>
      <c r="V17" s="17">
        <f>SUM('28.10 MASAKA-MUTUKULA-24HR'!F38:F41)</f>
        <v>10</v>
      </c>
      <c r="W17" s="17">
        <f>SUM('28.10 MASAKA-MUTUKULA-24HR'!G38:G41)</f>
        <v>0</v>
      </c>
      <c r="X17" s="17">
        <f>SUM('28.10 MASAKA-MUTUKULA-24HR'!H38:H41)</f>
        <v>0</v>
      </c>
      <c r="Y17" s="17">
        <f>SUM('28.10 MASAKA-MUTUKULA-24HR'!I38:I41)</f>
        <v>0</v>
      </c>
      <c r="Z17" s="17">
        <f>SUM('28.10 MASAKA-MUTUKULA-24HR'!J38:J41)</f>
        <v>1</v>
      </c>
      <c r="AA17" s="17">
        <f>SUM('28.10 MASAKA-MUTUKULA-24HR'!K38:K41)</f>
        <v>0</v>
      </c>
      <c r="AB17" s="17">
        <f>SUM('28.10 MASAKA-MUTUKULA-24HR'!L38:L41)</f>
        <v>0</v>
      </c>
      <c r="AC17" s="17">
        <f>SUM('28.10 MASAKA-MUTUKULA-24HR'!M38:M41)</f>
        <v>31</v>
      </c>
      <c r="AD17" s="17">
        <f>SUM('28.10 MASAKA-MUTUKULA-24HR'!N38:N41)</f>
        <v>0</v>
      </c>
      <c r="AE17" s="31">
        <f>SUM('28.10 MASAKA-MUTUKULA-24HR'!O38:O41)</f>
        <v>26</v>
      </c>
      <c r="AF17" s="31">
        <f>SUM('28.10 MASAKA-MUTUKULA-24HR'!P38:P41)</f>
        <v>57</v>
      </c>
    </row>
    <row r="18" spans="2:32" ht="23.1" customHeight="1" x14ac:dyDescent="0.25">
      <c r="B18" s="45" t="s">
        <v>45</v>
      </c>
      <c r="C18" s="50">
        <v>4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3</v>
      </c>
      <c r="K18" s="50">
        <v>0</v>
      </c>
      <c r="L18" s="50">
        <v>0</v>
      </c>
      <c r="M18" s="50">
        <v>12</v>
      </c>
      <c r="N18" s="50">
        <v>0</v>
      </c>
      <c r="O18" s="15">
        <f>SUM('28.10 MASAKA-MUTUKULA-24HR'!C18:L18,'28.10 MASAKA-MUTUKULA-24HR'!N18)</f>
        <v>8</v>
      </c>
      <c r="P18" s="15">
        <f>SUM('28.10 MASAKA-MUTUKULA-24HR'!C18:N18)</f>
        <v>20</v>
      </c>
      <c r="R18" s="1" t="s">
        <v>14</v>
      </c>
      <c r="S18" s="17">
        <f>SUM('28.10 MASAKA-MUTUKULA-24HR'!C42:C45)</f>
        <v>4</v>
      </c>
      <c r="T18" s="17">
        <f>SUM('28.10 MASAKA-MUTUKULA-24HR'!D42:D45)</f>
        <v>2</v>
      </c>
      <c r="U18" s="17">
        <f>SUM('28.10 MASAKA-MUTUKULA-24HR'!E42:E45)</f>
        <v>1</v>
      </c>
      <c r="V18" s="17">
        <f>SUM('28.10 MASAKA-MUTUKULA-24HR'!F42:F45)</f>
        <v>6</v>
      </c>
      <c r="W18" s="17">
        <f>SUM('28.10 MASAKA-MUTUKULA-24HR'!G42:G45)</f>
        <v>0</v>
      </c>
      <c r="X18" s="17">
        <f>SUM('28.10 MASAKA-MUTUKULA-24HR'!H42:H45)</f>
        <v>0</v>
      </c>
      <c r="Y18" s="17">
        <f>SUM('28.10 MASAKA-MUTUKULA-24HR'!I42:I45)</f>
        <v>2</v>
      </c>
      <c r="Z18" s="17">
        <f>SUM('28.10 MASAKA-MUTUKULA-24HR'!J42:J45)</f>
        <v>0</v>
      </c>
      <c r="AA18" s="17">
        <f>SUM('28.10 MASAKA-MUTUKULA-24HR'!K42:K45)</f>
        <v>1</v>
      </c>
      <c r="AB18" s="17">
        <f>SUM('28.10 MASAKA-MUTUKULA-24HR'!L42:L45)</f>
        <v>0</v>
      </c>
      <c r="AC18" s="17">
        <f>SUM('28.10 MASAKA-MUTUKULA-24HR'!M42:M45)</f>
        <v>38</v>
      </c>
      <c r="AD18" s="17">
        <f>SUM('28.10 MASAKA-MUTUKULA-24HR'!N42:N45)</f>
        <v>0</v>
      </c>
      <c r="AE18" s="31">
        <f>SUM('28.10 MASAKA-MUTUKULA-24HR'!O42:O45)</f>
        <v>16</v>
      </c>
      <c r="AF18" s="31">
        <f>SUM('28.10 MASAKA-MUTUKULA-24HR'!P42:P45)</f>
        <v>54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1</v>
      </c>
      <c r="L19" s="50">
        <v>0</v>
      </c>
      <c r="M19" s="50">
        <v>7</v>
      </c>
      <c r="N19" s="50">
        <v>0</v>
      </c>
      <c r="O19" s="15">
        <f>SUM('28.10 MASAKA-MUTUKULA-24HR'!C19:L19,'28.10 MASAKA-MUTUKULA-24HR'!N19)</f>
        <v>6</v>
      </c>
      <c r="P19" s="15">
        <f>SUM('28.10 MASAKA-MUTUKULA-24HR'!C19:N19)</f>
        <v>13</v>
      </c>
      <c r="R19" s="1" t="s">
        <v>15</v>
      </c>
      <c r="S19" s="17">
        <f>SUM('28.10 MASAKA-MUTUKULA-24HR'!C46:C49)</f>
        <v>11</v>
      </c>
      <c r="T19" s="17">
        <f>SUM('28.10 MASAKA-MUTUKULA-24HR'!D46:D49)</f>
        <v>4</v>
      </c>
      <c r="U19" s="17">
        <f>SUM('28.10 MASAKA-MUTUKULA-24HR'!E46:E49)</f>
        <v>0</v>
      </c>
      <c r="V19" s="17">
        <f>SUM('28.10 MASAKA-MUTUKULA-24HR'!F46:F49)</f>
        <v>3</v>
      </c>
      <c r="W19" s="17">
        <f>SUM('28.10 MASAKA-MUTUKULA-24HR'!G46:G49)</f>
        <v>0</v>
      </c>
      <c r="X19" s="17">
        <f>SUM('28.10 MASAKA-MUTUKULA-24HR'!H46:H49)</f>
        <v>0</v>
      </c>
      <c r="Y19" s="17">
        <f>SUM('28.10 MASAKA-MUTUKULA-24HR'!I46:I49)</f>
        <v>1</v>
      </c>
      <c r="Z19" s="17">
        <f>SUM('28.10 MASAKA-MUTUKULA-24HR'!J46:J49)</f>
        <v>2</v>
      </c>
      <c r="AA19" s="17">
        <f>SUM('28.10 MASAKA-MUTUKULA-24HR'!K46:K49)</f>
        <v>1</v>
      </c>
      <c r="AB19" s="17">
        <f>SUM('28.10 MASAKA-MUTUKULA-24HR'!L46:L49)</f>
        <v>0</v>
      </c>
      <c r="AC19" s="17">
        <f>SUM('28.10 MASAKA-MUTUKULA-24HR'!M46:M49)</f>
        <v>47</v>
      </c>
      <c r="AD19" s="17">
        <f>SUM('28.10 MASAKA-MUTUKULA-24HR'!N46:N49)</f>
        <v>0</v>
      </c>
      <c r="AE19" s="31">
        <f>SUM('28.10 MASAKA-MUTUKULA-24HR'!O46:O49)</f>
        <v>22</v>
      </c>
      <c r="AF19" s="31">
        <f>SUM('28.10 MASAKA-MUTUKULA-24HR'!P46:P49)</f>
        <v>69</v>
      </c>
    </row>
    <row r="20" spans="2:32" ht="23.1" customHeight="1" x14ac:dyDescent="0.25">
      <c r="B20" s="45" t="s">
        <v>47</v>
      </c>
      <c r="C20" s="50">
        <v>4</v>
      </c>
      <c r="D20" s="50">
        <v>1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6</v>
      </c>
      <c r="L20" s="50">
        <v>0</v>
      </c>
      <c r="M20" s="50">
        <v>13</v>
      </c>
      <c r="N20" s="50">
        <v>0</v>
      </c>
      <c r="O20" s="15">
        <f>SUM('28.10 MASAKA-MUTUKULA-24HR'!C20:L20,'28.10 MASAKA-MUTUKULA-24HR'!N20)</f>
        <v>12</v>
      </c>
      <c r="P20" s="15">
        <f>SUM('28.10 MASAKA-MUTUKULA-24HR'!C20:N20)</f>
        <v>25</v>
      </c>
      <c r="R20" s="1" t="s">
        <v>16</v>
      </c>
      <c r="S20" s="17">
        <f>SUM('28.10 MASAKA-MUTUKULA-24HR'!C50:C53)</f>
        <v>12</v>
      </c>
      <c r="T20" s="17">
        <f>SUM('28.10 MASAKA-MUTUKULA-24HR'!D50:D53)</f>
        <v>2</v>
      </c>
      <c r="U20" s="17">
        <f>SUM('28.10 MASAKA-MUTUKULA-24HR'!E50:E53)</f>
        <v>0</v>
      </c>
      <c r="V20" s="17">
        <f>SUM('28.10 MASAKA-MUTUKULA-24HR'!F50:F53)</f>
        <v>7</v>
      </c>
      <c r="W20" s="17">
        <f>SUM('28.10 MASAKA-MUTUKULA-24HR'!G50:G53)</f>
        <v>0</v>
      </c>
      <c r="X20" s="17">
        <f>SUM('28.10 MASAKA-MUTUKULA-24HR'!H50:H53)</f>
        <v>0</v>
      </c>
      <c r="Y20" s="17">
        <f>SUM('28.10 MASAKA-MUTUKULA-24HR'!I50:I53)</f>
        <v>2</v>
      </c>
      <c r="Z20" s="17">
        <f>SUM('28.10 MASAKA-MUTUKULA-24HR'!J50:J53)</f>
        <v>3</v>
      </c>
      <c r="AA20" s="17">
        <f>SUM('28.10 MASAKA-MUTUKULA-24HR'!K50:K53)</f>
        <v>0</v>
      </c>
      <c r="AB20" s="17">
        <f>SUM('28.10 MASAKA-MUTUKULA-24HR'!L50:L53)</f>
        <v>0</v>
      </c>
      <c r="AC20" s="17">
        <f>SUM('28.10 MASAKA-MUTUKULA-24HR'!M50:M53)</f>
        <v>38</v>
      </c>
      <c r="AD20" s="17">
        <f>SUM('28.10 MASAKA-MUTUKULA-24HR'!N50:N53)</f>
        <v>0</v>
      </c>
      <c r="AE20" s="31">
        <f>SUM('28.10 MASAKA-MUTUKULA-24HR'!O50:O53)</f>
        <v>26</v>
      </c>
      <c r="AF20" s="31">
        <f>SUM('28.10 MASAKA-MUTUKULA-24HR'!P50:P53)</f>
        <v>64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v>0</v>
      </c>
      <c r="M21" s="50">
        <v>9</v>
      </c>
      <c r="N21" s="50">
        <v>0</v>
      </c>
      <c r="O21" s="15">
        <f>SUM('28.10 MASAKA-MUTUKULA-24HR'!C21:L21,'28.10 MASAKA-MUTUKULA-24HR'!N21)</f>
        <v>4</v>
      </c>
      <c r="P21" s="15">
        <f>SUM('28.10 MASAKA-MUTUKULA-24HR'!C21:N21)</f>
        <v>13</v>
      </c>
      <c r="R21" s="36" t="s">
        <v>20</v>
      </c>
      <c r="S21" s="34">
        <f>SUM('28.10 MASAKA-MUTUKULA-24HR'!C54:C57)</f>
        <v>15</v>
      </c>
      <c r="T21" s="17">
        <f>SUM('28.10 MASAKA-MUTUKULA-24HR'!D54:D57)</f>
        <v>3</v>
      </c>
      <c r="U21" s="17">
        <f>SUM('28.10 MASAKA-MUTUKULA-24HR'!E54:E57)</f>
        <v>3</v>
      </c>
      <c r="V21" s="17">
        <f>SUM('28.10 MASAKA-MUTUKULA-24HR'!F54:F57)</f>
        <v>7</v>
      </c>
      <c r="W21" s="17">
        <f>SUM('28.10 MASAKA-MUTUKULA-24HR'!G54:G57)</f>
        <v>0</v>
      </c>
      <c r="X21" s="17">
        <f>SUM('28.10 MASAKA-MUTUKULA-24HR'!H54:H57)</f>
        <v>0</v>
      </c>
      <c r="Y21" s="17">
        <f>SUM('28.10 MASAKA-MUTUKULA-24HR'!I54:I57)</f>
        <v>5</v>
      </c>
      <c r="Z21" s="17">
        <f>SUM('28.10 MASAKA-MUTUKULA-24HR'!J54:J57)</f>
        <v>2</v>
      </c>
      <c r="AA21" s="17">
        <f>SUM('28.10 MASAKA-MUTUKULA-24HR'!K54:K57)</f>
        <v>1</v>
      </c>
      <c r="AB21" s="17">
        <f>SUM('28.10 MASAKA-MUTUKULA-24HR'!L54:L57)</f>
        <v>0</v>
      </c>
      <c r="AC21" s="17">
        <f>SUM('28.10 MASAKA-MUTUKULA-24HR'!M54:M57)</f>
        <v>59</v>
      </c>
      <c r="AD21" s="17">
        <f>SUM('28.10 MASAKA-MUTUKULA-24HR'!N54:N57)</f>
        <v>0</v>
      </c>
      <c r="AE21" s="31">
        <f>SUM('28.10 MASAKA-MUTUKULA-24HR'!O54:O57)</f>
        <v>36</v>
      </c>
      <c r="AF21" s="31">
        <f>SUM('28.10 MASAKA-MUTUKULA-24HR'!P54:P57)</f>
        <v>95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15</v>
      </c>
      <c r="N22" s="50">
        <v>0</v>
      </c>
      <c r="O22" s="15">
        <f>SUM('28.10 MASAKA-MUTUKULA-24HR'!C22:L22,'28.10 MASAKA-MUTUKULA-24HR'!N22)</f>
        <v>3</v>
      </c>
      <c r="P22" s="15">
        <f>SUM('28.10 MASAKA-MUTUKULA-24HR'!C22:N22)</f>
        <v>18</v>
      </c>
      <c r="R22" s="38" t="s">
        <v>90</v>
      </c>
      <c r="S22" s="39">
        <f t="shared" ref="S22:AF22" si="0">MAX(S10:S12)</f>
        <v>17</v>
      </c>
      <c r="T22" s="39">
        <f t="shared" si="0"/>
        <v>2</v>
      </c>
      <c r="U22" s="39">
        <f t="shared" si="0"/>
        <v>0</v>
      </c>
      <c r="V22" s="39">
        <f t="shared" si="0"/>
        <v>6</v>
      </c>
      <c r="W22" s="39">
        <f t="shared" si="0"/>
        <v>0</v>
      </c>
      <c r="X22" s="39">
        <f t="shared" si="0"/>
        <v>0</v>
      </c>
      <c r="Y22" s="39">
        <f t="shared" si="0"/>
        <v>2</v>
      </c>
      <c r="Z22" s="39">
        <f t="shared" si="0"/>
        <v>10</v>
      </c>
      <c r="AA22" s="39">
        <f t="shared" si="0"/>
        <v>7</v>
      </c>
      <c r="AB22" s="39">
        <f t="shared" si="0"/>
        <v>0</v>
      </c>
      <c r="AC22" s="39">
        <f t="shared" si="0"/>
        <v>46</v>
      </c>
      <c r="AD22" s="39">
        <f t="shared" si="0"/>
        <v>0</v>
      </c>
      <c r="AE22" s="40">
        <f t="shared" si="0"/>
        <v>33</v>
      </c>
      <c r="AF22" s="40">
        <f t="shared" si="0"/>
        <v>79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8</v>
      </c>
      <c r="N23" s="50">
        <v>0</v>
      </c>
      <c r="O23" s="15">
        <f>SUM('28.10 MASAKA-MUTUKULA-24HR'!C23:L23,'28.10 MASAKA-MUTUKULA-24HR'!N23)</f>
        <v>8</v>
      </c>
      <c r="P23" s="15">
        <f>SUM('28.10 MASAKA-MUTUKULA-24HR'!C23:N23)</f>
        <v>16</v>
      </c>
      <c r="R23" s="38" t="s">
        <v>91</v>
      </c>
      <c r="S23" s="39">
        <f t="shared" ref="S23:AF23" si="1">MAX(S13:S18)</f>
        <v>12</v>
      </c>
      <c r="T23" s="39">
        <f t="shared" si="1"/>
        <v>2</v>
      </c>
      <c r="U23" s="39">
        <f t="shared" si="1"/>
        <v>2</v>
      </c>
      <c r="V23" s="39">
        <f t="shared" si="1"/>
        <v>15</v>
      </c>
      <c r="W23" s="39">
        <f t="shared" si="1"/>
        <v>0</v>
      </c>
      <c r="X23" s="39">
        <f t="shared" si="1"/>
        <v>0</v>
      </c>
      <c r="Y23" s="39">
        <f t="shared" si="1"/>
        <v>3</v>
      </c>
      <c r="Z23" s="39">
        <f t="shared" si="1"/>
        <v>9</v>
      </c>
      <c r="AA23" s="39">
        <f t="shared" si="1"/>
        <v>10</v>
      </c>
      <c r="AB23" s="39">
        <f t="shared" si="1"/>
        <v>0</v>
      </c>
      <c r="AC23" s="39">
        <f t="shared" si="1"/>
        <v>45</v>
      </c>
      <c r="AD23" s="39">
        <f t="shared" si="1"/>
        <v>0</v>
      </c>
      <c r="AE23" s="40">
        <f t="shared" si="1"/>
        <v>40</v>
      </c>
      <c r="AF23" s="40">
        <f t="shared" si="1"/>
        <v>74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3</v>
      </c>
      <c r="K24" s="50">
        <v>0</v>
      </c>
      <c r="L24" s="50">
        <v>0</v>
      </c>
      <c r="M24" s="50">
        <v>10</v>
      </c>
      <c r="N24" s="50">
        <v>0</v>
      </c>
      <c r="O24" s="15">
        <f>SUM('28.10 MASAKA-MUTUKULA-24HR'!C24:L24,'28.10 MASAKA-MUTUKULA-24HR'!N24)</f>
        <v>9</v>
      </c>
      <c r="P24" s="15">
        <f>SUM('28.10 MASAKA-MUTUKULA-24HR'!C24:N24)</f>
        <v>19</v>
      </c>
      <c r="R24" s="38" t="s">
        <v>92</v>
      </c>
      <c r="S24" s="39">
        <f t="shared" ref="S24:AF24" si="2">MAX(S19:S21)</f>
        <v>15</v>
      </c>
      <c r="T24" s="39">
        <f t="shared" si="2"/>
        <v>4</v>
      </c>
      <c r="U24" s="39">
        <f t="shared" si="2"/>
        <v>3</v>
      </c>
      <c r="V24" s="39">
        <f t="shared" si="2"/>
        <v>7</v>
      </c>
      <c r="W24" s="39">
        <f t="shared" si="2"/>
        <v>0</v>
      </c>
      <c r="X24" s="39">
        <f t="shared" si="2"/>
        <v>0</v>
      </c>
      <c r="Y24" s="39">
        <f t="shared" si="2"/>
        <v>5</v>
      </c>
      <c r="Z24" s="39">
        <f t="shared" si="2"/>
        <v>3</v>
      </c>
      <c r="AA24" s="39">
        <f t="shared" si="2"/>
        <v>1</v>
      </c>
      <c r="AB24" s="39">
        <f t="shared" si="2"/>
        <v>0</v>
      </c>
      <c r="AC24" s="39">
        <f t="shared" si="2"/>
        <v>59</v>
      </c>
      <c r="AD24" s="39">
        <f t="shared" si="2"/>
        <v>0</v>
      </c>
      <c r="AE24" s="40">
        <f t="shared" si="2"/>
        <v>36</v>
      </c>
      <c r="AF24" s="40">
        <f t="shared" si="2"/>
        <v>95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2</v>
      </c>
      <c r="K25" s="50">
        <v>2</v>
      </c>
      <c r="L25" s="50">
        <v>0</v>
      </c>
      <c r="M25" s="50">
        <v>12</v>
      </c>
      <c r="N25" s="50">
        <v>0</v>
      </c>
      <c r="O25" s="15">
        <f>SUM('28.10 MASAKA-MUTUKULA-24HR'!C25:L25,'28.10 MASAKA-MUTUKULA-24HR'!N25)</f>
        <v>9</v>
      </c>
      <c r="P25" s="15">
        <f>SUM('28.10 MASAKA-MUTUKULA-24HR'!C25:N25)</f>
        <v>21</v>
      </c>
      <c r="R25" s="37" t="s">
        <v>85</v>
      </c>
      <c r="S25" s="35">
        <f t="shared" ref="S25:AF25" si="3">SUM(S10:S12)</f>
        <v>35</v>
      </c>
      <c r="T25" s="16">
        <f t="shared" si="3"/>
        <v>5</v>
      </c>
      <c r="U25" s="16">
        <f t="shared" si="3"/>
        <v>0</v>
      </c>
      <c r="V25" s="16">
        <f t="shared" si="3"/>
        <v>12</v>
      </c>
      <c r="W25" s="16">
        <f t="shared" si="3"/>
        <v>0</v>
      </c>
      <c r="X25" s="16">
        <f t="shared" si="3"/>
        <v>0</v>
      </c>
      <c r="Y25" s="16">
        <f t="shared" si="3"/>
        <v>4</v>
      </c>
      <c r="Z25" s="16">
        <f t="shared" si="3"/>
        <v>24</v>
      </c>
      <c r="AA25" s="16">
        <f t="shared" si="3"/>
        <v>8</v>
      </c>
      <c r="AB25" s="16">
        <f t="shared" si="3"/>
        <v>0</v>
      </c>
      <c r="AC25" s="16">
        <f t="shared" si="3"/>
        <v>133</v>
      </c>
      <c r="AD25" s="16">
        <f t="shared" si="3"/>
        <v>0</v>
      </c>
      <c r="AE25" s="32">
        <f t="shared" si="3"/>
        <v>88</v>
      </c>
      <c r="AF25" s="32">
        <f t="shared" si="3"/>
        <v>221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7</v>
      </c>
      <c r="N26" s="50">
        <v>0</v>
      </c>
      <c r="O26" s="15">
        <f>SUM('28.10 MASAKA-MUTUKULA-24HR'!C26:L26,'28.10 MASAKA-MUTUKULA-24HR'!N26)</f>
        <v>5</v>
      </c>
      <c r="P26" s="15">
        <f>SUM('28.10 MASAKA-MUTUKULA-24HR'!C26:N26)</f>
        <v>12</v>
      </c>
      <c r="R26" s="28" t="s">
        <v>86</v>
      </c>
      <c r="S26" s="16">
        <f t="shared" ref="S26:AF26" si="4">SUM(S13:S18)</f>
        <v>48</v>
      </c>
      <c r="T26" s="16">
        <f t="shared" si="4"/>
        <v>7</v>
      </c>
      <c r="U26" s="16">
        <f t="shared" si="4"/>
        <v>5</v>
      </c>
      <c r="V26" s="16">
        <f t="shared" si="4"/>
        <v>56</v>
      </c>
      <c r="W26" s="16">
        <f t="shared" si="4"/>
        <v>0</v>
      </c>
      <c r="X26" s="16">
        <f t="shared" si="4"/>
        <v>0</v>
      </c>
      <c r="Y26" s="16">
        <f t="shared" si="4"/>
        <v>11</v>
      </c>
      <c r="Z26" s="16">
        <f t="shared" si="4"/>
        <v>23</v>
      </c>
      <c r="AA26" s="16">
        <f t="shared" si="4"/>
        <v>15</v>
      </c>
      <c r="AB26" s="16">
        <f t="shared" si="4"/>
        <v>0</v>
      </c>
      <c r="AC26" s="16">
        <f t="shared" si="4"/>
        <v>211</v>
      </c>
      <c r="AD26" s="16">
        <f t="shared" si="4"/>
        <v>0</v>
      </c>
      <c r="AE26" s="32">
        <f t="shared" si="4"/>
        <v>165</v>
      </c>
      <c r="AF26" s="32">
        <f t="shared" si="4"/>
        <v>376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3</v>
      </c>
      <c r="K27" s="50">
        <v>0</v>
      </c>
      <c r="L27" s="50">
        <v>0</v>
      </c>
      <c r="M27" s="50">
        <v>17</v>
      </c>
      <c r="N27" s="50">
        <v>0</v>
      </c>
      <c r="O27" s="15">
        <f>SUM('28.10 MASAKA-MUTUKULA-24HR'!C27:L27,'28.10 MASAKA-MUTUKULA-24HR'!N27)</f>
        <v>5</v>
      </c>
      <c r="P27" s="15">
        <f>SUM('28.10 MASAKA-MUTUKULA-24HR'!C27:N27)</f>
        <v>22</v>
      </c>
      <c r="R27" s="29" t="s">
        <v>87</v>
      </c>
      <c r="S27" s="16">
        <f t="shared" ref="S27:AF27" si="5">SUM(S19:S21)</f>
        <v>38</v>
      </c>
      <c r="T27" s="16">
        <f t="shared" si="5"/>
        <v>9</v>
      </c>
      <c r="U27" s="16">
        <f t="shared" si="5"/>
        <v>3</v>
      </c>
      <c r="V27" s="16">
        <f t="shared" si="5"/>
        <v>17</v>
      </c>
      <c r="W27" s="16">
        <f t="shared" si="5"/>
        <v>0</v>
      </c>
      <c r="X27" s="16">
        <f t="shared" si="5"/>
        <v>0</v>
      </c>
      <c r="Y27" s="16">
        <f t="shared" si="5"/>
        <v>8</v>
      </c>
      <c r="Z27" s="16">
        <f t="shared" si="5"/>
        <v>7</v>
      </c>
      <c r="AA27" s="16">
        <f t="shared" si="5"/>
        <v>2</v>
      </c>
      <c r="AB27" s="16">
        <f t="shared" si="5"/>
        <v>0</v>
      </c>
      <c r="AC27" s="16">
        <f t="shared" si="5"/>
        <v>144</v>
      </c>
      <c r="AD27" s="16">
        <f t="shared" si="5"/>
        <v>0</v>
      </c>
      <c r="AE27" s="32">
        <f t="shared" si="5"/>
        <v>84</v>
      </c>
      <c r="AF27" s="32">
        <f t="shared" si="5"/>
        <v>228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12</v>
      </c>
      <c r="N28" s="50">
        <v>0</v>
      </c>
      <c r="O28" s="15">
        <f>SUM('28.10 MASAKA-MUTUKULA-24HR'!C28:L28,'28.10 MASAKA-MUTUKULA-24HR'!N28)</f>
        <v>3</v>
      </c>
      <c r="P28" s="15">
        <f>SUM('28.10 MASAKA-MUTUKULA-24HR'!C28:N28)</f>
        <v>15</v>
      </c>
      <c r="R28" s="5" t="s">
        <v>17</v>
      </c>
      <c r="S28" s="16">
        <f t="shared" ref="S28:AF28" si="6">SUM(S10:S21)</f>
        <v>121</v>
      </c>
      <c r="T28" s="16">
        <f t="shared" si="6"/>
        <v>21</v>
      </c>
      <c r="U28" s="16">
        <f t="shared" si="6"/>
        <v>8</v>
      </c>
      <c r="V28" s="16">
        <f t="shared" si="6"/>
        <v>85</v>
      </c>
      <c r="W28" s="16">
        <f t="shared" si="6"/>
        <v>0</v>
      </c>
      <c r="X28" s="16">
        <f t="shared" si="6"/>
        <v>0</v>
      </c>
      <c r="Y28" s="16">
        <f t="shared" si="6"/>
        <v>23</v>
      </c>
      <c r="Z28" s="16">
        <f t="shared" si="6"/>
        <v>54</v>
      </c>
      <c r="AA28" s="16">
        <f t="shared" si="6"/>
        <v>25</v>
      </c>
      <c r="AB28" s="16">
        <f t="shared" si="6"/>
        <v>0</v>
      </c>
      <c r="AC28" s="16">
        <f t="shared" si="6"/>
        <v>488</v>
      </c>
      <c r="AD28" s="16">
        <f t="shared" si="6"/>
        <v>0</v>
      </c>
      <c r="AE28" s="32">
        <f t="shared" si="6"/>
        <v>337</v>
      </c>
      <c r="AF28" s="32">
        <f t="shared" si="6"/>
        <v>825</v>
      </c>
    </row>
    <row r="29" spans="2:32" ht="23.1" customHeight="1" x14ac:dyDescent="0.25">
      <c r="B29" s="45" t="s">
        <v>56</v>
      </c>
      <c r="C29" s="50">
        <v>3</v>
      </c>
      <c r="D29" s="50">
        <v>0</v>
      </c>
      <c r="E29" s="50">
        <v>0</v>
      </c>
      <c r="F29" s="50">
        <v>4</v>
      </c>
      <c r="G29" s="50">
        <v>0</v>
      </c>
      <c r="H29" s="50">
        <v>0</v>
      </c>
      <c r="I29" s="50">
        <v>0</v>
      </c>
      <c r="J29" s="50">
        <v>4</v>
      </c>
      <c r="K29" s="50">
        <v>1</v>
      </c>
      <c r="L29" s="50">
        <v>0</v>
      </c>
      <c r="M29" s="50">
        <v>6</v>
      </c>
      <c r="N29" s="50">
        <v>0</v>
      </c>
      <c r="O29" s="15">
        <f>SUM('28.10 MASAKA-MUTUKULA-24HR'!C29:L29,'28.10 MASAKA-MUTUKULA-24HR'!N29)</f>
        <v>12</v>
      </c>
      <c r="P29" s="15">
        <f>SUM('28.10 MASAKA-MUTUKULA-24HR'!C29:N29)</f>
        <v>18</v>
      </c>
      <c r="R29" s="36" t="s">
        <v>153</v>
      </c>
      <c r="S29" s="34">
        <f>SUM(C86:C89)</f>
        <v>0</v>
      </c>
      <c r="T29" s="34">
        <f t="shared" ref="T29:AF29" si="7">SUM(D86:D89)</f>
        <v>0</v>
      </c>
      <c r="U29" s="34">
        <f t="shared" si="7"/>
        <v>0</v>
      </c>
      <c r="V29" s="34">
        <f t="shared" si="7"/>
        <v>0</v>
      </c>
      <c r="W29" s="34">
        <f t="shared" si="7"/>
        <v>0</v>
      </c>
      <c r="X29" s="34">
        <f t="shared" si="7"/>
        <v>1</v>
      </c>
      <c r="Y29" s="34">
        <f t="shared" si="7"/>
        <v>0</v>
      </c>
      <c r="Z29" s="34">
        <f t="shared" si="7"/>
        <v>1</v>
      </c>
      <c r="AA29" s="34">
        <f t="shared" si="7"/>
        <v>1</v>
      </c>
      <c r="AB29" s="34">
        <f t="shared" si="7"/>
        <v>1</v>
      </c>
      <c r="AC29" s="34">
        <f t="shared" si="7"/>
        <v>1</v>
      </c>
      <c r="AD29" s="34">
        <f t="shared" si="7"/>
        <v>0</v>
      </c>
      <c r="AE29" s="31">
        <f t="shared" si="7"/>
        <v>4</v>
      </c>
      <c r="AF29" s="31">
        <f t="shared" si="7"/>
        <v>5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5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>SUM('28.10 MASAKA-MUTUKULA-24HR'!C30:L30,'28.10 MASAKA-MUTUKULA-24HR'!N30)</f>
        <v>6</v>
      </c>
      <c r="P30" s="15">
        <f>SUM('28.10 MASAKA-MUTUKULA-24HR'!C30:N30)</f>
        <v>20</v>
      </c>
      <c r="R30" s="36" t="s">
        <v>154</v>
      </c>
      <c r="S30" s="34">
        <f>SUM(C90:C93)</f>
        <v>0</v>
      </c>
      <c r="T30" s="34">
        <f t="shared" ref="T30:AF30" si="8">SUM(D90:D93)</f>
        <v>0</v>
      </c>
      <c r="U30" s="34">
        <f t="shared" si="8"/>
        <v>0</v>
      </c>
      <c r="V30" s="34">
        <f t="shared" si="8"/>
        <v>0</v>
      </c>
      <c r="W30" s="34">
        <f t="shared" si="8"/>
        <v>0</v>
      </c>
      <c r="X30" s="34">
        <f t="shared" si="8"/>
        <v>1</v>
      </c>
      <c r="Y30" s="34">
        <f t="shared" si="8"/>
        <v>0</v>
      </c>
      <c r="Z30" s="34">
        <f t="shared" si="8"/>
        <v>3</v>
      </c>
      <c r="AA30" s="34">
        <f t="shared" si="8"/>
        <v>2</v>
      </c>
      <c r="AB30" s="34">
        <f t="shared" si="8"/>
        <v>0</v>
      </c>
      <c r="AC30" s="34">
        <f t="shared" si="8"/>
        <v>2</v>
      </c>
      <c r="AD30" s="34">
        <f t="shared" si="8"/>
        <v>0</v>
      </c>
      <c r="AE30" s="31">
        <f t="shared" si="8"/>
        <v>6</v>
      </c>
      <c r="AF30" s="31">
        <f t="shared" si="8"/>
        <v>8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3</v>
      </c>
      <c r="N31" s="50">
        <v>0</v>
      </c>
      <c r="O31" s="15">
        <f>SUM('28.10 MASAKA-MUTUKULA-24HR'!C31:L31,'28.10 MASAKA-MUTUKULA-24HR'!N31)</f>
        <v>5</v>
      </c>
      <c r="P31" s="15">
        <f>SUM('28.10 MASAKA-MUTUKULA-24HR'!C31:N31)</f>
        <v>8</v>
      </c>
      <c r="R31" s="36" t="s">
        <v>155</v>
      </c>
      <c r="S31" s="34">
        <f>SUM(C94:C97)</f>
        <v>0</v>
      </c>
      <c r="T31" s="34">
        <f t="shared" ref="T31:AF31" si="9">SUM(D94:D97)</f>
        <v>0</v>
      </c>
      <c r="U31" s="34">
        <f t="shared" si="9"/>
        <v>0</v>
      </c>
      <c r="V31" s="34">
        <f t="shared" si="9"/>
        <v>0</v>
      </c>
      <c r="W31" s="34">
        <f t="shared" si="9"/>
        <v>0</v>
      </c>
      <c r="X31" s="34">
        <f t="shared" si="9"/>
        <v>0</v>
      </c>
      <c r="Y31" s="34">
        <f t="shared" si="9"/>
        <v>0</v>
      </c>
      <c r="Z31" s="34">
        <f t="shared" si="9"/>
        <v>3</v>
      </c>
      <c r="AA31" s="34">
        <f t="shared" si="9"/>
        <v>1</v>
      </c>
      <c r="AB31" s="34">
        <f t="shared" si="9"/>
        <v>0</v>
      </c>
      <c r="AC31" s="34">
        <f t="shared" si="9"/>
        <v>1</v>
      </c>
      <c r="AD31" s="34">
        <f t="shared" si="9"/>
        <v>0</v>
      </c>
      <c r="AE31" s="31">
        <f t="shared" si="9"/>
        <v>4</v>
      </c>
      <c r="AF31" s="31">
        <f t="shared" si="9"/>
        <v>5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0</v>
      </c>
      <c r="F32" s="50">
        <v>6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>SUM('28.10 MASAKA-MUTUKULA-24HR'!C32:L32,'28.10 MASAKA-MUTUKULA-24HR'!N32)</f>
        <v>11</v>
      </c>
      <c r="P32" s="15">
        <f>SUM('28.10 MASAKA-MUTUKULA-24HR'!C32:N32)</f>
        <v>19</v>
      </c>
      <c r="R32" s="33" t="s">
        <v>156</v>
      </c>
      <c r="S32" s="34">
        <f>SUM(C98:C101)</f>
        <v>0</v>
      </c>
      <c r="T32" s="34">
        <f t="shared" ref="T32:AF32" si="10">SUM(D98:D101)</f>
        <v>0</v>
      </c>
      <c r="U32" s="34">
        <f t="shared" si="10"/>
        <v>0</v>
      </c>
      <c r="V32" s="34">
        <f t="shared" si="10"/>
        <v>0</v>
      </c>
      <c r="W32" s="34">
        <f t="shared" si="10"/>
        <v>0</v>
      </c>
      <c r="X32" s="34">
        <f t="shared" si="10"/>
        <v>0</v>
      </c>
      <c r="Y32" s="34">
        <f t="shared" si="10"/>
        <v>1</v>
      </c>
      <c r="Z32" s="34">
        <f t="shared" si="10"/>
        <v>3</v>
      </c>
      <c r="AA32" s="34">
        <f t="shared" si="10"/>
        <v>1</v>
      </c>
      <c r="AB32" s="34">
        <f t="shared" si="10"/>
        <v>0</v>
      </c>
      <c r="AC32" s="34">
        <f t="shared" si="10"/>
        <v>0</v>
      </c>
      <c r="AD32" s="34">
        <f t="shared" si="10"/>
        <v>0</v>
      </c>
      <c r="AE32" s="31">
        <f t="shared" si="10"/>
        <v>5</v>
      </c>
      <c r="AF32" s="31">
        <f t="shared" si="10"/>
        <v>5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2</v>
      </c>
      <c r="J33" s="50">
        <v>2</v>
      </c>
      <c r="K33" s="50">
        <v>1</v>
      </c>
      <c r="L33" s="50">
        <v>0</v>
      </c>
      <c r="M33" s="50">
        <v>4</v>
      </c>
      <c r="N33" s="50">
        <v>0</v>
      </c>
      <c r="O33" s="15">
        <f>SUM('28.10 MASAKA-MUTUKULA-24HR'!C33:L33,'28.10 MASAKA-MUTUKULA-24HR'!N33)</f>
        <v>7</v>
      </c>
      <c r="P33" s="15">
        <f>SUM('28.10 MASAKA-MUTUKULA-24HR'!C33:N33)</f>
        <v>11</v>
      </c>
      <c r="R33" s="33" t="s">
        <v>157</v>
      </c>
      <c r="S33" s="34">
        <f>SUM(C102:C105)</f>
        <v>4</v>
      </c>
      <c r="T33" s="34">
        <f t="shared" ref="T33:AF33" si="11">SUM(D102:D105)</f>
        <v>3</v>
      </c>
      <c r="U33" s="34">
        <f t="shared" si="11"/>
        <v>0</v>
      </c>
      <c r="V33" s="34">
        <f t="shared" si="11"/>
        <v>1</v>
      </c>
      <c r="W33" s="34">
        <f t="shared" si="11"/>
        <v>0</v>
      </c>
      <c r="X33" s="34">
        <f t="shared" si="11"/>
        <v>0</v>
      </c>
      <c r="Y33" s="34">
        <f t="shared" si="11"/>
        <v>0</v>
      </c>
      <c r="Z33" s="34">
        <f t="shared" si="11"/>
        <v>4</v>
      </c>
      <c r="AA33" s="34">
        <f t="shared" si="11"/>
        <v>4</v>
      </c>
      <c r="AB33" s="34">
        <f t="shared" si="11"/>
        <v>0</v>
      </c>
      <c r="AC33" s="34">
        <f t="shared" si="11"/>
        <v>15</v>
      </c>
      <c r="AD33" s="34">
        <f t="shared" si="11"/>
        <v>0</v>
      </c>
      <c r="AE33" s="31">
        <f t="shared" si="11"/>
        <v>16</v>
      </c>
      <c r="AF33" s="31">
        <f t="shared" si="11"/>
        <v>31</v>
      </c>
    </row>
    <row r="34" spans="2:32" ht="23.1" customHeight="1" x14ac:dyDescent="0.25">
      <c r="B34" s="46" t="s">
        <v>61</v>
      </c>
      <c r="C34" s="50">
        <v>4</v>
      </c>
      <c r="D34" s="50">
        <v>0</v>
      </c>
      <c r="E34" s="50">
        <v>0</v>
      </c>
      <c r="F34" s="50">
        <v>7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12</v>
      </c>
      <c r="N34" s="50">
        <v>0</v>
      </c>
      <c r="O34" s="15">
        <f>SUM('28.10 MASAKA-MUTUKULA-24HR'!C34:L34,'28.10 MASAKA-MUTUKULA-24HR'!N34)</f>
        <v>13</v>
      </c>
      <c r="P34" s="15">
        <f>SUM('28.10 MASAKA-MUTUKULA-24HR'!C34:N34)</f>
        <v>25</v>
      </c>
      <c r="R34" s="38" t="s">
        <v>90</v>
      </c>
      <c r="S34" s="39" t="e">
        <f>MAX(#REF!)</f>
        <v>#REF!</v>
      </c>
      <c r="T34" s="39" t="e">
        <f>MAX(#REF!)</f>
        <v>#REF!</v>
      </c>
      <c r="U34" s="39" t="e">
        <f>MAX(#REF!)</f>
        <v>#REF!</v>
      </c>
      <c r="V34" s="39" t="e">
        <f>MAX(#REF!)</f>
        <v>#REF!</v>
      </c>
      <c r="W34" s="39" t="e">
        <f>MAX(#REF!)</f>
        <v>#REF!</v>
      </c>
      <c r="X34" s="39" t="e">
        <f>MAX(#REF!)</f>
        <v>#REF!</v>
      </c>
      <c r="Y34" s="39" t="e">
        <f>MAX(#REF!)</f>
        <v>#REF!</v>
      </c>
      <c r="Z34" s="39" t="e">
        <f>MAX(#REF!)</f>
        <v>#REF!</v>
      </c>
      <c r="AA34" s="39" t="e">
        <f>MAX(#REF!)</f>
        <v>#REF!</v>
      </c>
      <c r="AB34" s="39" t="e">
        <f>MAX(#REF!)</f>
        <v>#REF!</v>
      </c>
      <c r="AC34" s="39" t="e">
        <f>MAX(#REF!)</f>
        <v>#REF!</v>
      </c>
      <c r="AD34" s="39" t="e">
        <f>MAX(#REF!)</f>
        <v>#REF!</v>
      </c>
      <c r="AE34" s="40" t="e">
        <f>MAX(#REF!)</f>
        <v>#REF!</v>
      </c>
      <c r="AF34" s="40" t="e">
        <f>MAX(#REF!)</f>
        <v>#REF!</v>
      </c>
    </row>
    <row r="35" spans="2:32" ht="23.1" customHeight="1" x14ac:dyDescent="0.25">
      <c r="B35" s="46" t="s">
        <v>62</v>
      </c>
      <c r="C35" s="50">
        <v>1</v>
      </c>
      <c r="D35" s="50">
        <v>1</v>
      </c>
      <c r="E35" s="50">
        <v>0</v>
      </c>
      <c r="F35" s="50">
        <v>5</v>
      </c>
      <c r="G35" s="50">
        <v>0</v>
      </c>
      <c r="H35" s="50">
        <v>0</v>
      </c>
      <c r="I35" s="50">
        <v>2</v>
      </c>
      <c r="J35" s="50">
        <v>0</v>
      </c>
      <c r="K35" s="50">
        <v>3</v>
      </c>
      <c r="L35" s="50">
        <v>0</v>
      </c>
      <c r="M35" s="50">
        <v>8</v>
      </c>
      <c r="N35" s="50">
        <v>0</v>
      </c>
      <c r="O35" s="15">
        <f>SUM('28.10 MASAKA-MUTUKULA-24HR'!C35:L35,'28.10 MASAKA-MUTUKULA-24HR'!N35)</f>
        <v>12</v>
      </c>
      <c r="P35" s="15">
        <f>SUM('28.10 MASAKA-MUTUKULA-24HR'!C35:N35)</f>
        <v>20</v>
      </c>
      <c r="R35" s="38" t="s">
        <v>91</v>
      </c>
      <c r="S35" s="39" t="e">
        <f>MAX(#REF!)</f>
        <v>#REF!</v>
      </c>
      <c r="T35" s="39" t="e">
        <f>MAX(#REF!)</f>
        <v>#REF!</v>
      </c>
      <c r="U35" s="39" t="e">
        <f>MAX(#REF!)</f>
        <v>#REF!</v>
      </c>
      <c r="V35" s="39" t="e">
        <f>MAX(#REF!)</f>
        <v>#REF!</v>
      </c>
      <c r="W35" s="39" t="e">
        <f>MAX(#REF!)</f>
        <v>#REF!</v>
      </c>
      <c r="X35" s="39" t="e">
        <f>MAX(#REF!)</f>
        <v>#REF!</v>
      </c>
      <c r="Y35" s="39" t="e">
        <f>MAX(#REF!)</f>
        <v>#REF!</v>
      </c>
      <c r="Z35" s="39" t="e">
        <f>MAX(#REF!)</f>
        <v>#REF!</v>
      </c>
      <c r="AA35" s="39" t="e">
        <f>MAX(#REF!)</f>
        <v>#REF!</v>
      </c>
      <c r="AB35" s="39" t="e">
        <f>MAX(#REF!)</f>
        <v>#REF!</v>
      </c>
      <c r="AC35" s="39" t="e">
        <f>MAX(#REF!)</f>
        <v>#REF!</v>
      </c>
      <c r="AD35" s="39" t="e">
        <f>MAX(#REF!)</f>
        <v>#REF!</v>
      </c>
      <c r="AE35" s="40" t="e">
        <f>MAX(#REF!)</f>
        <v>#REF!</v>
      </c>
      <c r="AF35" s="40" t="e">
        <f>MAX(#REF!)</f>
        <v>#REF!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5</v>
      </c>
      <c r="L36" s="50">
        <v>0</v>
      </c>
      <c r="M36" s="50">
        <v>4</v>
      </c>
      <c r="N36" s="50">
        <v>0</v>
      </c>
      <c r="O36" s="15">
        <f>SUM('28.10 MASAKA-MUTUKULA-24HR'!C36:L36,'28.10 MASAKA-MUTUKULA-24HR'!N36)</f>
        <v>8</v>
      </c>
      <c r="P36" s="15">
        <f>SUM('28.10 MASAKA-MUTUKULA-24HR'!C36:N36)</f>
        <v>12</v>
      </c>
      <c r="R36" s="38" t="s">
        <v>92</v>
      </c>
      <c r="S36" s="39" t="e">
        <f>MAX(#REF!)</f>
        <v>#REF!</v>
      </c>
      <c r="T36" s="39" t="e">
        <f>MAX(#REF!)</f>
        <v>#REF!</v>
      </c>
      <c r="U36" s="39" t="e">
        <f>MAX(#REF!)</f>
        <v>#REF!</v>
      </c>
      <c r="V36" s="39" t="e">
        <f>MAX(#REF!)</f>
        <v>#REF!</v>
      </c>
      <c r="W36" s="39" t="e">
        <f>MAX(#REF!)</f>
        <v>#REF!</v>
      </c>
      <c r="X36" s="39" t="e">
        <f>MAX(#REF!)</f>
        <v>#REF!</v>
      </c>
      <c r="Y36" s="39" t="e">
        <f>MAX(#REF!)</f>
        <v>#REF!</v>
      </c>
      <c r="Z36" s="39" t="e">
        <f>MAX(#REF!)</f>
        <v>#REF!</v>
      </c>
      <c r="AA36" s="39" t="e">
        <f>MAX(#REF!)</f>
        <v>#REF!</v>
      </c>
      <c r="AB36" s="39" t="e">
        <f>MAX(#REF!)</f>
        <v>#REF!</v>
      </c>
      <c r="AC36" s="39" t="e">
        <f>MAX(#REF!)</f>
        <v>#REF!</v>
      </c>
      <c r="AD36" s="39" t="e">
        <f>MAX(#REF!)</f>
        <v>#REF!</v>
      </c>
      <c r="AE36" s="40" t="e">
        <f>MAX(#REF!)</f>
        <v>#REF!</v>
      </c>
      <c r="AF36" s="40" t="e">
        <f>MAX(#REF!)</f>
        <v>#REF!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2</v>
      </c>
      <c r="L37" s="50">
        <v>0</v>
      </c>
      <c r="M37" s="50">
        <v>2</v>
      </c>
      <c r="N37" s="50">
        <v>0</v>
      </c>
      <c r="O37" s="15">
        <f>SUM('28.10 MASAKA-MUTUKULA-24HR'!C37:L37,'28.10 MASAKA-MUTUKULA-24HR'!N37)</f>
        <v>7</v>
      </c>
      <c r="P37" s="15">
        <f>SUM('28.10 MASAKA-MUTUKULA-24HR'!C37:N37)</f>
        <v>9</v>
      </c>
      <c r="R37" s="37" t="s">
        <v>85</v>
      </c>
      <c r="S37" s="35" t="e">
        <f>SUM(#REF!)</f>
        <v>#REF!</v>
      </c>
      <c r="T37" s="16" t="e">
        <f>SUM(#REF!)</f>
        <v>#REF!</v>
      </c>
      <c r="U37" s="16" t="e">
        <f>SUM(#REF!)</f>
        <v>#REF!</v>
      </c>
      <c r="V37" s="16" t="e">
        <f>SUM(#REF!)</f>
        <v>#REF!</v>
      </c>
      <c r="W37" s="16" t="e">
        <f>SUM(#REF!)</f>
        <v>#REF!</v>
      </c>
      <c r="X37" s="16" t="e">
        <f>SUM(#REF!)</f>
        <v>#REF!</v>
      </c>
      <c r="Y37" s="16" t="e">
        <f>SUM(#REF!)</f>
        <v>#REF!</v>
      </c>
      <c r="Z37" s="16" t="e">
        <f>SUM(#REF!)</f>
        <v>#REF!</v>
      </c>
      <c r="AA37" s="16" t="e">
        <f>SUM(#REF!)</f>
        <v>#REF!</v>
      </c>
      <c r="AB37" s="16" t="e">
        <f>SUM(#REF!)</f>
        <v>#REF!</v>
      </c>
      <c r="AC37" s="16" t="e">
        <f>SUM(#REF!)</f>
        <v>#REF!</v>
      </c>
      <c r="AD37" s="16" t="e">
        <f>SUM(#REF!)</f>
        <v>#REF!</v>
      </c>
      <c r="AE37" s="32" t="e">
        <f>SUM(#REF!)</f>
        <v>#REF!</v>
      </c>
      <c r="AF37" s="32" t="e">
        <f>SUM(#REF!)</f>
        <v>#REF!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0</v>
      </c>
      <c r="F38" s="50">
        <v>6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>SUM('28.10 MASAKA-MUTUKULA-24HR'!C38:L38,'28.10 MASAKA-MUTUKULA-24HR'!N38)</f>
        <v>9</v>
      </c>
      <c r="P38" s="15">
        <f>SUM('28.10 MASAKA-MUTUKULA-24HR'!C38:N38)</f>
        <v>20</v>
      </c>
      <c r="R38" s="28" t="s">
        <v>86</v>
      </c>
      <c r="S38" s="16" t="e">
        <f>SUM(#REF!)</f>
        <v>#REF!</v>
      </c>
      <c r="T38" s="16" t="e">
        <f>SUM(#REF!)</f>
        <v>#REF!</v>
      </c>
      <c r="U38" s="16" t="e">
        <f>SUM(#REF!)</f>
        <v>#REF!</v>
      </c>
      <c r="V38" s="16" t="e">
        <f>SUM(#REF!)</f>
        <v>#REF!</v>
      </c>
      <c r="W38" s="16" t="e">
        <f>SUM(#REF!)</f>
        <v>#REF!</v>
      </c>
      <c r="X38" s="16" t="e">
        <f>SUM(#REF!)</f>
        <v>#REF!</v>
      </c>
      <c r="Y38" s="16" t="e">
        <f>SUM(#REF!)</f>
        <v>#REF!</v>
      </c>
      <c r="Z38" s="16" t="e">
        <f>SUM(#REF!)</f>
        <v>#REF!</v>
      </c>
      <c r="AA38" s="16" t="e">
        <f>SUM(#REF!)</f>
        <v>#REF!</v>
      </c>
      <c r="AB38" s="16" t="e">
        <f>SUM(#REF!)</f>
        <v>#REF!</v>
      </c>
      <c r="AC38" s="16" t="e">
        <f>SUM(#REF!)</f>
        <v>#REF!</v>
      </c>
      <c r="AD38" s="16" t="e">
        <f>SUM(#REF!)</f>
        <v>#REF!</v>
      </c>
      <c r="AE38" s="32" t="e">
        <f>SUM(#REF!)</f>
        <v>#REF!</v>
      </c>
      <c r="AF38" s="32" t="e">
        <f>SUM(#REF!)</f>
        <v>#REF!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5</v>
      </c>
      <c r="N39" s="50">
        <v>0</v>
      </c>
      <c r="O39" s="15">
        <f>SUM('28.10 MASAKA-MUTUKULA-24HR'!C39:L39,'28.10 MASAKA-MUTUKULA-24HR'!N39)</f>
        <v>4</v>
      </c>
      <c r="P39" s="15">
        <f>SUM('28.10 MASAKA-MUTUKULA-24HR'!C39:N39)</f>
        <v>9</v>
      </c>
      <c r="R39" s="29" t="s">
        <v>87</v>
      </c>
      <c r="S39" s="16" t="e">
        <f>SUM(#REF!)</f>
        <v>#REF!</v>
      </c>
      <c r="T39" s="16" t="e">
        <f>SUM(#REF!)</f>
        <v>#REF!</v>
      </c>
      <c r="U39" s="16" t="e">
        <f>SUM(#REF!)</f>
        <v>#REF!</v>
      </c>
      <c r="V39" s="16" t="e">
        <f>SUM(#REF!)</f>
        <v>#REF!</v>
      </c>
      <c r="W39" s="16" t="e">
        <f>SUM(#REF!)</f>
        <v>#REF!</v>
      </c>
      <c r="X39" s="16" t="e">
        <f>SUM(#REF!)</f>
        <v>#REF!</v>
      </c>
      <c r="Y39" s="16" t="e">
        <f>SUM(#REF!)</f>
        <v>#REF!</v>
      </c>
      <c r="Z39" s="16" t="e">
        <f>SUM(#REF!)</f>
        <v>#REF!</v>
      </c>
      <c r="AA39" s="16" t="e">
        <f>SUM(#REF!)</f>
        <v>#REF!</v>
      </c>
      <c r="AB39" s="16" t="e">
        <f>SUM(#REF!)</f>
        <v>#REF!</v>
      </c>
      <c r="AC39" s="16" t="e">
        <f>SUM(#REF!)</f>
        <v>#REF!</v>
      </c>
      <c r="AD39" s="16" t="e">
        <f>SUM(#REF!)</f>
        <v>#REF!</v>
      </c>
      <c r="AE39" s="32" t="e">
        <f>SUM(#REF!)</f>
        <v>#REF!</v>
      </c>
      <c r="AF39" s="32" t="e">
        <f>SUM(#REF!)</f>
        <v>#REF!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>SUM('28.10 MASAKA-MUTUKULA-24HR'!C40:L40,'28.10 MASAKA-MUTUKULA-24HR'!N40)</f>
        <v>2</v>
      </c>
      <c r="P40" s="15">
        <f>SUM('28.10 MASAKA-MUTUKULA-24HR'!C40:N40)</f>
        <v>12</v>
      </c>
      <c r="R40" s="5" t="s">
        <v>17</v>
      </c>
      <c r="S40" s="16" t="e">
        <f>SUM(#REF!)</f>
        <v>#REF!</v>
      </c>
      <c r="T40" s="16" t="e">
        <f>SUM(#REF!)</f>
        <v>#REF!</v>
      </c>
      <c r="U40" s="16" t="e">
        <f>SUM(#REF!)</f>
        <v>#REF!</v>
      </c>
      <c r="V40" s="16" t="e">
        <f>SUM(#REF!)</f>
        <v>#REF!</v>
      </c>
      <c r="W40" s="16" t="e">
        <f>SUM(#REF!)</f>
        <v>#REF!</v>
      </c>
      <c r="X40" s="16" t="e">
        <f>SUM(#REF!)</f>
        <v>#REF!</v>
      </c>
      <c r="Y40" s="16" t="e">
        <f>SUM(#REF!)</f>
        <v>#REF!</v>
      </c>
      <c r="Z40" s="16" t="e">
        <f>SUM(#REF!)</f>
        <v>#REF!</v>
      </c>
      <c r="AA40" s="16" t="e">
        <f>SUM(#REF!)</f>
        <v>#REF!</v>
      </c>
      <c r="AB40" s="16" t="e">
        <f>SUM(#REF!)</f>
        <v>#REF!</v>
      </c>
      <c r="AC40" s="16" t="e">
        <f>SUM(#REF!)</f>
        <v>#REF!</v>
      </c>
      <c r="AD40" s="16" t="e">
        <f>SUM(#REF!)</f>
        <v>#REF!</v>
      </c>
      <c r="AE40" s="32" t="e">
        <f>SUM(#REF!)</f>
        <v>#REF!</v>
      </c>
      <c r="AF40" s="32" t="e">
        <f>SUM(#REF!)</f>
        <v>#REF!</v>
      </c>
    </row>
    <row r="41" spans="2:32" ht="23.1" customHeight="1" x14ac:dyDescent="0.25">
      <c r="B41" s="45" t="s">
        <v>68</v>
      </c>
      <c r="C41" s="50">
        <v>7</v>
      </c>
      <c r="D41" s="50">
        <v>1</v>
      </c>
      <c r="E41" s="50">
        <v>0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>SUM('28.10 MASAKA-MUTUKULA-24HR'!C41:L41,'28.10 MASAKA-MUTUKULA-24HR'!N41)</f>
        <v>11</v>
      </c>
      <c r="P41" s="15">
        <f>SUM('28.10 MASAKA-MUTUKULA-24HR'!C41:N41)</f>
        <v>16</v>
      </c>
      <c r="R41" s="5" t="s">
        <v>159</v>
      </c>
      <c r="S41" s="16">
        <f t="shared" ref="S41:AF41" si="12">SUM(S10:S33)</f>
        <v>411</v>
      </c>
      <c r="T41" s="16">
        <f t="shared" si="12"/>
        <v>74</v>
      </c>
      <c r="U41" s="16">
        <f t="shared" si="12"/>
        <v>29</v>
      </c>
      <c r="V41" s="16">
        <f t="shared" si="12"/>
        <v>284</v>
      </c>
      <c r="W41" s="16">
        <f t="shared" si="12"/>
        <v>0</v>
      </c>
      <c r="X41" s="16">
        <f t="shared" si="12"/>
        <v>2</v>
      </c>
      <c r="Y41" s="16">
        <f t="shared" si="12"/>
        <v>80</v>
      </c>
      <c r="Z41" s="16">
        <f t="shared" si="12"/>
        <v>198</v>
      </c>
      <c r="AA41" s="16">
        <f t="shared" si="12"/>
        <v>102</v>
      </c>
      <c r="AB41" s="16">
        <f t="shared" si="12"/>
        <v>1</v>
      </c>
      <c r="AC41" s="16">
        <f t="shared" si="12"/>
        <v>1633</v>
      </c>
      <c r="AD41" s="16">
        <f t="shared" si="12"/>
        <v>0</v>
      </c>
      <c r="AE41" s="32">
        <f t="shared" si="12"/>
        <v>1155</v>
      </c>
      <c r="AF41" s="32">
        <f t="shared" si="12"/>
        <v>2777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11</v>
      </c>
      <c r="N42" s="50">
        <v>0</v>
      </c>
      <c r="O42" s="15">
        <f>SUM('28.10 MASAKA-MUTUKULA-24HR'!C42:L42,'28.10 MASAKA-MUTUKULA-24HR'!N42)</f>
        <v>5</v>
      </c>
      <c r="P42" s="15">
        <f>SUM('28.10 MASAKA-MUTUKULA-24HR'!C42:N42)</f>
        <v>16</v>
      </c>
      <c r="R42" s="5" t="s">
        <v>160</v>
      </c>
      <c r="S42" s="48" t="e">
        <f>S41/S40</f>
        <v>#REF!</v>
      </c>
      <c r="T42" s="48" t="e">
        <f t="shared" ref="T42:AF42" si="13">T41/T40</f>
        <v>#REF!</v>
      </c>
      <c r="U42" s="48" t="e">
        <f t="shared" si="13"/>
        <v>#REF!</v>
      </c>
      <c r="V42" s="48" t="e">
        <f t="shared" si="13"/>
        <v>#REF!</v>
      </c>
      <c r="W42" s="48" t="e">
        <f t="shared" si="13"/>
        <v>#REF!</v>
      </c>
      <c r="X42" s="48" t="e">
        <f t="shared" si="13"/>
        <v>#REF!</v>
      </c>
      <c r="Y42" s="48" t="e">
        <f t="shared" si="13"/>
        <v>#REF!</v>
      </c>
      <c r="Z42" s="48" t="e">
        <f t="shared" si="13"/>
        <v>#REF!</v>
      </c>
      <c r="AA42" s="48" t="e">
        <f t="shared" si="13"/>
        <v>#REF!</v>
      </c>
      <c r="AB42" s="48" t="e">
        <f t="shared" si="13"/>
        <v>#REF!</v>
      </c>
      <c r="AC42" s="48" t="e">
        <f t="shared" si="13"/>
        <v>#REF!</v>
      </c>
      <c r="AD42" s="48" t="e">
        <f t="shared" si="13"/>
        <v>#REF!</v>
      </c>
      <c r="AE42" s="48" t="e">
        <f t="shared" si="13"/>
        <v>#REF!</v>
      </c>
      <c r="AF42" s="48" t="e">
        <f t="shared" si="13"/>
        <v>#REF!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>SUM('28.10 MASAKA-MUTUKULA-24HR'!C43:L43,'28.10 MASAKA-MUTUKULA-24HR'!N43)</f>
        <v>1</v>
      </c>
      <c r="P43" s="15">
        <f>SUM('28.10 MASAKA-MUTUKULA-24HR'!C43:N43)</f>
        <v>11</v>
      </c>
    </row>
    <row r="44" spans="2:32" ht="23.1" customHeight="1" x14ac:dyDescent="0.25">
      <c r="B44" s="47" t="s">
        <v>71</v>
      </c>
      <c r="C44" s="50">
        <v>1</v>
      </c>
      <c r="D44" s="50">
        <v>1</v>
      </c>
      <c r="E44" s="50">
        <v>1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>SUM('28.10 MASAKA-MUTUKULA-24HR'!C44:L44,'28.10 MASAKA-MUTUKULA-24HR'!N44)</f>
        <v>6</v>
      </c>
      <c r="P44" s="15">
        <f>SUM('28.10 MASAKA-MUTUKULA-24HR'!C44:N44)</f>
        <v>16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>SUM('28.10 MASAKA-MUTUKULA-24HR'!C45:L45,'28.10 MASAKA-MUTUKULA-24HR'!N45)</f>
        <v>4</v>
      </c>
      <c r="P45" s="15">
        <f>SUM('28.10 MASAKA-MUTUKULA-24HR'!C45:N45)</f>
        <v>11</v>
      </c>
    </row>
    <row r="46" spans="2:32" ht="23.1" customHeight="1" x14ac:dyDescent="0.25">
      <c r="B46" s="46" t="s">
        <v>73</v>
      </c>
      <c r="C46" s="50">
        <v>2</v>
      </c>
      <c r="D46" s="50">
        <v>2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1</v>
      </c>
      <c r="K46" s="50">
        <v>1</v>
      </c>
      <c r="L46" s="50">
        <v>0</v>
      </c>
      <c r="M46" s="50">
        <v>10</v>
      </c>
      <c r="N46" s="50">
        <v>0</v>
      </c>
      <c r="O46" s="15">
        <f>SUM('28.10 MASAKA-MUTUKULA-24HR'!C46:L46,'28.10 MASAKA-MUTUKULA-24HR'!N46)</f>
        <v>8</v>
      </c>
      <c r="P46" s="15">
        <f>SUM('28.10 MASAKA-MUTUKULA-24HR'!C46:N46)</f>
        <v>18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>SUM('28.10 MASAKA-MUTUKULA-24HR'!C47:L47,'28.10 MASAKA-MUTUKULA-24HR'!N47)</f>
        <v>5</v>
      </c>
      <c r="P47" s="15">
        <f>SUM('28.10 MASAKA-MUTUKULA-24HR'!C47:N47)</f>
        <v>13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2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15</v>
      </c>
      <c r="N48" s="50">
        <v>0</v>
      </c>
      <c r="O48" s="15">
        <f>SUM('28.10 MASAKA-MUTUKULA-24HR'!C48:L48,'28.10 MASAKA-MUTUKULA-24HR'!N48)</f>
        <v>9</v>
      </c>
      <c r="P48" s="15">
        <f>SUM('28.10 MASAKA-MUTUKULA-24HR'!C48:N48)</f>
        <v>24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>SUM('28.10 MASAKA-MUTUKULA-24HR'!C49:L49,'28.10 MASAKA-MUTUKULA-24HR'!N49)</f>
        <v>0</v>
      </c>
      <c r="P49" s="15">
        <f>SUM('28.10 MASAKA-MUTUKULA-24HR'!C49:N49)</f>
        <v>14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>SUM('28.10 MASAKA-MUTUKULA-24HR'!C50:L50,'28.10 MASAKA-MUTUKULA-24HR'!N50)</f>
        <v>5</v>
      </c>
      <c r="P50" s="15">
        <f>SUM('28.10 MASAKA-MUTUKULA-24HR'!C50:N50)</f>
        <v>14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>SUM('28.10 MASAKA-MUTUKULA-24HR'!C51:L51,'28.10 MASAKA-MUTUKULA-24HR'!N51)</f>
        <v>6</v>
      </c>
      <c r="P51" s="15">
        <f>SUM('28.10 MASAKA-MUTUKULA-24HR'!C51:N51)</f>
        <v>14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0</v>
      </c>
      <c r="M52" s="50">
        <v>9</v>
      </c>
      <c r="N52" s="50">
        <v>0</v>
      </c>
      <c r="O52" s="15">
        <f>SUM('28.10 MASAKA-MUTUKULA-24HR'!C52:L52,'28.10 MASAKA-MUTUKULA-24HR'!N52)</f>
        <v>8</v>
      </c>
      <c r="P52" s="15">
        <f>SUM('28.10 MASAKA-MUTUKULA-24HR'!C52:N52)</f>
        <v>17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2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12</v>
      </c>
      <c r="N53" s="50">
        <v>0</v>
      </c>
      <c r="O53" s="15">
        <f>SUM('28.10 MASAKA-MUTUKULA-24HR'!C53:L53,'28.10 MASAKA-MUTUKULA-24HR'!N53)</f>
        <v>7</v>
      </c>
      <c r="P53" s="15">
        <f>SUM('28.10 MASAKA-MUTUKULA-24HR'!C53:N53)</f>
        <v>19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1</v>
      </c>
      <c r="E54" s="50">
        <v>2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17</v>
      </c>
      <c r="N54" s="50">
        <v>0</v>
      </c>
      <c r="O54" s="15">
        <f>SUM('28.10 MASAKA-MUTUKULA-24HR'!C54:L54,'28.10 MASAKA-MUTUKULA-24HR'!N54)</f>
        <v>8</v>
      </c>
      <c r="P54" s="15">
        <f>SUM('28.10 MASAKA-MUTUKULA-24HR'!C54:N54)</f>
        <v>25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2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16</v>
      </c>
      <c r="N55" s="50">
        <v>0</v>
      </c>
      <c r="O55" s="15">
        <f>SUM('28.10 MASAKA-MUTUKULA-24HR'!C55:L55,'28.10 MASAKA-MUTUKULA-24HR'!N55)</f>
        <v>8</v>
      </c>
      <c r="P55" s="15">
        <f>SUM('28.10 MASAKA-MUTUKULA-24HR'!C55:N55)</f>
        <v>24</v>
      </c>
      <c r="R55" s="8"/>
      <c r="T55"/>
    </row>
    <row r="56" spans="2:20" ht="23.1" customHeight="1" x14ac:dyDescent="0.25">
      <c r="B56" s="45" t="s">
        <v>83</v>
      </c>
      <c r="C56" s="50">
        <v>9</v>
      </c>
      <c r="D56" s="50">
        <v>0</v>
      </c>
      <c r="E56" s="50">
        <v>1</v>
      </c>
      <c r="F56" s="50">
        <v>3</v>
      </c>
      <c r="G56" s="50">
        <v>0</v>
      </c>
      <c r="H56" s="50">
        <v>0</v>
      </c>
      <c r="I56" s="50">
        <v>2</v>
      </c>
      <c r="J56" s="50">
        <v>2</v>
      </c>
      <c r="K56" s="50">
        <v>0</v>
      </c>
      <c r="L56" s="50">
        <v>0</v>
      </c>
      <c r="M56" s="50">
        <v>15</v>
      </c>
      <c r="N56" s="50">
        <v>0</v>
      </c>
      <c r="O56" s="15">
        <f>SUM('28.10 MASAKA-MUTUKULA-24HR'!C56:L56,'28.10 MASAKA-MUTUKULA-24HR'!N56)</f>
        <v>17</v>
      </c>
      <c r="P56" s="15">
        <f>SUM('28.10 MASAKA-MUTUKULA-24HR'!C56:N56)</f>
        <v>32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5">
        <f>SUM('28.10 MASAKA-MUTUKULA-24HR'!C57:L57,'28.10 MASAKA-MUTUKULA-24HR'!N57)</f>
        <v>3</v>
      </c>
      <c r="P57" s="15">
        <f>SUM('28.10 MASAKA-MUTUKULA-24HR'!C57:N57)</f>
        <v>14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13</v>
      </c>
      <c r="N58" s="50">
        <v>0</v>
      </c>
      <c r="O58" s="15">
        <f t="shared" ref="O58:O105" si="14">SUM(C58:L58,N58)</f>
        <v>2</v>
      </c>
      <c r="P58" s="15">
        <f t="shared" ref="P58:P105" si="15">SUM(C58:N58)</f>
        <v>15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2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0</v>
      </c>
      <c r="M59" s="50">
        <v>22</v>
      </c>
      <c r="N59" s="50">
        <v>0</v>
      </c>
      <c r="O59" s="15">
        <f t="shared" si="14"/>
        <v>7</v>
      </c>
      <c r="P59" s="15">
        <f t="shared" si="15"/>
        <v>29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1</v>
      </c>
      <c r="E60" s="50">
        <v>0</v>
      </c>
      <c r="F60" s="50">
        <v>1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11</v>
      </c>
      <c r="N60" s="50">
        <v>0</v>
      </c>
      <c r="O60" s="15">
        <f t="shared" si="14"/>
        <v>7</v>
      </c>
      <c r="P60" s="15">
        <f t="shared" si="15"/>
        <v>18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2</v>
      </c>
      <c r="L61" s="50">
        <v>0</v>
      </c>
      <c r="M61" s="50">
        <v>8</v>
      </c>
      <c r="N61" s="50">
        <v>0</v>
      </c>
      <c r="O61" s="15">
        <f t="shared" si="14"/>
        <v>7</v>
      </c>
      <c r="P61" s="15">
        <f t="shared" si="15"/>
        <v>15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5</v>
      </c>
      <c r="L62" s="50">
        <v>0</v>
      </c>
      <c r="M62" s="50">
        <v>4</v>
      </c>
      <c r="N62" s="50">
        <v>0</v>
      </c>
      <c r="O62" s="15">
        <f t="shared" si="14"/>
        <v>7</v>
      </c>
      <c r="P62" s="15">
        <f t="shared" si="15"/>
        <v>11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3</v>
      </c>
      <c r="L63" s="50">
        <v>0</v>
      </c>
      <c r="M63" s="50">
        <v>5</v>
      </c>
      <c r="N63" s="50">
        <v>0</v>
      </c>
      <c r="O63" s="15">
        <f t="shared" si="14"/>
        <v>5</v>
      </c>
      <c r="P63" s="15">
        <f t="shared" si="15"/>
        <v>10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</v>
      </c>
      <c r="N64" s="50">
        <v>0</v>
      </c>
      <c r="O64" s="15">
        <f t="shared" si="14"/>
        <v>2</v>
      </c>
      <c r="P64" s="15">
        <f t="shared" si="15"/>
        <v>4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14"/>
        <v>3</v>
      </c>
      <c r="P65" s="15">
        <f t="shared" si="15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14"/>
        <v>0</v>
      </c>
      <c r="P66" s="15">
        <f t="shared" si="15"/>
        <v>0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0</v>
      </c>
      <c r="F67" s="50">
        <v>2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9</v>
      </c>
      <c r="N67" s="50">
        <v>0</v>
      </c>
      <c r="O67" s="15">
        <f t="shared" si="14"/>
        <v>6</v>
      </c>
      <c r="P67" s="15">
        <f t="shared" si="15"/>
        <v>15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1</v>
      </c>
      <c r="L68" s="50">
        <v>0</v>
      </c>
      <c r="M68" s="50">
        <v>9</v>
      </c>
      <c r="N68" s="50">
        <v>0</v>
      </c>
      <c r="O68" s="15">
        <f t="shared" si="14"/>
        <v>3</v>
      </c>
      <c r="P68" s="15">
        <f t="shared" si="15"/>
        <v>12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2</v>
      </c>
      <c r="H69" s="50">
        <v>0</v>
      </c>
      <c r="I69" s="50">
        <v>0</v>
      </c>
      <c r="J69" s="50">
        <v>1</v>
      </c>
      <c r="K69" s="50">
        <v>1</v>
      </c>
      <c r="L69" s="50">
        <v>0</v>
      </c>
      <c r="M69" s="50">
        <v>6</v>
      </c>
      <c r="N69" s="50">
        <v>0</v>
      </c>
      <c r="O69" s="15">
        <f t="shared" si="14"/>
        <v>5</v>
      </c>
      <c r="P69" s="15">
        <f t="shared" si="15"/>
        <v>11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0</v>
      </c>
      <c r="F70" s="50">
        <v>1</v>
      </c>
      <c r="G70" s="50">
        <v>1</v>
      </c>
      <c r="H70" s="50">
        <v>0</v>
      </c>
      <c r="I70" s="50">
        <v>0</v>
      </c>
      <c r="J70" s="50">
        <v>1</v>
      </c>
      <c r="K70" s="50">
        <v>1</v>
      </c>
      <c r="L70" s="50">
        <v>0</v>
      </c>
      <c r="M70" s="50">
        <v>8</v>
      </c>
      <c r="N70" s="50">
        <v>0</v>
      </c>
      <c r="O70" s="15">
        <f t="shared" si="14"/>
        <v>8</v>
      </c>
      <c r="P70" s="15">
        <f t="shared" si="15"/>
        <v>16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4</v>
      </c>
      <c r="L71" s="50">
        <v>0</v>
      </c>
      <c r="M71" s="50">
        <v>3</v>
      </c>
      <c r="N71" s="50">
        <v>0</v>
      </c>
      <c r="O71" s="15">
        <f t="shared" si="14"/>
        <v>5</v>
      </c>
      <c r="P71" s="15">
        <f t="shared" si="15"/>
        <v>8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1</v>
      </c>
      <c r="E72" s="50">
        <v>1</v>
      </c>
      <c r="F72" s="50">
        <v>1</v>
      </c>
      <c r="G72" s="50">
        <v>1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14"/>
        <v>6</v>
      </c>
      <c r="P72" s="15">
        <f t="shared" si="15"/>
        <v>7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2</v>
      </c>
      <c r="L73" s="50">
        <v>0</v>
      </c>
      <c r="M73" s="50">
        <v>5</v>
      </c>
      <c r="N73" s="50">
        <v>0</v>
      </c>
      <c r="O73" s="15">
        <f t="shared" si="14"/>
        <v>4</v>
      </c>
      <c r="P73" s="15">
        <f t="shared" si="15"/>
        <v>9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3</v>
      </c>
      <c r="N74" s="50">
        <v>0</v>
      </c>
      <c r="O74" s="15">
        <f t="shared" si="14"/>
        <v>2</v>
      </c>
      <c r="P74" s="15">
        <f t="shared" si="15"/>
        <v>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1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1</v>
      </c>
      <c r="N75" s="50">
        <v>0</v>
      </c>
      <c r="O75" s="15">
        <f t="shared" si="14"/>
        <v>3</v>
      </c>
      <c r="P75" s="15">
        <f t="shared" si="15"/>
        <v>4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1</v>
      </c>
      <c r="L76" s="50">
        <v>0</v>
      </c>
      <c r="M76" s="50">
        <v>0</v>
      </c>
      <c r="N76" s="50">
        <v>0</v>
      </c>
      <c r="O76" s="15">
        <f t="shared" si="14"/>
        <v>4</v>
      </c>
      <c r="P76" s="15">
        <f t="shared" si="15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</v>
      </c>
      <c r="N77" s="50">
        <v>0</v>
      </c>
      <c r="O77" s="15">
        <f t="shared" si="14"/>
        <v>2</v>
      </c>
      <c r="P77" s="15">
        <f t="shared" si="15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14"/>
        <v>1</v>
      </c>
      <c r="P78" s="15">
        <f t="shared" si="15"/>
        <v>1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14"/>
        <v>1</v>
      </c>
      <c r="P79" s="15">
        <f t="shared" si="15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2</v>
      </c>
      <c r="L80" s="50">
        <v>0</v>
      </c>
      <c r="M80" s="50">
        <v>0</v>
      </c>
      <c r="N80" s="50">
        <v>0</v>
      </c>
      <c r="O80" s="15">
        <f t="shared" si="14"/>
        <v>3</v>
      </c>
      <c r="P80" s="15">
        <f t="shared" si="15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2</v>
      </c>
      <c r="H81" s="50">
        <v>0</v>
      </c>
      <c r="I81" s="50">
        <v>0</v>
      </c>
      <c r="J81" s="50">
        <v>0</v>
      </c>
      <c r="K81" s="50">
        <v>2</v>
      </c>
      <c r="L81" s="50">
        <v>0</v>
      </c>
      <c r="M81" s="50">
        <v>1</v>
      </c>
      <c r="N81" s="50">
        <v>0</v>
      </c>
      <c r="O81" s="15">
        <f t="shared" si="14"/>
        <v>4</v>
      </c>
      <c r="P81" s="15">
        <f t="shared" si="15"/>
        <v>5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14"/>
        <v>1</v>
      </c>
      <c r="P82" s="15">
        <f t="shared" si="15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1</v>
      </c>
      <c r="N83" s="50">
        <v>0</v>
      </c>
      <c r="O83" s="15">
        <f t="shared" si="14"/>
        <v>3</v>
      </c>
      <c r="P83" s="15">
        <f t="shared" si="15"/>
        <v>4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2</v>
      </c>
      <c r="K84" s="50">
        <v>0</v>
      </c>
      <c r="L84" s="50">
        <v>0</v>
      </c>
      <c r="M84" s="50">
        <v>0</v>
      </c>
      <c r="N84" s="50">
        <v>0</v>
      </c>
      <c r="O84" s="15">
        <f t="shared" si="14"/>
        <v>3</v>
      </c>
      <c r="P84" s="15">
        <f t="shared" si="15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14"/>
        <v>1</v>
      </c>
      <c r="P85" s="15">
        <f t="shared" si="15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0</v>
      </c>
      <c r="N86" s="50">
        <v>0</v>
      </c>
      <c r="O86" s="15">
        <f t="shared" si="14"/>
        <v>1</v>
      </c>
      <c r="P86" s="15">
        <f t="shared" si="15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1</v>
      </c>
      <c r="M87" s="50">
        <v>0</v>
      </c>
      <c r="N87" s="50">
        <v>0</v>
      </c>
      <c r="O87" s="15">
        <f t="shared" si="14"/>
        <v>2</v>
      </c>
      <c r="P87" s="15">
        <f t="shared" si="15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14"/>
        <v>0</v>
      </c>
      <c r="P88" s="15">
        <f t="shared" si="15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14"/>
        <v>1</v>
      </c>
      <c r="P89" s="15">
        <f t="shared" si="15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0</v>
      </c>
      <c r="N90" s="50">
        <v>0</v>
      </c>
      <c r="O90" s="15">
        <f t="shared" si="14"/>
        <v>1</v>
      </c>
      <c r="P90" s="15">
        <f t="shared" si="15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14"/>
        <v>1</v>
      </c>
      <c r="P91" s="15">
        <f t="shared" si="15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0</v>
      </c>
      <c r="N92" s="50">
        <v>0</v>
      </c>
      <c r="O92" s="15">
        <f t="shared" si="14"/>
        <v>1</v>
      </c>
      <c r="P92" s="15">
        <f t="shared" si="15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3</v>
      </c>
      <c r="K93" s="50">
        <v>0</v>
      </c>
      <c r="L93" s="50">
        <v>0</v>
      </c>
      <c r="M93" s="50">
        <v>1</v>
      </c>
      <c r="N93" s="50">
        <v>0</v>
      </c>
      <c r="O93" s="15">
        <f t="shared" si="14"/>
        <v>3</v>
      </c>
      <c r="P93" s="15">
        <f t="shared" si="15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1</v>
      </c>
      <c r="L94" s="50">
        <v>0</v>
      </c>
      <c r="M94" s="50">
        <v>0</v>
      </c>
      <c r="N94" s="50">
        <v>0</v>
      </c>
      <c r="O94" s="15">
        <f t="shared" si="14"/>
        <v>2</v>
      </c>
      <c r="P94" s="15">
        <f t="shared" si="15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14"/>
        <v>0</v>
      </c>
      <c r="P95" s="15">
        <f t="shared" si="15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14"/>
        <v>1</v>
      </c>
      <c r="P96" s="15">
        <f t="shared" si="15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1</v>
      </c>
      <c r="N97" s="50">
        <v>0</v>
      </c>
      <c r="O97" s="15">
        <f t="shared" si="14"/>
        <v>1</v>
      </c>
      <c r="P97" s="15">
        <f t="shared" si="15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14"/>
        <v>0</v>
      </c>
      <c r="P98" s="15">
        <f t="shared" si="15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0</v>
      </c>
      <c r="N99" s="50">
        <v>0</v>
      </c>
      <c r="O99" s="15">
        <f t="shared" si="14"/>
        <v>2</v>
      </c>
      <c r="P99" s="15">
        <f t="shared" si="15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14"/>
        <v>1</v>
      </c>
      <c r="P100" s="15">
        <f t="shared" si="15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1</v>
      </c>
      <c r="L101" s="50">
        <v>0</v>
      </c>
      <c r="M101" s="50">
        <v>0</v>
      </c>
      <c r="N101" s="50">
        <v>0</v>
      </c>
      <c r="O101" s="15">
        <f t="shared" si="14"/>
        <v>2</v>
      </c>
      <c r="P101" s="15">
        <f t="shared" si="15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2</v>
      </c>
      <c r="K102" s="50">
        <v>2</v>
      </c>
      <c r="L102" s="50">
        <v>0</v>
      </c>
      <c r="M102" s="50">
        <v>0</v>
      </c>
      <c r="N102" s="50">
        <v>0</v>
      </c>
      <c r="O102" s="15">
        <f t="shared" si="14"/>
        <v>4</v>
      </c>
      <c r="P102" s="15">
        <f t="shared" si="15"/>
        <v>4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0</v>
      </c>
      <c r="N103" s="50">
        <v>0</v>
      </c>
      <c r="O103" s="15">
        <f t="shared" si="14"/>
        <v>2</v>
      </c>
      <c r="P103" s="15">
        <f t="shared" si="15"/>
        <v>2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7</v>
      </c>
      <c r="N104" s="50">
        <v>0</v>
      </c>
      <c r="O104" s="15">
        <f t="shared" si="14"/>
        <v>4</v>
      </c>
      <c r="P104" s="15">
        <f t="shared" si="15"/>
        <v>11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2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2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14"/>
        <v>6</v>
      </c>
      <c r="P105" s="15">
        <f t="shared" si="15"/>
        <v>14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16">SUM(C10:C105)</f>
        <v>159</v>
      </c>
      <c r="D106" s="16">
        <f t="shared" si="16"/>
        <v>32</v>
      </c>
      <c r="E106" s="16">
        <f t="shared" si="16"/>
        <v>10</v>
      </c>
      <c r="F106" s="16">
        <f t="shared" si="16"/>
        <v>95</v>
      </c>
      <c r="G106" s="16">
        <f t="shared" si="16"/>
        <v>6</v>
      </c>
      <c r="H106" s="16">
        <f t="shared" si="16"/>
        <v>2</v>
      </c>
      <c r="I106" s="16">
        <f t="shared" si="16"/>
        <v>31</v>
      </c>
      <c r="J106" s="16">
        <f t="shared" si="16"/>
        <v>83</v>
      </c>
      <c r="K106" s="16">
        <f t="shared" si="16"/>
        <v>58</v>
      </c>
      <c r="L106" s="16">
        <f t="shared" si="16"/>
        <v>1</v>
      </c>
      <c r="M106" s="16">
        <f t="shared" si="16"/>
        <v>623</v>
      </c>
      <c r="N106" s="16">
        <f t="shared" si="16"/>
        <v>0</v>
      </c>
      <c r="O106" s="16">
        <f t="shared" si="16"/>
        <v>477</v>
      </c>
      <c r="P106" s="16">
        <f t="shared" si="16"/>
        <v>1100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17">C106/$P$106</f>
        <v>0.14454545454545453</v>
      </c>
      <c r="D107" s="43">
        <f t="shared" si="17"/>
        <v>2.9090909090909091E-2</v>
      </c>
      <c r="E107" s="43">
        <f t="shared" si="17"/>
        <v>9.0909090909090905E-3</v>
      </c>
      <c r="F107" s="43">
        <f t="shared" si="17"/>
        <v>8.6363636363636365E-2</v>
      </c>
      <c r="G107" s="43">
        <f t="shared" si="17"/>
        <v>5.454545454545455E-3</v>
      </c>
      <c r="H107" s="43">
        <f t="shared" si="17"/>
        <v>1.8181818181818182E-3</v>
      </c>
      <c r="I107" s="43">
        <f t="shared" si="17"/>
        <v>2.8181818181818183E-2</v>
      </c>
      <c r="J107" s="43">
        <f t="shared" si="17"/>
        <v>7.5454545454545455E-2</v>
      </c>
      <c r="K107" s="43">
        <f t="shared" si="17"/>
        <v>5.2727272727272727E-2</v>
      </c>
      <c r="L107" s="43">
        <f t="shared" si="17"/>
        <v>9.0909090909090909E-4</v>
      </c>
      <c r="M107" s="43">
        <f t="shared" si="17"/>
        <v>0.5663636363636364</v>
      </c>
      <c r="N107" s="43">
        <f t="shared" si="17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0.33333333333333331</v>
      </c>
      <c r="D108" s="44">
        <f t="shared" ref="D108:N108" si="18">D106/$O$106</f>
        <v>6.7085953878406712E-2</v>
      </c>
      <c r="E108" s="44">
        <f t="shared" si="18"/>
        <v>2.0964360587002098E-2</v>
      </c>
      <c r="F108" s="44">
        <f t="shared" si="18"/>
        <v>0.19916142557651992</v>
      </c>
      <c r="G108" s="44">
        <f t="shared" si="18"/>
        <v>1.2578616352201259E-2</v>
      </c>
      <c r="H108" s="44">
        <f t="shared" si="18"/>
        <v>4.1928721174004195E-3</v>
      </c>
      <c r="I108" s="44">
        <f t="shared" si="18"/>
        <v>6.4989517819706494E-2</v>
      </c>
      <c r="J108" s="44">
        <f t="shared" si="18"/>
        <v>0.17400419287211741</v>
      </c>
      <c r="K108" s="44">
        <f t="shared" si="18"/>
        <v>0.12159329140461216</v>
      </c>
      <c r="L108" s="44">
        <f t="shared" si="18"/>
        <v>2.0964360587002098E-3</v>
      </c>
      <c r="M108" s="44"/>
      <c r="N108" s="44">
        <f t="shared" si="18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0" zoomScale="60" workbookViewId="0">
      <selection activeCell="T96" sqref="T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'28.10 MASAKA-MUTUKULA-24HR'!D5</f>
        <v>28.10.19</v>
      </c>
      <c r="E5" s="3"/>
      <c r="F5" s="41" t="s">
        <v>1</v>
      </c>
      <c r="G5" s="55" t="str">
        <f>'28.10 MASAKA-MUTUKULA-24HR'!G5:H5</f>
        <v>MUTUKULA</v>
      </c>
      <c r="H5" s="56"/>
      <c r="I5" s="14"/>
      <c r="J5" s="2" t="s">
        <v>5</v>
      </c>
      <c r="K5" s="55" t="s">
        <v>164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'31.10.MUTUKULA-MASAKA'!D6:E6</f>
        <v>MUTUKULA</v>
      </c>
      <c r="E6" s="56"/>
      <c r="F6" s="2" t="s">
        <v>2</v>
      </c>
      <c r="G6" s="55" t="str">
        <f>'30.10 MUTUKULA-MASAKA'!G6:H6</f>
        <v>MASAKA</v>
      </c>
      <c r="H6" s="56"/>
      <c r="J6" s="2" t="s">
        <v>21</v>
      </c>
      <c r="K6" s="55" t="str">
        <f>'28.10 MASAKA-MUTUKULA-24HR'!K6:L6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10</v>
      </c>
      <c r="T10" s="17">
        <f t="shared" si="2"/>
        <v>1</v>
      </c>
      <c r="U10" s="17">
        <f t="shared" si="2"/>
        <v>1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28</v>
      </c>
      <c r="AD10" s="17">
        <f t="shared" si="2"/>
        <v>0</v>
      </c>
      <c r="AE10" s="31">
        <f t="shared" si="2"/>
        <v>17</v>
      </c>
      <c r="AF10" s="31">
        <f t="shared" si="2"/>
        <v>45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3</v>
      </c>
      <c r="P11" s="15">
        <f t="shared" si="1"/>
        <v>9</v>
      </c>
      <c r="R11" s="1" t="s">
        <v>7</v>
      </c>
      <c r="S11" s="17">
        <f t="shared" ref="S11:AF11" si="3">SUM(C14:C17)</f>
        <v>8</v>
      </c>
      <c r="T11" s="17">
        <f t="shared" si="3"/>
        <v>0</v>
      </c>
      <c r="U11" s="17">
        <f t="shared" si="3"/>
        <v>0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28</v>
      </c>
      <c r="AD11" s="17">
        <f t="shared" si="3"/>
        <v>0</v>
      </c>
      <c r="AE11" s="31">
        <f t="shared" si="3"/>
        <v>17</v>
      </c>
      <c r="AF11" s="31">
        <f t="shared" si="3"/>
        <v>45</v>
      </c>
    </row>
    <row r="12" spans="2:32" ht="23.1" customHeight="1" x14ac:dyDescent="0.25">
      <c r="B12" s="45" t="s">
        <v>39</v>
      </c>
      <c r="C12" s="50">
        <v>3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7</v>
      </c>
      <c r="P12" s="15">
        <f t="shared" si="1"/>
        <v>14</v>
      </c>
      <c r="R12" s="1" t="s">
        <v>8</v>
      </c>
      <c r="S12" s="17">
        <f t="shared" ref="S12:AF12" si="4">SUM(C18:C21)</f>
        <v>14</v>
      </c>
      <c r="T12" s="17">
        <f t="shared" si="4"/>
        <v>0</v>
      </c>
      <c r="U12" s="17">
        <f t="shared" si="4"/>
        <v>0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42</v>
      </c>
      <c r="AD12" s="17">
        <f t="shared" si="4"/>
        <v>0</v>
      </c>
      <c r="AE12" s="31">
        <f t="shared" si="4"/>
        <v>24</v>
      </c>
      <c r="AF12" s="31">
        <f t="shared" si="4"/>
        <v>66</v>
      </c>
    </row>
    <row r="13" spans="2:32" ht="23.1" customHeight="1" x14ac:dyDescent="0.25">
      <c r="B13" s="45" t="s">
        <v>40</v>
      </c>
      <c r="C13" s="50">
        <v>4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5</v>
      </c>
      <c r="P13" s="15">
        <f t="shared" si="1"/>
        <v>13</v>
      </c>
      <c r="R13" s="1" t="s">
        <v>9</v>
      </c>
      <c r="S13" s="17">
        <f t="shared" ref="S13:AF13" si="5">SUM(C22:C25)</f>
        <v>7</v>
      </c>
      <c r="T13" s="17">
        <f t="shared" si="5"/>
        <v>3</v>
      </c>
      <c r="U13" s="17">
        <f t="shared" si="5"/>
        <v>1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20</v>
      </c>
      <c r="AF13" s="31">
        <f t="shared" si="5"/>
        <v>61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4</v>
      </c>
      <c r="P14" s="15">
        <f t="shared" si="1"/>
        <v>11</v>
      </c>
      <c r="R14" s="1" t="s">
        <v>10</v>
      </c>
      <c r="S14" s="17">
        <f t="shared" ref="S14:AF14" si="6">SUM(C26:C29)</f>
        <v>10</v>
      </c>
      <c r="T14" s="17">
        <f t="shared" si="6"/>
        <v>4</v>
      </c>
      <c r="U14" s="17">
        <f t="shared" si="6"/>
        <v>2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26</v>
      </c>
      <c r="AD14" s="17">
        <f t="shared" si="6"/>
        <v>0</v>
      </c>
      <c r="AE14" s="31">
        <f t="shared" si="6"/>
        <v>27</v>
      </c>
      <c r="AF14" s="31">
        <f t="shared" si="6"/>
        <v>53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8</v>
      </c>
      <c r="T15" s="17">
        <f t="shared" si="7"/>
        <v>3</v>
      </c>
      <c r="U15" s="17">
        <f t="shared" si="7"/>
        <v>0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24</v>
      </c>
      <c r="AD15" s="17">
        <f t="shared" si="7"/>
        <v>0</v>
      </c>
      <c r="AE15" s="31">
        <f t="shared" si="7"/>
        <v>24</v>
      </c>
      <c r="AF15" s="31">
        <f t="shared" si="7"/>
        <v>48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6</v>
      </c>
      <c r="P16" s="15">
        <f t="shared" si="1"/>
        <v>14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2</v>
      </c>
      <c r="V16" s="17">
        <f t="shared" si="8"/>
        <v>10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6</v>
      </c>
      <c r="AA16" s="17">
        <f t="shared" si="8"/>
        <v>2</v>
      </c>
      <c r="AB16" s="17">
        <f t="shared" si="8"/>
        <v>4</v>
      </c>
      <c r="AC16" s="17">
        <f t="shared" si="8"/>
        <v>40</v>
      </c>
      <c r="AD16" s="17">
        <f t="shared" si="8"/>
        <v>0</v>
      </c>
      <c r="AE16" s="31">
        <f t="shared" si="8"/>
        <v>33</v>
      </c>
      <c r="AF16" s="31">
        <f t="shared" si="8"/>
        <v>73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4</v>
      </c>
      <c r="P17" s="15">
        <f t="shared" si="1"/>
        <v>11</v>
      </c>
      <c r="R17" s="1" t="s">
        <v>13</v>
      </c>
      <c r="S17" s="17">
        <f t="shared" ref="S17:AF17" si="9">SUM(C38:C41)</f>
        <v>8</v>
      </c>
      <c r="T17" s="17">
        <f t="shared" si="9"/>
        <v>0</v>
      </c>
      <c r="U17" s="17">
        <f t="shared" si="9"/>
        <v>1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9</v>
      </c>
      <c r="AB17" s="17">
        <f t="shared" si="9"/>
        <v>1</v>
      </c>
      <c r="AC17" s="17">
        <f t="shared" si="9"/>
        <v>36</v>
      </c>
      <c r="AD17" s="17">
        <f t="shared" si="9"/>
        <v>0</v>
      </c>
      <c r="AE17" s="31">
        <f t="shared" si="9"/>
        <v>33</v>
      </c>
      <c r="AF17" s="31">
        <f t="shared" si="9"/>
        <v>69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5</v>
      </c>
      <c r="P18" s="15">
        <f t="shared" si="1"/>
        <v>15</v>
      </c>
      <c r="R18" s="1" t="s">
        <v>14</v>
      </c>
      <c r="S18" s="17">
        <f t="shared" ref="S18:AF18" si="10">SUM(C42:C45)</f>
        <v>12</v>
      </c>
      <c r="T18" s="17">
        <f t="shared" si="10"/>
        <v>4</v>
      </c>
      <c r="U18" s="17">
        <f t="shared" si="10"/>
        <v>1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2</v>
      </c>
      <c r="AB18" s="17">
        <f t="shared" si="10"/>
        <v>1</v>
      </c>
      <c r="AC18" s="17">
        <f t="shared" si="10"/>
        <v>33</v>
      </c>
      <c r="AD18" s="17">
        <f t="shared" si="10"/>
        <v>0</v>
      </c>
      <c r="AE18" s="31">
        <f t="shared" si="10"/>
        <v>29</v>
      </c>
      <c r="AF18" s="31">
        <f t="shared" si="10"/>
        <v>62</v>
      </c>
    </row>
    <row r="19" spans="2:32" ht="23.1" customHeight="1" x14ac:dyDescent="0.25">
      <c r="B19" s="45" t="s">
        <v>46</v>
      </c>
      <c r="C19" s="50">
        <v>6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9</v>
      </c>
      <c r="P19" s="15">
        <f t="shared" si="1"/>
        <v>19</v>
      </c>
      <c r="R19" s="1" t="s">
        <v>15</v>
      </c>
      <c r="S19" s="17">
        <f t="shared" ref="S19:AF19" si="11">SUM(C46:C49)</f>
        <v>10</v>
      </c>
      <c r="T19" s="17">
        <f t="shared" si="11"/>
        <v>2</v>
      </c>
      <c r="U19" s="17">
        <f t="shared" si="11"/>
        <v>2</v>
      </c>
      <c r="V19" s="17">
        <f t="shared" si="11"/>
        <v>9</v>
      </c>
      <c r="W19" s="17">
        <f t="shared" si="11"/>
        <v>0</v>
      </c>
      <c r="X19" s="17">
        <f t="shared" si="11"/>
        <v>2</v>
      </c>
      <c r="Y19" s="17">
        <f t="shared" si="11"/>
        <v>5</v>
      </c>
      <c r="Z19" s="17">
        <f t="shared" si="11"/>
        <v>7</v>
      </c>
      <c r="AA19" s="17">
        <f t="shared" si="11"/>
        <v>5</v>
      </c>
      <c r="AB19" s="17">
        <f t="shared" si="11"/>
        <v>2</v>
      </c>
      <c r="AC19" s="17">
        <f t="shared" si="11"/>
        <v>33</v>
      </c>
      <c r="AD19" s="17">
        <f t="shared" si="11"/>
        <v>0</v>
      </c>
      <c r="AE19" s="31">
        <f t="shared" si="11"/>
        <v>44</v>
      </c>
      <c r="AF19" s="31">
        <f t="shared" si="11"/>
        <v>77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5</v>
      </c>
      <c r="P20" s="15">
        <f t="shared" si="1"/>
        <v>12</v>
      </c>
      <c r="R20" s="1" t="s">
        <v>16</v>
      </c>
      <c r="S20" s="17">
        <f t="shared" ref="S20:AF20" si="12">SUM(C50:C53)</f>
        <v>13</v>
      </c>
      <c r="T20" s="17">
        <f t="shared" si="12"/>
        <v>3</v>
      </c>
      <c r="U20" s="17">
        <f t="shared" si="12"/>
        <v>0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7</v>
      </c>
      <c r="AA20" s="17">
        <f t="shared" si="12"/>
        <v>3</v>
      </c>
      <c r="AB20" s="17">
        <f t="shared" si="12"/>
        <v>2</v>
      </c>
      <c r="AC20" s="17">
        <f t="shared" si="12"/>
        <v>38</v>
      </c>
      <c r="AD20" s="17">
        <f t="shared" si="12"/>
        <v>0</v>
      </c>
      <c r="AE20" s="31">
        <f t="shared" si="12"/>
        <v>35</v>
      </c>
      <c r="AF20" s="31">
        <f t="shared" si="12"/>
        <v>73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15</v>
      </c>
      <c r="N21" s="50">
        <v>0</v>
      </c>
      <c r="O21" s="15">
        <f t="shared" si="0"/>
        <v>5</v>
      </c>
      <c r="P21" s="15">
        <f t="shared" si="1"/>
        <v>20</v>
      </c>
      <c r="R21" s="36" t="s">
        <v>20</v>
      </c>
      <c r="S21" s="34">
        <f t="shared" ref="S21:AF21" si="13">SUM(C54:C57)</f>
        <v>11</v>
      </c>
      <c r="T21" s="17">
        <f t="shared" si="13"/>
        <v>2</v>
      </c>
      <c r="U21" s="17">
        <f t="shared" si="13"/>
        <v>3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2</v>
      </c>
      <c r="AA21" s="17">
        <f t="shared" si="13"/>
        <v>4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37</v>
      </c>
      <c r="AF21" s="31">
        <f t="shared" si="13"/>
        <v>86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8</v>
      </c>
      <c r="N22" s="50">
        <v>0</v>
      </c>
      <c r="O22" s="15">
        <f t="shared" si="0"/>
        <v>4</v>
      </c>
      <c r="P22" s="15">
        <f t="shared" si="1"/>
        <v>12</v>
      </c>
      <c r="R22" s="36" t="s">
        <v>146</v>
      </c>
      <c r="S22" s="34">
        <f>SUM(C58:C61)</f>
        <v>12</v>
      </c>
      <c r="T22" s="34">
        <f t="shared" ref="T22:AF22" si="14">SUM(D58:D61)</f>
        <v>6</v>
      </c>
      <c r="U22" s="34">
        <f t="shared" si="14"/>
        <v>0</v>
      </c>
      <c r="V22" s="34">
        <f t="shared" si="14"/>
        <v>5</v>
      </c>
      <c r="W22" s="34">
        <f t="shared" si="14"/>
        <v>0</v>
      </c>
      <c r="X22" s="34">
        <f t="shared" si="14"/>
        <v>0</v>
      </c>
      <c r="Y22" s="34">
        <f t="shared" si="14"/>
        <v>6</v>
      </c>
      <c r="Z22" s="34">
        <f t="shared" si="14"/>
        <v>7</v>
      </c>
      <c r="AA22" s="34">
        <f t="shared" si="14"/>
        <v>10</v>
      </c>
      <c r="AB22" s="34">
        <f t="shared" si="14"/>
        <v>0</v>
      </c>
      <c r="AC22" s="34">
        <f t="shared" si="14"/>
        <v>65</v>
      </c>
      <c r="AD22" s="34">
        <f t="shared" si="14"/>
        <v>0</v>
      </c>
      <c r="AE22" s="31">
        <f t="shared" si="14"/>
        <v>46</v>
      </c>
      <c r="AF22" s="31">
        <f t="shared" si="14"/>
        <v>111</v>
      </c>
    </row>
    <row r="23" spans="2:32" ht="23.1" customHeight="1" x14ac:dyDescent="0.25">
      <c r="B23" s="45" t="s">
        <v>50</v>
      </c>
      <c r="C23" s="50">
        <v>0</v>
      </c>
      <c r="D23" s="50">
        <v>1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3</v>
      </c>
      <c r="P23" s="15">
        <f t="shared" si="1"/>
        <v>13</v>
      </c>
      <c r="R23" s="36" t="s">
        <v>147</v>
      </c>
      <c r="S23" s="34">
        <f>SUM(C62:C65)</f>
        <v>14</v>
      </c>
      <c r="T23" s="34">
        <f t="shared" ref="T23:AF23" si="15">SUM(D62:D65)</f>
        <v>4</v>
      </c>
      <c r="U23" s="34">
        <f t="shared" si="15"/>
        <v>0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15</v>
      </c>
      <c r="AA23" s="34">
        <f t="shared" si="15"/>
        <v>9</v>
      </c>
      <c r="AB23" s="34">
        <f t="shared" si="15"/>
        <v>0</v>
      </c>
      <c r="AC23" s="34">
        <f t="shared" si="15"/>
        <v>45</v>
      </c>
      <c r="AD23" s="34">
        <f t="shared" si="15"/>
        <v>0</v>
      </c>
      <c r="AE23" s="31">
        <f t="shared" si="15"/>
        <v>44</v>
      </c>
      <c r="AF23" s="31">
        <f t="shared" si="15"/>
        <v>89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0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6</v>
      </c>
      <c r="P24" s="15">
        <f t="shared" si="1"/>
        <v>17</v>
      </c>
      <c r="R24" s="36" t="s">
        <v>148</v>
      </c>
      <c r="S24" s="34">
        <f>SUM(C66:C69)</f>
        <v>9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12</v>
      </c>
      <c r="AA24" s="34">
        <f t="shared" si="16"/>
        <v>2</v>
      </c>
      <c r="AB24" s="34">
        <f t="shared" si="16"/>
        <v>0</v>
      </c>
      <c r="AC24" s="34">
        <f t="shared" si="16"/>
        <v>35</v>
      </c>
      <c r="AD24" s="34">
        <f t="shared" si="16"/>
        <v>0</v>
      </c>
      <c r="AE24" s="31">
        <f t="shared" si="16"/>
        <v>25</v>
      </c>
      <c r="AF24" s="31">
        <f t="shared" si="16"/>
        <v>60</v>
      </c>
    </row>
    <row r="25" spans="2:32" ht="23.1" customHeight="1" x14ac:dyDescent="0.25">
      <c r="B25" s="45" t="s">
        <v>52</v>
      </c>
      <c r="C25" s="50">
        <v>3</v>
      </c>
      <c r="D25" s="50">
        <v>1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7</v>
      </c>
      <c r="P25" s="15">
        <f t="shared" si="1"/>
        <v>19</v>
      </c>
      <c r="R25" s="36" t="s">
        <v>149</v>
      </c>
      <c r="S25" s="34">
        <f>SUM(C70:C73)</f>
        <v>3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2</v>
      </c>
      <c r="AA25" s="34">
        <f t="shared" si="17"/>
        <v>6</v>
      </c>
      <c r="AB25" s="34">
        <f t="shared" si="17"/>
        <v>0</v>
      </c>
      <c r="AC25" s="34">
        <f t="shared" si="17"/>
        <v>29</v>
      </c>
      <c r="AD25" s="34">
        <f t="shared" si="17"/>
        <v>0</v>
      </c>
      <c r="AE25" s="31">
        <f t="shared" si="17"/>
        <v>12</v>
      </c>
      <c r="AF25" s="31">
        <f t="shared" si="17"/>
        <v>41</v>
      </c>
    </row>
    <row r="26" spans="2:32" ht="23.1" customHeight="1" x14ac:dyDescent="0.25">
      <c r="B26" s="45" t="s">
        <v>53</v>
      </c>
      <c r="C26" s="50">
        <v>4</v>
      </c>
      <c r="D26" s="50">
        <v>3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11</v>
      </c>
      <c r="P26" s="15">
        <f t="shared" si="1"/>
        <v>18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6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2</v>
      </c>
      <c r="L27" s="50">
        <v>0</v>
      </c>
      <c r="M27" s="50">
        <v>6</v>
      </c>
      <c r="N27" s="50">
        <v>0</v>
      </c>
      <c r="O27" s="15">
        <f t="shared" si="0"/>
        <v>5</v>
      </c>
      <c r="P27" s="15">
        <f t="shared" si="1"/>
        <v>11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0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5</v>
      </c>
      <c r="P28" s="15">
        <f t="shared" si="1"/>
        <v>14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1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3</v>
      </c>
      <c r="D29" s="50">
        <v>1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6</v>
      </c>
      <c r="P29" s="15">
        <f t="shared" si="1"/>
        <v>10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1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9</v>
      </c>
      <c r="P30" s="15">
        <f t="shared" si="1"/>
        <v>13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0</v>
      </c>
      <c r="AF30" s="31">
        <f t="shared" si="22"/>
        <v>1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6</v>
      </c>
      <c r="P31" s="15">
        <f t="shared" si="1"/>
        <v>11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5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0</v>
      </c>
      <c r="D32" s="50">
        <v>2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4</v>
      </c>
      <c r="P32" s="15">
        <f t="shared" si="1"/>
        <v>11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2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5</v>
      </c>
      <c r="AF32" s="31">
        <f t="shared" si="24"/>
        <v>7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5</v>
      </c>
      <c r="P33" s="15">
        <f t="shared" si="1"/>
        <v>13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17</v>
      </c>
      <c r="AD33" s="34">
        <f t="shared" si="25"/>
        <v>0</v>
      </c>
      <c r="AE33" s="31">
        <f t="shared" si="25"/>
        <v>8</v>
      </c>
      <c r="AF33" s="31">
        <f t="shared" si="25"/>
        <v>25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1</v>
      </c>
      <c r="F34" s="50">
        <v>3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6</v>
      </c>
      <c r="P34" s="15">
        <f t="shared" si="1"/>
        <v>18</v>
      </c>
      <c r="R34" s="38" t="s">
        <v>90</v>
      </c>
      <c r="S34" s="39">
        <f t="shared" ref="S34:AF34" si="26">MAX(S10:S12)</f>
        <v>14</v>
      </c>
      <c r="T34" s="39">
        <f t="shared" si="26"/>
        <v>1</v>
      </c>
      <c r="U34" s="39">
        <f t="shared" si="26"/>
        <v>1</v>
      </c>
      <c r="V34" s="39">
        <f t="shared" si="26"/>
        <v>6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1</v>
      </c>
      <c r="AA34" s="39">
        <f t="shared" si="26"/>
        <v>1</v>
      </c>
      <c r="AB34" s="39">
        <f t="shared" si="26"/>
        <v>0</v>
      </c>
      <c r="AC34" s="39">
        <f t="shared" si="26"/>
        <v>42</v>
      </c>
      <c r="AD34" s="39">
        <f t="shared" si="26"/>
        <v>0</v>
      </c>
      <c r="AE34" s="40">
        <f t="shared" si="26"/>
        <v>24</v>
      </c>
      <c r="AF34" s="40">
        <f t="shared" si="26"/>
        <v>66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2</v>
      </c>
      <c r="J35" s="50">
        <v>3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7</v>
      </c>
      <c r="P35" s="15">
        <f t="shared" si="1"/>
        <v>14</v>
      </c>
      <c r="R35" s="38" t="s">
        <v>91</v>
      </c>
      <c r="S35" s="39">
        <f t="shared" ref="S35:AF35" si="27">MAX(S13:S18)</f>
        <v>12</v>
      </c>
      <c r="T35" s="39">
        <f t="shared" si="27"/>
        <v>4</v>
      </c>
      <c r="U35" s="39">
        <f t="shared" si="27"/>
        <v>2</v>
      </c>
      <c r="V35" s="39">
        <f t="shared" si="27"/>
        <v>10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6</v>
      </c>
      <c r="AA35" s="39">
        <f t="shared" si="27"/>
        <v>9</v>
      </c>
      <c r="AB35" s="39">
        <f t="shared" si="27"/>
        <v>4</v>
      </c>
      <c r="AC35" s="39">
        <f t="shared" si="27"/>
        <v>41</v>
      </c>
      <c r="AD35" s="39">
        <f t="shared" si="27"/>
        <v>0</v>
      </c>
      <c r="AE35" s="40">
        <f t="shared" si="27"/>
        <v>33</v>
      </c>
      <c r="AF35" s="40">
        <f t="shared" si="27"/>
        <v>73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1</v>
      </c>
      <c r="M36" s="50">
        <v>15</v>
      </c>
      <c r="N36" s="50">
        <v>0</v>
      </c>
      <c r="O36" s="15">
        <f t="shared" si="0"/>
        <v>7</v>
      </c>
      <c r="P36" s="15">
        <f t="shared" si="1"/>
        <v>22</v>
      </c>
      <c r="R36" s="38" t="s">
        <v>92</v>
      </c>
      <c r="S36" s="39">
        <f t="shared" ref="S36:AF36" si="28">MAX(S19:S21)</f>
        <v>13</v>
      </c>
      <c r="T36" s="39">
        <f t="shared" si="28"/>
        <v>3</v>
      </c>
      <c r="U36" s="39">
        <f t="shared" si="28"/>
        <v>3</v>
      </c>
      <c r="V36" s="39">
        <f t="shared" si="28"/>
        <v>9</v>
      </c>
      <c r="W36" s="39">
        <f t="shared" si="28"/>
        <v>0</v>
      </c>
      <c r="X36" s="39">
        <f t="shared" si="28"/>
        <v>2</v>
      </c>
      <c r="Y36" s="39">
        <f t="shared" si="28"/>
        <v>8</v>
      </c>
      <c r="Z36" s="39">
        <f t="shared" si="28"/>
        <v>7</v>
      </c>
      <c r="AA36" s="39">
        <f t="shared" si="28"/>
        <v>5</v>
      </c>
      <c r="AB36" s="39">
        <f t="shared" si="28"/>
        <v>2</v>
      </c>
      <c r="AC36" s="39">
        <f t="shared" si="28"/>
        <v>49</v>
      </c>
      <c r="AD36" s="39">
        <f t="shared" si="28"/>
        <v>0</v>
      </c>
      <c r="AE36" s="40">
        <f t="shared" si="28"/>
        <v>44</v>
      </c>
      <c r="AF36" s="40">
        <f t="shared" si="28"/>
        <v>86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1</v>
      </c>
      <c r="F37" s="5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2</v>
      </c>
      <c r="L37" s="50">
        <v>3</v>
      </c>
      <c r="M37" s="50">
        <v>6</v>
      </c>
      <c r="N37" s="50">
        <v>0</v>
      </c>
      <c r="O37" s="15">
        <f t="shared" si="0"/>
        <v>13</v>
      </c>
      <c r="P37" s="15">
        <f t="shared" si="1"/>
        <v>19</v>
      </c>
      <c r="R37" s="37" t="s">
        <v>85</v>
      </c>
      <c r="S37" s="35">
        <f t="shared" ref="S37:AF37" si="29">SUM(S10:S12)</f>
        <v>32</v>
      </c>
      <c r="T37" s="16">
        <f t="shared" si="29"/>
        <v>1</v>
      </c>
      <c r="U37" s="16">
        <f t="shared" si="29"/>
        <v>1</v>
      </c>
      <c r="V37" s="16">
        <f t="shared" si="29"/>
        <v>15</v>
      </c>
      <c r="W37" s="16">
        <f t="shared" si="29"/>
        <v>0</v>
      </c>
      <c r="X37" s="16">
        <f t="shared" si="29"/>
        <v>0</v>
      </c>
      <c r="Y37" s="16">
        <f t="shared" si="29"/>
        <v>6</v>
      </c>
      <c r="Z37" s="16">
        <f t="shared" si="29"/>
        <v>2</v>
      </c>
      <c r="AA37" s="16">
        <f t="shared" si="29"/>
        <v>1</v>
      </c>
      <c r="AB37" s="16">
        <f t="shared" si="29"/>
        <v>0</v>
      </c>
      <c r="AC37" s="16">
        <f t="shared" si="29"/>
        <v>98</v>
      </c>
      <c r="AD37" s="16">
        <f t="shared" si="29"/>
        <v>0</v>
      </c>
      <c r="AE37" s="32">
        <f t="shared" si="29"/>
        <v>58</v>
      </c>
      <c r="AF37" s="32">
        <f t="shared" si="29"/>
        <v>156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4</v>
      </c>
      <c r="L38" s="50">
        <v>0</v>
      </c>
      <c r="M38" s="50">
        <v>6</v>
      </c>
      <c r="N38" s="50">
        <v>0</v>
      </c>
      <c r="O38" s="15">
        <f t="shared" si="0"/>
        <v>10</v>
      </c>
      <c r="P38" s="15">
        <f t="shared" si="1"/>
        <v>16</v>
      </c>
      <c r="R38" s="28" t="s">
        <v>86</v>
      </c>
      <c r="S38" s="16">
        <f t="shared" ref="S38:AF38" si="30">SUM(S13:S18)</f>
        <v>51</v>
      </c>
      <c r="T38" s="16">
        <f t="shared" si="30"/>
        <v>14</v>
      </c>
      <c r="U38" s="16">
        <f t="shared" si="30"/>
        <v>7</v>
      </c>
      <c r="V38" s="16">
        <f t="shared" si="30"/>
        <v>42</v>
      </c>
      <c r="W38" s="16">
        <f t="shared" si="30"/>
        <v>0</v>
      </c>
      <c r="X38" s="16">
        <f t="shared" si="30"/>
        <v>0</v>
      </c>
      <c r="Y38" s="16">
        <f t="shared" si="30"/>
        <v>15</v>
      </c>
      <c r="Z38" s="16">
        <f t="shared" si="30"/>
        <v>15</v>
      </c>
      <c r="AA38" s="16">
        <f t="shared" si="30"/>
        <v>16</v>
      </c>
      <c r="AB38" s="16">
        <f t="shared" si="30"/>
        <v>6</v>
      </c>
      <c r="AC38" s="16">
        <f t="shared" si="30"/>
        <v>200</v>
      </c>
      <c r="AD38" s="16">
        <f t="shared" si="30"/>
        <v>0</v>
      </c>
      <c r="AE38" s="32">
        <f t="shared" si="30"/>
        <v>166</v>
      </c>
      <c r="AF38" s="32">
        <f t="shared" si="30"/>
        <v>366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4</v>
      </c>
      <c r="N39" s="50">
        <v>0</v>
      </c>
      <c r="O39" s="15">
        <f t="shared" si="0"/>
        <v>4</v>
      </c>
      <c r="P39" s="15">
        <f t="shared" si="1"/>
        <v>8</v>
      </c>
      <c r="R39" s="29" t="s">
        <v>87</v>
      </c>
      <c r="S39" s="16">
        <f t="shared" ref="S39:AF39" si="31">SUM(S19:S21)</f>
        <v>34</v>
      </c>
      <c r="T39" s="16">
        <f t="shared" si="31"/>
        <v>7</v>
      </c>
      <c r="U39" s="16">
        <f t="shared" si="31"/>
        <v>5</v>
      </c>
      <c r="V39" s="16">
        <f t="shared" si="31"/>
        <v>21</v>
      </c>
      <c r="W39" s="16">
        <f t="shared" si="31"/>
        <v>0</v>
      </c>
      <c r="X39" s="16">
        <f t="shared" si="31"/>
        <v>2</v>
      </c>
      <c r="Y39" s="16">
        <f t="shared" si="31"/>
        <v>15</v>
      </c>
      <c r="Z39" s="16">
        <f t="shared" si="31"/>
        <v>16</v>
      </c>
      <c r="AA39" s="16">
        <f t="shared" si="31"/>
        <v>12</v>
      </c>
      <c r="AB39" s="16">
        <f t="shared" si="31"/>
        <v>4</v>
      </c>
      <c r="AC39" s="16">
        <f t="shared" si="31"/>
        <v>120</v>
      </c>
      <c r="AD39" s="16">
        <f t="shared" si="31"/>
        <v>0</v>
      </c>
      <c r="AE39" s="32">
        <f t="shared" si="31"/>
        <v>116</v>
      </c>
      <c r="AF39" s="32">
        <f t="shared" si="31"/>
        <v>236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3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1</v>
      </c>
      <c r="M40" s="50">
        <v>11</v>
      </c>
      <c r="N40" s="50">
        <v>0</v>
      </c>
      <c r="O40" s="15">
        <f t="shared" si="0"/>
        <v>10</v>
      </c>
      <c r="P40" s="15">
        <f t="shared" si="1"/>
        <v>21</v>
      </c>
      <c r="R40" s="5" t="s">
        <v>17</v>
      </c>
      <c r="S40" s="16">
        <f t="shared" ref="S40:AF40" si="32">SUM(S10:S21)</f>
        <v>117</v>
      </c>
      <c r="T40" s="16">
        <f t="shared" si="32"/>
        <v>22</v>
      </c>
      <c r="U40" s="16">
        <f t="shared" si="32"/>
        <v>13</v>
      </c>
      <c r="V40" s="16">
        <f t="shared" si="32"/>
        <v>78</v>
      </c>
      <c r="W40" s="16">
        <f t="shared" si="32"/>
        <v>0</v>
      </c>
      <c r="X40" s="16">
        <f t="shared" si="32"/>
        <v>2</v>
      </c>
      <c r="Y40" s="16">
        <f t="shared" si="32"/>
        <v>36</v>
      </c>
      <c r="Z40" s="16">
        <f t="shared" si="32"/>
        <v>33</v>
      </c>
      <c r="AA40" s="16">
        <f t="shared" si="32"/>
        <v>29</v>
      </c>
      <c r="AB40" s="16">
        <f t="shared" si="32"/>
        <v>10</v>
      </c>
      <c r="AC40" s="16">
        <f t="shared" si="32"/>
        <v>418</v>
      </c>
      <c r="AD40" s="16">
        <f t="shared" si="32"/>
        <v>0</v>
      </c>
      <c r="AE40" s="32">
        <f t="shared" si="32"/>
        <v>340</v>
      </c>
      <c r="AF40" s="32">
        <f t="shared" si="32"/>
        <v>758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4</v>
      </c>
      <c r="L41" s="50">
        <v>0</v>
      </c>
      <c r="M41" s="50">
        <v>15</v>
      </c>
      <c r="N41" s="50">
        <v>0</v>
      </c>
      <c r="O41" s="15">
        <f t="shared" si="0"/>
        <v>9</v>
      </c>
      <c r="P41" s="15">
        <f t="shared" si="1"/>
        <v>24</v>
      </c>
      <c r="R41" s="5" t="s">
        <v>159</v>
      </c>
      <c r="S41" s="16">
        <f>SUM(S10:S33)</f>
        <v>165</v>
      </c>
      <c r="T41" s="16">
        <f t="shared" ref="T41:AF41" si="33">SUM(T10:T33)</f>
        <v>33</v>
      </c>
      <c r="U41" s="16">
        <f t="shared" si="33"/>
        <v>15</v>
      </c>
      <c r="V41" s="16">
        <f t="shared" si="33"/>
        <v>92</v>
      </c>
      <c r="W41" s="16">
        <f t="shared" si="33"/>
        <v>2</v>
      </c>
      <c r="X41" s="16">
        <f t="shared" si="33"/>
        <v>3</v>
      </c>
      <c r="Y41" s="16">
        <f t="shared" si="33"/>
        <v>43</v>
      </c>
      <c r="Z41" s="16">
        <f t="shared" si="33"/>
        <v>73</v>
      </c>
      <c r="AA41" s="16">
        <f t="shared" si="33"/>
        <v>56</v>
      </c>
      <c r="AB41" s="16">
        <f t="shared" si="33"/>
        <v>10</v>
      </c>
      <c r="AC41" s="16">
        <f t="shared" si="33"/>
        <v>624</v>
      </c>
      <c r="AD41" s="16">
        <f t="shared" si="33"/>
        <v>0</v>
      </c>
      <c r="AE41" s="32">
        <f t="shared" si="33"/>
        <v>492</v>
      </c>
      <c r="AF41" s="32">
        <f t="shared" si="33"/>
        <v>1116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1</v>
      </c>
      <c r="F42" s="50">
        <v>3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1</v>
      </c>
      <c r="M42" s="50">
        <v>12</v>
      </c>
      <c r="N42" s="50">
        <v>0</v>
      </c>
      <c r="O42" s="15">
        <f t="shared" si="0"/>
        <v>9</v>
      </c>
      <c r="P42" s="15">
        <f t="shared" si="1"/>
        <v>21</v>
      </c>
      <c r="R42" s="5" t="s">
        <v>160</v>
      </c>
      <c r="S42" s="48">
        <f>S41/S40</f>
        <v>1.4102564102564104</v>
      </c>
      <c r="T42" s="48">
        <f t="shared" ref="T42:AF42" si="34">T41/T40</f>
        <v>1.5</v>
      </c>
      <c r="U42" s="48">
        <f t="shared" si="34"/>
        <v>1.1538461538461537</v>
      </c>
      <c r="V42" s="48">
        <f t="shared" si="34"/>
        <v>1.1794871794871795</v>
      </c>
      <c r="W42" s="48" t="e">
        <f t="shared" si="34"/>
        <v>#DIV/0!</v>
      </c>
      <c r="X42" s="48">
        <f t="shared" si="34"/>
        <v>1.5</v>
      </c>
      <c r="Y42" s="48">
        <f t="shared" si="34"/>
        <v>1.1944444444444444</v>
      </c>
      <c r="Z42" s="48">
        <f t="shared" si="34"/>
        <v>2.2121212121212119</v>
      </c>
      <c r="AA42" s="48">
        <f t="shared" si="34"/>
        <v>1.9310344827586208</v>
      </c>
      <c r="AB42" s="48">
        <f t="shared" si="34"/>
        <v>1</v>
      </c>
      <c r="AC42" s="48">
        <f t="shared" si="34"/>
        <v>1.4928229665071771</v>
      </c>
      <c r="AD42" s="48" t="e">
        <f t="shared" si="34"/>
        <v>#DIV/0!</v>
      </c>
      <c r="AE42" s="48">
        <f t="shared" si="34"/>
        <v>1.4470588235294117</v>
      </c>
      <c r="AF42" s="48">
        <f t="shared" si="34"/>
        <v>1.4722955145118735</v>
      </c>
    </row>
    <row r="43" spans="2:32" ht="23.1" customHeight="1" x14ac:dyDescent="0.25">
      <c r="B43" s="45" t="s">
        <v>70</v>
      </c>
      <c r="C43" s="50">
        <v>2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4</v>
      </c>
      <c r="P43" s="15">
        <f t="shared" si="1"/>
        <v>14</v>
      </c>
    </row>
    <row r="44" spans="2:32" ht="23.1" customHeight="1" x14ac:dyDescent="0.25">
      <c r="B44" s="47" t="s">
        <v>71</v>
      </c>
      <c r="C44" s="50">
        <v>3</v>
      </c>
      <c r="D44" s="50">
        <v>1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0</v>
      </c>
      <c r="M44" s="50">
        <v>7</v>
      </c>
      <c r="N44" s="50">
        <v>0</v>
      </c>
      <c r="O44" s="15">
        <f t="shared" si="0"/>
        <v>10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5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6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2</v>
      </c>
      <c r="D46" s="50">
        <v>1</v>
      </c>
      <c r="E46" s="50">
        <v>0</v>
      </c>
      <c r="F46" s="50">
        <v>3</v>
      </c>
      <c r="G46" s="50">
        <v>0</v>
      </c>
      <c r="H46" s="50">
        <v>0</v>
      </c>
      <c r="I46" s="50">
        <v>3</v>
      </c>
      <c r="J46" s="50">
        <v>3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12</v>
      </c>
      <c r="P46" s="15">
        <f t="shared" si="1"/>
        <v>17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0</v>
      </c>
      <c r="E47" s="50">
        <v>1</v>
      </c>
      <c r="F47" s="50">
        <v>3</v>
      </c>
      <c r="G47" s="50">
        <v>0</v>
      </c>
      <c r="H47" s="50">
        <v>0</v>
      </c>
      <c r="I47" s="50">
        <v>2</v>
      </c>
      <c r="J47" s="50">
        <v>2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12</v>
      </c>
      <c r="P47" s="15">
        <f t="shared" si="1"/>
        <v>18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1</v>
      </c>
      <c r="E48" s="50">
        <v>1</v>
      </c>
      <c r="F48" s="50">
        <v>2</v>
      </c>
      <c r="G48" s="50">
        <v>0</v>
      </c>
      <c r="H48" s="50">
        <v>2</v>
      </c>
      <c r="I48" s="50">
        <v>0</v>
      </c>
      <c r="J48" s="50">
        <v>1</v>
      </c>
      <c r="K48" s="50">
        <v>4</v>
      </c>
      <c r="L48" s="50">
        <v>2</v>
      </c>
      <c r="M48" s="50">
        <v>9</v>
      </c>
      <c r="N48" s="50">
        <v>0</v>
      </c>
      <c r="O48" s="15">
        <f t="shared" si="0"/>
        <v>17</v>
      </c>
      <c r="P48" s="15">
        <f t="shared" si="1"/>
        <v>26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1</v>
      </c>
      <c r="L49" s="50">
        <v>0</v>
      </c>
      <c r="M49" s="50">
        <v>13</v>
      </c>
      <c r="N49" s="50">
        <v>0</v>
      </c>
      <c r="O49" s="15">
        <f t="shared" si="0"/>
        <v>3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12</v>
      </c>
      <c r="N50" s="50">
        <v>0</v>
      </c>
      <c r="O50" s="15">
        <f t="shared" si="0"/>
        <v>6</v>
      </c>
      <c r="P50" s="15">
        <f t="shared" si="1"/>
        <v>18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2</v>
      </c>
      <c r="K51" s="50">
        <v>2</v>
      </c>
      <c r="L51" s="50">
        <v>2</v>
      </c>
      <c r="M51" s="50">
        <v>7</v>
      </c>
      <c r="N51" s="50">
        <v>0</v>
      </c>
      <c r="O51" s="15">
        <f t="shared" si="0"/>
        <v>12</v>
      </c>
      <c r="P51" s="15">
        <f t="shared" si="1"/>
        <v>19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1</v>
      </c>
      <c r="E52" s="50">
        <v>0</v>
      </c>
      <c r="F52" s="50">
        <v>3</v>
      </c>
      <c r="G52" s="50">
        <v>0</v>
      </c>
      <c r="H52" s="50">
        <v>0</v>
      </c>
      <c r="I52" s="50">
        <v>0</v>
      </c>
      <c r="J52" s="50">
        <v>3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11</v>
      </c>
      <c r="P52" s="15">
        <f t="shared" si="1"/>
        <v>23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6</v>
      </c>
      <c r="P53" s="15">
        <f t="shared" si="1"/>
        <v>13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4</v>
      </c>
      <c r="P54" s="15">
        <f t="shared" si="1"/>
        <v>17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1</v>
      </c>
      <c r="F55" s="50">
        <v>2</v>
      </c>
      <c r="G55" s="50">
        <v>0</v>
      </c>
      <c r="H55" s="50">
        <v>0</v>
      </c>
      <c r="I55" s="50">
        <v>3</v>
      </c>
      <c r="J55" s="50">
        <v>0</v>
      </c>
      <c r="K55" s="50">
        <v>1</v>
      </c>
      <c r="L55" s="50">
        <v>0</v>
      </c>
      <c r="M55" s="50">
        <v>8</v>
      </c>
      <c r="N55" s="50">
        <v>0</v>
      </c>
      <c r="O55" s="15">
        <f t="shared" si="0"/>
        <v>10</v>
      </c>
      <c r="P55" s="15">
        <f t="shared" si="1"/>
        <v>18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0</v>
      </c>
      <c r="E56" s="50">
        <v>1</v>
      </c>
      <c r="F56" s="50">
        <v>2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10</v>
      </c>
      <c r="P56" s="15">
        <f t="shared" si="1"/>
        <v>22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1</v>
      </c>
      <c r="F57" s="50">
        <v>2</v>
      </c>
      <c r="G57" s="50">
        <v>0</v>
      </c>
      <c r="H57" s="50">
        <v>0</v>
      </c>
      <c r="I57" s="50">
        <v>4</v>
      </c>
      <c r="J57" s="50">
        <v>0</v>
      </c>
      <c r="K57" s="50">
        <v>3</v>
      </c>
      <c r="L57" s="50">
        <v>0</v>
      </c>
      <c r="M57" s="50">
        <v>16</v>
      </c>
      <c r="N57" s="50">
        <v>0</v>
      </c>
      <c r="O57" s="15">
        <f t="shared" si="0"/>
        <v>13</v>
      </c>
      <c r="P57" s="15">
        <f t="shared" si="1"/>
        <v>29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v>2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0</v>
      </c>
      <c r="K58" s="50">
        <v>4</v>
      </c>
      <c r="L58" s="50">
        <v>0</v>
      </c>
      <c r="M58" s="50">
        <v>20</v>
      </c>
      <c r="N58" s="50">
        <v>0</v>
      </c>
      <c r="O58" s="15">
        <f t="shared" si="0"/>
        <v>14</v>
      </c>
      <c r="P58" s="15">
        <f t="shared" si="1"/>
        <v>34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1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1</v>
      </c>
      <c r="K59" s="50">
        <v>2</v>
      </c>
      <c r="L59" s="50">
        <v>0</v>
      </c>
      <c r="M59" s="50">
        <v>20</v>
      </c>
      <c r="N59" s="50">
        <v>0</v>
      </c>
      <c r="O59" s="15">
        <f t="shared" si="0"/>
        <v>10</v>
      </c>
      <c r="P59" s="15">
        <f t="shared" si="1"/>
        <v>30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1</v>
      </c>
      <c r="G60" s="50">
        <v>0</v>
      </c>
      <c r="H60" s="50">
        <v>0</v>
      </c>
      <c r="I60" s="50">
        <v>4</v>
      </c>
      <c r="J60" s="50">
        <v>3</v>
      </c>
      <c r="K60" s="50">
        <v>4</v>
      </c>
      <c r="L60" s="50">
        <v>0</v>
      </c>
      <c r="M60" s="50">
        <v>15</v>
      </c>
      <c r="N60" s="50">
        <v>0</v>
      </c>
      <c r="O60" s="15">
        <f t="shared" si="0"/>
        <v>14</v>
      </c>
      <c r="P60" s="15">
        <f t="shared" si="1"/>
        <v>29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3</v>
      </c>
      <c r="E61" s="50">
        <v>0</v>
      </c>
      <c r="F61" s="50">
        <v>2</v>
      </c>
      <c r="G61" s="50">
        <v>0</v>
      </c>
      <c r="H61" s="50">
        <v>0</v>
      </c>
      <c r="I61" s="50">
        <v>0</v>
      </c>
      <c r="J61" s="50">
        <v>3</v>
      </c>
      <c r="K61" s="50">
        <v>0</v>
      </c>
      <c r="L61" s="50">
        <v>0</v>
      </c>
      <c r="M61" s="50">
        <v>10</v>
      </c>
      <c r="N61" s="50">
        <v>0</v>
      </c>
      <c r="O61" s="15">
        <f t="shared" si="0"/>
        <v>8</v>
      </c>
      <c r="P61" s="15">
        <f t="shared" si="1"/>
        <v>18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2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3</v>
      </c>
      <c r="K62" s="50">
        <v>5</v>
      </c>
      <c r="L62" s="50">
        <v>0</v>
      </c>
      <c r="M62" s="50">
        <v>12</v>
      </c>
      <c r="N62" s="50">
        <v>0</v>
      </c>
      <c r="O62" s="15">
        <f t="shared" si="0"/>
        <v>15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0</v>
      </c>
      <c r="E63" s="50">
        <v>0</v>
      </c>
      <c r="F63" s="50">
        <v>1</v>
      </c>
      <c r="G63" s="50">
        <v>0</v>
      </c>
      <c r="H63" s="50">
        <v>0</v>
      </c>
      <c r="I63" s="50">
        <v>0</v>
      </c>
      <c r="J63" s="50">
        <v>5</v>
      </c>
      <c r="K63" s="50">
        <v>0</v>
      </c>
      <c r="L63" s="50">
        <v>0</v>
      </c>
      <c r="M63" s="50">
        <v>14</v>
      </c>
      <c r="N63" s="50">
        <v>0</v>
      </c>
      <c r="O63" s="15">
        <f t="shared" si="0"/>
        <v>9</v>
      </c>
      <c r="P63" s="15">
        <f t="shared" si="1"/>
        <v>23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2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6</v>
      </c>
      <c r="K64" s="50">
        <v>3</v>
      </c>
      <c r="L64" s="50">
        <v>0</v>
      </c>
      <c r="M64" s="50">
        <v>11</v>
      </c>
      <c r="N64" s="50">
        <v>0</v>
      </c>
      <c r="O64" s="15">
        <f t="shared" si="0"/>
        <v>15</v>
      </c>
      <c r="P64" s="15">
        <f t="shared" si="1"/>
        <v>26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1</v>
      </c>
      <c r="L65" s="50">
        <v>0</v>
      </c>
      <c r="M65" s="50">
        <v>8</v>
      </c>
      <c r="N65" s="50">
        <v>0</v>
      </c>
      <c r="O65" s="15">
        <f t="shared" si="0"/>
        <v>5</v>
      </c>
      <c r="P65" s="15">
        <f t="shared" si="1"/>
        <v>13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3</v>
      </c>
      <c r="K66" s="50">
        <v>1</v>
      </c>
      <c r="L66" s="50">
        <v>0</v>
      </c>
      <c r="M66" s="50">
        <v>17</v>
      </c>
      <c r="N66" s="50">
        <v>0</v>
      </c>
      <c r="O66" s="15">
        <f t="shared" si="0"/>
        <v>6</v>
      </c>
      <c r="P66" s="15">
        <f t="shared" si="1"/>
        <v>23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8</v>
      </c>
      <c r="N67" s="50">
        <v>0</v>
      </c>
      <c r="O67" s="15">
        <f t="shared" si="0"/>
        <v>6</v>
      </c>
      <c r="P67" s="15">
        <f t="shared" si="1"/>
        <v>14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5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5</v>
      </c>
      <c r="P68" s="15">
        <f t="shared" si="1"/>
        <v>11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1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4</v>
      </c>
      <c r="K69" s="50">
        <v>1</v>
      </c>
      <c r="L69" s="50">
        <v>0</v>
      </c>
      <c r="M69" s="50">
        <v>4</v>
      </c>
      <c r="N69" s="50">
        <v>0</v>
      </c>
      <c r="O69" s="15">
        <f t="shared" si="0"/>
        <v>8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5</v>
      </c>
      <c r="L70" s="50">
        <v>0</v>
      </c>
      <c r="M70" s="50">
        <v>8</v>
      </c>
      <c r="N70" s="50">
        <v>0</v>
      </c>
      <c r="O70" s="15">
        <f t="shared" si="0"/>
        <v>7</v>
      </c>
      <c r="P70" s="15">
        <f t="shared" si="1"/>
        <v>15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1</v>
      </c>
      <c r="K71" s="50">
        <v>1</v>
      </c>
      <c r="L71" s="50">
        <v>0</v>
      </c>
      <c r="M71" s="50">
        <v>6</v>
      </c>
      <c r="N71" s="50">
        <v>0</v>
      </c>
      <c r="O71" s="15">
        <f t="shared" si="0"/>
        <v>5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8</v>
      </c>
      <c r="N72" s="50">
        <v>0</v>
      </c>
      <c r="O72" s="15">
        <f t="shared" si="0"/>
        <v>0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0"/>
        <v>0</v>
      </c>
      <c r="P73" s="15">
        <f t="shared" si="1"/>
        <v>7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0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4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0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2</v>
      </c>
      <c r="H98" s="50">
        <v>1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3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/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1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1</v>
      </c>
      <c r="P103" s="15">
        <f t="shared" si="36"/>
        <v>1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7</v>
      </c>
      <c r="N104" s="50">
        <v>0</v>
      </c>
      <c r="O104" s="15">
        <f t="shared" si="35"/>
        <v>2</v>
      </c>
      <c r="P104" s="15">
        <f t="shared" si="36"/>
        <v>9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10</v>
      </c>
      <c r="N105" s="50">
        <v>0</v>
      </c>
      <c r="O105" s="15">
        <f t="shared" si="35"/>
        <v>4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165</v>
      </c>
      <c r="D106" s="16">
        <f t="shared" ref="D106:P106" si="37">SUM(D10:D105)</f>
        <v>33</v>
      </c>
      <c r="E106" s="16">
        <f t="shared" si="37"/>
        <v>15</v>
      </c>
      <c r="F106" s="16">
        <f t="shared" si="37"/>
        <v>92</v>
      </c>
      <c r="G106" s="16">
        <f t="shared" si="37"/>
        <v>2</v>
      </c>
      <c r="H106" s="16">
        <f t="shared" si="37"/>
        <v>3</v>
      </c>
      <c r="I106" s="16">
        <f t="shared" si="37"/>
        <v>43</v>
      </c>
      <c r="J106" s="16">
        <f t="shared" si="37"/>
        <v>73</v>
      </c>
      <c r="K106" s="16">
        <f t="shared" si="37"/>
        <v>56</v>
      </c>
      <c r="L106" s="16">
        <f t="shared" si="37"/>
        <v>10</v>
      </c>
      <c r="M106" s="16">
        <f t="shared" si="37"/>
        <v>624</v>
      </c>
      <c r="N106" s="16">
        <f t="shared" si="37"/>
        <v>0</v>
      </c>
      <c r="O106" s="16">
        <f t="shared" si="37"/>
        <v>492</v>
      </c>
      <c r="P106" s="16">
        <f t="shared" si="37"/>
        <v>1116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0.14784946236559141</v>
      </c>
      <c r="D107" s="43">
        <f t="shared" si="38"/>
        <v>2.9569892473118281E-2</v>
      </c>
      <c r="E107" s="43">
        <f t="shared" si="38"/>
        <v>1.3440860215053764E-2</v>
      </c>
      <c r="F107" s="43">
        <f t="shared" si="38"/>
        <v>8.2437275985663083E-2</v>
      </c>
      <c r="G107" s="43">
        <f t="shared" si="38"/>
        <v>1.7921146953405018E-3</v>
      </c>
      <c r="H107" s="43">
        <f t="shared" si="38"/>
        <v>2.6881720430107529E-3</v>
      </c>
      <c r="I107" s="43">
        <f t="shared" si="38"/>
        <v>3.8530465949820791E-2</v>
      </c>
      <c r="J107" s="43">
        <f t="shared" si="38"/>
        <v>6.5412186379928322E-2</v>
      </c>
      <c r="K107" s="43">
        <f t="shared" si="38"/>
        <v>5.0179211469534052E-2</v>
      </c>
      <c r="L107" s="43">
        <f t="shared" si="38"/>
        <v>8.9605734767025085E-3</v>
      </c>
      <c r="M107" s="43">
        <f t="shared" si="38"/>
        <v>0.55913978494623651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0.33536585365853661</v>
      </c>
      <c r="D108" s="44">
        <f t="shared" ref="D108:N108" si="39">D106/$O$106</f>
        <v>6.7073170731707321E-2</v>
      </c>
      <c r="E108" s="44">
        <f t="shared" si="39"/>
        <v>3.048780487804878E-2</v>
      </c>
      <c r="F108" s="44">
        <f t="shared" si="39"/>
        <v>0.18699186991869918</v>
      </c>
      <c r="G108" s="44">
        <f t="shared" si="39"/>
        <v>4.0650406504065045E-3</v>
      </c>
      <c r="H108" s="44">
        <f t="shared" si="39"/>
        <v>6.0975609756097563E-3</v>
      </c>
      <c r="I108" s="44">
        <f t="shared" si="39"/>
        <v>8.7398373983739841E-2</v>
      </c>
      <c r="J108" s="44">
        <f t="shared" si="39"/>
        <v>0.1483739837398374</v>
      </c>
      <c r="K108" s="44">
        <f t="shared" si="39"/>
        <v>0.11382113821138211</v>
      </c>
      <c r="L108" s="44">
        <f t="shared" si="39"/>
        <v>2.032520325203252E-2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F17" sqref="F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'31.10.MUTUKULA-MASAKA'!C3:G3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187</v>
      </c>
      <c r="E5" s="3"/>
      <c r="F5" s="41" t="s">
        <v>1</v>
      </c>
      <c r="G5" s="55" t="str">
        <f>'31.10 Masaka-Mutukula'!G5:H5</f>
        <v>MUTUKULA BORDER</v>
      </c>
      <c r="H5" s="56"/>
      <c r="I5" s="14"/>
      <c r="J5" s="2" t="s">
        <v>5</v>
      </c>
      <c r="K5" s="55" t="s">
        <v>163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169</v>
      </c>
      <c r="E6" s="56"/>
      <c r="F6" s="2" t="s">
        <v>2</v>
      </c>
      <c r="G6" s="55" t="s">
        <v>186</v>
      </c>
      <c r="H6" s="56"/>
      <c r="J6" s="2" t="s">
        <v>21</v>
      </c>
      <c r="K6" s="55" t="str">
        <f>'31.10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4</v>
      </c>
      <c r="AB10" s="17">
        <f t="shared" si="2"/>
        <v>0</v>
      </c>
      <c r="AC10" s="17">
        <f t="shared" si="2"/>
        <v>56</v>
      </c>
      <c r="AD10" s="17">
        <f t="shared" si="2"/>
        <v>0</v>
      </c>
      <c r="AE10" s="31">
        <f t="shared" si="2"/>
        <v>20</v>
      </c>
      <c r="AF10" s="31">
        <f t="shared" si="2"/>
        <v>76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7</v>
      </c>
      <c r="P11" s="15">
        <f t="shared" si="1"/>
        <v>16</v>
      </c>
      <c r="R11" s="1" t="s">
        <v>7</v>
      </c>
      <c r="S11" s="17">
        <f t="shared" ref="S11:AF11" si="3">SUM(C14:C17)</f>
        <v>15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4</v>
      </c>
      <c r="AB11" s="17">
        <f t="shared" si="3"/>
        <v>2</v>
      </c>
      <c r="AC11" s="17">
        <f t="shared" si="3"/>
        <v>46</v>
      </c>
      <c r="AD11" s="17">
        <f t="shared" si="3"/>
        <v>0</v>
      </c>
      <c r="AE11" s="31">
        <f t="shared" si="3"/>
        <v>31</v>
      </c>
      <c r="AF11" s="31">
        <f t="shared" si="3"/>
        <v>77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0</v>
      </c>
      <c r="M12" s="50">
        <v>17</v>
      </c>
      <c r="N12" s="50">
        <v>0</v>
      </c>
      <c r="O12" s="15">
        <f t="shared" si="0"/>
        <v>4</v>
      </c>
      <c r="P12" s="15">
        <f t="shared" si="1"/>
        <v>21</v>
      </c>
      <c r="R12" s="1" t="s">
        <v>8</v>
      </c>
      <c r="S12" s="17">
        <f t="shared" ref="S12:AF12" si="4">SUM(C18:C21)</f>
        <v>11</v>
      </c>
      <c r="T12" s="17">
        <f t="shared" si="4"/>
        <v>0</v>
      </c>
      <c r="U12" s="17">
        <f t="shared" si="4"/>
        <v>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1</v>
      </c>
      <c r="AA12" s="17">
        <f t="shared" si="4"/>
        <v>3</v>
      </c>
      <c r="AB12" s="17">
        <f t="shared" si="4"/>
        <v>2</v>
      </c>
      <c r="AC12" s="17">
        <f t="shared" si="4"/>
        <v>65</v>
      </c>
      <c r="AD12" s="17">
        <f t="shared" si="4"/>
        <v>0</v>
      </c>
      <c r="AE12" s="31">
        <f t="shared" si="4"/>
        <v>29</v>
      </c>
      <c r="AF12" s="31">
        <f t="shared" si="4"/>
        <v>94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2</v>
      </c>
      <c r="L13" s="50">
        <v>0</v>
      </c>
      <c r="M13" s="50">
        <v>16</v>
      </c>
      <c r="N13" s="50">
        <v>0</v>
      </c>
      <c r="O13" s="15">
        <f t="shared" si="0"/>
        <v>6</v>
      </c>
      <c r="P13" s="15">
        <f t="shared" si="1"/>
        <v>22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0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3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23</v>
      </c>
      <c r="AF13" s="31">
        <f t="shared" si="5"/>
        <v>64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9</v>
      </c>
      <c r="T14" s="17">
        <f t="shared" si="6"/>
        <v>3</v>
      </c>
      <c r="U14" s="17">
        <f t="shared" si="6"/>
        <v>0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35</v>
      </c>
      <c r="AD14" s="17">
        <f t="shared" si="6"/>
        <v>0</v>
      </c>
      <c r="AE14" s="31">
        <f t="shared" si="6"/>
        <v>28</v>
      </c>
      <c r="AF14" s="31">
        <f t="shared" si="6"/>
        <v>63</v>
      </c>
    </row>
    <row r="15" spans="2:32" ht="23.1" customHeight="1" x14ac:dyDescent="0.25">
      <c r="B15" s="23" t="s">
        <v>42</v>
      </c>
      <c r="C15" s="50">
        <v>6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2</v>
      </c>
      <c r="L15" s="50">
        <v>1</v>
      </c>
      <c r="M15" s="50">
        <v>13</v>
      </c>
      <c r="N15" s="50">
        <v>0</v>
      </c>
      <c r="O15" s="15">
        <f t="shared" si="0"/>
        <v>9</v>
      </c>
      <c r="P15" s="15">
        <f t="shared" si="1"/>
        <v>22</v>
      </c>
      <c r="R15" s="1" t="s">
        <v>11</v>
      </c>
      <c r="S15" s="17">
        <f t="shared" ref="S15:AF15" si="7">SUM(C30:C33)</f>
        <v>12</v>
      </c>
      <c r="T15" s="17">
        <f t="shared" si="7"/>
        <v>3</v>
      </c>
      <c r="U15" s="17">
        <f t="shared" si="7"/>
        <v>2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54</v>
      </c>
      <c r="AD15" s="17">
        <f t="shared" si="7"/>
        <v>0</v>
      </c>
      <c r="AE15" s="31">
        <f t="shared" si="7"/>
        <v>35</v>
      </c>
      <c r="AF15" s="31">
        <f t="shared" si="7"/>
        <v>89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2</v>
      </c>
      <c r="J16" s="50">
        <v>1</v>
      </c>
      <c r="K16" s="50">
        <v>1</v>
      </c>
      <c r="L16" s="50">
        <v>0</v>
      </c>
      <c r="M16" s="50">
        <v>10</v>
      </c>
      <c r="N16" s="50">
        <v>0</v>
      </c>
      <c r="O16" s="15">
        <f t="shared" si="0"/>
        <v>11</v>
      </c>
      <c r="P16" s="15">
        <f t="shared" si="1"/>
        <v>21</v>
      </c>
      <c r="R16" s="1" t="s">
        <v>12</v>
      </c>
      <c r="S16" s="17">
        <f t="shared" ref="S16:AF16" si="8">SUM(C34:C37)</f>
        <v>11</v>
      </c>
      <c r="T16" s="17">
        <f t="shared" si="8"/>
        <v>0</v>
      </c>
      <c r="U16" s="17">
        <f t="shared" si="8"/>
        <v>0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42</v>
      </c>
      <c r="AD16" s="17">
        <f t="shared" si="8"/>
        <v>0</v>
      </c>
      <c r="AE16" s="31">
        <f t="shared" si="8"/>
        <v>27</v>
      </c>
      <c r="AF16" s="31">
        <f t="shared" si="8"/>
        <v>69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1</v>
      </c>
      <c r="M17" s="50">
        <v>17</v>
      </c>
      <c r="N17" s="50">
        <v>0</v>
      </c>
      <c r="O17" s="15">
        <f t="shared" si="0"/>
        <v>8</v>
      </c>
      <c r="P17" s="15">
        <f t="shared" si="1"/>
        <v>25</v>
      </c>
      <c r="R17" s="1" t="s">
        <v>13</v>
      </c>
      <c r="S17" s="17">
        <f t="shared" ref="S17:AF17" si="9">SUM(C38:C41)</f>
        <v>11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4</v>
      </c>
      <c r="AB17" s="17">
        <f t="shared" si="9"/>
        <v>1</v>
      </c>
      <c r="AC17" s="17">
        <f t="shared" si="9"/>
        <v>47</v>
      </c>
      <c r="AD17" s="17">
        <f t="shared" si="9"/>
        <v>0</v>
      </c>
      <c r="AE17" s="31">
        <f t="shared" si="9"/>
        <v>25</v>
      </c>
      <c r="AF17" s="31">
        <f t="shared" si="9"/>
        <v>72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2</v>
      </c>
      <c r="L18" s="50">
        <v>0</v>
      </c>
      <c r="M18" s="50">
        <v>16</v>
      </c>
      <c r="N18" s="50">
        <v>0</v>
      </c>
      <c r="O18" s="15">
        <f t="shared" si="0"/>
        <v>7</v>
      </c>
      <c r="P18" s="15">
        <f t="shared" si="1"/>
        <v>23</v>
      </c>
      <c r="R18" s="1" t="s">
        <v>14</v>
      </c>
      <c r="S18" s="17">
        <f t="shared" ref="S18:AF18" si="10">SUM(C42:C45)</f>
        <v>13</v>
      </c>
      <c r="T18" s="17">
        <f t="shared" si="10"/>
        <v>4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4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27</v>
      </c>
      <c r="AF18" s="31">
        <f t="shared" si="10"/>
        <v>72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13</v>
      </c>
      <c r="N19" s="50">
        <v>0</v>
      </c>
      <c r="O19" s="15">
        <f t="shared" si="0"/>
        <v>8</v>
      </c>
      <c r="P19" s="15">
        <f t="shared" si="1"/>
        <v>21</v>
      </c>
      <c r="R19" s="1" t="s">
        <v>15</v>
      </c>
      <c r="S19" s="17">
        <f t="shared" ref="S19:AF19" si="11">SUM(C46:C49)</f>
        <v>10</v>
      </c>
      <c r="T19" s="17">
        <f t="shared" si="11"/>
        <v>2</v>
      </c>
      <c r="U19" s="17">
        <f t="shared" si="11"/>
        <v>0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4</v>
      </c>
      <c r="AB19" s="17">
        <f t="shared" si="11"/>
        <v>1</v>
      </c>
      <c r="AC19" s="17">
        <f t="shared" si="11"/>
        <v>77</v>
      </c>
      <c r="AD19" s="17">
        <f t="shared" si="11"/>
        <v>0</v>
      </c>
      <c r="AE19" s="31">
        <f t="shared" si="11"/>
        <v>29</v>
      </c>
      <c r="AF19" s="31">
        <f t="shared" si="11"/>
        <v>106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2</v>
      </c>
      <c r="M20" s="50">
        <v>18</v>
      </c>
      <c r="N20" s="50">
        <v>0</v>
      </c>
      <c r="O20" s="15">
        <f t="shared" si="0"/>
        <v>8</v>
      </c>
      <c r="P20" s="15">
        <f t="shared" si="1"/>
        <v>26</v>
      </c>
      <c r="R20" s="1" t="s">
        <v>16</v>
      </c>
      <c r="S20" s="17">
        <f t="shared" ref="S20:AF20" si="12">SUM(C50:C53)</f>
        <v>14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9</v>
      </c>
      <c r="AB20" s="17">
        <f t="shared" si="12"/>
        <v>0</v>
      </c>
      <c r="AC20" s="17">
        <f t="shared" si="12"/>
        <v>62</v>
      </c>
      <c r="AD20" s="17">
        <f t="shared" si="12"/>
        <v>0</v>
      </c>
      <c r="AE20" s="31">
        <f t="shared" si="12"/>
        <v>28</v>
      </c>
      <c r="AF20" s="31">
        <f t="shared" si="12"/>
        <v>90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6</v>
      </c>
      <c r="P21" s="15">
        <f t="shared" si="1"/>
        <v>24</v>
      </c>
      <c r="R21" s="36" t="s">
        <v>20</v>
      </c>
      <c r="S21" s="34">
        <f t="shared" ref="S21:AF21" si="13">SUM(C54:C57)</f>
        <v>14</v>
      </c>
      <c r="T21" s="17">
        <f t="shared" si="13"/>
        <v>2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6</v>
      </c>
      <c r="AB21" s="17">
        <f t="shared" si="13"/>
        <v>1</v>
      </c>
      <c r="AC21" s="17">
        <f t="shared" si="13"/>
        <v>8</v>
      </c>
      <c r="AD21" s="17">
        <f t="shared" si="13"/>
        <v>46</v>
      </c>
      <c r="AE21" s="31">
        <f t="shared" si="13"/>
        <v>77</v>
      </c>
      <c r="AF21" s="31">
        <f t="shared" si="13"/>
        <v>85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9</v>
      </c>
      <c r="N22" s="50">
        <v>0</v>
      </c>
      <c r="O22" s="15">
        <f t="shared" si="0"/>
        <v>4</v>
      </c>
      <c r="P22" s="15">
        <f t="shared" si="1"/>
        <v>13</v>
      </c>
      <c r="R22" s="38" t="s">
        <v>90</v>
      </c>
      <c r="S22" s="39">
        <f>MAX(S10:S12)</f>
        <v>15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5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4</v>
      </c>
      <c r="AB22" s="39">
        <f t="shared" si="14"/>
        <v>2</v>
      </c>
      <c r="AC22" s="39">
        <f t="shared" si="14"/>
        <v>65</v>
      </c>
      <c r="AD22" s="39">
        <f t="shared" si="14"/>
        <v>0</v>
      </c>
      <c r="AE22" s="40">
        <f t="shared" si="14"/>
        <v>31</v>
      </c>
      <c r="AF22" s="40">
        <f t="shared" si="14"/>
        <v>94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5</v>
      </c>
      <c r="P23" s="15">
        <f t="shared" si="1"/>
        <v>13</v>
      </c>
      <c r="R23" s="38" t="s">
        <v>91</v>
      </c>
      <c r="S23" s="39">
        <f>MAX(S13:S18)</f>
        <v>13</v>
      </c>
      <c r="T23" s="39">
        <f t="shared" ref="T23:AF23" si="15">MAX(T13:T18)</f>
        <v>4</v>
      </c>
      <c r="U23" s="39">
        <f t="shared" si="15"/>
        <v>2</v>
      </c>
      <c r="V23" s="39">
        <f t="shared" si="15"/>
        <v>11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4</v>
      </c>
      <c r="AA23" s="39">
        <f t="shared" si="15"/>
        <v>4</v>
      </c>
      <c r="AB23" s="39">
        <f t="shared" si="15"/>
        <v>1</v>
      </c>
      <c r="AC23" s="39">
        <f t="shared" si="15"/>
        <v>54</v>
      </c>
      <c r="AD23" s="39">
        <f t="shared" si="15"/>
        <v>0</v>
      </c>
      <c r="AE23" s="40">
        <f t="shared" si="15"/>
        <v>35</v>
      </c>
      <c r="AF23" s="40">
        <f t="shared" si="15"/>
        <v>89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2</v>
      </c>
      <c r="L24" s="50">
        <v>0</v>
      </c>
      <c r="M24" s="50">
        <v>10</v>
      </c>
      <c r="N24" s="50">
        <v>0</v>
      </c>
      <c r="O24" s="15">
        <f t="shared" si="0"/>
        <v>8</v>
      </c>
      <c r="P24" s="15">
        <f t="shared" si="1"/>
        <v>18</v>
      </c>
      <c r="R24" s="38" t="s">
        <v>92</v>
      </c>
      <c r="S24" s="39">
        <f>MAX(S19:S21)</f>
        <v>14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8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2</v>
      </c>
      <c r="AA24" s="39">
        <f t="shared" si="16"/>
        <v>9</v>
      </c>
      <c r="AB24" s="39">
        <f t="shared" si="16"/>
        <v>1</v>
      </c>
      <c r="AC24" s="39">
        <f t="shared" si="16"/>
        <v>77</v>
      </c>
      <c r="AD24" s="39">
        <f t="shared" si="16"/>
        <v>46</v>
      </c>
      <c r="AE24" s="40">
        <f t="shared" si="16"/>
        <v>77</v>
      </c>
      <c r="AF24" s="40">
        <f t="shared" si="16"/>
        <v>106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6</v>
      </c>
      <c r="P25" s="15">
        <f t="shared" si="1"/>
        <v>20</v>
      </c>
      <c r="R25" s="37" t="s">
        <v>85</v>
      </c>
      <c r="S25" s="35">
        <f t="shared" ref="S25:AF25" si="17">SUM(S10:S12)</f>
        <v>37</v>
      </c>
      <c r="T25" s="16">
        <f t="shared" si="17"/>
        <v>0</v>
      </c>
      <c r="U25" s="16">
        <f t="shared" si="17"/>
        <v>2</v>
      </c>
      <c r="V25" s="16">
        <f t="shared" si="17"/>
        <v>9</v>
      </c>
      <c r="W25" s="16">
        <f t="shared" si="17"/>
        <v>0</v>
      </c>
      <c r="X25" s="16">
        <f t="shared" si="17"/>
        <v>0</v>
      </c>
      <c r="Y25" s="16">
        <f t="shared" si="17"/>
        <v>14</v>
      </c>
      <c r="Z25" s="16">
        <f t="shared" si="17"/>
        <v>3</v>
      </c>
      <c r="AA25" s="16">
        <f t="shared" si="17"/>
        <v>11</v>
      </c>
      <c r="AB25" s="16">
        <f t="shared" si="17"/>
        <v>4</v>
      </c>
      <c r="AC25" s="16">
        <f t="shared" si="17"/>
        <v>167</v>
      </c>
      <c r="AD25" s="16">
        <f t="shared" si="17"/>
        <v>0</v>
      </c>
      <c r="AE25" s="32">
        <f t="shared" si="17"/>
        <v>80</v>
      </c>
      <c r="AF25" s="32">
        <f t="shared" si="17"/>
        <v>247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0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7</v>
      </c>
      <c r="P26" s="15">
        <f t="shared" si="1"/>
        <v>18</v>
      </c>
      <c r="R26" s="28" t="s">
        <v>86</v>
      </c>
      <c r="S26" s="16">
        <f t="shared" ref="S26:AF26" si="18">SUM(S13:S18)</f>
        <v>63</v>
      </c>
      <c r="T26" s="16">
        <f t="shared" si="18"/>
        <v>10</v>
      </c>
      <c r="U26" s="16">
        <f t="shared" si="18"/>
        <v>3</v>
      </c>
      <c r="V26" s="16">
        <f t="shared" si="18"/>
        <v>37</v>
      </c>
      <c r="W26" s="16">
        <f t="shared" si="18"/>
        <v>0</v>
      </c>
      <c r="X26" s="16">
        <f t="shared" si="18"/>
        <v>0</v>
      </c>
      <c r="Y26" s="16">
        <f t="shared" si="18"/>
        <v>28</v>
      </c>
      <c r="Z26" s="16">
        <f t="shared" si="18"/>
        <v>10</v>
      </c>
      <c r="AA26" s="16">
        <f t="shared" si="18"/>
        <v>13</v>
      </c>
      <c r="AB26" s="16">
        <f t="shared" si="18"/>
        <v>1</v>
      </c>
      <c r="AC26" s="16">
        <f t="shared" si="18"/>
        <v>264</v>
      </c>
      <c r="AD26" s="16">
        <f t="shared" si="18"/>
        <v>0</v>
      </c>
      <c r="AE26" s="32">
        <f t="shared" si="18"/>
        <v>165</v>
      </c>
      <c r="AF26" s="32">
        <f t="shared" si="18"/>
        <v>429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9</v>
      </c>
      <c r="P27" s="15">
        <f t="shared" si="1"/>
        <v>20</v>
      </c>
      <c r="R27" s="29" t="s">
        <v>87</v>
      </c>
      <c r="S27" s="16">
        <f t="shared" ref="S27:AF27" si="19">SUM(S19:S21)</f>
        <v>38</v>
      </c>
      <c r="T27" s="16">
        <f t="shared" si="19"/>
        <v>4</v>
      </c>
      <c r="U27" s="16">
        <f t="shared" si="19"/>
        <v>3</v>
      </c>
      <c r="V27" s="16">
        <f t="shared" si="19"/>
        <v>11</v>
      </c>
      <c r="W27" s="16">
        <f t="shared" si="19"/>
        <v>0</v>
      </c>
      <c r="X27" s="16">
        <f t="shared" si="19"/>
        <v>0</v>
      </c>
      <c r="Y27" s="16">
        <f t="shared" si="19"/>
        <v>9</v>
      </c>
      <c r="Z27" s="16">
        <f t="shared" si="19"/>
        <v>2</v>
      </c>
      <c r="AA27" s="16">
        <f t="shared" si="19"/>
        <v>19</v>
      </c>
      <c r="AB27" s="16">
        <f t="shared" si="19"/>
        <v>2</v>
      </c>
      <c r="AC27" s="16">
        <f t="shared" si="19"/>
        <v>147</v>
      </c>
      <c r="AD27" s="16">
        <f t="shared" si="19"/>
        <v>46</v>
      </c>
      <c r="AE27" s="32">
        <f t="shared" si="19"/>
        <v>134</v>
      </c>
      <c r="AF27" s="32">
        <f t="shared" si="19"/>
        <v>281</v>
      </c>
    </row>
    <row r="28" spans="2:32" ht="23.1" customHeight="1" x14ac:dyDescent="0.25">
      <c r="B28" s="23" t="s">
        <v>55</v>
      </c>
      <c r="C28" s="50">
        <v>1</v>
      </c>
      <c r="D28" s="50">
        <v>2</v>
      </c>
      <c r="E28" s="50">
        <v>0</v>
      </c>
      <c r="F28" s="50">
        <v>1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8</v>
      </c>
      <c r="P28" s="15">
        <f t="shared" si="1"/>
        <v>13</v>
      </c>
      <c r="R28" s="5" t="s">
        <v>17</v>
      </c>
      <c r="S28" s="16">
        <f t="shared" ref="S28:AF28" si="20">SUM(S10:S21)</f>
        <v>138</v>
      </c>
      <c r="T28" s="16">
        <f t="shared" si="20"/>
        <v>14</v>
      </c>
      <c r="U28" s="16">
        <f t="shared" si="20"/>
        <v>8</v>
      </c>
      <c r="V28" s="16">
        <f t="shared" si="20"/>
        <v>57</v>
      </c>
      <c r="W28" s="16">
        <f t="shared" si="20"/>
        <v>0</v>
      </c>
      <c r="X28" s="16">
        <f t="shared" si="20"/>
        <v>0</v>
      </c>
      <c r="Y28" s="16">
        <f t="shared" si="20"/>
        <v>51</v>
      </c>
      <c r="Z28" s="16">
        <f t="shared" si="20"/>
        <v>15</v>
      </c>
      <c r="AA28" s="16">
        <f t="shared" si="20"/>
        <v>43</v>
      </c>
      <c r="AB28" s="16">
        <f t="shared" si="20"/>
        <v>7</v>
      </c>
      <c r="AC28" s="16">
        <f t="shared" si="20"/>
        <v>578</v>
      </c>
      <c r="AD28" s="16">
        <f t="shared" si="20"/>
        <v>46</v>
      </c>
      <c r="AE28" s="32">
        <f t="shared" si="20"/>
        <v>379</v>
      </c>
      <c r="AF28" s="32">
        <f t="shared" si="20"/>
        <v>957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4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2</v>
      </c>
      <c r="E30" s="50">
        <v>2</v>
      </c>
      <c r="F30" s="50">
        <v>4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17</v>
      </c>
      <c r="P30" s="15">
        <f t="shared" si="1"/>
        <v>36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5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0</v>
      </c>
      <c r="F32" s="50">
        <v>4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17</v>
      </c>
      <c r="N32" s="50">
        <v>0</v>
      </c>
      <c r="O32" s="15">
        <f t="shared" si="0"/>
        <v>9</v>
      </c>
      <c r="P32" s="15">
        <f t="shared" si="1"/>
        <v>26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4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2</v>
      </c>
      <c r="L34" s="50">
        <v>0</v>
      </c>
      <c r="M34" s="50">
        <v>14</v>
      </c>
      <c r="N34" s="50">
        <v>0</v>
      </c>
      <c r="O34" s="15">
        <f t="shared" si="0"/>
        <v>11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6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5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7</v>
      </c>
      <c r="N38" s="50">
        <v>0</v>
      </c>
      <c r="O38" s="15">
        <f t="shared" si="0"/>
        <v>5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3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3</v>
      </c>
      <c r="J39" s="50">
        <v>1</v>
      </c>
      <c r="K39" s="50">
        <v>1</v>
      </c>
      <c r="L39" s="50">
        <v>0</v>
      </c>
      <c r="M39" s="50">
        <v>21</v>
      </c>
      <c r="N39" s="50">
        <v>0</v>
      </c>
      <c r="O39" s="15">
        <f t="shared" si="0"/>
        <v>8</v>
      </c>
      <c r="P39" s="15">
        <f t="shared" si="1"/>
        <v>29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2</v>
      </c>
      <c r="L40" s="50">
        <v>0</v>
      </c>
      <c r="M40" s="50">
        <v>13</v>
      </c>
      <c r="N40" s="50">
        <v>0</v>
      </c>
      <c r="O40" s="15">
        <f t="shared" si="0"/>
        <v>6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6</v>
      </c>
      <c r="N41" s="50">
        <v>0</v>
      </c>
      <c r="O41" s="15">
        <f t="shared" si="0"/>
        <v>6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12</v>
      </c>
      <c r="N42" s="50">
        <v>0</v>
      </c>
      <c r="O42" s="15">
        <f t="shared" si="0"/>
        <v>6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2</v>
      </c>
      <c r="L43" s="50">
        <v>0</v>
      </c>
      <c r="M43" s="50">
        <v>8</v>
      </c>
      <c r="N43" s="50">
        <v>0</v>
      </c>
      <c r="O43" s="15">
        <f t="shared" si="0"/>
        <v>5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10</v>
      </c>
      <c r="N44" s="50">
        <v>0</v>
      </c>
      <c r="O44" s="15">
        <f t="shared" si="0"/>
        <v>10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6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4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1</v>
      </c>
      <c r="K47" s="50">
        <v>2</v>
      </c>
      <c r="L47" s="50">
        <v>0</v>
      </c>
      <c r="M47" s="50">
        <v>22</v>
      </c>
      <c r="N47" s="50">
        <v>0</v>
      </c>
      <c r="O47" s="15">
        <f t="shared" si="0"/>
        <v>10</v>
      </c>
      <c r="P47" s="15">
        <f t="shared" si="1"/>
        <v>32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1</v>
      </c>
      <c r="K48" s="50">
        <v>2</v>
      </c>
      <c r="L48" s="50">
        <v>1</v>
      </c>
      <c r="M48" s="50">
        <v>23</v>
      </c>
      <c r="N48" s="50">
        <v>0</v>
      </c>
      <c r="O48" s="15">
        <f t="shared" si="0"/>
        <v>10</v>
      </c>
      <c r="P48" s="15">
        <f t="shared" si="1"/>
        <v>33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5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15</v>
      </c>
      <c r="N50" s="50">
        <v>0</v>
      </c>
      <c r="O50" s="15">
        <f t="shared" si="0"/>
        <v>5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2</v>
      </c>
      <c r="L51" s="50">
        <v>0</v>
      </c>
      <c r="M51" s="50">
        <v>12</v>
      </c>
      <c r="N51" s="50">
        <v>0</v>
      </c>
      <c r="O51" s="15">
        <f t="shared" si="0"/>
        <v>7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5</v>
      </c>
      <c r="L52" s="50">
        <v>0</v>
      </c>
      <c r="M52" s="50">
        <v>19</v>
      </c>
      <c r="N52" s="50">
        <v>0</v>
      </c>
      <c r="O52" s="15">
        <f t="shared" si="0"/>
        <v>11</v>
      </c>
      <c r="P52" s="15">
        <f t="shared" si="1"/>
        <v>30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16</v>
      </c>
      <c r="N53" s="50">
        <v>0</v>
      </c>
      <c r="O53" s="15">
        <f t="shared" si="0"/>
        <v>5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6</v>
      </c>
      <c r="L54" s="50">
        <v>0</v>
      </c>
      <c r="M54" s="50">
        <v>8</v>
      </c>
      <c r="N54" s="50">
        <v>0</v>
      </c>
      <c r="O54" s="15">
        <f t="shared" si="0"/>
        <v>17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0</v>
      </c>
      <c r="N55" s="50">
        <v>16</v>
      </c>
      <c r="O55" s="15">
        <f t="shared" si="0"/>
        <v>23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0</v>
      </c>
      <c r="N56" s="50">
        <v>23</v>
      </c>
      <c r="O56" s="15">
        <f t="shared" si="0"/>
        <v>28</v>
      </c>
      <c r="P56" s="15">
        <f t="shared" si="1"/>
        <v>28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7</v>
      </c>
      <c r="O57" s="15">
        <f t="shared" si="0"/>
        <v>9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138</v>
      </c>
      <c r="D58" s="16">
        <f t="shared" si="21"/>
        <v>14</v>
      </c>
      <c r="E58" s="16">
        <f t="shared" si="21"/>
        <v>8</v>
      </c>
      <c r="F58" s="16">
        <f t="shared" si="21"/>
        <v>57</v>
      </c>
      <c r="G58" s="16">
        <f t="shared" si="21"/>
        <v>0</v>
      </c>
      <c r="H58" s="16">
        <f t="shared" si="21"/>
        <v>0</v>
      </c>
      <c r="I58" s="16">
        <f t="shared" si="21"/>
        <v>51</v>
      </c>
      <c r="J58" s="16">
        <f t="shared" si="21"/>
        <v>15</v>
      </c>
      <c r="K58" s="16">
        <f t="shared" si="21"/>
        <v>43</v>
      </c>
      <c r="L58" s="16">
        <f t="shared" si="21"/>
        <v>7</v>
      </c>
      <c r="M58" s="16">
        <f t="shared" si="21"/>
        <v>578</v>
      </c>
      <c r="N58" s="16">
        <f t="shared" si="21"/>
        <v>46</v>
      </c>
      <c r="O58" s="16">
        <f t="shared" si="21"/>
        <v>379</v>
      </c>
      <c r="P58" s="16">
        <f t="shared" si="21"/>
        <v>957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0.14420062695924765</v>
      </c>
      <c r="D59" s="43">
        <f t="shared" si="22"/>
        <v>1.4629049111807733E-2</v>
      </c>
      <c r="E59" s="43">
        <f t="shared" si="22"/>
        <v>8.3594566353187051E-3</v>
      </c>
      <c r="F59" s="43">
        <f t="shared" si="22"/>
        <v>5.9561128526645767E-2</v>
      </c>
      <c r="G59" s="43">
        <f t="shared" si="22"/>
        <v>0</v>
      </c>
      <c r="H59" s="43">
        <f t="shared" si="22"/>
        <v>0</v>
      </c>
      <c r="I59" s="43">
        <f t="shared" si="22"/>
        <v>5.329153605015674E-2</v>
      </c>
      <c r="J59" s="43">
        <f t="shared" si="22"/>
        <v>1.5673981191222569E-2</v>
      </c>
      <c r="K59" s="43">
        <f t="shared" si="22"/>
        <v>4.4932079414838039E-2</v>
      </c>
      <c r="L59" s="43">
        <f t="shared" si="22"/>
        <v>7.3145245559038665E-3</v>
      </c>
      <c r="M59" s="43">
        <f t="shared" si="22"/>
        <v>0.60397074190177635</v>
      </c>
      <c r="N59" s="43">
        <f t="shared" si="22"/>
        <v>4.8066875653082548E-2</v>
      </c>
      <c r="R59" s="8"/>
      <c r="T59"/>
    </row>
    <row r="60" spans="2:20" ht="23.1" customHeight="1" x14ac:dyDescent="0.25">
      <c r="B60" s="42" t="s">
        <v>94</v>
      </c>
      <c r="C60" s="44">
        <f>C58/$O$58</f>
        <v>0.36411609498680741</v>
      </c>
      <c r="D60" s="44">
        <f t="shared" ref="D60:N60" si="23">D58/$O$58</f>
        <v>3.6939313984168866E-2</v>
      </c>
      <c r="E60" s="44">
        <f t="shared" si="23"/>
        <v>2.1108179419525065E-2</v>
      </c>
      <c r="F60" s="44">
        <f t="shared" si="23"/>
        <v>0.15039577836411611</v>
      </c>
      <c r="G60" s="44">
        <f t="shared" si="23"/>
        <v>0</v>
      </c>
      <c r="H60" s="44">
        <f t="shared" si="23"/>
        <v>0</v>
      </c>
      <c r="I60" s="44">
        <f t="shared" si="23"/>
        <v>0.13456464379947231</v>
      </c>
      <c r="J60" s="44">
        <f t="shared" si="23"/>
        <v>3.9577836411609502E-2</v>
      </c>
      <c r="K60" s="44">
        <f t="shared" si="23"/>
        <v>0.11345646437994723</v>
      </c>
      <c r="L60" s="44">
        <f t="shared" si="23"/>
        <v>1.8469656992084433E-2</v>
      </c>
      <c r="M60" s="44"/>
      <c r="N60" s="44">
        <f t="shared" si="23"/>
        <v>0.12137203166226913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E13" sqref="E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187</v>
      </c>
      <c r="E5" s="3"/>
      <c r="F5" s="41" t="s">
        <v>1</v>
      </c>
      <c r="G5" s="55" t="str">
        <f>'31.10 Masaka-Mutukula'!G5:H5</f>
        <v>MUTUKULA BORDER</v>
      </c>
      <c r="H5" s="56"/>
      <c r="I5" s="14"/>
      <c r="J5" s="2" t="s">
        <v>5</v>
      </c>
      <c r="K5" s="55" t="str">
        <f>'31.10 Masaka-Mutukula'!K5:L5</f>
        <v>KETRA .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170</v>
      </c>
      <c r="E6" s="56"/>
      <c r="F6" s="2" t="s">
        <v>2</v>
      </c>
      <c r="G6" s="55" t="s">
        <v>169</v>
      </c>
      <c r="H6" s="56"/>
      <c r="J6" s="2" t="s">
        <v>21</v>
      </c>
      <c r="K6" s="55" t="str">
        <f>'31.10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41</v>
      </c>
      <c r="AD10" s="17">
        <f t="shared" si="2"/>
        <v>0</v>
      </c>
      <c r="AE10" s="31">
        <f t="shared" si="2"/>
        <v>12</v>
      </c>
      <c r="AF10" s="31">
        <f t="shared" si="2"/>
        <v>53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</v>
      </c>
      <c r="P11" s="15">
        <f t="shared" si="1"/>
        <v>11</v>
      </c>
      <c r="R11" s="1" t="s">
        <v>7</v>
      </c>
      <c r="S11" s="17">
        <f t="shared" ref="S11:AF11" si="3">SUM(C14:C17)</f>
        <v>10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36</v>
      </c>
      <c r="AD11" s="17">
        <f t="shared" si="3"/>
        <v>0</v>
      </c>
      <c r="AE11" s="31">
        <f t="shared" si="3"/>
        <v>19</v>
      </c>
      <c r="AF11" s="31">
        <f t="shared" si="3"/>
        <v>55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4</v>
      </c>
      <c r="P12" s="15">
        <f t="shared" si="1"/>
        <v>14</v>
      </c>
      <c r="R12" s="1" t="s">
        <v>8</v>
      </c>
      <c r="S12" s="17">
        <f t="shared" ref="S12:AF12" si="4">SUM(C18:C21)</f>
        <v>13</v>
      </c>
      <c r="T12" s="17">
        <f t="shared" si="4"/>
        <v>1</v>
      </c>
      <c r="U12" s="17">
        <f t="shared" si="4"/>
        <v>0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3</v>
      </c>
      <c r="AB12" s="17">
        <f t="shared" si="4"/>
        <v>0</v>
      </c>
      <c r="AC12" s="17">
        <f t="shared" si="4"/>
        <v>62</v>
      </c>
      <c r="AD12" s="17">
        <f t="shared" si="4"/>
        <v>0</v>
      </c>
      <c r="AE12" s="31">
        <f t="shared" si="4"/>
        <v>26</v>
      </c>
      <c r="AF12" s="31">
        <f t="shared" si="4"/>
        <v>88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2</v>
      </c>
      <c r="L13" s="50">
        <v>0</v>
      </c>
      <c r="M13" s="50">
        <v>14</v>
      </c>
      <c r="N13" s="50">
        <v>0</v>
      </c>
      <c r="O13" s="15">
        <f t="shared" si="0"/>
        <v>5</v>
      </c>
      <c r="P13" s="15">
        <f t="shared" si="1"/>
        <v>19</v>
      </c>
      <c r="R13" s="1" t="s">
        <v>9</v>
      </c>
      <c r="S13" s="17">
        <f t="shared" ref="S13:AF13" si="5">SUM(C22:C25)</f>
        <v>9</v>
      </c>
      <c r="T13" s="17">
        <f t="shared" si="5"/>
        <v>1</v>
      </c>
      <c r="U13" s="17">
        <f t="shared" si="5"/>
        <v>0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5</v>
      </c>
      <c r="AB13" s="17">
        <f t="shared" si="5"/>
        <v>0</v>
      </c>
      <c r="AC13" s="17">
        <f t="shared" si="5"/>
        <v>39</v>
      </c>
      <c r="AD13" s="17">
        <f t="shared" si="5"/>
        <v>0</v>
      </c>
      <c r="AE13" s="31">
        <f t="shared" si="5"/>
        <v>24</v>
      </c>
      <c r="AF13" s="31">
        <f t="shared" si="5"/>
        <v>63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4</v>
      </c>
      <c r="P14" s="15">
        <f t="shared" si="1"/>
        <v>15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2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9</v>
      </c>
      <c r="AB14" s="17">
        <f t="shared" si="6"/>
        <v>0</v>
      </c>
      <c r="AC14" s="17">
        <f t="shared" si="6"/>
        <v>42</v>
      </c>
      <c r="AD14" s="17">
        <f t="shared" si="6"/>
        <v>0</v>
      </c>
      <c r="AE14" s="31">
        <f t="shared" si="6"/>
        <v>33</v>
      </c>
      <c r="AF14" s="31">
        <f t="shared" si="6"/>
        <v>75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2</v>
      </c>
      <c r="L15" s="50">
        <v>0</v>
      </c>
      <c r="M15" s="50">
        <v>8</v>
      </c>
      <c r="N15" s="50">
        <v>0</v>
      </c>
      <c r="O15" s="15">
        <f t="shared" si="0"/>
        <v>4</v>
      </c>
      <c r="P15" s="15">
        <f t="shared" si="1"/>
        <v>12</v>
      </c>
      <c r="R15" s="1" t="s">
        <v>11</v>
      </c>
      <c r="S15" s="17">
        <f t="shared" ref="S15:AF15" si="7">SUM(C30:C33)</f>
        <v>8</v>
      </c>
      <c r="T15" s="17">
        <f t="shared" si="7"/>
        <v>2</v>
      </c>
      <c r="U15" s="17">
        <f t="shared" si="7"/>
        <v>0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21</v>
      </c>
      <c r="AF15" s="31">
        <f t="shared" si="7"/>
        <v>62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4</v>
      </c>
      <c r="P16" s="15">
        <f t="shared" si="1"/>
        <v>11</v>
      </c>
      <c r="R16" s="1" t="s">
        <v>12</v>
      </c>
      <c r="S16" s="17">
        <f t="shared" ref="S16:AF16" si="8">SUM(C34:C37)</f>
        <v>8</v>
      </c>
      <c r="T16" s="17">
        <f t="shared" si="8"/>
        <v>0</v>
      </c>
      <c r="U16" s="17">
        <f t="shared" si="8"/>
        <v>0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41</v>
      </c>
      <c r="AD16" s="17">
        <f t="shared" si="8"/>
        <v>0</v>
      </c>
      <c r="AE16" s="31">
        <f t="shared" si="8"/>
        <v>16</v>
      </c>
      <c r="AF16" s="31">
        <f t="shared" si="8"/>
        <v>57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7</v>
      </c>
      <c r="P17" s="15">
        <f t="shared" si="1"/>
        <v>17</v>
      </c>
      <c r="R17" s="1" t="s">
        <v>13</v>
      </c>
      <c r="S17" s="17">
        <f t="shared" ref="S17:AF17" si="9">SUM(C38:C41)</f>
        <v>11</v>
      </c>
      <c r="T17" s="17">
        <f t="shared" si="9"/>
        <v>3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46</v>
      </c>
      <c r="AD17" s="17">
        <f t="shared" si="9"/>
        <v>0</v>
      </c>
      <c r="AE17" s="31">
        <f t="shared" si="9"/>
        <v>27</v>
      </c>
      <c r="AF17" s="31">
        <f t="shared" si="9"/>
        <v>73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0</v>
      </c>
      <c r="M18" s="50">
        <v>20</v>
      </c>
      <c r="N18" s="50">
        <v>0</v>
      </c>
      <c r="O18" s="15">
        <f t="shared" si="0"/>
        <v>6</v>
      </c>
      <c r="P18" s="15">
        <f t="shared" si="1"/>
        <v>26</v>
      </c>
      <c r="R18" s="1" t="s">
        <v>14</v>
      </c>
      <c r="S18" s="17">
        <f t="shared" ref="S18:AF18" si="10">SUM(C42:C45)</f>
        <v>9</v>
      </c>
      <c r="T18" s="17">
        <f t="shared" si="10"/>
        <v>1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17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11</v>
      </c>
      <c r="N19" s="50">
        <v>0</v>
      </c>
      <c r="O19" s="15">
        <f t="shared" si="0"/>
        <v>8</v>
      </c>
      <c r="P19" s="15">
        <f t="shared" si="1"/>
        <v>19</v>
      </c>
      <c r="R19" s="1" t="s">
        <v>15</v>
      </c>
      <c r="S19" s="17">
        <f t="shared" ref="S19:AF19" si="11">SUM(C46:C49)</f>
        <v>14</v>
      </c>
      <c r="T19" s="17">
        <f t="shared" si="11"/>
        <v>4</v>
      </c>
      <c r="U19" s="17">
        <f t="shared" si="11"/>
        <v>1</v>
      </c>
      <c r="V19" s="17">
        <f t="shared" si="11"/>
        <v>4</v>
      </c>
      <c r="W19" s="17">
        <f t="shared" si="11"/>
        <v>0</v>
      </c>
      <c r="X19" s="17">
        <f t="shared" si="11"/>
        <v>2</v>
      </c>
      <c r="Y19" s="17">
        <f t="shared" si="11"/>
        <v>4</v>
      </c>
      <c r="Z19" s="17">
        <f t="shared" si="11"/>
        <v>4</v>
      </c>
      <c r="AA19" s="17">
        <f t="shared" si="11"/>
        <v>10</v>
      </c>
      <c r="AB19" s="17">
        <f t="shared" si="11"/>
        <v>1</v>
      </c>
      <c r="AC19" s="17">
        <f t="shared" si="11"/>
        <v>66</v>
      </c>
      <c r="AD19" s="17">
        <f t="shared" si="11"/>
        <v>0</v>
      </c>
      <c r="AE19" s="31">
        <f t="shared" si="11"/>
        <v>44</v>
      </c>
      <c r="AF19" s="31">
        <f t="shared" si="11"/>
        <v>110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16</v>
      </c>
      <c r="N20" s="50">
        <v>0</v>
      </c>
      <c r="O20" s="15">
        <f t="shared" si="0"/>
        <v>6</v>
      </c>
      <c r="P20" s="15">
        <f t="shared" si="1"/>
        <v>22</v>
      </c>
      <c r="R20" s="1" t="s">
        <v>16</v>
      </c>
      <c r="S20" s="17">
        <f t="shared" ref="S20:AF20" si="12">SUM(C50:C53)</f>
        <v>12</v>
      </c>
      <c r="T20" s="17">
        <f t="shared" si="12"/>
        <v>3</v>
      </c>
      <c r="U20" s="17">
        <f t="shared" si="12"/>
        <v>2</v>
      </c>
      <c r="V20" s="17">
        <f t="shared" si="12"/>
        <v>5</v>
      </c>
      <c r="W20" s="17">
        <f t="shared" si="12"/>
        <v>0</v>
      </c>
      <c r="X20" s="17">
        <f t="shared" si="12"/>
        <v>1</v>
      </c>
      <c r="Y20" s="17">
        <f t="shared" si="12"/>
        <v>4</v>
      </c>
      <c r="Z20" s="17">
        <f t="shared" si="12"/>
        <v>13</v>
      </c>
      <c r="AA20" s="17">
        <f t="shared" si="12"/>
        <v>6</v>
      </c>
      <c r="AB20" s="17">
        <f t="shared" si="12"/>
        <v>1</v>
      </c>
      <c r="AC20" s="17">
        <f t="shared" si="12"/>
        <v>57</v>
      </c>
      <c r="AD20" s="17">
        <f t="shared" si="12"/>
        <v>0</v>
      </c>
      <c r="AE20" s="31">
        <f t="shared" si="12"/>
        <v>47</v>
      </c>
      <c r="AF20" s="31">
        <f t="shared" si="12"/>
        <v>104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6</v>
      </c>
      <c r="P21" s="15">
        <f t="shared" si="1"/>
        <v>21</v>
      </c>
      <c r="R21" s="36" t="s">
        <v>20</v>
      </c>
      <c r="S21" s="34">
        <f t="shared" ref="S21:AF21" si="13">SUM(C54:C57)</f>
        <v>13</v>
      </c>
      <c r="T21" s="17">
        <f t="shared" si="13"/>
        <v>4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8</v>
      </c>
      <c r="AA21" s="17">
        <f t="shared" si="13"/>
        <v>6</v>
      </c>
      <c r="AB21" s="17">
        <f t="shared" si="13"/>
        <v>0</v>
      </c>
      <c r="AC21" s="17">
        <f t="shared" si="13"/>
        <v>68</v>
      </c>
      <c r="AD21" s="17">
        <f t="shared" si="13"/>
        <v>0</v>
      </c>
      <c r="AE21" s="31">
        <f t="shared" si="13"/>
        <v>34</v>
      </c>
      <c r="AF21" s="31">
        <f t="shared" si="13"/>
        <v>102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11</v>
      </c>
      <c r="N22" s="50">
        <v>0</v>
      </c>
      <c r="O22" s="15">
        <f t="shared" si="0"/>
        <v>4</v>
      </c>
      <c r="P22" s="15">
        <f t="shared" si="1"/>
        <v>15</v>
      </c>
      <c r="R22" s="38" t="s">
        <v>90</v>
      </c>
      <c r="S22" s="39">
        <f>MAX(S10:S12)</f>
        <v>13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5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3</v>
      </c>
      <c r="AB22" s="39">
        <f t="shared" si="14"/>
        <v>0</v>
      </c>
      <c r="AC22" s="39">
        <f t="shared" si="14"/>
        <v>62</v>
      </c>
      <c r="AD22" s="39">
        <f t="shared" si="14"/>
        <v>0</v>
      </c>
      <c r="AE22" s="40">
        <f t="shared" si="14"/>
        <v>26</v>
      </c>
      <c r="AF22" s="40">
        <f t="shared" si="14"/>
        <v>88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6</v>
      </c>
      <c r="P23" s="15">
        <f t="shared" si="1"/>
        <v>15</v>
      </c>
      <c r="R23" s="38" t="s">
        <v>91</v>
      </c>
      <c r="S23" s="39">
        <f>MAX(S13:S18)</f>
        <v>11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10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4</v>
      </c>
      <c r="AA23" s="39">
        <f t="shared" si="15"/>
        <v>9</v>
      </c>
      <c r="AB23" s="39">
        <f t="shared" si="15"/>
        <v>0</v>
      </c>
      <c r="AC23" s="39">
        <f t="shared" si="15"/>
        <v>46</v>
      </c>
      <c r="AD23" s="39">
        <f t="shared" si="15"/>
        <v>0</v>
      </c>
      <c r="AE23" s="40">
        <f t="shared" si="15"/>
        <v>33</v>
      </c>
      <c r="AF23" s="40">
        <f t="shared" si="15"/>
        <v>75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2</v>
      </c>
      <c r="L24" s="50">
        <v>0</v>
      </c>
      <c r="M24" s="50">
        <v>7</v>
      </c>
      <c r="N24" s="50">
        <v>0</v>
      </c>
      <c r="O24" s="15">
        <f t="shared" si="0"/>
        <v>7</v>
      </c>
      <c r="P24" s="15">
        <f t="shared" si="1"/>
        <v>14</v>
      </c>
      <c r="R24" s="38" t="s">
        <v>92</v>
      </c>
      <c r="S24" s="39">
        <f>MAX(S19:S21)</f>
        <v>14</v>
      </c>
      <c r="T24" s="39">
        <f t="shared" ref="T24:AF24" si="16">MAX(T19:T21)</f>
        <v>4</v>
      </c>
      <c r="U24" s="39">
        <f t="shared" si="16"/>
        <v>2</v>
      </c>
      <c r="V24" s="39">
        <f t="shared" si="16"/>
        <v>5</v>
      </c>
      <c r="W24" s="39">
        <f t="shared" si="16"/>
        <v>0</v>
      </c>
      <c r="X24" s="39">
        <f t="shared" si="16"/>
        <v>2</v>
      </c>
      <c r="Y24" s="39">
        <f t="shared" si="16"/>
        <v>4</v>
      </c>
      <c r="Z24" s="39">
        <f t="shared" si="16"/>
        <v>13</v>
      </c>
      <c r="AA24" s="39">
        <f t="shared" si="16"/>
        <v>10</v>
      </c>
      <c r="AB24" s="39">
        <f t="shared" si="16"/>
        <v>1</v>
      </c>
      <c r="AC24" s="39">
        <f t="shared" si="16"/>
        <v>68</v>
      </c>
      <c r="AD24" s="39">
        <f t="shared" si="16"/>
        <v>0</v>
      </c>
      <c r="AE24" s="40">
        <f t="shared" si="16"/>
        <v>47</v>
      </c>
      <c r="AF24" s="40">
        <f t="shared" si="16"/>
        <v>110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3</v>
      </c>
      <c r="J25" s="50">
        <v>0</v>
      </c>
      <c r="K25" s="50">
        <v>2</v>
      </c>
      <c r="L25" s="50">
        <v>0</v>
      </c>
      <c r="M25" s="50">
        <v>12</v>
      </c>
      <c r="N25" s="50">
        <v>0</v>
      </c>
      <c r="O25" s="15">
        <f t="shared" si="0"/>
        <v>7</v>
      </c>
      <c r="P25" s="15">
        <f t="shared" si="1"/>
        <v>19</v>
      </c>
      <c r="R25" s="37" t="s">
        <v>85</v>
      </c>
      <c r="S25" s="35">
        <f t="shared" ref="S25:AF25" si="17">SUM(S10:S12)</f>
        <v>27</v>
      </c>
      <c r="T25" s="16">
        <f t="shared" si="17"/>
        <v>1</v>
      </c>
      <c r="U25" s="16">
        <f t="shared" si="17"/>
        <v>1</v>
      </c>
      <c r="V25" s="16">
        <f t="shared" si="17"/>
        <v>11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0</v>
      </c>
      <c r="AA25" s="16">
        <f t="shared" si="17"/>
        <v>7</v>
      </c>
      <c r="AB25" s="16">
        <f t="shared" si="17"/>
        <v>0</v>
      </c>
      <c r="AC25" s="16">
        <f t="shared" si="17"/>
        <v>139</v>
      </c>
      <c r="AD25" s="16">
        <f t="shared" si="17"/>
        <v>0</v>
      </c>
      <c r="AE25" s="32">
        <f t="shared" si="17"/>
        <v>57</v>
      </c>
      <c r="AF25" s="32">
        <f t="shared" si="17"/>
        <v>196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0</v>
      </c>
      <c r="J26" s="50">
        <v>1</v>
      </c>
      <c r="K26" s="50">
        <v>1</v>
      </c>
      <c r="L26" s="50">
        <v>0</v>
      </c>
      <c r="M26" s="50">
        <v>17</v>
      </c>
      <c r="N26" s="50">
        <v>0</v>
      </c>
      <c r="O26" s="15">
        <f t="shared" si="0"/>
        <v>5</v>
      </c>
      <c r="P26" s="15">
        <f t="shared" si="1"/>
        <v>22</v>
      </c>
      <c r="R26" s="28" t="s">
        <v>86</v>
      </c>
      <c r="S26" s="16">
        <f t="shared" ref="S26:AF26" si="18">SUM(S13:S18)</f>
        <v>51</v>
      </c>
      <c r="T26" s="16">
        <f t="shared" si="18"/>
        <v>7</v>
      </c>
      <c r="U26" s="16">
        <f t="shared" si="18"/>
        <v>4</v>
      </c>
      <c r="V26" s="16">
        <f t="shared" si="18"/>
        <v>28</v>
      </c>
      <c r="W26" s="16">
        <f t="shared" si="18"/>
        <v>0</v>
      </c>
      <c r="X26" s="16">
        <f t="shared" si="18"/>
        <v>0</v>
      </c>
      <c r="Y26" s="16">
        <f t="shared" si="18"/>
        <v>23</v>
      </c>
      <c r="Z26" s="16">
        <f t="shared" si="18"/>
        <v>11</v>
      </c>
      <c r="AA26" s="16">
        <f t="shared" si="18"/>
        <v>14</v>
      </c>
      <c r="AB26" s="16">
        <f t="shared" si="18"/>
        <v>0</v>
      </c>
      <c r="AC26" s="16">
        <f t="shared" si="18"/>
        <v>248</v>
      </c>
      <c r="AD26" s="16">
        <f t="shared" si="18"/>
        <v>0</v>
      </c>
      <c r="AE26" s="32">
        <f t="shared" si="18"/>
        <v>138</v>
      </c>
      <c r="AF26" s="32">
        <f t="shared" si="18"/>
        <v>386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11</v>
      </c>
      <c r="N27" s="50">
        <v>0</v>
      </c>
      <c r="O27" s="15">
        <f t="shared" si="0"/>
        <v>5</v>
      </c>
      <c r="P27" s="15">
        <f t="shared" si="1"/>
        <v>16</v>
      </c>
      <c r="R27" s="29" t="s">
        <v>87</v>
      </c>
      <c r="S27" s="16">
        <f t="shared" ref="S27:AF27" si="19">SUM(S19:S21)</f>
        <v>39</v>
      </c>
      <c r="T27" s="16">
        <f t="shared" si="19"/>
        <v>11</v>
      </c>
      <c r="U27" s="16">
        <f t="shared" si="19"/>
        <v>3</v>
      </c>
      <c r="V27" s="16">
        <f t="shared" si="19"/>
        <v>10</v>
      </c>
      <c r="W27" s="16">
        <f t="shared" si="19"/>
        <v>0</v>
      </c>
      <c r="X27" s="16">
        <f t="shared" si="19"/>
        <v>3</v>
      </c>
      <c r="Y27" s="16">
        <f t="shared" si="19"/>
        <v>10</v>
      </c>
      <c r="Z27" s="16">
        <f t="shared" si="19"/>
        <v>25</v>
      </c>
      <c r="AA27" s="16">
        <f t="shared" si="19"/>
        <v>22</v>
      </c>
      <c r="AB27" s="16">
        <f t="shared" si="19"/>
        <v>2</v>
      </c>
      <c r="AC27" s="16">
        <f t="shared" si="19"/>
        <v>191</v>
      </c>
      <c r="AD27" s="16">
        <f t="shared" si="19"/>
        <v>0</v>
      </c>
      <c r="AE27" s="32">
        <f t="shared" si="19"/>
        <v>125</v>
      </c>
      <c r="AF27" s="32">
        <f t="shared" si="19"/>
        <v>316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1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7</v>
      </c>
      <c r="N28" s="50">
        <v>0</v>
      </c>
      <c r="O28" s="15">
        <f t="shared" si="0"/>
        <v>7</v>
      </c>
      <c r="P28" s="15">
        <f t="shared" si="1"/>
        <v>14</v>
      </c>
      <c r="R28" s="5" t="s">
        <v>17</v>
      </c>
      <c r="S28" s="16">
        <f t="shared" ref="S28:AF28" si="20">SUM(S10:S21)</f>
        <v>117</v>
      </c>
      <c r="T28" s="16">
        <f t="shared" si="20"/>
        <v>19</v>
      </c>
      <c r="U28" s="16">
        <f t="shared" si="20"/>
        <v>8</v>
      </c>
      <c r="V28" s="16">
        <f t="shared" si="20"/>
        <v>49</v>
      </c>
      <c r="W28" s="16">
        <f t="shared" si="20"/>
        <v>0</v>
      </c>
      <c r="X28" s="16">
        <f t="shared" si="20"/>
        <v>3</v>
      </c>
      <c r="Y28" s="16">
        <f t="shared" si="20"/>
        <v>43</v>
      </c>
      <c r="Z28" s="16">
        <f t="shared" si="20"/>
        <v>36</v>
      </c>
      <c r="AA28" s="16">
        <f t="shared" si="20"/>
        <v>43</v>
      </c>
      <c r="AB28" s="16">
        <f t="shared" si="20"/>
        <v>2</v>
      </c>
      <c r="AC28" s="16">
        <f t="shared" si="20"/>
        <v>578</v>
      </c>
      <c r="AD28" s="16">
        <f t="shared" si="20"/>
        <v>0</v>
      </c>
      <c r="AE28" s="32">
        <f t="shared" si="20"/>
        <v>320</v>
      </c>
      <c r="AF28" s="32">
        <f t="shared" si="20"/>
        <v>898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4</v>
      </c>
      <c r="J29" s="50">
        <v>1</v>
      </c>
      <c r="K29" s="50">
        <v>6</v>
      </c>
      <c r="L29" s="50">
        <v>0</v>
      </c>
      <c r="M29" s="50">
        <v>7</v>
      </c>
      <c r="N29" s="50">
        <v>0</v>
      </c>
      <c r="O29" s="15">
        <f t="shared" si="0"/>
        <v>16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4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0</v>
      </c>
      <c r="D31" s="50">
        <v>2</v>
      </c>
      <c r="E31" s="50">
        <v>0</v>
      </c>
      <c r="F31" s="50">
        <v>2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6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7</v>
      </c>
      <c r="P32" s="15">
        <f t="shared" si="1"/>
        <v>23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4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8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7</v>
      </c>
      <c r="P35" s="15">
        <f t="shared" si="1"/>
        <v>17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0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5">
        <f t="shared" si="0"/>
        <v>1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1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5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5</v>
      </c>
      <c r="P39" s="15">
        <f t="shared" si="1"/>
        <v>17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10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7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5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5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3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4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0</v>
      </c>
      <c r="F46" s="50">
        <v>0</v>
      </c>
      <c r="G46" s="50">
        <v>0</v>
      </c>
      <c r="H46" s="50">
        <v>1</v>
      </c>
      <c r="I46" s="50">
        <v>0</v>
      </c>
      <c r="J46" s="50">
        <v>1</v>
      </c>
      <c r="K46" s="50">
        <v>3</v>
      </c>
      <c r="L46" s="50">
        <v>1</v>
      </c>
      <c r="M46" s="50">
        <v>16</v>
      </c>
      <c r="N46" s="50">
        <v>0</v>
      </c>
      <c r="O46" s="15">
        <f t="shared" si="0"/>
        <v>12</v>
      </c>
      <c r="P46" s="15">
        <f t="shared" si="1"/>
        <v>28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3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3</v>
      </c>
      <c r="K47" s="50">
        <v>5</v>
      </c>
      <c r="L47" s="50">
        <v>0</v>
      </c>
      <c r="M47" s="50">
        <v>18</v>
      </c>
      <c r="N47" s="50">
        <v>0</v>
      </c>
      <c r="O47" s="15">
        <f t="shared" si="0"/>
        <v>17</v>
      </c>
      <c r="P47" s="15">
        <f t="shared" si="1"/>
        <v>35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2</v>
      </c>
      <c r="G48" s="50">
        <v>0</v>
      </c>
      <c r="H48" s="50">
        <v>1</v>
      </c>
      <c r="I48" s="50">
        <v>1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7</v>
      </c>
      <c r="P48" s="15">
        <f t="shared" si="1"/>
        <v>25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2</v>
      </c>
      <c r="L49" s="50">
        <v>0</v>
      </c>
      <c r="M49" s="50">
        <v>14</v>
      </c>
      <c r="N49" s="50">
        <v>0</v>
      </c>
      <c r="O49" s="15">
        <f t="shared" si="0"/>
        <v>8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2</v>
      </c>
      <c r="G50" s="50">
        <v>0</v>
      </c>
      <c r="H50" s="50">
        <v>0</v>
      </c>
      <c r="I50" s="50">
        <v>0</v>
      </c>
      <c r="J50" s="50">
        <v>3</v>
      </c>
      <c r="K50" s="50">
        <v>1</v>
      </c>
      <c r="L50" s="50">
        <v>0</v>
      </c>
      <c r="M50" s="50">
        <v>15</v>
      </c>
      <c r="N50" s="50">
        <v>0</v>
      </c>
      <c r="O50" s="15">
        <f t="shared" si="0"/>
        <v>8</v>
      </c>
      <c r="P50" s="15">
        <f t="shared" si="1"/>
        <v>23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1</v>
      </c>
      <c r="I51" s="50">
        <v>1</v>
      </c>
      <c r="J51" s="50">
        <v>4</v>
      </c>
      <c r="K51" s="50">
        <v>1</v>
      </c>
      <c r="L51" s="50">
        <v>1</v>
      </c>
      <c r="M51" s="50">
        <v>13</v>
      </c>
      <c r="N51" s="50">
        <v>0</v>
      </c>
      <c r="O51" s="15">
        <f t="shared" si="0"/>
        <v>10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0</v>
      </c>
      <c r="F52" s="50">
        <v>1</v>
      </c>
      <c r="G52" s="50">
        <v>0</v>
      </c>
      <c r="H52" s="50">
        <v>0</v>
      </c>
      <c r="I52" s="50">
        <v>2</v>
      </c>
      <c r="J52" s="50">
        <v>4</v>
      </c>
      <c r="K52" s="50">
        <v>1</v>
      </c>
      <c r="L52" s="50">
        <v>0</v>
      </c>
      <c r="M52" s="50">
        <v>11</v>
      </c>
      <c r="N52" s="50">
        <v>0</v>
      </c>
      <c r="O52" s="15">
        <f t="shared" si="0"/>
        <v>15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2</v>
      </c>
      <c r="E53" s="50">
        <v>0</v>
      </c>
      <c r="F53" s="50">
        <v>2</v>
      </c>
      <c r="G53" s="50">
        <v>0</v>
      </c>
      <c r="H53" s="50">
        <v>0</v>
      </c>
      <c r="I53" s="50">
        <v>1</v>
      </c>
      <c r="J53" s="50">
        <v>2</v>
      </c>
      <c r="K53" s="50">
        <v>3</v>
      </c>
      <c r="L53" s="50">
        <v>0</v>
      </c>
      <c r="M53" s="50">
        <v>18</v>
      </c>
      <c r="N53" s="50">
        <v>0</v>
      </c>
      <c r="O53" s="15">
        <f t="shared" si="0"/>
        <v>14</v>
      </c>
      <c r="P53" s="15">
        <f t="shared" si="1"/>
        <v>32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2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6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7</v>
      </c>
      <c r="P55" s="15">
        <f t="shared" si="1"/>
        <v>29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4</v>
      </c>
      <c r="K56" s="50">
        <v>2</v>
      </c>
      <c r="L56" s="50">
        <v>0</v>
      </c>
      <c r="M56" s="50">
        <v>16</v>
      </c>
      <c r="N56" s="50">
        <v>0</v>
      </c>
      <c r="O56" s="15">
        <f t="shared" si="0"/>
        <v>16</v>
      </c>
      <c r="P56" s="15">
        <f t="shared" si="1"/>
        <v>32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4</v>
      </c>
      <c r="L57" s="50">
        <v>0</v>
      </c>
      <c r="M57" s="50">
        <v>18</v>
      </c>
      <c r="N57" s="50">
        <v>0</v>
      </c>
      <c r="O57" s="15">
        <f t="shared" si="0"/>
        <v>5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117</v>
      </c>
      <c r="D58" s="16">
        <f t="shared" si="21"/>
        <v>19</v>
      </c>
      <c r="E58" s="16">
        <f t="shared" si="21"/>
        <v>8</v>
      </c>
      <c r="F58" s="16">
        <f t="shared" si="21"/>
        <v>49</v>
      </c>
      <c r="G58" s="16">
        <f t="shared" si="21"/>
        <v>0</v>
      </c>
      <c r="H58" s="16">
        <f t="shared" si="21"/>
        <v>3</v>
      </c>
      <c r="I58" s="16">
        <f t="shared" si="21"/>
        <v>43</v>
      </c>
      <c r="J58" s="16">
        <f t="shared" si="21"/>
        <v>36</v>
      </c>
      <c r="K58" s="16">
        <f t="shared" si="21"/>
        <v>43</v>
      </c>
      <c r="L58" s="16">
        <f t="shared" si="21"/>
        <v>2</v>
      </c>
      <c r="M58" s="16">
        <f t="shared" si="21"/>
        <v>578</v>
      </c>
      <c r="N58" s="16">
        <f t="shared" si="21"/>
        <v>0</v>
      </c>
      <c r="O58" s="16">
        <f t="shared" si="21"/>
        <v>320</v>
      </c>
      <c r="P58" s="16">
        <f t="shared" si="21"/>
        <v>898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0.13028953229398663</v>
      </c>
      <c r="D59" s="43">
        <f t="shared" si="22"/>
        <v>2.1158129175946547E-2</v>
      </c>
      <c r="E59" s="43">
        <f t="shared" si="22"/>
        <v>8.9086859688195987E-3</v>
      </c>
      <c r="F59" s="43">
        <f t="shared" si="22"/>
        <v>5.4565701559020047E-2</v>
      </c>
      <c r="G59" s="43">
        <f t="shared" si="22"/>
        <v>0</v>
      </c>
      <c r="H59" s="43">
        <f t="shared" si="22"/>
        <v>3.3407572383073497E-3</v>
      </c>
      <c r="I59" s="43">
        <f t="shared" si="22"/>
        <v>4.7884187082405348E-2</v>
      </c>
      <c r="J59" s="43">
        <f t="shared" si="22"/>
        <v>4.0089086859688199E-2</v>
      </c>
      <c r="K59" s="43">
        <f t="shared" si="22"/>
        <v>4.7884187082405348E-2</v>
      </c>
      <c r="L59" s="43">
        <f t="shared" si="22"/>
        <v>2.2271714922048997E-3</v>
      </c>
      <c r="M59" s="43">
        <f t="shared" si="22"/>
        <v>0.64365256124721604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0.36562499999999998</v>
      </c>
      <c r="D60" s="44">
        <f t="shared" ref="D60:N60" si="23">D58/$O$58</f>
        <v>5.9374999999999997E-2</v>
      </c>
      <c r="E60" s="44">
        <f t="shared" si="23"/>
        <v>2.5000000000000001E-2</v>
      </c>
      <c r="F60" s="44">
        <f t="shared" si="23"/>
        <v>0.15312500000000001</v>
      </c>
      <c r="G60" s="44">
        <f t="shared" si="23"/>
        <v>0</v>
      </c>
      <c r="H60" s="44">
        <f t="shared" si="23"/>
        <v>9.3749999999999997E-3</v>
      </c>
      <c r="I60" s="44">
        <f t="shared" si="23"/>
        <v>0.13437499999999999</v>
      </c>
      <c r="J60" s="44">
        <f t="shared" si="23"/>
        <v>0.1125</v>
      </c>
      <c r="K60" s="44">
        <f t="shared" si="23"/>
        <v>0.13437499999999999</v>
      </c>
      <c r="L60" s="44">
        <f t="shared" si="23"/>
        <v>6.2500000000000003E-3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C54" sqref="C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 Masaka-Mutukula'!C3:G3</f>
        <v>MCC - C4- 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55" t="str">
        <f>'31.10 Masaka-Mutukula'!G5:H5</f>
        <v>MUTUKULA BORDER</v>
      </c>
      <c r="H5" s="56"/>
      <c r="I5" s="14"/>
      <c r="J5" s="2" t="s">
        <v>5</v>
      </c>
      <c r="K5" s="55" t="s">
        <v>175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 Masaka-Mutukula'!D6:E6</f>
        <v>MASAKA</v>
      </c>
      <c r="E6" s="56"/>
      <c r="F6" s="2" t="s">
        <v>2</v>
      </c>
      <c r="G6" s="55" t="str">
        <f>'31.10 Masaka-Mutukula'!G6:H6</f>
        <v>MUTUKULA</v>
      </c>
      <c r="H6" s="56"/>
      <c r="J6" s="2" t="s">
        <v>21</v>
      </c>
      <c r="K6" s="55" t="str">
        <f>'31.10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0</v>
      </c>
      <c r="M10" s="50">
        <v>8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13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10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26</v>
      </c>
      <c r="AF10" s="31">
        <f t="shared" si="2"/>
        <v>61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10</v>
      </c>
      <c r="N11" s="50">
        <v>0</v>
      </c>
      <c r="O11" s="15">
        <f t="shared" si="0"/>
        <v>4</v>
      </c>
      <c r="P11" s="15">
        <f t="shared" si="1"/>
        <v>14</v>
      </c>
      <c r="R11" s="1" t="s">
        <v>7</v>
      </c>
      <c r="S11" s="17">
        <f t="shared" ref="S11:AF11" si="3">SUM(C14:C17)</f>
        <v>8</v>
      </c>
      <c r="T11" s="17">
        <f t="shared" si="3"/>
        <v>2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1</v>
      </c>
      <c r="AA11" s="17">
        <f t="shared" si="3"/>
        <v>16</v>
      </c>
      <c r="AB11" s="17">
        <f t="shared" si="3"/>
        <v>0</v>
      </c>
      <c r="AC11" s="17">
        <f t="shared" si="3"/>
        <v>59</v>
      </c>
      <c r="AD11" s="17">
        <f t="shared" si="3"/>
        <v>0</v>
      </c>
      <c r="AE11" s="31">
        <f t="shared" si="3"/>
        <v>33</v>
      </c>
      <c r="AF11" s="31">
        <f t="shared" si="3"/>
        <v>92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0</v>
      </c>
      <c r="M12" s="50">
        <v>13</v>
      </c>
      <c r="N12" s="50">
        <v>0</v>
      </c>
      <c r="O12" s="15">
        <f t="shared" si="0"/>
        <v>5</v>
      </c>
      <c r="P12" s="15">
        <f t="shared" si="1"/>
        <v>18</v>
      </c>
      <c r="R12" s="1" t="s">
        <v>8</v>
      </c>
      <c r="S12" s="17">
        <f t="shared" ref="S12:AF12" si="4">SUM(C18:C21)</f>
        <v>12</v>
      </c>
      <c r="T12" s="17">
        <f t="shared" si="4"/>
        <v>0</v>
      </c>
      <c r="U12" s="17">
        <f t="shared" si="4"/>
        <v>3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55</v>
      </c>
      <c r="AD12" s="17">
        <f t="shared" si="4"/>
        <v>0</v>
      </c>
      <c r="AE12" s="31">
        <f t="shared" si="4"/>
        <v>30</v>
      </c>
      <c r="AF12" s="31">
        <f t="shared" si="4"/>
        <v>85</v>
      </c>
    </row>
    <row r="13" spans="2:32" ht="23.1" customHeight="1" x14ac:dyDescent="0.25">
      <c r="B13" s="23" t="s">
        <v>40</v>
      </c>
      <c r="C13" s="50">
        <v>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5</v>
      </c>
      <c r="L13" s="50">
        <v>0</v>
      </c>
      <c r="M13" s="50">
        <v>4</v>
      </c>
      <c r="N13" s="50">
        <v>0</v>
      </c>
      <c r="O13" s="15">
        <f t="shared" si="0"/>
        <v>11</v>
      </c>
      <c r="P13" s="15">
        <f t="shared" si="1"/>
        <v>15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0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6</v>
      </c>
      <c r="AB13" s="17">
        <f t="shared" si="5"/>
        <v>0</v>
      </c>
      <c r="AC13" s="17">
        <f t="shared" si="5"/>
        <v>51</v>
      </c>
      <c r="AD13" s="17">
        <f t="shared" si="5"/>
        <v>0</v>
      </c>
      <c r="AE13" s="31">
        <f t="shared" si="5"/>
        <v>20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12</v>
      </c>
      <c r="L14" s="50">
        <v>0</v>
      </c>
      <c r="M14" s="50">
        <v>11</v>
      </c>
      <c r="N14" s="50">
        <v>0</v>
      </c>
      <c r="O14" s="15">
        <f t="shared" si="0"/>
        <v>14</v>
      </c>
      <c r="P14" s="15">
        <f t="shared" si="1"/>
        <v>25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0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2</v>
      </c>
      <c r="AA14" s="17">
        <f t="shared" si="6"/>
        <v>5</v>
      </c>
      <c r="AB14" s="17">
        <f t="shared" si="6"/>
        <v>0</v>
      </c>
      <c r="AC14" s="17">
        <f t="shared" si="6"/>
        <v>62</v>
      </c>
      <c r="AD14" s="17">
        <f t="shared" si="6"/>
        <v>0</v>
      </c>
      <c r="AE14" s="31">
        <f t="shared" si="6"/>
        <v>24</v>
      </c>
      <c r="AF14" s="31">
        <f t="shared" si="6"/>
        <v>86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0</v>
      </c>
      <c r="G15" s="50">
        <v>0</v>
      </c>
      <c r="H15" s="50">
        <v>1</v>
      </c>
      <c r="I15" s="50">
        <v>1</v>
      </c>
      <c r="J15" s="50">
        <v>1</v>
      </c>
      <c r="K15" s="50">
        <v>2</v>
      </c>
      <c r="L15" s="50">
        <v>0</v>
      </c>
      <c r="M15" s="50">
        <v>13</v>
      </c>
      <c r="N15" s="50">
        <v>0</v>
      </c>
      <c r="O15" s="15">
        <f t="shared" si="0"/>
        <v>10</v>
      </c>
      <c r="P15" s="15">
        <f t="shared" si="1"/>
        <v>23</v>
      </c>
      <c r="R15" s="1" t="s">
        <v>11</v>
      </c>
      <c r="S15" s="17">
        <f t="shared" ref="S15:AF15" si="7">SUM(C30:C33)</f>
        <v>17</v>
      </c>
      <c r="T15" s="17">
        <f t="shared" si="7"/>
        <v>1</v>
      </c>
      <c r="U15" s="17">
        <f t="shared" si="7"/>
        <v>1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7</v>
      </c>
      <c r="AB15" s="17">
        <f t="shared" si="7"/>
        <v>0</v>
      </c>
      <c r="AC15" s="17">
        <f t="shared" si="7"/>
        <v>65</v>
      </c>
      <c r="AD15" s="17">
        <f t="shared" si="7"/>
        <v>0</v>
      </c>
      <c r="AE15" s="31">
        <f t="shared" si="7"/>
        <v>36</v>
      </c>
      <c r="AF15" s="31">
        <f t="shared" si="7"/>
        <v>101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20</v>
      </c>
      <c r="N16" s="50">
        <v>0</v>
      </c>
      <c r="O16" s="15">
        <f t="shared" si="0"/>
        <v>3</v>
      </c>
      <c r="P16" s="15">
        <f t="shared" si="1"/>
        <v>23</v>
      </c>
      <c r="R16" s="1" t="s">
        <v>12</v>
      </c>
      <c r="S16" s="17">
        <f t="shared" ref="S16:AF16" si="8">SUM(C34:C37)</f>
        <v>9</v>
      </c>
      <c r="T16" s="17">
        <f t="shared" si="8"/>
        <v>1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56</v>
      </c>
      <c r="AD16" s="17">
        <f t="shared" si="8"/>
        <v>0</v>
      </c>
      <c r="AE16" s="31">
        <f t="shared" si="8"/>
        <v>21</v>
      </c>
      <c r="AF16" s="31">
        <f t="shared" si="8"/>
        <v>77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15</v>
      </c>
      <c r="N17" s="50">
        <v>0</v>
      </c>
      <c r="O17" s="15">
        <f t="shared" si="0"/>
        <v>6</v>
      </c>
      <c r="P17" s="15">
        <f t="shared" si="1"/>
        <v>21</v>
      </c>
      <c r="R17" s="1" t="s">
        <v>13</v>
      </c>
      <c r="S17" s="17">
        <f t="shared" ref="S17:AF17" si="9">SUM(C38:C41)</f>
        <v>12</v>
      </c>
      <c r="T17" s="17">
        <f t="shared" si="9"/>
        <v>0</v>
      </c>
      <c r="U17" s="17">
        <f t="shared" si="9"/>
        <v>0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2</v>
      </c>
      <c r="AA17" s="17">
        <f t="shared" si="9"/>
        <v>6</v>
      </c>
      <c r="AB17" s="17">
        <f t="shared" si="9"/>
        <v>0</v>
      </c>
      <c r="AC17" s="17">
        <f t="shared" si="9"/>
        <v>73</v>
      </c>
      <c r="AD17" s="17">
        <f t="shared" si="9"/>
        <v>0</v>
      </c>
      <c r="AE17" s="31">
        <f t="shared" si="9"/>
        <v>35</v>
      </c>
      <c r="AF17" s="31">
        <f t="shared" si="9"/>
        <v>108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8</v>
      </c>
      <c r="N18" s="50">
        <v>0</v>
      </c>
      <c r="O18" s="15">
        <f t="shared" si="0"/>
        <v>4</v>
      </c>
      <c r="P18" s="15">
        <f t="shared" si="1"/>
        <v>12</v>
      </c>
      <c r="R18" s="1" t="s">
        <v>14</v>
      </c>
      <c r="S18" s="17">
        <f t="shared" ref="S18:AF18" si="10">SUM(C42:C45)</f>
        <v>6</v>
      </c>
      <c r="T18" s="17">
        <f t="shared" si="10"/>
        <v>1</v>
      </c>
      <c r="U18" s="17">
        <f t="shared" si="10"/>
        <v>0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4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21</v>
      </c>
      <c r="AF18" s="31">
        <f t="shared" si="10"/>
        <v>76</v>
      </c>
    </row>
    <row r="19" spans="2:32" ht="23.1" customHeight="1" x14ac:dyDescent="0.25">
      <c r="B19" s="23" t="s">
        <v>46</v>
      </c>
      <c r="C19" s="50">
        <v>4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8</v>
      </c>
      <c r="P19" s="15">
        <f t="shared" si="1"/>
        <v>20</v>
      </c>
      <c r="R19" s="1" t="s">
        <v>15</v>
      </c>
      <c r="S19" s="17">
        <f t="shared" ref="S19:AF19" si="11">SUM(C46:C49)</f>
        <v>12</v>
      </c>
      <c r="T19" s="17">
        <f t="shared" si="11"/>
        <v>0</v>
      </c>
      <c r="U19" s="17">
        <f t="shared" si="11"/>
        <v>0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4</v>
      </c>
      <c r="AB19" s="17">
        <f t="shared" si="11"/>
        <v>0</v>
      </c>
      <c r="AC19" s="17">
        <f t="shared" si="11"/>
        <v>63</v>
      </c>
      <c r="AD19" s="17">
        <f t="shared" si="11"/>
        <v>0</v>
      </c>
      <c r="AE19" s="31">
        <f t="shared" si="11"/>
        <v>25</v>
      </c>
      <c r="AF19" s="31">
        <f t="shared" si="11"/>
        <v>88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3</v>
      </c>
      <c r="F20" s="50">
        <v>0</v>
      </c>
      <c r="G20" s="50">
        <v>0</v>
      </c>
      <c r="H20" s="50">
        <v>0</v>
      </c>
      <c r="I20" s="50">
        <v>1</v>
      </c>
      <c r="J20" s="50">
        <v>3</v>
      </c>
      <c r="K20" s="50">
        <v>2</v>
      </c>
      <c r="L20" s="50">
        <v>0</v>
      </c>
      <c r="M20" s="50">
        <v>17</v>
      </c>
      <c r="N20" s="50">
        <v>0</v>
      </c>
      <c r="O20" s="15">
        <f t="shared" si="0"/>
        <v>12</v>
      </c>
      <c r="P20" s="15">
        <f t="shared" si="1"/>
        <v>29</v>
      </c>
      <c r="R20" s="1" t="s">
        <v>16</v>
      </c>
      <c r="S20" s="17">
        <f t="shared" ref="S20:AF20" si="12">SUM(C50:C53)</f>
        <v>10</v>
      </c>
      <c r="T20" s="17">
        <f t="shared" si="12"/>
        <v>1</v>
      </c>
      <c r="U20" s="17">
        <f t="shared" si="12"/>
        <v>0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4</v>
      </c>
      <c r="AB20" s="17">
        <f t="shared" si="12"/>
        <v>0</v>
      </c>
      <c r="AC20" s="17">
        <f t="shared" si="12"/>
        <v>54</v>
      </c>
      <c r="AD20" s="17">
        <f t="shared" si="12"/>
        <v>0</v>
      </c>
      <c r="AE20" s="31">
        <f t="shared" si="12"/>
        <v>24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6</v>
      </c>
      <c r="P21" s="15">
        <f t="shared" si="1"/>
        <v>24</v>
      </c>
      <c r="R21" s="36" t="s">
        <v>20</v>
      </c>
      <c r="S21" s="34">
        <f t="shared" ref="S21:AF21" si="13">SUM(C54:C57)</f>
        <v>22</v>
      </c>
      <c r="T21" s="17">
        <f t="shared" si="13"/>
        <v>0</v>
      </c>
      <c r="U21" s="17">
        <f t="shared" si="13"/>
        <v>0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6</v>
      </c>
      <c r="AB21" s="17">
        <f t="shared" si="13"/>
        <v>0</v>
      </c>
      <c r="AC21" s="17">
        <f t="shared" si="13"/>
        <v>68</v>
      </c>
      <c r="AD21" s="17">
        <f t="shared" si="13"/>
        <v>0</v>
      </c>
      <c r="AE21" s="31">
        <f t="shared" si="13"/>
        <v>39</v>
      </c>
      <c r="AF21" s="31">
        <f t="shared" si="13"/>
        <v>107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12</v>
      </c>
      <c r="N22" s="50">
        <v>0</v>
      </c>
      <c r="O22" s="15">
        <f t="shared" si="0"/>
        <v>2</v>
      </c>
      <c r="P22" s="15">
        <f t="shared" si="1"/>
        <v>14</v>
      </c>
      <c r="R22" s="38" t="s">
        <v>90</v>
      </c>
      <c r="S22" s="39">
        <f>MAX(S10:S12)</f>
        <v>13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6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4</v>
      </c>
      <c r="AA22" s="39">
        <f t="shared" si="14"/>
        <v>16</v>
      </c>
      <c r="AB22" s="39">
        <f t="shared" si="14"/>
        <v>0</v>
      </c>
      <c r="AC22" s="39">
        <f t="shared" si="14"/>
        <v>59</v>
      </c>
      <c r="AD22" s="39">
        <f t="shared" si="14"/>
        <v>0</v>
      </c>
      <c r="AE22" s="40">
        <f t="shared" si="14"/>
        <v>33</v>
      </c>
      <c r="AF22" s="40">
        <f t="shared" si="14"/>
        <v>92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6</v>
      </c>
      <c r="P23" s="15">
        <f t="shared" si="1"/>
        <v>19</v>
      </c>
      <c r="R23" s="38" t="s">
        <v>91</v>
      </c>
      <c r="S23" s="39">
        <f>MAX(S13:S18)</f>
        <v>17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9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2</v>
      </c>
      <c r="AA23" s="39">
        <f t="shared" si="15"/>
        <v>7</v>
      </c>
      <c r="AB23" s="39">
        <f t="shared" si="15"/>
        <v>0</v>
      </c>
      <c r="AC23" s="39">
        <f t="shared" si="15"/>
        <v>73</v>
      </c>
      <c r="AD23" s="39">
        <f t="shared" si="15"/>
        <v>0</v>
      </c>
      <c r="AE23" s="40">
        <f t="shared" si="15"/>
        <v>36</v>
      </c>
      <c r="AF23" s="40">
        <f t="shared" si="15"/>
        <v>108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2</v>
      </c>
      <c r="L24" s="50">
        <v>0</v>
      </c>
      <c r="M24" s="50">
        <v>15</v>
      </c>
      <c r="N24" s="50">
        <v>0</v>
      </c>
      <c r="O24" s="15">
        <f t="shared" si="0"/>
        <v>5</v>
      </c>
      <c r="P24" s="15">
        <f t="shared" si="1"/>
        <v>20</v>
      </c>
      <c r="R24" s="38" t="s">
        <v>92</v>
      </c>
      <c r="S24" s="39">
        <f>MAX(S19:S21)</f>
        <v>22</v>
      </c>
      <c r="T24" s="39">
        <f t="shared" ref="T24:AF24" si="16">MAX(T19:T21)</f>
        <v>1</v>
      </c>
      <c r="U24" s="39">
        <f t="shared" si="16"/>
        <v>0</v>
      </c>
      <c r="V24" s="39">
        <f t="shared" si="16"/>
        <v>9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0</v>
      </c>
      <c r="AA24" s="39">
        <f t="shared" si="16"/>
        <v>6</v>
      </c>
      <c r="AB24" s="39">
        <f t="shared" si="16"/>
        <v>0</v>
      </c>
      <c r="AC24" s="39">
        <f t="shared" si="16"/>
        <v>68</v>
      </c>
      <c r="AD24" s="39">
        <f t="shared" si="16"/>
        <v>0</v>
      </c>
      <c r="AE24" s="40">
        <f t="shared" si="16"/>
        <v>39</v>
      </c>
      <c r="AF24" s="40">
        <f t="shared" si="16"/>
        <v>107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3</v>
      </c>
      <c r="L25" s="50">
        <v>0</v>
      </c>
      <c r="M25" s="50">
        <v>11</v>
      </c>
      <c r="N25" s="50">
        <v>0</v>
      </c>
      <c r="O25" s="15">
        <f t="shared" si="0"/>
        <v>7</v>
      </c>
      <c r="P25" s="15">
        <f t="shared" si="1"/>
        <v>18</v>
      </c>
      <c r="R25" s="37" t="s">
        <v>85</v>
      </c>
      <c r="S25" s="35">
        <f t="shared" ref="S25:AF25" si="17">SUM(S10:S12)</f>
        <v>33</v>
      </c>
      <c r="T25" s="16">
        <f t="shared" si="17"/>
        <v>2</v>
      </c>
      <c r="U25" s="16">
        <f t="shared" si="17"/>
        <v>4</v>
      </c>
      <c r="V25" s="16">
        <f t="shared" si="17"/>
        <v>9</v>
      </c>
      <c r="W25" s="16">
        <f t="shared" si="17"/>
        <v>0</v>
      </c>
      <c r="X25" s="16">
        <f t="shared" si="17"/>
        <v>1</v>
      </c>
      <c r="Y25" s="16">
        <f t="shared" si="17"/>
        <v>6</v>
      </c>
      <c r="Z25" s="16">
        <f t="shared" si="17"/>
        <v>5</v>
      </c>
      <c r="AA25" s="16">
        <f t="shared" si="17"/>
        <v>29</v>
      </c>
      <c r="AB25" s="16">
        <f t="shared" si="17"/>
        <v>0</v>
      </c>
      <c r="AC25" s="16">
        <f t="shared" si="17"/>
        <v>149</v>
      </c>
      <c r="AD25" s="16">
        <f t="shared" si="17"/>
        <v>0</v>
      </c>
      <c r="AE25" s="32">
        <f t="shared" si="17"/>
        <v>89</v>
      </c>
      <c r="AF25" s="32">
        <f t="shared" si="17"/>
        <v>238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2</v>
      </c>
      <c r="L26" s="50">
        <v>0</v>
      </c>
      <c r="M26" s="50">
        <v>17</v>
      </c>
      <c r="N26" s="50">
        <v>0</v>
      </c>
      <c r="O26" s="15">
        <f t="shared" si="0"/>
        <v>7</v>
      </c>
      <c r="P26" s="15">
        <f t="shared" si="1"/>
        <v>24</v>
      </c>
      <c r="R26" s="28" t="s">
        <v>86</v>
      </c>
      <c r="S26" s="16">
        <f t="shared" ref="S26:AF26" si="18">SUM(S13:S18)</f>
        <v>57</v>
      </c>
      <c r="T26" s="16">
        <f t="shared" si="18"/>
        <v>5</v>
      </c>
      <c r="U26" s="16">
        <f t="shared" si="18"/>
        <v>2</v>
      </c>
      <c r="V26" s="16">
        <f t="shared" si="18"/>
        <v>36</v>
      </c>
      <c r="W26" s="16">
        <f t="shared" si="18"/>
        <v>0</v>
      </c>
      <c r="X26" s="16">
        <f t="shared" si="18"/>
        <v>0</v>
      </c>
      <c r="Y26" s="16">
        <f t="shared" si="18"/>
        <v>22</v>
      </c>
      <c r="Z26" s="16">
        <f t="shared" si="18"/>
        <v>5</v>
      </c>
      <c r="AA26" s="16">
        <f t="shared" si="18"/>
        <v>30</v>
      </c>
      <c r="AB26" s="16">
        <f t="shared" si="18"/>
        <v>0</v>
      </c>
      <c r="AC26" s="16">
        <f t="shared" si="18"/>
        <v>362</v>
      </c>
      <c r="AD26" s="16">
        <f t="shared" si="18"/>
        <v>0</v>
      </c>
      <c r="AE26" s="32">
        <f t="shared" si="18"/>
        <v>157</v>
      </c>
      <c r="AF26" s="32">
        <f t="shared" si="18"/>
        <v>519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21</v>
      </c>
      <c r="N27" s="50">
        <v>0</v>
      </c>
      <c r="O27" s="15">
        <f t="shared" si="0"/>
        <v>4</v>
      </c>
      <c r="P27" s="15">
        <f t="shared" si="1"/>
        <v>25</v>
      </c>
      <c r="R27" s="29" t="s">
        <v>87</v>
      </c>
      <c r="S27" s="16">
        <f t="shared" ref="S27:AF27" si="19">SUM(S19:S21)</f>
        <v>44</v>
      </c>
      <c r="T27" s="16">
        <f t="shared" si="19"/>
        <v>1</v>
      </c>
      <c r="U27" s="16">
        <f t="shared" si="19"/>
        <v>0</v>
      </c>
      <c r="V27" s="16">
        <f t="shared" si="19"/>
        <v>22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0</v>
      </c>
      <c r="AA27" s="16">
        <f t="shared" si="19"/>
        <v>14</v>
      </c>
      <c r="AB27" s="16">
        <f t="shared" si="19"/>
        <v>0</v>
      </c>
      <c r="AC27" s="16">
        <f t="shared" si="19"/>
        <v>185</v>
      </c>
      <c r="AD27" s="16">
        <f t="shared" si="19"/>
        <v>0</v>
      </c>
      <c r="AE27" s="32">
        <f t="shared" si="19"/>
        <v>88</v>
      </c>
      <c r="AF27" s="32">
        <f t="shared" si="19"/>
        <v>273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3</v>
      </c>
      <c r="J28" s="50">
        <v>1</v>
      </c>
      <c r="K28" s="50">
        <v>3</v>
      </c>
      <c r="L28" s="50">
        <v>0</v>
      </c>
      <c r="M28" s="50">
        <v>15</v>
      </c>
      <c r="N28" s="50">
        <v>0</v>
      </c>
      <c r="O28" s="15">
        <f t="shared" si="0"/>
        <v>11</v>
      </c>
      <c r="P28" s="15">
        <f t="shared" si="1"/>
        <v>26</v>
      </c>
      <c r="R28" s="5" t="s">
        <v>17</v>
      </c>
      <c r="S28" s="16">
        <f t="shared" ref="S28:AF28" si="20">SUM(S10:S21)</f>
        <v>134</v>
      </c>
      <c r="T28" s="16">
        <f t="shared" si="20"/>
        <v>8</v>
      </c>
      <c r="U28" s="16">
        <f t="shared" si="20"/>
        <v>6</v>
      </c>
      <c r="V28" s="16">
        <f t="shared" si="20"/>
        <v>67</v>
      </c>
      <c r="W28" s="16">
        <f t="shared" si="20"/>
        <v>0</v>
      </c>
      <c r="X28" s="16">
        <f t="shared" si="20"/>
        <v>1</v>
      </c>
      <c r="Y28" s="16">
        <f t="shared" si="20"/>
        <v>35</v>
      </c>
      <c r="Z28" s="16">
        <f t="shared" si="20"/>
        <v>10</v>
      </c>
      <c r="AA28" s="16">
        <f t="shared" si="20"/>
        <v>73</v>
      </c>
      <c r="AB28" s="16">
        <f t="shared" si="20"/>
        <v>0</v>
      </c>
      <c r="AC28" s="16">
        <f t="shared" si="20"/>
        <v>696</v>
      </c>
      <c r="AD28" s="16">
        <f t="shared" si="20"/>
        <v>0</v>
      </c>
      <c r="AE28" s="32">
        <f t="shared" si="20"/>
        <v>334</v>
      </c>
      <c r="AF28" s="32">
        <f t="shared" si="20"/>
        <v>1030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2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19</v>
      </c>
      <c r="N30" s="50">
        <v>0</v>
      </c>
      <c r="O30" s="15">
        <f t="shared" si="0"/>
        <v>5</v>
      </c>
      <c r="P30" s="15">
        <f t="shared" si="1"/>
        <v>24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5</v>
      </c>
      <c r="L31" s="50">
        <v>0</v>
      </c>
      <c r="M31" s="50">
        <v>22</v>
      </c>
      <c r="N31" s="50">
        <v>0</v>
      </c>
      <c r="O31" s="15">
        <f t="shared" si="0"/>
        <v>14</v>
      </c>
      <c r="P31" s="15">
        <f t="shared" si="1"/>
        <v>36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1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9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1</v>
      </c>
      <c r="L33" s="50">
        <v>0</v>
      </c>
      <c r="M33" s="50">
        <v>14</v>
      </c>
      <c r="N33" s="50">
        <v>0</v>
      </c>
      <c r="O33" s="15">
        <f t="shared" si="0"/>
        <v>8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8</v>
      </c>
      <c r="N34" s="50">
        <v>0</v>
      </c>
      <c r="O34" s="15">
        <f t="shared" si="0"/>
        <v>5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0</v>
      </c>
      <c r="M35" s="50">
        <v>13</v>
      </c>
      <c r="N35" s="50">
        <v>0</v>
      </c>
      <c r="O35" s="15">
        <f t="shared" si="0"/>
        <v>7</v>
      </c>
      <c r="P35" s="15">
        <f t="shared" si="1"/>
        <v>20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5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4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3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2</v>
      </c>
      <c r="L38" s="50">
        <v>0</v>
      </c>
      <c r="M38" s="50">
        <v>13</v>
      </c>
      <c r="N38" s="50">
        <v>0</v>
      </c>
      <c r="O38" s="15">
        <f t="shared" si="0"/>
        <v>10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1</v>
      </c>
      <c r="L39" s="50">
        <v>0</v>
      </c>
      <c r="M39" s="50">
        <v>12</v>
      </c>
      <c r="N39" s="50">
        <v>0</v>
      </c>
      <c r="O39" s="15">
        <f t="shared" si="0"/>
        <v>6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3</v>
      </c>
      <c r="G40" s="50">
        <v>0</v>
      </c>
      <c r="H40" s="50">
        <v>0</v>
      </c>
      <c r="I40" s="50">
        <v>0</v>
      </c>
      <c r="J40" s="50">
        <v>2</v>
      </c>
      <c r="K40" s="50">
        <v>1</v>
      </c>
      <c r="L40" s="50">
        <v>0</v>
      </c>
      <c r="M40" s="50">
        <v>23</v>
      </c>
      <c r="N40" s="50">
        <v>0</v>
      </c>
      <c r="O40" s="15">
        <f t="shared" si="0"/>
        <v>11</v>
      </c>
      <c r="P40" s="15">
        <f t="shared" si="1"/>
        <v>34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2</v>
      </c>
      <c r="L41" s="50">
        <v>0</v>
      </c>
      <c r="M41" s="50">
        <v>25</v>
      </c>
      <c r="N41" s="50">
        <v>0</v>
      </c>
      <c r="O41" s="15">
        <f t="shared" si="0"/>
        <v>8</v>
      </c>
      <c r="P41" s="15">
        <f t="shared" si="1"/>
        <v>33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2</v>
      </c>
      <c r="J42" s="50">
        <v>1</v>
      </c>
      <c r="K42" s="50">
        <v>3</v>
      </c>
      <c r="L42" s="50">
        <v>0</v>
      </c>
      <c r="M42" s="50">
        <v>14</v>
      </c>
      <c r="N42" s="50">
        <v>0</v>
      </c>
      <c r="O42" s="15">
        <f t="shared" si="0"/>
        <v>10</v>
      </c>
      <c r="P42" s="15">
        <f t="shared" si="1"/>
        <v>24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10</v>
      </c>
      <c r="N43" s="50">
        <v>0</v>
      </c>
      <c r="O43" s="15">
        <f t="shared" si="0"/>
        <v>2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4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5</v>
      </c>
      <c r="P45" s="15">
        <f t="shared" si="1"/>
        <v>21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4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11</v>
      </c>
      <c r="N47" s="50">
        <v>0</v>
      </c>
      <c r="O47" s="15">
        <f t="shared" si="0"/>
        <v>6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20</v>
      </c>
      <c r="N48" s="50">
        <v>0</v>
      </c>
      <c r="O48" s="15">
        <f t="shared" si="0"/>
        <v>8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14</v>
      </c>
      <c r="N49" s="50">
        <v>0</v>
      </c>
      <c r="O49" s="15">
        <f t="shared" si="0"/>
        <v>7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5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13</v>
      </c>
      <c r="N51" s="50">
        <v>0</v>
      </c>
      <c r="O51" s="15">
        <f t="shared" si="0"/>
        <v>6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4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3</v>
      </c>
      <c r="L53" s="50">
        <v>0</v>
      </c>
      <c r="M53" s="50">
        <v>19</v>
      </c>
      <c r="N53" s="50">
        <v>0</v>
      </c>
      <c r="O53" s="15">
        <f t="shared" si="0"/>
        <v>9</v>
      </c>
      <c r="P53" s="15">
        <f t="shared" si="1"/>
        <v>28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7</v>
      </c>
      <c r="P54" s="15">
        <f t="shared" si="1"/>
        <v>25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3</v>
      </c>
      <c r="L55" s="50">
        <v>0</v>
      </c>
      <c r="M55" s="50">
        <v>16</v>
      </c>
      <c r="N55" s="50">
        <v>0</v>
      </c>
      <c r="O55" s="15">
        <f t="shared" si="0"/>
        <v>11</v>
      </c>
      <c r="P55" s="15">
        <f t="shared" si="1"/>
        <v>27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0</v>
      </c>
      <c r="F56" s="50">
        <v>4</v>
      </c>
      <c r="G56" s="50">
        <v>0</v>
      </c>
      <c r="H56" s="50">
        <v>0</v>
      </c>
      <c r="I56" s="50">
        <v>0</v>
      </c>
      <c r="J56" s="50">
        <v>0</v>
      </c>
      <c r="K56" s="50">
        <v>3</v>
      </c>
      <c r="L56" s="50">
        <v>0</v>
      </c>
      <c r="M56" s="50">
        <v>11</v>
      </c>
      <c r="N56" s="50">
        <v>0</v>
      </c>
      <c r="O56" s="15">
        <f t="shared" si="0"/>
        <v>13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0</v>
      </c>
      <c r="F57" s="50">
        <v>2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8</v>
      </c>
      <c r="P57" s="15">
        <f t="shared" si="1"/>
        <v>31</v>
      </c>
      <c r="R57" s="8"/>
      <c r="T57"/>
    </row>
    <row r="58" spans="2:20" ht="23.1" customHeight="1" x14ac:dyDescent="0.25">
      <c r="B58" s="26" t="s">
        <v>18</v>
      </c>
      <c r="C58" s="16">
        <v>5</v>
      </c>
      <c r="D58" s="16">
        <f t="shared" ref="D58:P58" si="21">SUM(D10:D57)</f>
        <v>8</v>
      </c>
      <c r="E58" s="16">
        <f t="shared" si="21"/>
        <v>6</v>
      </c>
      <c r="F58" s="16">
        <f t="shared" si="21"/>
        <v>67</v>
      </c>
      <c r="G58" s="16">
        <f t="shared" si="21"/>
        <v>0</v>
      </c>
      <c r="H58" s="16">
        <f t="shared" si="21"/>
        <v>1</v>
      </c>
      <c r="I58" s="16">
        <f t="shared" si="21"/>
        <v>35</v>
      </c>
      <c r="J58" s="16">
        <f t="shared" si="21"/>
        <v>10</v>
      </c>
      <c r="K58" s="16">
        <f t="shared" si="21"/>
        <v>73</v>
      </c>
      <c r="L58" s="16">
        <f t="shared" si="21"/>
        <v>0</v>
      </c>
      <c r="M58" s="16">
        <f t="shared" si="21"/>
        <v>696</v>
      </c>
      <c r="N58" s="16">
        <f t="shared" si="21"/>
        <v>0</v>
      </c>
      <c r="O58" s="16">
        <f t="shared" si="21"/>
        <v>334</v>
      </c>
      <c r="P58" s="16">
        <f t="shared" si="21"/>
        <v>1030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4.8543689320388345E-3</v>
      </c>
      <c r="D59" s="43">
        <f t="shared" si="22"/>
        <v>7.7669902912621356E-3</v>
      </c>
      <c r="E59" s="43">
        <f t="shared" si="22"/>
        <v>5.8252427184466021E-3</v>
      </c>
      <c r="F59" s="43">
        <f t="shared" si="22"/>
        <v>6.5048543689320393E-2</v>
      </c>
      <c r="G59" s="43">
        <f t="shared" si="22"/>
        <v>0</v>
      </c>
      <c r="H59" s="43">
        <f t="shared" si="22"/>
        <v>9.7087378640776695E-4</v>
      </c>
      <c r="I59" s="43">
        <f t="shared" si="22"/>
        <v>3.3980582524271843E-2</v>
      </c>
      <c r="J59" s="43">
        <f t="shared" si="22"/>
        <v>9.7087378640776691E-3</v>
      </c>
      <c r="K59" s="43">
        <f t="shared" si="22"/>
        <v>7.0873786407766995E-2</v>
      </c>
      <c r="L59" s="43">
        <f t="shared" si="22"/>
        <v>0</v>
      </c>
      <c r="M59" s="43">
        <f t="shared" si="22"/>
        <v>0.67572815533980579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1.4970059880239521E-2</v>
      </c>
      <c r="D60" s="44">
        <f t="shared" ref="D60:N60" si="23">D58/$O$58</f>
        <v>2.3952095808383235E-2</v>
      </c>
      <c r="E60" s="44">
        <f t="shared" si="23"/>
        <v>1.7964071856287425E-2</v>
      </c>
      <c r="F60" s="44">
        <f t="shared" si="23"/>
        <v>0.20059880239520958</v>
      </c>
      <c r="G60" s="44">
        <f t="shared" si="23"/>
        <v>0</v>
      </c>
      <c r="H60" s="44">
        <f t="shared" si="23"/>
        <v>2.9940119760479044E-3</v>
      </c>
      <c r="I60" s="44">
        <f t="shared" si="23"/>
        <v>0.10479041916167664</v>
      </c>
      <c r="J60" s="44">
        <f t="shared" si="23"/>
        <v>2.9940119760479042E-2</v>
      </c>
      <c r="K60" s="44">
        <f t="shared" si="23"/>
        <v>0.21856287425149701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'31.10.MUTUKULA-MASAKA'!C3:G3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'30.10 MASAKA-MUTUKULA'!D5</f>
        <v>30.10.19</v>
      </c>
      <c r="E5" s="3"/>
      <c r="F5" s="41" t="s">
        <v>1</v>
      </c>
      <c r="G5" s="55" t="str">
        <f>'31.10 Masaka-Mutukula'!G5:H5</f>
        <v>MUTUKULA BORDER</v>
      </c>
      <c r="H5" s="56"/>
      <c r="I5" s="14"/>
      <c r="J5" s="2" t="s">
        <v>5</v>
      </c>
      <c r="K5" s="55" t="s">
        <v>173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'31.10.MUTUKULA-MASAKA'!D6:E6</f>
        <v>MUTUKULA</v>
      </c>
      <c r="E6" s="56"/>
      <c r="F6" s="2" t="s">
        <v>2</v>
      </c>
      <c r="G6" s="55" t="str">
        <f>'31.10.MUTUKULA-MASAKA'!G6:H6</f>
        <v>MASAKA</v>
      </c>
      <c r="H6" s="56"/>
      <c r="J6" s="2" t="s">
        <v>21</v>
      </c>
      <c r="K6" s="55" t="str">
        <f>'31.10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36</v>
      </c>
      <c r="AD10" s="17">
        <f t="shared" si="2"/>
        <v>0</v>
      </c>
      <c r="AE10" s="31">
        <f t="shared" si="2"/>
        <v>16</v>
      </c>
      <c r="AF10" s="31">
        <f t="shared" si="2"/>
        <v>52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4</v>
      </c>
      <c r="P11" s="15">
        <f t="shared" si="1"/>
        <v>13</v>
      </c>
      <c r="R11" s="1" t="s">
        <v>7</v>
      </c>
      <c r="S11" s="17">
        <f t="shared" ref="S11:AF11" si="3">SUM(C14:C17)</f>
        <v>3</v>
      </c>
      <c r="T11" s="17">
        <f t="shared" si="3"/>
        <v>1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44</v>
      </c>
      <c r="AD11" s="17">
        <f t="shared" si="3"/>
        <v>0</v>
      </c>
      <c r="AE11" s="31">
        <f t="shared" si="3"/>
        <v>11</v>
      </c>
      <c r="AF11" s="31">
        <f t="shared" si="3"/>
        <v>55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3</v>
      </c>
      <c r="P12" s="15">
        <f t="shared" si="1"/>
        <v>14</v>
      </c>
      <c r="R12" s="1" t="s">
        <v>8</v>
      </c>
      <c r="S12" s="17">
        <f t="shared" ref="S12:AF12" si="4">SUM(C18:C21)</f>
        <v>10</v>
      </c>
      <c r="T12" s="17">
        <f t="shared" si="4"/>
        <v>1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38</v>
      </c>
      <c r="AD12" s="17">
        <f t="shared" si="4"/>
        <v>0</v>
      </c>
      <c r="AE12" s="31">
        <f t="shared" si="4"/>
        <v>17</v>
      </c>
      <c r="AF12" s="31">
        <f t="shared" si="4"/>
        <v>55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10</v>
      </c>
      <c r="N13" s="50">
        <v>0</v>
      </c>
      <c r="O13" s="15">
        <f t="shared" si="0"/>
        <v>7</v>
      </c>
      <c r="P13" s="15">
        <f t="shared" si="1"/>
        <v>17</v>
      </c>
      <c r="R13" s="1" t="s">
        <v>9</v>
      </c>
      <c r="S13" s="17">
        <f t="shared" ref="S13:AF13" si="5">SUM(C22:C25)</f>
        <v>6</v>
      </c>
      <c r="T13" s="17">
        <f t="shared" si="5"/>
        <v>0</v>
      </c>
      <c r="U13" s="17">
        <f t="shared" si="5"/>
        <v>0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2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17</v>
      </c>
      <c r="AF13" s="31">
        <f t="shared" si="5"/>
        <v>63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2</v>
      </c>
      <c r="L14" s="50">
        <v>0</v>
      </c>
      <c r="M14" s="50">
        <v>10</v>
      </c>
      <c r="N14" s="50">
        <v>0</v>
      </c>
      <c r="O14" s="15">
        <f t="shared" si="0"/>
        <v>2</v>
      </c>
      <c r="P14" s="15">
        <f t="shared" si="1"/>
        <v>12</v>
      </c>
      <c r="R14" s="1" t="s">
        <v>10</v>
      </c>
      <c r="S14" s="17">
        <f t="shared" ref="S14:AF14" si="6">SUM(C26:C29)</f>
        <v>5</v>
      </c>
      <c r="T14" s="17">
        <f t="shared" si="6"/>
        <v>2</v>
      </c>
      <c r="U14" s="17">
        <f t="shared" si="6"/>
        <v>0</v>
      </c>
      <c r="V14" s="17">
        <f t="shared" si="6"/>
        <v>6</v>
      </c>
      <c r="W14" s="17">
        <f t="shared" si="6"/>
        <v>2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40</v>
      </c>
      <c r="AD14" s="17">
        <f t="shared" si="6"/>
        <v>0</v>
      </c>
      <c r="AE14" s="31">
        <f t="shared" si="6"/>
        <v>20</v>
      </c>
      <c r="AF14" s="31">
        <f t="shared" si="6"/>
        <v>60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3</v>
      </c>
      <c r="P15" s="15">
        <f t="shared" si="1"/>
        <v>16</v>
      </c>
      <c r="R15" s="1" t="s">
        <v>11</v>
      </c>
      <c r="S15" s="17">
        <f t="shared" ref="S15:AF15" si="7">SUM(C30:C33)</f>
        <v>10</v>
      </c>
      <c r="T15" s="17">
        <f t="shared" si="7"/>
        <v>2</v>
      </c>
      <c r="U15" s="17">
        <f t="shared" si="7"/>
        <v>0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5</v>
      </c>
      <c r="AA15" s="17">
        <f t="shared" si="7"/>
        <v>5</v>
      </c>
      <c r="AB15" s="17">
        <f t="shared" si="7"/>
        <v>2</v>
      </c>
      <c r="AC15" s="17">
        <f t="shared" si="7"/>
        <v>57</v>
      </c>
      <c r="AD15" s="17">
        <f t="shared" si="7"/>
        <v>0</v>
      </c>
      <c r="AE15" s="31">
        <f t="shared" si="7"/>
        <v>33</v>
      </c>
      <c r="AF15" s="31">
        <f t="shared" si="7"/>
        <v>90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2</v>
      </c>
      <c r="P16" s="15">
        <f t="shared" si="1"/>
        <v>14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5</v>
      </c>
      <c r="AA16" s="17">
        <f t="shared" si="8"/>
        <v>2</v>
      </c>
      <c r="AB16" s="17">
        <f t="shared" si="8"/>
        <v>0</v>
      </c>
      <c r="AC16" s="17">
        <f t="shared" si="8"/>
        <v>48</v>
      </c>
      <c r="AD16" s="17">
        <f t="shared" si="8"/>
        <v>0</v>
      </c>
      <c r="AE16" s="31">
        <f t="shared" si="8"/>
        <v>21</v>
      </c>
      <c r="AF16" s="31">
        <f t="shared" si="8"/>
        <v>69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4</v>
      </c>
      <c r="P17" s="15">
        <f t="shared" si="1"/>
        <v>13</v>
      </c>
      <c r="R17" s="1" t="s">
        <v>13</v>
      </c>
      <c r="S17" s="17">
        <f t="shared" ref="S17:AF17" si="9">SUM(C38:C41)</f>
        <v>12</v>
      </c>
      <c r="T17" s="17">
        <f t="shared" si="9"/>
        <v>3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41</v>
      </c>
      <c r="AD17" s="17">
        <f t="shared" si="9"/>
        <v>0</v>
      </c>
      <c r="AE17" s="31">
        <f t="shared" si="9"/>
        <v>26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4</v>
      </c>
      <c r="P18" s="15">
        <f t="shared" si="1"/>
        <v>7</v>
      </c>
      <c r="R18" s="1" t="s">
        <v>14</v>
      </c>
      <c r="S18" s="17">
        <f t="shared" ref="S18:AF18" si="10">SUM(C42:C45)</f>
        <v>12</v>
      </c>
      <c r="T18" s="17">
        <f t="shared" si="10"/>
        <v>4</v>
      </c>
      <c r="U18" s="17">
        <f t="shared" si="10"/>
        <v>2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8</v>
      </c>
      <c r="AA18" s="17">
        <f t="shared" si="10"/>
        <v>2</v>
      </c>
      <c r="AB18" s="17">
        <f t="shared" si="10"/>
        <v>0</v>
      </c>
      <c r="AC18" s="17">
        <f t="shared" si="10"/>
        <v>61</v>
      </c>
      <c r="AD18" s="17">
        <f t="shared" si="10"/>
        <v>0</v>
      </c>
      <c r="AE18" s="31">
        <f t="shared" si="10"/>
        <v>43</v>
      </c>
      <c r="AF18" s="31">
        <f t="shared" si="10"/>
        <v>104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5</v>
      </c>
      <c r="P19" s="15">
        <f t="shared" si="1"/>
        <v>15</v>
      </c>
      <c r="R19" s="1" t="s">
        <v>15</v>
      </c>
      <c r="S19" s="17">
        <f t="shared" ref="S19:AF19" si="11">SUM(C46:C49)</f>
        <v>8</v>
      </c>
      <c r="T19" s="17">
        <f t="shared" si="11"/>
        <v>1</v>
      </c>
      <c r="U19" s="17">
        <f t="shared" si="11"/>
        <v>0</v>
      </c>
      <c r="V19" s="17">
        <f t="shared" si="11"/>
        <v>7</v>
      </c>
      <c r="W19" s="17">
        <f t="shared" si="11"/>
        <v>0</v>
      </c>
      <c r="X19" s="17">
        <f t="shared" si="11"/>
        <v>1</v>
      </c>
      <c r="Y19" s="17">
        <f t="shared" si="11"/>
        <v>2</v>
      </c>
      <c r="Z19" s="17">
        <f t="shared" si="11"/>
        <v>5</v>
      </c>
      <c r="AA19" s="17">
        <f t="shared" si="11"/>
        <v>7</v>
      </c>
      <c r="AB19" s="17">
        <f t="shared" si="11"/>
        <v>0</v>
      </c>
      <c r="AC19" s="17">
        <f t="shared" si="11"/>
        <v>56</v>
      </c>
      <c r="AD19" s="17">
        <f t="shared" si="11"/>
        <v>0</v>
      </c>
      <c r="AE19" s="31">
        <f t="shared" si="11"/>
        <v>31</v>
      </c>
      <c r="AF19" s="31">
        <f t="shared" si="11"/>
        <v>87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4</v>
      </c>
      <c r="P20" s="15">
        <f t="shared" si="1"/>
        <v>17</v>
      </c>
      <c r="R20" s="1" t="s">
        <v>16</v>
      </c>
      <c r="S20" s="17">
        <f t="shared" ref="S20:AF20" si="12">SUM(C50:C53)</f>
        <v>13</v>
      </c>
      <c r="T20" s="17">
        <f t="shared" si="12"/>
        <v>0</v>
      </c>
      <c r="U20" s="17">
        <f t="shared" si="12"/>
        <v>1</v>
      </c>
      <c r="V20" s="17">
        <f t="shared" si="12"/>
        <v>7</v>
      </c>
      <c r="W20" s="17">
        <f t="shared" si="12"/>
        <v>0</v>
      </c>
      <c r="X20" s="17">
        <f t="shared" si="12"/>
        <v>2</v>
      </c>
      <c r="Y20" s="17">
        <f t="shared" si="12"/>
        <v>10</v>
      </c>
      <c r="Z20" s="17">
        <f t="shared" si="12"/>
        <v>9</v>
      </c>
      <c r="AA20" s="17">
        <f t="shared" si="12"/>
        <v>7</v>
      </c>
      <c r="AB20" s="17">
        <f t="shared" si="12"/>
        <v>0</v>
      </c>
      <c r="AC20" s="17">
        <f t="shared" si="12"/>
        <v>59</v>
      </c>
      <c r="AD20" s="17">
        <f t="shared" si="12"/>
        <v>1</v>
      </c>
      <c r="AE20" s="31">
        <f t="shared" si="12"/>
        <v>50</v>
      </c>
      <c r="AF20" s="31">
        <f t="shared" si="12"/>
        <v>109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12</v>
      </c>
      <c r="N21" s="50">
        <v>0</v>
      </c>
      <c r="O21" s="15">
        <f t="shared" si="0"/>
        <v>4</v>
      </c>
      <c r="P21" s="15">
        <f t="shared" si="1"/>
        <v>16</v>
      </c>
      <c r="R21" s="36" t="s">
        <v>20</v>
      </c>
      <c r="S21" s="34">
        <f t="shared" ref="S21:AF21" si="13">SUM(C54:C57)</f>
        <v>10</v>
      </c>
      <c r="T21" s="17">
        <f t="shared" si="13"/>
        <v>2</v>
      </c>
      <c r="U21" s="17">
        <f t="shared" si="13"/>
        <v>0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7</v>
      </c>
      <c r="AA21" s="17">
        <f t="shared" si="13"/>
        <v>0</v>
      </c>
      <c r="AB21" s="17">
        <f t="shared" si="13"/>
        <v>1</v>
      </c>
      <c r="AC21" s="17">
        <f t="shared" si="13"/>
        <v>56</v>
      </c>
      <c r="AD21" s="17">
        <f t="shared" si="13"/>
        <v>0</v>
      </c>
      <c r="AE21" s="31">
        <f t="shared" si="13"/>
        <v>26</v>
      </c>
      <c r="AF21" s="31">
        <f t="shared" si="13"/>
        <v>82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5</v>
      </c>
      <c r="P22" s="15">
        <f t="shared" si="1"/>
        <v>14</v>
      </c>
      <c r="R22" s="38" t="s">
        <v>90</v>
      </c>
      <c r="S22" s="39">
        <f>MAX(S10:S12)</f>
        <v>10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1</v>
      </c>
      <c r="AA22" s="39">
        <f t="shared" si="14"/>
        <v>2</v>
      </c>
      <c r="AB22" s="39">
        <f t="shared" si="14"/>
        <v>0</v>
      </c>
      <c r="AC22" s="39">
        <f t="shared" si="14"/>
        <v>44</v>
      </c>
      <c r="AD22" s="39">
        <f t="shared" si="14"/>
        <v>0</v>
      </c>
      <c r="AE22" s="40">
        <f t="shared" si="14"/>
        <v>17</v>
      </c>
      <c r="AF22" s="40">
        <f t="shared" si="14"/>
        <v>55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12</v>
      </c>
      <c r="N23" s="50">
        <v>0</v>
      </c>
      <c r="O23" s="15">
        <f t="shared" si="0"/>
        <v>3</v>
      </c>
      <c r="P23" s="15">
        <f t="shared" si="1"/>
        <v>15</v>
      </c>
      <c r="R23" s="38" t="s">
        <v>91</v>
      </c>
      <c r="S23" s="39">
        <f>MAX(S13:S18)</f>
        <v>12</v>
      </c>
      <c r="T23" s="39">
        <f t="shared" ref="T23:AF23" si="15">MAX(T13:T18)</f>
        <v>4</v>
      </c>
      <c r="U23" s="39">
        <f t="shared" si="15"/>
        <v>2</v>
      </c>
      <c r="V23" s="39">
        <f t="shared" si="15"/>
        <v>6</v>
      </c>
      <c r="W23" s="39">
        <f t="shared" si="15"/>
        <v>2</v>
      </c>
      <c r="X23" s="39">
        <f t="shared" si="15"/>
        <v>0</v>
      </c>
      <c r="Y23" s="39">
        <f t="shared" si="15"/>
        <v>9</v>
      </c>
      <c r="Z23" s="39">
        <f t="shared" si="15"/>
        <v>8</v>
      </c>
      <c r="AA23" s="39">
        <f t="shared" si="15"/>
        <v>5</v>
      </c>
      <c r="AB23" s="39">
        <f t="shared" si="15"/>
        <v>2</v>
      </c>
      <c r="AC23" s="39">
        <f t="shared" si="15"/>
        <v>61</v>
      </c>
      <c r="AD23" s="39">
        <f t="shared" si="15"/>
        <v>0</v>
      </c>
      <c r="AE23" s="40">
        <f t="shared" si="15"/>
        <v>43</v>
      </c>
      <c r="AF23" s="40">
        <f t="shared" si="15"/>
        <v>104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3</v>
      </c>
      <c r="P24" s="15">
        <f t="shared" si="1"/>
        <v>17</v>
      </c>
      <c r="R24" s="38" t="s">
        <v>92</v>
      </c>
      <c r="S24" s="39">
        <f>MAX(S19:S21)</f>
        <v>13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7</v>
      </c>
      <c r="W24" s="39">
        <f t="shared" si="16"/>
        <v>0</v>
      </c>
      <c r="X24" s="39">
        <f t="shared" si="16"/>
        <v>2</v>
      </c>
      <c r="Y24" s="39">
        <f t="shared" si="16"/>
        <v>10</v>
      </c>
      <c r="Z24" s="39">
        <f t="shared" si="16"/>
        <v>9</v>
      </c>
      <c r="AA24" s="39">
        <f t="shared" si="16"/>
        <v>7</v>
      </c>
      <c r="AB24" s="39">
        <f t="shared" si="16"/>
        <v>1</v>
      </c>
      <c r="AC24" s="39">
        <f t="shared" si="16"/>
        <v>59</v>
      </c>
      <c r="AD24" s="39">
        <f t="shared" si="16"/>
        <v>1</v>
      </c>
      <c r="AE24" s="40">
        <f t="shared" si="16"/>
        <v>50</v>
      </c>
      <c r="AF24" s="40">
        <f t="shared" si="16"/>
        <v>109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1</v>
      </c>
      <c r="L25" s="50">
        <v>0</v>
      </c>
      <c r="M25" s="50">
        <v>11</v>
      </c>
      <c r="N25" s="50">
        <v>0</v>
      </c>
      <c r="O25" s="15">
        <f t="shared" si="0"/>
        <v>6</v>
      </c>
      <c r="P25" s="15">
        <f t="shared" si="1"/>
        <v>17</v>
      </c>
      <c r="R25" s="37" t="s">
        <v>85</v>
      </c>
      <c r="S25" s="35">
        <f t="shared" ref="S25:AF25" si="17">SUM(S10:S12)</f>
        <v>21</v>
      </c>
      <c r="T25" s="16">
        <f t="shared" si="17"/>
        <v>3</v>
      </c>
      <c r="U25" s="16">
        <f t="shared" si="17"/>
        <v>2</v>
      </c>
      <c r="V25" s="16">
        <f t="shared" si="17"/>
        <v>8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1</v>
      </c>
      <c r="AA25" s="16">
        <f t="shared" si="17"/>
        <v>4</v>
      </c>
      <c r="AB25" s="16">
        <f t="shared" si="17"/>
        <v>0</v>
      </c>
      <c r="AC25" s="16">
        <f t="shared" si="17"/>
        <v>118</v>
      </c>
      <c r="AD25" s="16">
        <f t="shared" si="17"/>
        <v>0</v>
      </c>
      <c r="AE25" s="32">
        <f t="shared" si="17"/>
        <v>44</v>
      </c>
      <c r="AF25" s="32">
        <f t="shared" si="17"/>
        <v>162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2</v>
      </c>
      <c r="G26" s="50">
        <v>2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52</v>
      </c>
      <c r="T26" s="16">
        <f t="shared" si="18"/>
        <v>11</v>
      </c>
      <c r="U26" s="16">
        <f t="shared" si="18"/>
        <v>3</v>
      </c>
      <c r="V26" s="16">
        <f t="shared" si="18"/>
        <v>28</v>
      </c>
      <c r="W26" s="16">
        <f t="shared" si="18"/>
        <v>2</v>
      </c>
      <c r="X26" s="16">
        <f t="shared" si="18"/>
        <v>0</v>
      </c>
      <c r="Y26" s="16">
        <f t="shared" si="18"/>
        <v>24</v>
      </c>
      <c r="Z26" s="16">
        <f t="shared" si="18"/>
        <v>25</v>
      </c>
      <c r="AA26" s="16">
        <f t="shared" si="18"/>
        <v>13</v>
      </c>
      <c r="AB26" s="16">
        <f t="shared" si="18"/>
        <v>2</v>
      </c>
      <c r="AC26" s="16">
        <f t="shared" si="18"/>
        <v>293</v>
      </c>
      <c r="AD26" s="16">
        <f t="shared" si="18"/>
        <v>0</v>
      </c>
      <c r="AE26" s="32">
        <f t="shared" si="18"/>
        <v>160</v>
      </c>
      <c r="AF26" s="32">
        <f t="shared" si="18"/>
        <v>453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1</v>
      </c>
      <c r="L27" s="50">
        <v>0</v>
      </c>
      <c r="M27" s="50">
        <v>13</v>
      </c>
      <c r="N27" s="50">
        <v>0</v>
      </c>
      <c r="O27" s="15">
        <f t="shared" si="0"/>
        <v>2</v>
      </c>
      <c r="P27" s="15">
        <f t="shared" si="1"/>
        <v>15</v>
      </c>
      <c r="R27" s="29" t="s">
        <v>87</v>
      </c>
      <c r="S27" s="16">
        <f t="shared" ref="S27:AF27" si="19">SUM(S19:S21)</f>
        <v>31</v>
      </c>
      <c r="T27" s="16">
        <f t="shared" si="19"/>
        <v>3</v>
      </c>
      <c r="U27" s="16">
        <f t="shared" si="19"/>
        <v>1</v>
      </c>
      <c r="V27" s="16">
        <f t="shared" si="19"/>
        <v>20</v>
      </c>
      <c r="W27" s="16">
        <f t="shared" si="19"/>
        <v>0</v>
      </c>
      <c r="X27" s="16">
        <f t="shared" si="19"/>
        <v>3</v>
      </c>
      <c r="Y27" s="16">
        <f t="shared" si="19"/>
        <v>12</v>
      </c>
      <c r="Z27" s="16">
        <f t="shared" si="19"/>
        <v>21</v>
      </c>
      <c r="AA27" s="16">
        <f t="shared" si="19"/>
        <v>14</v>
      </c>
      <c r="AB27" s="16">
        <f t="shared" si="19"/>
        <v>1</v>
      </c>
      <c r="AC27" s="16">
        <f t="shared" si="19"/>
        <v>171</v>
      </c>
      <c r="AD27" s="16">
        <f t="shared" si="19"/>
        <v>1</v>
      </c>
      <c r="AE27" s="32">
        <f t="shared" si="19"/>
        <v>107</v>
      </c>
      <c r="AF27" s="32">
        <f t="shared" si="19"/>
        <v>278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2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5</v>
      </c>
      <c r="P28" s="15">
        <f t="shared" si="1"/>
        <v>17</v>
      </c>
      <c r="R28" s="5" t="s">
        <v>17</v>
      </c>
      <c r="S28" s="16">
        <f t="shared" ref="S28:AF28" si="20">SUM(S10:S21)</f>
        <v>104</v>
      </c>
      <c r="T28" s="16">
        <f t="shared" si="20"/>
        <v>17</v>
      </c>
      <c r="U28" s="16">
        <f t="shared" si="20"/>
        <v>6</v>
      </c>
      <c r="V28" s="16">
        <f t="shared" si="20"/>
        <v>56</v>
      </c>
      <c r="W28" s="16">
        <f t="shared" si="20"/>
        <v>2</v>
      </c>
      <c r="X28" s="16">
        <f t="shared" si="20"/>
        <v>3</v>
      </c>
      <c r="Y28" s="16">
        <f t="shared" si="20"/>
        <v>41</v>
      </c>
      <c r="Z28" s="16">
        <f t="shared" si="20"/>
        <v>47</v>
      </c>
      <c r="AA28" s="16">
        <f t="shared" si="20"/>
        <v>31</v>
      </c>
      <c r="AB28" s="16">
        <f t="shared" si="20"/>
        <v>3</v>
      </c>
      <c r="AC28" s="16">
        <f t="shared" si="20"/>
        <v>582</v>
      </c>
      <c r="AD28" s="16">
        <f t="shared" si="20"/>
        <v>1</v>
      </c>
      <c r="AE28" s="32">
        <f t="shared" si="20"/>
        <v>311</v>
      </c>
      <c r="AF28" s="32">
        <f t="shared" si="20"/>
        <v>893</v>
      </c>
    </row>
    <row r="29" spans="2:32" ht="23.1" customHeight="1" x14ac:dyDescent="0.25">
      <c r="B29" s="23" t="s">
        <v>56</v>
      </c>
      <c r="C29" s="50">
        <v>1</v>
      </c>
      <c r="D29" s="50">
        <v>2</v>
      </c>
      <c r="E29" s="50">
        <v>0</v>
      </c>
      <c r="F29" s="50">
        <v>3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8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0</v>
      </c>
      <c r="F30" s="50">
        <v>3</v>
      </c>
      <c r="G30" s="50">
        <v>0</v>
      </c>
      <c r="H30" s="50">
        <v>0</v>
      </c>
      <c r="I30" s="50">
        <v>2</v>
      </c>
      <c r="J30" s="50">
        <v>2</v>
      </c>
      <c r="K30" s="50">
        <v>3</v>
      </c>
      <c r="L30" s="50">
        <v>0</v>
      </c>
      <c r="M30" s="50">
        <v>20</v>
      </c>
      <c r="N30" s="50">
        <v>0</v>
      </c>
      <c r="O30" s="15">
        <f t="shared" si="0"/>
        <v>11</v>
      </c>
      <c r="P30" s="15">
        <f t="shared" si="1"/>
        <v>31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2</v>
      </c>
      <c r="M31" s="50">
        <v>12</v>
      </c>
      <c r="N31" s="50">
        <v>0</v>
      </c>
      <c r="O31" s="15">
        <f t="shared" si="0"/>
        <v>8</v>
      </c>
      <c r="P31" s="15">
        <f t="shared" si="1"/>
        <v>20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6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3</v>
      </c>
      <c r="K33" s="50">
        <v>1</v>
      </c>
      <c r="L33" s="50">
        <v>0</v>
      </c>
      <c r="M33" s="50">
        <v>15</v>
      </c>
      <c r="N33" s="50">
        <v>0</v>
      </c>
      <c r="O33" s="15">
        <f t="shared" si="0"/>
        <v>8</v>
      </c>
      <c r="P33" s="15">
        <f t="shared" si="1"/>
        <v>23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14</v>
      </c>
      <c r="N34" s="50">
        <v>0</v>
      </c>
      <c r="O34" s="15">
        <f t="shared" si="0"/>
        <v>6</v>
      </c>
      <c r="P34" s="15">
        <f t="shared" si="1"/>
        <v>20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2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5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2</v>
      </c>
      <c r="K37" s="50">
        <v>1</v>
      </c>
      <c r="L37" s="50">
        <v>0</v>
      </c>
      <c r="M37" s="50">
        <v>10</v>
      </c>
      <c r="N37" s="50">
        <v>0</v>
      </c>
      <c r="O37" s="15">
        <f t="shared" si="0"/>
        <v>8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13</v>
      </c>
      <c r="N38" s="50">
        <v>0</v>
      </c>
      <c r="O38" s="15">
        <f t="shared" si="0"/>
        <v>5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4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7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5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9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2</v>
      </c>
      <c r="D42" s="50">
        <v>2</v>
      </c>
      <c r="E42" s="50">
        <v>0</v>
      </c>
      <c r="F42" s="50">
        <v>1</v>
      </c>
      <c r="G42" s="50">
        <v>0</v>
      </c>
      <c r="H42" s="50">
        <v>0</v>
      </c>
      <c r="I42" s="50">
        <v>0</v>
      </c>
      <c r="J42" s="50">
        <v>3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8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2</v>
      </c>
      <c r="F43" s="50">
        <v>3</v>
      </c>
      <c r="G43" s="50">
        <v>0</v>
      </c>
      <c r="H43" s="50">
        <v>0</v>
      </c>
      <c r="I43" s="50">
        <v>7</v>
      </c>
      <c r="J43" s="50">
        <v>1</v>
      </c>
      <c r="K43" s="50">
        <v>1</v>
      </c>
      <c r="L43" s="50">
        <v>0</v>
      </c>
      <c r="M43" s="50">
        <v>23</v>
      </c>
      <c r="N43" s="50">
        <v>0</v>
      </c>
      <c r="O43" s="15">
        <f t="shared" si="0"/>
        <v>16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2</v>
      </c>
      <c r="K44" s="50">
        <v>1</v>
      </c>
      <c r="L44" s="50">
        <v>0</v>
      </c>
      <c r="M44" s="50">
        <v>11</v>
      </c>
      <c r="N44" s="50">
        <v>0</v>
      </c>
      <c r="O44" s="15">
        <f t="shared" si="0"/>
        <v>9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5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10</v>
      </c>
      <c r="P45" s="15">
        <f t="shared" si="1"/>
        <v>25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1</v>
      </c>
      <c r="J46" s="50">
        <v>2</v>
      </c>
      <c r="K46" s="50">
        <v>2</v>
      </c>
      <c r="L46" s="50">
        <v>0</v>
      </c>
      <c r="M46" s="50">
        <v>14</v>
      </c>
      <c r="N46" s="50">
        <v>0</v>
      </c>
      <c r="O46" s="15">
        <f t="shared" si="0"/>
        <v>13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8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1</v>
      </c>
      <c r="K48" s="50">
        <v>3</v>
      </c>
      <c r="L48" s="50">
        <v>0</v>
      </c>
      <c r="M48" s="50">
        <v>17</v>
      </c>
      <c r="N48" s="50">
        <v>0</v>
      </c>
      <c r="O48" s="15">
        <f t="shared" si="0"/>
        <v>6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1</v>
      </c>
      <c r="I49" s="50">
        <v>0</v>
      </c>
      <c r="J49" s="50">
        <v>0</v>
      </c>
      <c r="K49" s="50">
        <v>2</v>
      </c>
      <c r="L49" s="50">
        <v>0</v>
      </c>
      <c r="M49" s="50">
        <v>16</v>
      </c>
      <c r="N49" s="50">
        <v>0</v>
      </c>
      <c r="O49" s="15">
        <f t="shared" si="0"/>
        <v>4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1</v>
      </c>
      <c r="I50" s="50">
        <v>4</v>
      </c>
      <c r="J50" s="50">
        <v>0</v>
      </c>
      <c r="K50" s="50">
        <v>3</v>
      </c>
      <c r="L50" s="50">
        <v>0</v>
      </c>
      <c r="M50" s="50">
        <v>16</v>
      </c>
      <c r="N50" s="50">
        <v>0</v>
      </c>
      <c r="O50" s="15">
        <f t="shared" si="0"/>
        <v>10</v>
      </c>
      <c r="P50" s="15">
        <f t="shared" si="1"/>
        <v>26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0</v>
      </c>
      <c r="F51" s="50">
        <v>5</v>
      </c>
      <c r="G51" s="50">
        <v>0</v>
      </c>
      <c r="H51" s="50">
        <v>1</v>
      </c>
      <c r="I51" s="50">
        <v>1</v>
      </c>
      <c r="J51" s="50">
        <v>2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14</v>
      </c>
      <c r="P51" s="15">
        <f t="shared" si="1"/>
        <v>31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4</v>
      </c>
      <c r="K52" s="50">
        <v>3</v>
      </c>
      <c r="L52" s="50">
        <v>0</v>
      </c>
      <c r="M52" s="50">
        <v>12</v>
      </c>
      <c r="N52" s="50">
        <v>1</v>
      </c>
      <c r="O52" s="15">
        <f t="shared" si="0"/>
        <v>13</v>
      </c>
      <c r="P52" s="15">
        <f t="shared" si="1"/>
        <v>25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5</v>
      </c>
      <c r="J53" s="50">
        <v>3</v>
      </c>
      <c r="K53" s="50">
        <v>1</v>
      </c>
      <c r="L53" s="50">
        <v>0</v>
      </c>
      <c r="M53" s="50">
        <v>14</v>
      </c>
      <c r="N53" s="50">
        <v>0</v>
      </c>
      <c r="O53" s="15">
        <f t="shared" si="0"/>
        <v>13</v>
      </c>
      <c r="P53" s="15">
        <f t="shared" si="1"/>
        <v>27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7</v>
      </c>
      <c r="P54" s="15">
        <f t="shared" si="1"/>
        <v>19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1</v>
      </c>
      <c r="M55" s="50">
        <v>14</v>
      </c>
      <c r="N55" s="50">
        <v>0</v>
      </c>
      <c r="O55" s="15">
        <f t="shared" si="0"/>
        <v>8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5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3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6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104</v>
      </c>
      <c r="D58" s="16">
        <f t="shared" si="21"/>
        <v>17</v>
      </c>
      <c r="E58" s="16">
        <f t="shared" si="21"/>
        <v>6</v>
      </c>
      <c r="F58" s="16">
        <f t="shared" si="21"/>
        <v>56</v>
      </c>
      <c r="G58" s="16">
        <f t="shared" si="21"/>
        <v>2</v>
      </c>
      <c r="H58" s="16">
        <f t="shared" si="21"/>
        <v>3</v>
      </c>
      <c r="I58" s="16">
        <f t="shared" si="21"/>
        <v>41</v>
      </c>
      <c r="J58" s="16">
        <f t="shared" si="21"/>
        <v>47</v>
      </c>
      <c r="K58" s="16">
        <f t="shared" si="21"/>
        <v>31</v>
      </c>
      <c r="L58" s="16">
        <f t="shared" si="21"/>
        <v>3</v>
      </c>
      <c r="M58" s="16">
        <f t="shared" si="21"/>
        <v>582</v>
      </c>
      <c r="N58" s="16">
        <f t="shared" si="21"/>
        <v>1</v>
      </c>
      <c r="O58" s="16">
        <f t="shared" si="21"/>
        <v>311</v>
      </c>
      <c r="P58" s="16">
        <f t="shared" si="21"/>
        <v>893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0.11646136618141098</v>
      </c>
      <c r="D59" s="43">
        <f t="shared" si="22"/>
        <v>1.9036954087346025E-2</v>
      </c>
      <c r="E59" s="43">
        <f t="shared" si="22"/>
        <v>6.7189249720044789E-3</v>
      </c>
      <c r="F59" s="43">
        <f t="shared" si="22"/>
        <v>6.2709966405375142E-2</v>
      </c>
      <c r="G59" s="43">
        <f t="shared" si="22"/>
        <v>2.2396416573348264E-3</v>
      </c>
      <c r="H59" s="43">
        <f t="shared" si="22"/>
        <v>3.3594624860022394E-3</v>
      </c>
      <c r="I59" s="43">
        <f t="shared" si="22"/>
        <v>4.591265397536394E-2</v>
      </c>
      <c r="J59" s="43">
        <f t="shared" si="22"/>
        <v>5.2631578947368418E-2</v>
      </c>
      <c r="K59" s="43">
        <f t="shared" si="22"/>
        <v>3.471444568868981E-2</v>
      </c>
      <c r="L59" s="43">
        <f t="shared" si="22"/>
        <v>3.3594624860022394E-3</v>
      </c>
      <c r="M59" s="43">
        <f t="shared" si="22"/>
        <v>0.65173572228443444</v>
      </c>
      <c r="N59" s="43">
        <f t="shared" si="22"/>
        <v>1.1198208286674132E-3</v>
      </c>
      <c r="R59" s="8"/>
      <c r="T59"/>
    </row>
    <row r="60" spans="2:20" ht="23.1" customHeight="1" x14ac:dyDescent="0.25">
      <c r="B60" s="42" t="s">
        <v>94</v>
      </c>
      <c r="C60" s="44">
        <f>C58/$O$58</f>
        <v>0.33440514469453375</v>
      </c>
      <c r="D60" s="44">
        <f t="shared" ref="D60:N60" si="23">D58/$O$58</f>
        <v>5.4662379421221867E-2</v>
      </c>
      <c r="E60" s="44">
        <f t="shared" si="23"/>
        <v>1.9292604501607719E-2</v>
      </c>
      <c r="F60" s="44">
        <f t="shared" si="23"/>
        <v>0.18006430868167203</v>
      </c>
      <c r="G60" s="44">
        <f t="shared" si="23"/>
        <v>6.4308681672025723E-3</v>
      </c>
      <c r="H60" s="44">
        <f t="shared" si="23"/>
        <v>9.6463022508038593E-3</v>
      </c>
      <c r="I60" s="44">
        <f t="shared" si="23"/>
        <v>0.13183279742765272</v>
      </c>
      <c r="J60" s="44">
        <f t="shared" si="23"/>
        <v>0.15112540192926044</v>
      </c>
      <c r="K60" s="44">
        <f t="shared" si="23"/>
        <v>9.9678456591639875E-2</v>
      </c>
      <c r="L60" s="44">
        <f t="shared" si="23"/>
        <v>9.6463022508038593E-3</v>
      </c>
      <c r="M60" s="44"/>
      <c r="N60" s="44">
        <f t="shared" si="23"/>
        <v>3.2154340836012861E-3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L50" sqref="L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62" t="s">
        <v>183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0" t="s">
        <v>171</v>
      </c>
      <c r="H5" s="61"/>
      <c r="I5" s="14"/>
      <c r="J5" s="2" t="s">
        <v>5</v>
      </c>
      <c r="K5" s="60" t="s">
        <v>172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169</v>
      </c>
      <c r="E6" s="61"/>
      <c r="F6" s="2" t="s">
        <v>2</v>
      </c>
      <c r="G6" s="60" t="s">
        <v>170</v>
      </c>
      <c r="H6" s="61"/>
      <c r="J6" s="2" t="s">
        <v>21</v>
      </c>
      <c r="K6" s="60" t="s">
        <v>173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0</v>
      </c>
      <c r="M10" s="50">
        <v>13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11</v>
      </c>
      <c r="T10" s="17">
        <f t="shared" si="2"/>
        <v>1</v>
      </c>
      <c r="U10" s="17">
        <f t="shared" si="2"/>
        <v>0</v>
      </c>
      <c r="V10" s="17">
        <f t="shared" si="2"/>
        <v>8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9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35</v>
      </c>
      <c r="AF10" s="31">
        <f t="shared" si="2"/>
        <v>78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4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9</v>
      </c>
      <c r="N11" s="50">
        <v>0</v>
      </c>
      <c r="O11" s="15">
        <f t="shared" si="0"/>
        <v>9</v>
      </c>
      <c r="P11" s="15">
        <f t="shared" si="1"/>
        <v>18</v>
      </c>
      <c r="R11" s="1" t="s">
        <v>7</v>
      </c>
      <c r="S11" s="17">
        <f t="shared" ref="S11:AF11" si="3">SUM(C14:C17)</f>
        <v>15</v>
      </c>
      <c r="T11" s="17">
        <f t="shared" si="3"/>
        <v>0</v>
      </c>
      <c r="U11" s="17">
        <f t="shared" si="3"/>
        <v>1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0</v>
      </c>
      <c r="AA11" s="17">
        <f t="shared" si="3"/>
        <v>5</v>
      </c>
      <c r="AB11" s="17">
        <f t="shared" si="3"/>
        <v>0</v>
      </c>
      <c r="AC11" s="17">
        <f t="shared" si="3"/>
        <v>40</v>
      </c>
      <c r="AD11" s="17">
        <f t="shared" si="3"/>
        <v>0</v>
      </c>
      <c r="AE11" s="31">
        <f t="shared" si="3"/>
        <v>33</v>
      </c>
      <c r="AF11" s="31">
        <f t="shared" si="3"/>
        <v>73</v>
      </c>
    </row>
    <row r="12" spans="2:32" ht="23.1" customHeight="1" x14ac:dyDescent="0.25">
      <c r="B12" s="23" t="s">
        <v>39</v>
      </c>
      <c r="C12" s="50">
        <v>6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13</v>
      </c>
      <c r="N12" s="50">
        <v>0</v>
      </c>
      <c r="O12" s="15">
        <f t="shared" si="0"/>
        <v>10</v>
      </c>
      <c r="P12" s="15">
        <f t="shared" si="1"/>
        <v>23</v>
      </c>
      <c r="R12" s="1" t="s">
        <v>8</v>
      </c>
      <c r="S12" s="17">
        <f t="shared" ref="S12:AF12" si="4">SUM(C18:C21)</f>
        <v>14</v>
      </c>
      <c r="T12" s="17">
        <f t="shared" si="4"/>
        <v>1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4</v>
      </c>
      <c r="AB12" s="17">
        <f t="shared" si="4"/>
        <v>0</v>
      </c>
      <c r="AC12" s="17">
        <f t="shared" si="4"/>
        <v>57</v>
      </c>
      <c r="AD12" s="17">
        <f t="shared" si="4"/>
        <v>0</v>
      </c>
      <c r="AE12" s="31">
        <f t="shared" si="4"/>
        <v>27</v>
      </c>
      <c r="AF12" s="31">
        <f t="shared" si="4"/>
        <v>84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3</v>
      </c>
      <c r="G13" s="50">
        <v>0</v>
      </c>
      <c r="H13" s="50">
        <v>0</v>
      </c>
      <c r="I13" s="50">
        <v>1</v>
      </c>
      <c r="J13" s="50">
        <v>1</v>
      </c>
      <c r="K13" s="50">
        <v>5</v>
      </c>
      <c r="L13" s="50">
        <v>0</v>
      </c>
      <c r="M13" s="50">
        <v>8</v>
      </c>
      <c r="N13" s="50">
        <v>0</v>
      </c>
      <c r="O13" s="15">
        <f t="shared" si="0"/>
        <v>12</v>
      </c>
      <c r="P13" s="15">
        <f t="shared" si="1"/>
        <v>20</v>
      </c>
      <c r="R13" s="1" t="s">
        <v>9</v>
      </c>
      <c r="S13" s="17">
        <f t="shared" ref="S13:AF13" si="5">SUM(C22:C25)</f>
        <v>12</v>
      </c>
      <c r="T13" s="17">
        <f t="shared" si="5"/>
        <v>1</v>
      </c>
      <c r="U13" s="17">
        <f t="shared" si="5"/>
        <v>0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7</v>
      </c>
      <c r="AB13" s="17">
        <f t="shared" si="5"/>
        <v>0</v>
      </c>
      <c r="AC13" s="17">
        <f t="shared" si="5"/>
        <v>5</v>
      </c>
      <c r="AD13" s="17">
        <f t="shared" si="5"/>
        <v>0</v>
      </c>
      <c r="AE13" s="31">
        <f t="shared" si="5"/>
        <v>28</v>
      </c>
      <c r="AF13" s="31">
        <f t="shared" si="5"/>
        <v>33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2</v>
      </c>
      <c r="L14" s="50">
        <v>0</v>
      </c>
      <c r="M14" s="50">
        <v>10</v>
      </c>
      <c r="N14" s="50">
        <v>0</v>
      </c>
      <c r="O14" s="15">
        <f t="shared" si="0"/>
        <v>10</v>
      </c>
      <c r="P14" s="15">
        <f t="shared" si="1"/>
        <v>20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1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23</v>
      </c>
      <c r="AD14" s="17">
        <f t="shared" si="6"/>
        <v>0</v>
      </c>
      <c r="AE14" s="31">
        <f t="shared" si="6"/>
        <v>17</v>
      </c>
      <c r="AF14" s="31">
        <f t="shared" si="6"/>
        <v>40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1</v>
      </c>
      <c r="L15" s="50">
        <v>0</v>
      </c>
      <c r="M15" s="50">
        <v>11</v>
      </c>
      <c r="N15" s="50">
        <v>0</v>
      </c>
      <c r="O15" s="15">
        <f t="shared" si="0"/>
        <v>8</v>
      </c>
      <c r="P15" s="15">
        <f t="shared" si="1"/>
        <v>19</v>
      </c>
      <c r="R15" s="1" t="s">
        <v>11</v>
      </c>
      <c r="S15" s="17">
        <f t="shared" ref="S15:AF15" si="7">SUM(C30:C33)</f>
        <v>12</v>
      </c>
      <c r="T15" s="17">
        <f t="shared" si="7"/>
        <v>2</v>
      </c>
      <c r="U15" s="17">
        <f t="shared" si="7"/>
        <v>1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29</v>
      </c>
      <c r="AD15" s="17">
        <f t="shared" si="7"/>
        <v>0</v>
      </c>
      <c r="AE15" s="31">
        <f t="shared" si="7"/>
        <v>23</v>
      </c>
      <c r="AF15" s="31">
        <f t="shared" si="7"/>
        <v>52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12</v>
      </c>
      <c r="N16" s="50">
        <v>0</v>
      </c>
      <c r="O16" s="15">
        <f t="shared" si="0"/>
        <v>6</v>
      </c>
      <c r="P16" s="15">
        <f t="shared" si="1"/>
        <v>18</v>
      </c>
      <c r="R16" s="1" t="s">
        <v>12</v>
      </c>
      <c r="S16" s="17">
        <f t="shared" ref="S16:AF16" si="8">SUM(C34:C37)</f>
        <v>9</v>
      </c>
      <c r="T16" s="17">
        <f t="shared" si="8"/>
        <v>0</v>
      </c>
      <c r="U16" s="17">
        <f t="shared" si="8"/>
        <v>1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1</v>
      </c>
      <c r="AA16" s="17">
        <f t="shared" si="8"/>
        <v>4</v>
      </c>
      <c r="AB16" s="17">
        <f t="shared" si="8"/>
        <v>0</v>
      </c>
      <c r="AC16" s="17">
        <f t="shared" si="8"/>
        <v>36</v>
      </c>
      <c r="AD16" s="17">
        <f t="shared" si="8"/>
        <v>0</v>
      </c>
      <c r="AE16" s="31">
        <f t="shared" si="8"/>
        <v>30</v>
      </c>
      <c r="AF16" s="31">
        <f t="shared" si="8"/>
        <v>66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3</v>
      </c>
      <c r="J17" s="50">
        <v>0</v>
      </c>
      <c r="K17" s="50">
        <v>1</v>
      </c>
      <c r="L17" s="50">
        <v>0</v>
      </c>
      <c r="M17" s="50">
        <v>7</v>
      </c>
      <c r="N17" s="50">
        <v>0</v>
      </c>
      <c r="O17" s="15">
        <f t="shared" si="0"/>
        <v>9</v>
      </c>
      <c r="P17" s="15">
        <f t="shared" si="1"/>
        <v>16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0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45</v>
      </c>
      <c r="AD17" s="17">
        <f t="shared" si="9"/>
        <v>0</v>
      </c>
      <c r="AE17" s="31">
        <f t="shared" si="9"/>
        <v>22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7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1</v>
      </c>
      <c r="L18" s="50">
        <v>0</v>
      </c>
      <c r="M18" s="50">
        <v>17</v>
      </c>
      <c r="N18" s="50">
        <v>0</v>
      </c>
      <c r="O18" s="15">
        <f t="shared" si="0"/>
        <v>11</v>
      </c>
      <c r="P18" s="15">
        <f t="shared" si="1"/>
        <v>28</v>
      </c>
      <c r="R18" s="1" t="s">
        <v>14</v>
      </c>
      <c r="S18" s="17">
        <f t="shared" ref="S18:AF18" si="10">SUM(C42:C45)</f>
        <v>12</v>
      </c>
      <c r="T18" s="17">
        <f t="shared" si="10"/>
        <v>1</v>
      </c>
      <c r="U18" s="17">
        <f t="shared" si="10"/>
        <v>1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3</v>
      </c>
      <c r="AB18" s="17">
        <f t="shared" si="10"/>
        <v>1</v>
      </c>
      <c r="AC18" s="17">
        <f t="shared" si="10"/>
        <v>66</v>
      </c>
      <c r="AD18" s="17">
        <f t="shared" si="10"/>
        <v>0</v>
      </c>
      <c r="AE18" s="31">
        <f t="shared" si="10"/>
        <v>33</v>
      </c>
      <c r="AF18" s="31">
        <f t="shared" si="10"/>
        <v>99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15</v>
      </c>
      <c r="N19" s="50">
        <v>0</v>
      </c>
      <c r="O19" s="15">
        <f t="shared" si="0"/>
        <v>6</v>
      </c>
      <c r="P19" s="15">
        <f t="shared" si="1"/>
        <v>21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0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6</v>
      </c>
      <c r="AB19" s="17">
        <f t="shared" si="11"/>
        <v>0</v>
      </c>
      <c r="AC19" s="17">
        <f t="shared" si="11"/>
        <v>48</v>
      </c>
      <c r="AD19" s="17">
        <f t="shared" si="11"/>
        <v>0</v>
      </c>
      <c r="AE19" s="31">
        <f t="shared" si="11"/>
        <v>23</v>
      </c>
      <c r="AF19" s="31">
        <f t="shared" si="11"/>
        <v>71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2</v>
      </c>
      <c r="L20" s="50">
        <v>0</v>
      </c>
      <c r="M20" s="50">
        <v>14</v>
      </c>
      <c r="N20" s="50">
        <v>0</v>
      </c>
      <c r="O20" s="15">
        <f t="shared" si="0"/>
        <v>4</v>
      </c>
      <c r="P20" s="15">
        <f t="shared" si="1"/>
        <v>18</v>
      </c>
      <c r="R20" s="1" t="s">
        <v>16</v>
      </c>
      <c r="S20" s="17">
        <f t="shared" ref="S20:AF20" si="12">SUM(C50:C53)</f>
        <v>19</v>
      </c>
      <c r="T20" s="17">
        <f t="shared" si="12"/>
        <v>3</v>
      </c>
      <c r="U20" s="17">
        <f t="shared" si="12"/>
        <v>1</v>
      </c>
      <c r="V20" s="17">
        <f t="shared" si="12"/>
        <v>12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7</v>
      </c>
      <c r="AB20" s="17">
        <f t="shared" si="12"/>
        <v>0</v>
      </c>
      <c r="AC20" s="17">
        <f t="shared" si="12"/>
        <v>68</v>
      </c>
      <c r="AD20" s="17">
        <f t="shared" si="12"/>
        <v>0</v>
      </c>
      <c r="AE20" s="31">
        <f t="shared" si="12"/>
        <v>46</v>
      </c>
      <c r="AF20" s="31">
        <f t="shared" si="12"/>
        <v>114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6</v>
      </c>
      <c r="P21" s="15">
        <f t="shared" si="1"/>
        <v>17</v>
      </c>
      <c r="R21" s="36" t="s">
        <v>20</v>
      </c>
      <c r="S21" s="34">
        <f t="shared" ref="S21:AF21" si="13">SUM(C54:C57)</f>
        <v>17</v>
      </c>
      <c r="T21" s="17">
        <f t="shared" si="13"/>
        <v>0</v>
      </c>
      <c r="U21" s="17">
        <f t="shared" si="13"/>
        <v>1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4</v>
      </c>
      <c r="AA21" s="17">
        <f t="shared" si="13"/>
        <v>10</v>
      </c>
      <c r="AB21" s="17">
        <f t="shared" si="13"/>
        <v>1</v>
      </c>
      <c r="AC21" s="17">
        <f t="shared" si="13"/>
        <v>80</v>
      </c>
      <c r="AD21" s="17">
        <f t="shared" si="13"/>
        <v>0</v>
      </c>
      <c r="AE21" s="31">
        <f t="shared" si="13"/>
        <v>57</v>
      </c>
      <c r="AF21" s="31">
        <f t="shared" si="13"/>
        <v>137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4</v>
      </c>
      <c r="G22" s="50">
        <v>0</v>
      </c>
      <c r="H22" s="50">
        <v>0</v>
      </c>
      <c r="I22" s="50">
        <v>1</v>
      </c>
      <c r="J22" s="50">
        <v>0</v>
      </c>
      <c r="K22" s="50">
        <v>5</v>
      </c>
      <c r="L22" s="50">
        <v>0</v>
      </c>
      <c r="M22" s="50">
        <v>1</v>
      </c>
      <c r="N22" s="50">
        <v>0</v>
      </c>
      <c r="O22" s="15">
        <f t="shared" si="0"/>
        <v>14</v>
      </c>
      <c r="P22" s="15">
        <f t="shared" si="1"/>
        <v>15</v>
      </c>
      <c r="R22" s="38" t="s">
        <v>90</v>
      </c>
      <c r="S22" s="39">
        <f>MAX(S10:S12)</f>
        <v>15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8</v>
      </c>
      <c r="W22" s="39">
        <f t="shared" si="14"/>
        <v>0</v>
      </c>
      <c r="X22" s="39">
        <f t="shared" si="14"/>
        <v>0</v>
      </c>
      <c r="Y22" s="39">
        <f t="shared" si="14"/>
        <v>8</v>
      </c>
      <c r="Z22" s="39">
        <f t="shared" si="14"/>
        <v>1</v>
      </c>
      <c r="AA22" s="39">
        <f t="shared" si="14"/>
        <v>9</v>
      </c>
      <c r="AB22" s="39">
        <f t="shared" si="14"/>
        <v>0</v>
      </c>
      <c r="AC22" s="39">
        <f t="shared" si="14"/>
        <v>57</v>
      </c>
      <c r="AD22" s="39">
        <f t="shared" si="14"/>
        <v>0</v>
      </c>
      <c r="AE22" s="40">
        <f t="shared" si="14"/>
        <v>35</v>
      </c>
      <c r="AF22" s="40">
        <f t="shared" si="14"/>
        <v>84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2</v>
      </c>
      <c r="P23" s="15">
        <f t="shared" si="1"/>
        <v>3</v>
      </c>
      <c r="R23" s="38" t="s">
        <v>91</v>
      </c>
      <c r="S23" s="39">
        <f>MAX(S13:S18)</f>
        <v>13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9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7</v>
      </c>
      <c r="AB23" s="39">
        <f t="shared" si="15"/>
        <v>1</v>
      </c>
      <c r="AC23" s="39">
        <f t="shared" si="15"/>
        <v>66</v>
      </c>
      <c r="AD23" s="39">
        <f t="shared" si="15"/>
        <v>0</v>
      </c>
      <c r="AE23" s="40">
        <f t="shared" si="15"/>
        <v>33</v>
      </c>
      <c r="AF23" s="40">
        <f t="shared" si="15"/>
        <v>99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2</v>
      </c>
      <c r="N24" s="50">
        <v>0</v>
      </c>
      <c r="O24" s="15">
        <f t="shared" si="0"/>
        <v>7</v>
      </c>
      <c r="P24" s="15">
        <f t="shared" si="1"/>
        <v>9</v>
      </c>
      <c r="R24" s="38" t="s">
        <v>92</v>
      </c>
      <c r="S24" s="39">
        <f>MAX(S19:S21)</f>
        <v>19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12</v>
      </c>
      <c r="W24" s="39">
        <f t="shared" si="16"/>
        <v>0</v>
      </c>
      <c r="X24" s="39">
        <f t="shared" si="16"/>
        <v>0</v>
      </c>
      <c r="Y24" s="39">
        <f t="shared" si="16"/>
        <v>13</v>
      </c>
      <c r="Z24" s="39">
        <f t="shared" si="16"/>
        <v>4</v>
      </c>
      <c r="AA24" s="39">
        <f t="shared" si="16"/>
        <v>10</v>
      </c>
      <c r="AB24" s="39">
        <f t="shared" si="16"/>
        <v>1</v>
      </c>
      <c r="AC24" s="39">
        <f t="shared" si="16"/>
        <v>80</v>
      </c>
      <c r="AD24" s="39">
        <f t="shared" si="16"/>
        <v>0</v>
      </c>
      <c r="AE24" s="40">
        <f t="shared" si="16"/>
        <v>57</v>
      </c>
      <c r="AF24" s="40">
        <f t="shared" si="16"/>
        <v>137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1</v>
      </c>
      <c r="N25" s="50">
        <v>0</v>
      </c>
      <c r="O25" s="15">
        <f t="shared" si="0"/>
        <v>5</v>
      </c>
      <c r="P25" s="15">
        <f t="shared" si="1"/>
        <v>6</v>
      </c>
      <c r="R25" s="37" t="s">
        <v>85</v>
      </c>
      <c r="S25" s="35">
        <f t="shared" ref="S25:AF25" si="17">SUM(S10:S12)</f>
        <v>40</v>
      </c>
      <c r="T25" s="16">
        <f t="shared" si="17"/>
        <v>2</v>
      </c>
      <c r="U25" s="16">
        <f t="shared" si="17"/>
        <v>1</v>
      </c>
      <c r="V25" s="16">
        <f t="shared" si="17"/>
        <v>14</v>
      </c>
      <c r="W25" s="16">
        <f t="shared" si="17"/>
        <v>0</v>
      </c>
      <c r="X25" s="16">
        <f t="shared" si="17"/>
        <v>0</v>
      </c>
      <c r="Y25" s="16">
        <f t="shared" si="17"/>
        <v>19</v>
      </c>
      <c r="Z25" s="16">
        <f t="shared" si="17"/>
        <v>1</v>
      </c>
      <c r="AA25" s="16">
        <f t="shared" si="17"/>
        <v>18</v>
      </c>
      <c r="AB25" s="16">
        <f t="shared" si="17"/>
        <v>0</v>
      </c>
      <c r="AC25" s="16">
        <f t="shared" si="17"/>
        <v>140</v>
      </c>
      <c r="AD25" s="16">
        <f t="shared" si="17"/>
        <v>0</v>
      </c>
      <c r="AE25" s="32">
        <f t="shared" si="17"/>
        <v>95</v>
      </c>
      <c r="AF25" s="32">
        <f t="shared" si="17"/>
        <v>235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8</v>
      </c>
      <c r="N26" s="50">
        <v>0</v>
      </c>
      <c r="O26" s="15">
        <f t="shared" si="0"/>
        <v>6</v>
      </c>
      <c r="P26" s="15">
        <f t="shared" si="1"/>
        <v>14</v>
      </c>
      <c r="R26" s="28" t="s">
        <v>86</v>
      </c>
      <c r="S26" s="16">
        <f t="shared" ref="S26:AF26" si="18">SUM(S13:S18)</f>
        <v>61</v>
      </c>
      <c r="T26" s="16">
        <f t="shared" si="18"/>
        <v>4</v>
      </c>
      <c r="U26" s="16">
        <f t="shared" si="18"/>
        <v>4</v>
      </c>
      <c r="V26" s="16">
        <f t="shared" si="18"/>
        <v>38</v>
      </c>
      <c r="W26" s="16">
        <f t="shared" si="18"/>
        <v>0</v>
      </c>
      <c r="X26" s="16">
        <f t="shared" si="18"/>
        <v>0</v>
      </c>
      <c r="Y26" s="16">
        <f t="shared" si="18"/>
        <v>25</v>
      </c>
      <c r="Z26" s="16">
        <f t="shared" si="18"/>
        <v>1</v>
      </c>
      <c r="AA26" s="16">
        <f t="shared" si="18"/>
        <v>19</v>
      </c>
      <c r="AB26" s="16">
        <f t="shared" si="18"/>
        <v>1</v>
      </c>
      <c r="AC26" s="16">
        <f t="shared" si="18"/>
        <v>204</v>
      </c>
      <c r="AD26" s="16">
        <f t="shared" si="18"/>
        <v>0</v>
      </c>
      <c r="AE26" s="32">
        <f t="shared" si="18"/>
        <v>153</v>
      </c>
      <c r="AF26" s="32">
        <f t="shared" si="18"/>
        <v>357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1</v>
      </c>
      <c r="L27" s="50">
        <v>0</v>
      </c>
      <c r="M27" s="50">
        <v>6</v>
      </c>
      <c r="N27" s="50">
        <v>0</v>
      </c>
      <c r="O27" s="15">
        <f t="shared" si="0"/>
        <v>5</v>
      </c>
      <c r="P27" s="15">
        <f t="shared" si="1"/>
        <v>11</v>
      </c>
      <c r="R27" s="29" t="s">
        <v>87</v>
      </c>
      <c r="S27" s="16">
        <f t="shared" ref="S27:AF27" si="19">SUM(S19:S21)</f>
        <v>42</v>
      </c>
      <c r="T27" s="16">
        <f t="shared" si="19"/>
        <v>3</v>
      </c>
      <c r="U27" s="16">
        <f t="shared" si="19"/>
        <v>2</v>
      </c>
      <c r="V27" s="16">
        <f t="shared" si="19"/>
        <v>29</v>
      </c>
      <c r="W27" s="16">
        <f t="shared" si="19"/>
        <v>0</v>
      </c>
      <c r="X27" s="16">
        <f t="shared" si="19"/>
        <v>0</v>
      </c>
      <c r="Y27" s="16">
        <f t="shared" si="19"/>
        <v>21</v>
      </c>
      <c r="Z27" s="16">
        <f t="shared" si="19"/>
        <v>5</v>
      </c>
      <c r="AA27" s="16">
        <f t="shared" si="19"/>
        <v>23</v>
      </c>
      <c r="AB27" s="16">
        <f t="shared" si="19"/>
        <v>1</v>
      </c>
      <c r="AC27" s="16">
        <f t="shared" si="19"/>
        <v>196</v>
      </c>
      <c r="AD27" s="16">
        <f t="shared" si="19"/>
        <v>0</v>
      </c>
      <c r="AE27" s="32">
        <f t="shared" si="19"/>
        <v>126</v>
      </c>
      <c r="AF27" s="32">
        <f t="shared" si="19"/>
        <v>322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2</v>
      </c>
      <c r="P28" s="15">
        <f t="shared" si="1"/>
        <v>7</v>
      </c>
      <c r="R28" s="5" t="s">
        <v>17</v>
      </c>
      <c r="S28" s="16">
        <f t="shared" ref="S28:AF28" si="20">SUM(S10:S21)</f>
        <v>143</v>
      </c>
      <c r="T28" s="16">
        <f t="shared" si="20"/>
        <v>9</v>
      </c>
      <c r="U28" s="16">
        <f t="shared" si="20"/>
        <v>7</v>
      </c>
      <c r="V28" s="16">
        <f t="shared" si="20"/>
        <v>81</v>
      </c>
      <c r="W28" s="16">
        <f t="shared" si="20"/>
        <v>0</v>
      </c>
      <c r="X28" s="16">
        <f t="shared" si="20"/>
        <v>0</v>
      </c>
      <c r="Y28" s="16">
        <f t="shared" si="20"/>
        <v>65</v>
      </c>
      <c r="Z28" s="16">
        <f t="shared" si="20"/>
        <v>7</v>
      </c>
      <c r="AA28" s="16">
        <f t="shared" si="20"/>
        <v>60</v>
      </c>
      <c r="AB28" s="16">
        <f t="shared" si="20"/>
        <v>2</v>
      </c>
      <c r="AC28" s="16">
        <f t="shared" si="20"/>
        <v>540</v>
      </c>
      <c r="AD28" s="16">
        <f t="shared" si="20"/>
        <v>0</v>
      </c>
      <c r="AE28" s="32">
        <f t="shared" si="20"/>
        <v>374</v>
      </c>
      <c r="AF28" s="32">
        <f t="shared" si="20"/>
        <v>914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4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4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3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5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4</v>
      </c>
      <c r="N32" s="50">
        <v>0</v>
      </c>
      <c r="O32" s="15">
        <f t="shared" si="0"/>
        <v>7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7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7</v>
      </c>
      <c r="P33" s="15">
        <f t="shared" si="1"/>
        <v>19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4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9</v>
      </c>
      <c r="N35" s="50">
        <v>0</v>
      </c>
      <c r="O35" s="15">
        <f t="shared" si="0"/>
        <v>6</v>
      </c>
      <c r="P35" s="15">
        <f t="shared" si="1"/>
        <v>15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3</v>
      </c>
      <c r="G36" s="50">
        <v>0</v>
      </c>
      <c r="H36" s="50">
        <v>0</v>
      </c>
      <c r="I36" s="50">
        <v>7</v>
      </c>
      <c r="J36" s="50">
        <v>0</v>
      </c>
      <c r="K36" s="50">
        <v>1</v>
      </c>
      <c r="L36" s="50">
        <v>0</v>
      </c>
      <c r="M36" s="50">
        <v>5</v>
      </c>
      <c r="N36" s="50">
        <v>0</v>
      </c>
      <c r="O36" s="15">
        <f t="shared" si="0"/>
        <v>11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3</v>
      </c>
      <c r="L37" s="50">
        <v>0</v>
      </c>
      <c r="M37" s="50">
        <v>14</v>
      </c>
      <c r="N37" s="50">
        <v>0</v>
      </c>
      <c r="O37" s="15">
        <f t="shared" si="0"/>
        <v>9</v>
      </c>
      <c r="P37" s="15">
        <f t="shared" si="1"/>
        <v>23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2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6</v>
      </c>
      <c r="P39" s="15">
        <f t="shared" si="1"/>
        <v>16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4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3</v>
      </c>
      <c r="G41" s="50">
        <v>0</v>
      </c>
      <c r="H41" s="50">
        <v>0</v>
      </c>
      <c r="I41" s="50">
        <v>2</v>
      </c>
      <c r="J41" s="50">
        <v>0</v>
      </c>
      <c r="K41" s="50">
        <v>2</v>
      </c>
      <c r="L41" s="50">
        <v>0</v>
      </c>
      <c r="M41" s="50">
        <v>17</v>
      </c>
      <c r="N41" s="50">
        <v>0</v>
      </c>
      <c r="O41" s="15">
        <f t="shared" si="0"/>
        <v>10</v>
      </c>
      <c r="P41" s="15">
        <f t="shared" si="1"/>
        <v>27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1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21</v>
      </c>
      <c r="N42" s="50">
        <v>0</v>
      </c>
      <c r="O42" s="15">
        <f t="shared" si="0"/>
        <v>8</v>
      </c>
      <c r="P42" s="15">
        <f t="shared" si="1"/>
        <v>29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0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1</v>
      </c>
      <c r="L43" s="50">
        <v>0</v>
      </c>
      <c r="M43" s="50">
        <v>12</v>
      </c>
      <c r="N43" s="50">
        <v>0</v>
      </c>
      <c r="O43" s="15">
        <f t="shared" si="0"/>
        <v>10</v>
      </c>
      <c r="P43" s="15">
        <f t="shared" si="1"/>
        <v>22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12</v>
      </c>
      <c r="N44" s="50">
        <v>0</v>
      </c>
      <c r="O44" s="15">
        <f t="shared" si="0"/>
        <v>4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4</v>
      </c>
      <c r="G45" s="50">
        <v>0</v>
      </c>
      <c r="H45" s="50">
        <v>0</v>
      </c>
      <c r="I45" s="50">
        <v>4</v>
      </c>
      <c r="J45" s="50">
        <v>0</v>
      </c>
      <c r="K45" s="50">
        <v>1</v>
      </c>
      <c r="L45" s="50">
        <v>0</v>
      </c>
      <c r="M45" s="50">
        <v>21</v>
      </c>
      <c r="N45" s="50">
        <v>0</v>
      </c>
      <c r="O45" s="15">
        <f t="shared" si="0"/>
        <v>11</v>
      </c>
      <c r="P45" s="15">
        <f t="shared" si="1"/>
        <v>32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1</v>
      </c>
      <c r="J46" s="50">
        <v>0</v>
      </c>
      <c r="K46" s="50">
        <v>3</v>
      </c>
      <c r="L46" s="50">
        <v>0</v>
      </c>
      <c r="M46" s="50">
        <v>8</v>
      </c>
      <c r="N46" s="50">
        <v>0</v>
      </c>
      <c r="O46" s="15">
        <f t="shared" si="0"/>
        <v>9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11</v>
      </c>
      <c r="N47" s="50">
        <v>0</v>
      </c>
      <c r="O47" s="15">
        <f t="shared" si="0"/>
        <v>7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1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1</v>
      </c>
      <c r="K49" s="50">
        <v>2</v>
      </c>
      <c r="L49" s="50">
        <v>0</v>
      </c>
      <c r="M49" s="50">
        <v>19</v>
      </c>
      <c r="N49" s="50">
        <v>0</v>
      </c>
      <c r="O49" s="15">
        <f t="shared" si="0"/>
        <v>6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0</v>
      </c>
      <c r="E50" s="50">
        <v>0</v>
      </c>
      <c r="F50" s="50">
        <v>3</v>
      </c>
      <c r="G50" s="50">
        <v>0</v>
      </c>
      <c r="H50" s="50">
        <v>0</v>
      </c>
      <c r="I50" s="50">
        <v>1</v>
      </c>
      <c r="J50" s="50">
        <v>0</v>
      </c>
      <c r="K50" s="50">
        <v>2</v>
      </c>
      <c r="L50" s="50">
        <v>0</v>
      </c>
      <c r="M50" s="50">
        <v>20</v>
      </c>
      <c r="N50" s="50">
        <v>0</v>
      </c>
      <c r="O50" s="15">
        <f t="shared" si="0"/>
        <v>13</v>
      </c>
      <c r="P50" s="15">
        <f t="shared" si="1"/>
        <v>33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1</v>
      </c>
      <c r="F51" s="50">
        <v>4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18</v>
      </c>
      <c r="N51" s="50">
        <v>0</v>
      </c>
      <c r="O51" s="15">
        <f t="shared" si="0"/>
        <v>13</v>
      </c>
      <c r="P51" s="15">
        <f t="shared" si="1"/>
        <v>31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3</v>
      </c>
      <c r="L52" s="50">
        <v>0</v>
      </c>
      <c r="M52" s="50">
        <v>16</v>
      </c>
      <c r="N52" s="50">
        <v>0</v>
      </c>
      <c r="O52" s="15">
        <f t="shared" si="0"/>
        <v>11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0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2</v>
      </c>
      <c r="L53" s="50">
        <v>0</v>
      </c>
      <c r="M53" s="50">
        <v>14</v>
      </c>
      <c r="N53" s="50">
        <v>0</v>
      </c>
      <c r="O53" s="15">
        <f t="shared" si="0"/>
        <v>9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3</v>
      </c>
      <c r="J54" s="50">
        <v>1</v>
      </c>
      <c r="K54" s="50">
        <v>3</v>
      </c>
      <c r="L54" s="50">
        <v>0</v>
      </c>
      <c r="M54" s="50">
        <v>15</v>
      </c>
      <c r="N54" s="50">
        <v>0</v>
      </c>
      <c r="O54" s="15">
        <f t="shared" si="0"/>
        <v>15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3</v>
      </c>
      <c r="G55" s="50">
        <v>0</v>
      </c>
      <c r="H55" s="50">
        <v>0</v>
      </c>
      <c r="I55" s="50">
        <v>6</v>
      </c>
      <c r="J55" s="50">
        <v>0</v>
      </c>
      <c r="K55" s="50">
        <v>5</v>
      </c>
      <c r="L55" s="50">
        <v>0</v>
      </c>
      <c r="M55" s="50">
        <v>23</v>
      </c>
      <c r="N55" s="50">
        <v>0</v>
      </c>
      <c r="O55" s="15">
        <f t="shared" si="0"/>
        <v>18</v>
      </c>
      <c r="P55" s="15">
        <f t="shared" si="1"/>
        <v>41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1</v>
      </c>
      <c r="F56" s="50">
        <v>2</v>
      </c>
      <c r="G56" s="50">
        <v>0</v>
      </c>
      <c r="H56" s="50">
        <v>0</v>
      </c>
      <c r="I56" s="50">
        <v>2</v>
      </c>
      <c r="J56" s="50">
        <v>1</v>
      </c>
      <c r="K56" s="50">
        <v>2</v>
      </c>
      <c r="L56" s="50">
        <v>1</v>
      </c>
      <c r="M56" s="50">
        <v>18</v>
      </c>
      <c r="N56" s="50">
        <v>0</v>
      </c>
      <c r="O56" s="15">
        <f t="shared" si="0"/>
        <v>13</v>
      </c>
      <c r="P56" s="15">
        <f t="shared" si="1"/>
        <v>31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0</v>
      </c>
      <c r="F57" s="50">
        <v>4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11</v>
      </c>
      <c r="P57" s="15">
        <f t="shared" si="1"/>
        <v>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143</v>
      </c>
      <c r="D58" s="16">
        <f t="shared" si="21"/>
        <v>9</v>
      </c>
      <c r="E58" s="16">
        <f t="shared" si="21"/>
        <v>7</v>
      </c>
      <c r="F58" s="16">
        <f t="shared" si="21"/>
        <v>81</v>
      </c>
      <c r="G58" s="16">
        <f t="shared" si="21"/>
        <v>0</v>
      </c>
      <c r="H58" s="16">
        <f t="shared" si="21"/>
        <v>0</v>
      </c>
      <c r="I58" s="16">
        <f t="shared" si="21"/>
        <v>65</v>
      </c>
      <c r="J58" s="16">
        <f t="shared" si="21"/>
        <v>7</v>
      </c>
      <c r="K58" s="16">
        <f t="shared" si="21"/>
        <v>60</v>
      </c>
      <c r="L58" s="16">
        <f t="shared" si="21"/>
        <v>2</v>
      </c>
      <c r="M58" s="16">
        <f t="shared" si="21"/>
        <v>540</v>
      </c>
      <c r="N58" s="16">
        <f t="shared" si="21"/>
        <v>0</v>
      </c>
      <c r="O58" s="16">
        <f t="shared" si="21"/>
        <v>374</v>
      </c>
      <c r="P58" s="16">
        <f t="shared" si="21"/>
        <v>914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0.15645514223194748</v>
      </c>
      <c r="D59" s="43">
        <f t="shared" si="22"/>
        <v>9.8468271334792128E-3</v>
      </c>
      <c r="E59" s="43">
        <f t="shared" si="22"/>
        <v>7.658643326039387E-3</v>
      </c>
      <c r="F59" s="43">
        <f t="shared" si="22"/>
        <v>8.8621444201312904E-2</v>
      </c>
      <c r="G59" s="43">
        <f t="shared" si="22"/>
        <v>0</v>
      </c>
      <c r="H59" s="43">
        <f t="shared" si="22"/>
        <v>0</v>
      </c>
      <c r="I59" s="43">
        <f t="shared" si="22"/>
        <v>7.1115973741794306E-2</v>
      </c>
      <c r="J59" s="43">
        <f t="shared" si="22"/>
        <v>7.658643326039387E-3</v>
      </c>
      <c r="K59" s="43">
        <f t="shared" si="22"/>
        <v>6.5645514223194742E-2</v>
      </c>
      <c r="L59" s="43">
        <f t="shared" si="22"/>
        <v>2.1881838074398249E-3</v>
      </c>
      <c r="M59" s="43">
        <f t="shared" si="22"/>
        <v>0.5908096280087527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0.38235294117647056</v>
      </c>
      <c r="D60" s="44">
        <f t="shared" ref="D60:N60" si="23">D58/$O$58</f>
        <v>2.4064171122994651E-2</v>
      </c>
      <c r="E60" s="44">
        <f t="shared" si="23"/>
        <v>1.871657754010695E-2</v>
      </c>
      <c r="F60" s="44">
        <f t="shared" si="23"/>
        <v>0.21657754010695188</v>
      </c>
      <c r="G60" s="44">
        <f t="shared" si="23"/>
        <v>0</v>
      </c>
      <c r="H60" s="44">
        <f t="shared" si="23"/>
        <v>0</v>
      </c>
      <c r="I60" s="44">
        <f t="shared" si="23"/>
        <v>0.17379679144385027</v>
      </c>
      <c r="J60" s="44">
        <f t="shared" si="23"/>
        <v>1.871657754010695E-2</v>
      </c>
      <c r="K60" s="44">
        <f t="shared" si="23"/>
        <v>0.16042780748663102</v>
      </c>
      <c r="L60" s="44">
        <f t="shared" si="23"/>
        <v>5.3475935828877002E-3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D17" sqref="D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">
        <v>184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Masaka-Mutukula'!D5</f>
        <v>31-10-19</v>
      </c>
      <c r="E5" s="3"/>
      <c r="F5" s="41" t="s">
        <v>1</v>
      </c>
      <c r="G5" s="63" t="str">
        <f>'31.10 Masaka-Mutukula'!G5:H5</f>
        <v>MUTUKULA BORDER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0" t="s">
        <v>170</v>
      </c>
      <c r="E6" s="61"/>
      <c r="F6" s="2" t="s">
        <v>2</v>
      </c>
      <c r="G6" s="60" t="s">
        <v>169</v>
      </c>
      <c r="H6" s="61"/>
      <c r="J6" s="2" t="s">
        <v>21</v>
      </c>
      <c r="K6" s="63" t="str">
        <f>'31.10 Masaka-Mutukula'!K6:L6</f>
        <v>SANDRA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8</v>
      </c>
      <c r="T10" s="17">
        <f t="shared" si="2"/>
        <v>0</v>
      </c>
      <c r="U10" s="17">
        <f t="shared" si="2"/>
        <v>0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28</v>
      </c>
      <c r="AD10" s="17">
        <f t="shared" si="2"/>
        <v>0</v>
      </c>
      <c r="AE10" s="31">
        <f t="shared" si="2"/>
        <v>24</v>
      </c>
      <c r="AF10" s="31">
        <f t="shared" si="2"/>
        <v>52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7</v>
      </c>
      <c r="P11" s="15">
        <f t="shared" si="1"/>
        <v>17</v>
      </c>
      <c r="R11" s="1" t="s">
        <v>7</v>
      </c>
      <c r="S11" s="17">
        <f t="shared" ref="S11:AF11" si="3">SUM(C14:C17)</f>
        <v>6</v>
      </c>
      <c r="T11" s="17">
        <f t="shared" si="3"/>
        <v>2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26</v>
      </c>
      <c r="AD11" s="17">
        <f t="shared" si="3"/>
        <v>0</v>
      </c>
      <c r="AE11" s="31">
        <f t="shared" si="3"/>
        <v>14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9</v>
      </c>
      <c r="N12" s="50">
        <v>0</v>
      </c>
      <c r="O12" s="15">
        <f t="shared" si="0"/>
        <v>7</v>
      </c>
      <c r="P12" s="15">
        <f t="shared" si="1"/>
        <v>16</v>
      </c>
      <c r="R12" s="1" t="s">
        <v>8</v>
      </c>
      <c r="S12" s="17">
        <f t="shared" ref="S12:AF12" si="4">SUM(C18:C21)</f>
        <v>11</v>
      </c>
      <c r="T12" s="17">
        <f t="shared" si="4"/>
        <v>3</v>
      </c>
      <c r="U12" s="17">
        <f t="shared" si="4"/>
        <v>0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1</v>
      </c>
      <c r="AB12" s="17">
        <f t="shared" si="4"/>
        <v>1</v>
      </c>
      <c r="AC12" s="17">
        <f t="shared" si="4"/>
        <v>44</v>
      </c>
      <c r="AD12" s="17">
        <f t="shared" si="4"/>
        <v>0</v>
      </c>
      <c r="AE12" s="31">
        <f t="shared" si="4"/>
        <v>27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5</v>
      </c>
      <c r="P13" s="15">
        <f t="shared" si="1"/>
        <v>10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7</v>
      </c>
      <c r="AD13" s="17">
        <f t="shared" si="5"/>
        <v>0</v>
      </c>
      <c r="AE13" s="31">
        <f t="shared" si="5"/>
        <v>10</v>
      </c>
      <c r="AF13" s="31">
        <f t="shared" si="5"/>
        <v>17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2</v>
      </c>
      <c r="P14" s="15">
        <f t="shared" si="1"/>
        <v>8</v>
      </c>
      <c r="R14" s="1" t="s">
        <v>10</v>
      </c>
      <c r="S14" s="17">
        <f t="shared" ref="S14:AF14" si="6">SUM(C26:C29)</f>
        <v>7</v>
      </c>
      <c r="T14" s="17">
        <f t="shared" si="6"/>
        <v>2</v>
      </c>
      <c r="U14" s="17">
        <f t="shared" si="6"/>
        <v>0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21</v>
      </c>
      <c r="AD14" s="17">
        <f t="shared" si="6"/>
        <v>0</v>
      </c>
      <c r="AE14" s="31">
        <f t="shared" si="6"/>
        <v>16</v>
      </c>
      <c r="AF14" s="31">
        <f t="shared" si="6"/>
        <v>37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3</v>
      </c>
      <c r="P15" s="15">
        <f t="shared" si="1"/>
        <v>10</v>
      </c>
      <c r="R15" s="1" t="s">
        <v>11</v>
      </c>
      <c r="S15" s="17">
        <f t="shared" ref="S15:AF15" si="7">SUM(C30:C33)</f>
        <v>8</v>
      </c>
      <c r="T15" s="17">
        <f t="shared" si="7"/>
        <v>2</v>
      </c>
      <c r="U15" s="17">
        <f t="shared" si="7"/>
        <v>0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20</v>
      </c>
      <c r="AF15" s="31">
        <f t="shared" si="7"/>
        <v>59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5</v>
      </c>
      <c r="P16" s="15">
        <f t="shared" si="1"/>
        <v>8</v>
      </c>
      <c r="R16" s="1" t="s">
        <v>12</v>
      </c>
      <c r="S16" s="17">
        <f t="shared" ref="S16:AF16" si="8">SUM(C34:C37)</f>
        <v>15</v>
      </c>
      <c r="T16" s="17">
        <f t="shared" si="8"/>
        <v>2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3</v>
      </c>
      <c r="AA16" s="17">
        <f t="shared" si="8"/>
        <v>5</v>
      </c>
      <c r="AB16" s="17">
        <f t="shared" si="8"/>
        <v>0</v>
      </c>
      <c r="AC16" s="17">
        <f t="shared" si="8"/>
        <v>30</v>
      </c>
      <c r="AD16" s="17">
        <f t="shared" si="8"/>
        <v>0</v>
      </c>
      <c r="AE16" s="31">
        <f t="shared" si="8"/>
        <v>31</v>
      </c>
      <c r="AF16" s="31">
        <f t="shared" si="8"/>
        <v>61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2</v>
      </c>
      <c r="L17" s="50">
        <v>0</v>
      </c>
      <c r="M17" s="50">
        <v>10</v>
      </c>
      <c r="N17" s="50">
        <v>0</v>
      </c>
      <c r="O17" s="15">
        <f t="shared" si="0"/>
        <v>4</v>
      </c>
      <c r="P17" s="15">
        <f t="shared" si="1"/>
        <v>14</v>
      </c>
      <c r="R17" s="1" t="s">
        <v>13</v>
      </c>
      <c r="S17" s="17">
        <f t="shared" ref="S17:AF17" si="9">SUM(C38:C41)</f>
        <v>10</v>
      </c>
      <c r="T17" s="17">
        <f t="shared" si="9"/>
        <v>1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51</v>
      </c>
      <c r="AD17" s="17">
        <f t="shared" si="9"/>
        <v>1</v>
      </c>
      <c r="AE17" s="31">
        <f t="shared" si="9"/>
        <v>22</v>
      </c>
      <c r="AF17" s="31">
        <f t="shared" si="9"/>
        <v>73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7</v>
      </c>
      <c r="P18" s="15">
        <f t="shared" si="1"/>
        <v>16</v>
      </c>
      <c r="R18" s="1" t="s">
        <v>14</v>
      </c>
      <c r="S18" s="17">
        <f t="shared" ref="S18:AF18" si="10">SUM(C42:C45)</f>
        <v>14</v>
      </c>
      <c r="T18" s="17">
        <f t="shared" si="10"/>
        <v>2</v>
      </c>
      <c r="U18" s="17">
        <f t="shared" si="10"/>
        <v>0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7</v>
      </c>
      <c r="AA18" s="17">
        <f t="shared" si="10"/>
        <v>5</v>
      </c>
      <c r="AB18" s="17">
        <f t="shared" si="10"/>
        <v>0</v>
      </c>
      <c r="AC18" s="17">
        <f t="shared" si="10"/>
        <v>61</v>
      </c>
      <c r="AD18" s="17">
        <f t="shared" si="10"/>
        <v>0</v>
      </c>
      <c r="AE18" s="31">
        <f t="shared" si="10"/>
        <v>36</v>
      </c>
      <c r="AF18" s="31">
        <f t="shared" si="10"/>
        <v>97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20</v>
      </c>
      <c r="N19" s="50">
        <v>0</v>
      </c>
      <c r="O19" s="15">
        <f t="shared" si="0"/>
        <v>7</v>
      </c>
      <c r="P19" s="15">
        <f t="shared" si="1"/>
        <v>27</v>
      </c>
      <c r="R19" s="1" t="s">
        <v>15</v>
      </c>
      <c r="S19" s="17">
        <f t="shared" ref="S19:AF19" si="11">SUM(C46:C49)</f>
        <v>19</v>
      </c>
      <c r="T19" s="17">
        <f t="shared" si="11"/>
        <v>3</v>
      </c>
      <c r="U19" s="17">
        <f t="shared" si="11"/>
        <v>0</v>
      </c>
      <c r="V19" s="17">
        <f t="shared" si="11"/>
        <v>3</v>
      </c>
      <c r="W19" s="17">
        <f t="shared" si="11"/>
        <v>0</v>
      </c>
      <c r="X19" s="17">
        <f t="shared" si="11"/>
        <v>1</v>
      </c>
      <c r="Y19" s="17">
        <f t="shared" si="11"/>
        <v>1</v>
      </c>
      <c r="Z19" s="17">
        <f t="shared" si="11"/>
        <v>5</v>
      </c>
      <c r="AA19" s="17">
        <f t="shared" si="11"/>
        <v>3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35</v>
      </c>
      <c r="AF19" s="31">
        <f t="shared" si="11"/>
        <v>88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  <c r="J20" s="50">
        <v>0</v>
      </c>
      <c r="K20" s="50">
        <v>1</v>
      </c>
      <c r="L20" s="50">
        <v>0</v>
      </c>
      <c r="M20" s="50">
        <v>13</v>
      </c>
      <c r="N20" s="50">
        <v>0</v>
      </c>
      <c r="O20" s="15">
        <f t="shared" si="0"/>
        <v>6</v>
      </c>
      <c r="P20" s="15">
        <f t="shared" si="1"/>
        <v>19</v>
      </c>
      <c r="R20" s="1" t="s">
        <v>16</v>
      </c>
      <c r="S20" s="17">
        <f t="shared" ref="S20:AF20" si="12">SUM(C50:C53)</f>
        <v>12</v>
      </c>
      <c r="T20" s="17">
        <f t="shared" si="12"/>
        <v>4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1</v>
      </c>
      <c r="Y20" s="17">
        <f t="shared" si="12"/>
        <v>6</v>
      </c>
      <c r="Z20" s="17">
        <f t="shared" si="12"/>
        <v>14</v>
      </c>
      <c r="AA20" s="17">
        <f t="shared" si="12"/>
        <v>6</v>
      </c>
      <c r="AB20" s="17">
        <f t="shared" si="12"/>
        <v>0</v>
      </c>
      <c r="AC20" s="17">
        <f t="shared" si="12"/>
        <v>69</v>
      </c>
      <c r="AD20" s="17">
        <f t="shared" si="12"/>
        <v>0</v>
      </c>
      <c r="AE20" s="31">
        <f t="shared" si="12"/>
        <v>49</v>
      </c>
      <c r="AF20" s="31">
        <f t="shared" si="12"/>
        <v>118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7</v>
      </c>
      <c r="P21" s="15">
        <f t="shared" si="1"/>
        <v>9</v>
      </c>
      <c r="R21" s="36" t="s">
        <v>20</v>
      </c>
      <c r="S21" s="34">
        <f t="shared" ref="S21:AF21" si="13">SUM(C54:C57)</f>
        <v>16</v>
      </c>
      <c r="T21" s="17">
        <f t="shared" si="13"/>
        <v>4</v>
      </c>
      <c r="U21" s="17">
        <f t="shared" si="13"/>
        <v>0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5</v>
      </c>
      <c r="AA21" s="17">
        <f t="shared" si="13"/>
        <v>3</v>
      </c>
      <c r="AB21" s="17">
        <f t="shared" si="13"/>
        <v>0</v>
      </c>
      <c r="AC21" s="17">
        <f t="shared" si="13"/>
        <v>52</v>
      </c>
      <c r="AD21" s="17">
        <f t="shared" si="13"/>
        <v>0</v>
      </c>
      <c r="AE21" s="31">
        <f t="shared" si="13"/>
        <v>40</v>
      </c>
      <c r="AF21" s="31">
        <f t="shared" si="13"/>
        <v>92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3</v>
      </c>
      <c r="P22" s="15">
        <f t="shared" si="1"/>
        <v>3</v>
      </c>
      <c r="R22" s="38" t="s">
        <v>90</v>
      </c>
      <c r="S22" s="39">
        <f>MAX(S10:S12)</f>
        <v>11</v>
      </c>
      <c r="T22" s="39">
        <f t="shared" ref="T22:AF22" si="14">MAX(T10:T12)</f>
        <v>3</v>
      </c>
      <c r="U22" s="39">
        <f t="shared" si="14"/>
        <v>0</v>
      </c>
      <c r="V22" s="39">
        <f t="shared" si="14"/>
        <v>9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2</v>
      </c>
      <c r="AB22" s="39">
        <f t="shared" si="14"/>
        <v>1</v>
      </c>
      <c r="AC22" s="39">
        <f t="shared" si="14"/>
        <v>44</v>
      </c>
      <c r="AD22" s="39">
        <f t="shared" si="14"/>
        <v>0</v>
      </c>
      <c r="AE22" s="40">
        <f t="shared" si="14"/>
        <v>27</v>
      </c>
      <c r="AF22" s="40">
        <f t="shared" si="14"/>
        <v>71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0</v>
      </c>
      <c r="N23" s="50">
        <v>0</v>
      </c>
      <c r="O23" s="15">
        <f t="shared" si="0"/>
        <v>3</v>
      </c>
      <c r="P23" s="15">
        <f t="shared" si="1"/>
        <v>3</v>
      </c>
      <c r="R23" s="38" t="s">
        <v>91</v>
      </c>
      <c r="S23" s="39">
        <f>MAX(S13:S18)</f>
        <v>15</v>
      </c>
      <c r="T23" s="39">
        <f t="shared" ref="T23:AF23" si="15">MAX(T13:T18)</f>
        <v>2</v>
      </c>
      <c r="U23" s="39">
        <f t="shared" si="15"/>
        <v>0</v>
      </c>
      <c r="V23" s="39">
        <f t="shared" si="15"/>
        <v>7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7</v>
      </c>
      <c r="AA23" s="39">
        <f t="shared" si="15"/>
        <v>5</v>
      </c>
      <c r="AB23" s="39">
        <f t="shared" si="15"/>
        <v>0</v>
      </c>
      <c r="AC23" s="39">
        <f t="shared" si="15"/>
        <v>61</v>
      </c>
      <c r="AD23" s="39">
        <f t="shared" si="15"/>
        <v>1</v>
      </c>
      <c r="AE23" s="40">
        <f t="shared" si="15"/>
        <v>36</v>
      </c>
      <c r="AF23" s="40">
        <f t="shared" si="15"/>
        <v>97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0</v>
      </c>
      <c r="M24" s="50">
        <v>4</v>
      </c>
      <c r="N24" s="50">
        <v>0</v>
      </c>
      <c r="O24" s="15">
        <f t="shared" si="0"/>
        <v>3</v>
      </c>
      <c r="P24" s="15">
        <f t="shared" si="1"/>
        <v>7</v>
      </c>
      <c r="R24" s="38" t="s">
        <v>92</v>
      </c>
      <c r="S24" s="39">
        <f>MAX(S19:S21)</f>
        <v>19</v>
      </c>
      <c r="T24" s="39">
        <f t="shared" ref="T24:AF24" si="16">MAX(T19:T21)</f>
        <v>4</v>
      </c>
      <c r="U24" s="39">
        <f t="shared" si="16"/>
        <v>1</v>
      </c>
      <c r="V24" s="39">
        <f t="shared" si="16"/>
        <v>7</v>
      </c>
      <c r="W24" s="39">
        <f t="shared" si="16"/>
        <v>0</v>
      </c>
      <c r="X24" s="39">
        <f t="shared" si="16"/>
        <v>1</v>
      </c>
      <c r="Y24" s="39">
        <f t="shared" si="16"/>
        <v>6</v>
      </c>
      <c r="Z24" s="39">
        <f t="shared" si="16"/>
        <v>14</v>
      </c>
      <c r="AA24" s="39">
        <f t="shared" si="16"/>
        <v>6</v>
      </c>
      <c r="AB24" s="39">
        <f t="shared" si="16"/>
        <v>0</v>
      </c>
      <c r="AC24" s="39">
        <f t="shared" si="16"/>
        <v>69</v>
      </c>
      <c r="AD24" s="39">
        <f t="shared" si="16"/>
        <v>0</v>
      </c>
      <c r="AE24" s="40">
        <f t="shared" si="16"/>
        <v>49</v>
      </c>
      <c r="AF24" s="40">
        <f t="shared" si="16"/>
        <v>118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1</v>
      </c>
      <c r="P25" s="15">
        <f t="shared" si="1"/>
        <v>4</v>
      </c>
      <c r="R25" s="37" t="s">
        <v>85</v>
      </c>
      <c r="S25" s="35">
        <f t="shared" ref="S25:AF25" si="17">SUM(S10:S12)</f>
        <v>25</v>
      </c>
      <c r="T25" s="16">
        <f t="shared" si="17"/>
        <v>5</v>
      </c>
      <c r="U25" s="16">
        <f t="shared" si="17"/>
        <v>0</v>
      </c>
      <c r="V25" s="16">
        <f t="shared" si="17"/>
        <v>17</v>
      </c>
      <c r="W25" s="16">
        <f t="shared" si="17"/>
        <v>0</v>
      </c>
      <c r="X25" s="16">
        <f t="shared" si="17"/>
        <v>0</v>
      </c>
      <c r="Y25" s="16">
        <f t="shared" si="17"/>
        <v>12</v>
      </c>
      <c r="Z25" s="16">
        <f t="shared" si="17"/>
        <v>1</v>
      </c>
      <c r="AA25" s="16">
        <f t="shared" si="17"/>
        <v>4</v>
      </c>
      <c r="AB25" s="16">
        <f t="shared" si="17"/>
        <v>1</v>
      </c>
      <c r="AC25" s="16">
        <f t="shared" si="17"/>
        <v>98</v>
      </c>
      <c r="AD25" s="16">
        <f t="shared" si="17"/>
        <v>0</v>
      </c>
      <c r="AE25" s="32">
        <f t="shared" si="17"/>
        <v>65</v>
      </c>
      <c r="AF25" s="32">
        <f t="shared" si="17"/>
        <v>163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1</v>
      </c>
      <c r="P26" s="15">
        <f t="shared" si="1"/>
        <v>7</v>
      </c>
      <c r="R26" s="28" t="s">
        <v>86</v>
      </c>
      <c r="S26" s="16">
        <f t="shared" ref="S26:AF26" si="18">SUM(S13:S18)</f>
        <v>59</v>
      </c>
      <c r="T26" s="16">
        <f t="shared" si="18"/>
        <v>9</v>
      </c>
      <c r="U26" s="16">
        <f t="shared" si="18"/>
        <v>0</v>
      </c>
      <c r="V26" s="16">
        <f t="shared" si="18"/>
        <v>22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15</v>
      </c>
      <c r="AA26" s="16">
        <f t="shared" si="18"/>
        <v>14</v>
      </c>
      <c r="AB26" s="16">
        <f t="shared" si="18"/>
        <v>0</v>
      </c>
      <c r="AC26" s="16">
        <f t="shared" si="18"/>
        <v>209</v>
      </c>
      <c r="AD26" s="16">
        <f t="shared" si="18"/>
        <v>1</v>
      </c>
      <c r="AE26" s="32">
        <f t="shared" si="18"/>
        <v>135</v>
      </c>
      <c r="AF26" s="32">
        <f t="shared" si="18"/>
        <v>344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</v>
      </c>
      <c r="N27" s="50">
        <v>0</v>
      </c>
      <c r="O27" s="15">
        <f t="shared" si="0"/>
        <v>4</v>
      </c>
      <c r="P27" s="15">
        <f t="shared" si="1"/>
        <v>9</v>
      </c>
      <c r="R27" s="29" t="s">
        <v>87</v>
      </c>
      <c r="S27" s="16">
        <f t="shared" ref="S27:AF27" si="19">SUM(S19:S21)</f>
        <v>47</v>
      </c>
      <c r="T27" s="16">
        <f t="shared" si="19"/>
        <v>11</v>
      </c>
      <c r="U27" s="16">
        <f t="shared" si="19"/>
        <v>1</v>
      </c>
      <c r="V27" s="16">
        <f t="shared" si="19"/>
        <v>15</v>
      </c>
      <c r="W27" s="16">
        <f t="shared" si="19"/>
        <v>0</v>
      </c>
      <c r="X27" s="16">
        <f t="shared" si="19"/>
        <v>2</v>
      </c>
      <c r="Y27" s="16">
        <f t="shared" si="19"/>
        <v>12</v>
      </c>
      <c r="Z27" s="16">
        <f t="shared" si="19"/>
        <v>24</v>
      </c>
      <c r="AA27" s="16">
        <f t="shared" si="19"/>
        <v>12</v>
      </c>
      <c r="AB27" s="16">
        <f t="shared" si="19"/>
        <v>0</v>
      </c>
      <c r="AC27" s="16">
        <f t="shared" si="19"/>
        <v>174</v>
      </c>
      <c r="AD27" s="16">
        <f t="shared" si="19"/>
        <v>0</v>
      </c>
      <c r="AE27" s="32">
        <f t="shared" si="19"/>
        <v>124</v>
      </c>
      <c r="AF27" s="32">
        <f t="shared" si="19"/>
        <v>298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6</v>
      </c>
      <c r="P28" s="15">
        <f t="shared" si="1"/>
        <v>11</v>
      </c>
      <c r="R28" s="5" t="s">
        <v>17</v>
      </c>
      <c r="S28" s="16">
        <f t="shared" ref="S28:AF28" si="20">SUM(S10:S21)</f>
        <v>131</v>
      </c>
      <c r="T28" s="16">
        <f t="shared" si="20"/>
        <v>25</v>
      </c>
      <c r="U28" s="16">
        <f t="shared" si="20"/>
        <v>1</v>
      </c>
      <c r="V28" s="16">
        <f t="shared" si="20"/>
        <v>54</v>
      </c>
      <c r="W28" s="16">
        <f t="shared" si="20"/>
        <v>0</v>
      </c>
      <c r="X28" s="16">
        <f t="shared" si="20"/>
        <v>2</v>
      </c>
      <c r="Y28" s="16">
        <f t="shared" si="20"/>
        <v>39</v>
      </c>
      <c r="Z28" s="16">
        <f t="shared" si="20"/>
        <v>40</v>
      </c>
      <c r="AA28" s="16">
        <f t="shared" si="20"/>
        <v>30</v>
      </c>
      <c r="AB28" s="16">
        <f t="shared" si="20"/>
        <v>1</v>
      </c>
      <c r="AC28" s="16">
        <f t="shared" si="20"/>
        <v>481</v>
      </c>
      <c r="AD28" s="16">
        <f t="shared" si="20"/>
        <v>1</v>
      </c>
      <c r="AE28" s="32">
        <f t="shared" si="20"/>
        <v>324</v>
      </c>
      <c r="AF28" s="32">
        <f t="shared" si="20"/>
        <v>805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5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0</v>
      </c>
      <c r="F30" s="50">
        <v>3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6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0</v>
      </c>
      <c r="F31" s="50">
        <v>3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7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5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2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2</v>
      </c>
      <c r="L34" s="50">
        <v>0</v>
      </c>
      <c r="M34" s="50">
        <v>11</v>
      </c>
      <c r="N34" s="50">
        <v>0</v>
      </c>
      <c r="O34" s="15">
        <f t="shared" si="0"/>
        <v>11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2</v>
      </c>
      <c r="K35" s="50">
        <v>2</v>
      </c>
      <c r="L35" s="50">
        <v>0</v>
      </c>
      <c r="M35" s="50">
        <v>8</v>
      </c>
      <c r="N35" s="50">
        <v>0</v>
      </c>
      <c r="O35" s="15">
        <f t="shared" si="0"/>
        <v>8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1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7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10</v>
      </c>
      <c r="N37" s="50">
        <v>0</v>
      </c>
      <c r="O37" s="15">
        <f t="shared" si="0"/>
        <v>11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3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5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2</v>
      </c>
      <c r="L40" s="50">
        <v>0</v>
      </c>
      <c r="M40" s="50">
        <v>17</v>
      </c>
      <c r="N40" s="50">
        <v>0</v>
      </c>
      <c r="O40" s="15">
        <f t="shared" si="0"/>
        <v>7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9</v>
      </c>
      <c r="N41" s="50">
        <v>1</v>
      </c>
      <c r="O41" s="15">
        <f t="shared" si="0"/>
        <v>7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2</v>
      </c>
      <c r="K42" s="50">
        <v>3</v>
      </c>
      <c r="L42" s="50">
        <v>0</v>
      </c>
      <c r="M42" s="50">
        <v>21</v>
      </c>
      <c r="N42" s="50">
        <v>0</v>
      </c>
      <c r="O42" s="15">
        <f t="shared" si="0"/>
        <v>10</v>
      </c>
      <c r="P42" s="15">
        <f t="shared" si="1"/>
        <v>31</v>
      </c>
    </row>
    <row r="43" spans="2:20" ht="23.1" customHeight="1" x14ac:dyDescent="0.25">
      <c r="B43" s="23" t="s">
        <v>70</v>
      </c>
      <c r="C43" s="50">
        <v>7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3</v>
      </c>
      <c r="K43" s="50">
        <v>1</v>
      </c>
      <c r="L43" s="50">
        <v>0</v>
      </c>
      <c r="M43" s="50">
        <v>11</v>
      </c>
      <c r="N43" s="50">
        <v>0</v>
      </c>
      <c r="O43" s="15">
        <f t="shared" si="0"/>
        <v>14</v>
      </c>
      <c r="P43" s="15">
        <f t="shared" si="1"/>
        <v>25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20</v>
      </c>
      <c r="N44" s="50">
        <v>0</v>
      </c>
      <c r="O44" s="15">
        <f t="shared" si="0"/>
        <v>5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9</v>
      </c>
      <c r="N45" s="50">
        <v>0</v>
      </c>
      <c r="O45" s="15">
        <f t="shared" si="0"/>
        <v>7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1</v>
      </c>
      <c r="K46" s="50">
        <v>1</v>
      </c>
      <c r="L46" s="50">
        <v>0</v>
      </c>
      <c r="M46" s="50">
        <v>7</v>
      </c>
      <c r="N46" s="50">
        <v>0</v>
      </c>
      <c r="O46" s="15">
        <f t="shared" si="0"/>
        <v>9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2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7</v>
      </c>
      <c r="P47" s="15">
        <v>27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1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13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0</v>
      </c>
      <c r="G49" s="50">
        <v>0</v>
      </c>
      <c r="H49" s="50">
        <v>1</v>
      </c>
      <c r="I49" s="50">
        <v>0</v>
      </c>
      <c r="J49" s="50">
        <v>1</v>
      </c>
      <c r="K49" s="50">
        <v>2</v>
      </c>
      <c r="L49" s="50">
        <v>0</v>
      </c>
      <c r="M49" s="50">
        <v>20</v>
      </c>
      <c r="N49" s="50">
        <v>0</v>
      </c>
      <c r="O49" s="15">
        <f t="shared" si="0"/>
        <v>6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2</v>
      </c>
      <c r="E50" s="50">
        <v>1</v>
      </c>
      <c r="F50" s="50">
        <v>3</v>
      </c>
      <c r="G50" s="50">
        <v>0</v>
      </c>
      <c r="H50" s="50">
        <v>0</v>
      </c>
      <c r="I50" s="50">
        <v>3</v>
      </c>
      <c r="J50" s="50">
        <v>5</v>
      </c>
      <c r="K50" s="50">
        <v>3</v>
      </c>
      <c r="L50" s="50">
        <v>0</v>
      </c>
      <c r="M50" s="50">
        <v>11</v>
      </c>
      <c r="N50" s="50">
        <v>0</v>
      </c>
      <c r="O50" s="15">
        <f t="shared" si="0"/>
        <v>20</v>
      </c>
      <c r="P50" s="15">
        <f t="shared" si="1"/>
        <v>31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22</v>
      </c>
      <c r="N51" s="50">
        <v>0</v>
      </c>
      <c r="O51" s="15">
        <f t="shared" si="0"/>
        <v>5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2</v>
      </c>
      <c r="E52" s="50">
        <v>0</v>
      </c>
      <c r="F52" s="50">
        <v>0</v>
      </c>
      <c r="G52" s="50">
        <v>0</v>
      </c>
      <c r="H52" s="50">
        <v>0</v>
      </c>
      <c r="I52" s="50">
        <v>3</v>
      </c>
      <c r="J52" s="50">
        <v>6</v>
      </c>
      <c r="K52" s="50">
        <v>3</v>
      </c>
      <c r="L52" s="50">
        <v>0</v>
      </c>
      <c r="M52" s="50">
        <v>15</v>
      </c>
      <c r="N52" s="50">
        <v>0</v>
      </c>
      <c r="O52" s="15">
        <f t="shared" si="0"/>
        <v>18</v>
      </c>
      <c r="P52" s="15">
        <f t="shared" si="1"/>
        <v>33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0</v>
      </c>
      <c r="G53" s="50">
        <v>0</v>
      </c>
      <c r="H53" s="50">
        <v>1</v>
      </c>
      <c r="I53" s="50">
        <v>0</v>
      </c>
      <c r="J53" s="50">
        <v>1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6</v>
      </c>
      <c r="P53" s="15">
        <f t="shared" si="1"/>
        <v>27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2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2</v>
      </c>
      <c r="K54" s="50">
        <v>3</v>
      </c>
      <c r="L54" s="50">
        <v>0</v>
      </c>
      <c r="M54" s="50">
        <v>13</v>
      </c>
      <c r="N54" s="50">
        <v>0</v>
      </c>
      <c r="O54" s="15">
        <f t="shared" si="0"/>
        <v>9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9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3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10</v>
      </c>
      <c r="P56" s="15">
        <f t="shared" si="1"/>
        <v>27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0</v>
      </c>
      <c r="F57" s="50">
        <v>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12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131</v>
      </c>
      <c r="D58" s="16">
        <f t="shared" si="21"/>
        <v>25</v>
      </c>
      <c r="E58" s="16">
        <f t="shared" si="21"/>
        <v>1</v>
      </c>
      <c r="F58" s="16">
        <f t="shared" si="21"/>
        <v>54</v>
      </c>
      <c r="G58" s="16">
        <f t="shared" si="21"/>
        <v>0</v>
      </c>
      <c r="H58" s="16">
        <f t="shared" si="21"/>
        <v>2</v>
      </c>
      <c r="I58" s="16">
        <f t="shared" si="21"/>
        <v>39</v>
      </c>
      <c r="J58" s="16">
        <f t="shared" si="21"/>
        <v>40</v>
      </c>
      <c r="K58" s="16">
        <f t="shared" si="21"/>
        <v>30</v>
      </c>
      <c r="L58" s="16">
        <f t="shared" si="21"/>
        <v>1</v>
      </c>
      <c r="M58" s="16">
        <f t="shared" si="21"/>
        <v>481</v>
      </c>
      <c r="N58" s="16">
        <f t="shared" si="21"/>
        <v>1</v>
      </c>
      <c r="O58" s="16">
        <f t="shared" si="21"/>
        <v>324</v>
      </c>
      <c r="P58" s="16">
        <f t="shared" si="21"/>
        <v>805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0.16273291925465838</v>
      </c>
      <c r="D59" s="43">
        <f t="shared" si="22"/>
        <v>3.1055900621118012E-2</v>
      </c>
      <c r="E59" s="43">
        <f t="shared" si="22"/>
        <v>1.2422360248447205E-3</v>
      </c>
      <c r="F59" s="43">
        <f t="shared" si="22"/>
        <v>6.70807453416149E-2</v>
      </c>
      <c r="G59" s="43">
        <f t="shared" si="22"/>
        <v>0</v>
      </c>
      <c r="H59" s="43">
        <f t="shared" si="22"/>
        <v>2.4844720496894411E-3</v>
      </c>
      <c r="I59" s="43">
        <f t="shared" si="22"/>
        <v>4.8447204968944099E-2</v>
      </c>
      <c r="J59" s="43">
        <f t="shared" si="22"/>
        <v>4.9689440993788817E-2</v>
      </c>
      <c r="K59" s="43">
        <f t="shared" si="22"/>
        <v>3.7267080745341616E-2</v>
      </c>
      <c r="L59" s="43">
        <f t="shared" si="22"/>
        <v>1.2422360248447205E-3</v>
      </c>
      <c r="M59" s="43">
        <f t="shared" si="22"/>
        <v>0.5975155279503106</v>
      </c>
      <c r="N59" s="43">
        <f t="shared" si="22"/>
        <v>1.2422360248447205E-3</v>
      </c>
      <c r="R59" s="8"/>
      <c r="T59"/>
    </row>
    <row r="60" spans="2:20" ht="23.1" customHeight="1" x14ac:dyDescent="0.25">
      <c r="B60" s="42" t="s">
        <v>94</v>
      </c>
      <c r="C60" s="44">
        <f>C58/$O$58</f>
        <v>0.40432098765432101</v>
      </c>
      <c r="D60" s="44">
        <f t="shared" ref="D60:N60" si="23">D58/$O$58</f>
        <v>7.716049382716049E-2</v>
      </c>
      <c r="E60" s="44">
        <f t="shared" si="23"/>
        <v>3.0864197530864196E-3</v>
      </c>
      <c r="F60" s="44">
        <f t="shared" si="23"/>
        <v>0.16666666666666666</v>
      </c>
      <c r="G60" s="44">
        <f t="shared" si="23"/>
        <v>0</v>
      </c>
      <c r="H60" s="44">
        <f t="shared" si="23"/>
        <v>6.1728395061728392E-3</v>
      </c>
      <c r="I60" s="44">
        <f t="shared" si="23"/>
        <v>0.12037037037037036</v>
      </c>
      <c r="J60" s="44">
        <f t="shared" si="23"/>
        <v>0.12345679012345678</v>
      </c>
      <c r="K60" s="44">
        <f t="shared" si="23"/>
        <v>9.2592592592592587E-2</v>
      </c>
      <c r="L60" s="44">
        <f t="shared" si="23"/>
        <v>3.0864197530864196E-3</v>
      </c>
      <c r="M60" s="44"/>
      <c r="N60" s="44">
        <f t="shared" si="23"/>
        <v>3.0864197530864196E-3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G1" zoomScale="60" workbookViewId="0">
      <selection activeCell="V101" sqref="V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'27.10 Masaka-Mutukula'!C3:G3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 t="s">
        <v>167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'25.10 MASAKA-MUTUKULA'!G5:H5</f>
        <v>MUTUKULA</v>
      </c>
      <c r="H5" s="56"/>
      <c r="I5" s="14"/>
      <c r="J5" s="2" t="s">
        <v>5</v>
      </c>
      <c r="K5" s="55" t="s">
        <v>188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tr">
        <f>'25.10 MASAKA-MUTUKULA'!D6:E6</f>
        <v>MASAKA</v>
      </c>
      <c r="E6" s="56"/>
      <c r="F6" s="2" t="s">
        <v>2</v>
      </c>
      <c r="G6" s="55" t="str">
        <f>'25.10 MASAKA-MUTUKULA'!G6:H6</f>
        <v>MUTUKULA</v>
      </c>
      <c r="H6" s="56"/>
      <c r="J6" s="2" t="s">
        <v>21</v>
      </c>
      <c r="K6" s="55" t="str">
        <f>'25.10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MASAKA-MUTUKULA'!C10,'26.10 MASAKA-MUTUKULA-24HR'!C10,'27.10 Masaka-Mutukula'!C10,'28.10 MASAKA-MUTUKULA-24HR'!C10,'29.10 MASAKA-MUTUKULA'!C10,'30.10 MASAKA-MUTUKULA'!C10,'31.10 Masaka-Mutukula'!C10)</f>
        <v>1.5714285714285714</v>
      </c>
      <c r="D10" s="49">
        <f>AVERAGE('25.10 MASAKA-MUTUKULA'!D10,'26.10 MASAKA-MUTUKULA-24HR'!D10,'27.10 Masaka-Mutukula'!D10,'28.10 MASAKA-MUTUKULA-24HR'!D10,'29.10 MASAKA-MUTUKULA'!D10,'30.10 MASAKA-MUTUKULA'!D10,'31.10 Masaka-Mutukula'!D10)</f>
        <v>0.2857142857142857</v>
      </c>
      <c r="E10" s="49">
        <f>AVERAGE('25.10 MASAKA-MUTUKULA'!E10,'26.10 MASAKA-MUTUKULA-24HR'!E10,'27.10 Masaka-Mutukula'!E10,'28.10 MASAKA-MUTUKULA-24HR'!E10,'29.10 MASAKA-MUTUKULA'!E10,'30.10 MASAKA-MUTUKULA'!E10,'31.10 Masaka-Mutukula'!E10)</f>
        <v>0</v>
      </c>
      <c r="F10" s="49">
        <f>AVERAGE('25.10 MASAKA-MUTUKULA'!F10,'26.10 MASAKA-MUTUKULA-24HR'!F10,'27.10 Masaka-Mutukula'!F10,'28.10 MASAKA-MUTUKULA-24HR'!F10,'29.10 MASAKA-MUTUKULA'!F10,'30.10 MASAKA-MUTUKULA'!F10,'31.10 Masaka-Mutukula'!F10)</f>
        <v>0.42857142857142855</v>
      </c>
      <c r="G10" s="49">
        <f>AVERAGE('25.10 MASAKA-MUTUKULA'!G10,'26.10 MASAKA-MUTUKULA-24HR'!G10,'27.10 Masaka-Mutukula'!G10,'28.10 MASAKA-MUTUKULA-24HR'!G10,'29.10 MASAKA-MUTUKULA'!G10,'30.10 MASAKA-MUTUKULA'!G10,'31.10 Masaka-Mutukula'!G10)</f>
        <v>0</v>
      </c>
      <c r="H10" s="49">
        <f>AVERAGE('25.10 MASAKA-MUTUKULA'!H10,'26.10 MASAKA-MUTUKULA-24HR'!H10,'27.10 Masaka-Mutukula'!H10,'28.10 MASAKA-MUTUKULA-24HR'!H10,'29.10 MASAKA-MUTUKULA'!H10,'30.10 MASAKA-MUTUKULA'!H10,'31.10 Masaka-Mutukula'!H10)</f>
        <v>0</v>
      </c>
      <c r="I10" s="49">
        <f>AVERAGE('25.10 MASAKA-MUTUKULA'!I10,'26.10 MASAKA-MUTUKULA-24HR'!I10,'27.10 Masaka-Mutukula'!I10,'28.10 MASAKA-MUTUKULA-24HR'!I10,'29.10 MASAKA-MUTUKULA'!I10,'30.10 MASAKA-MUTUKULA'!I10,'31.10 Masaka-Mutukula'!I10)</f>
        <v>0.5714285714285714</v>
      </c>
      <c r="J10" s="49">
        <f>AVERAGE('25.10 MASAKA-MUTUKULA'!J10,'26.10 MASAKA-MUTUKULA-24HR'!J10,'27.10 Masaka-Mutukula'!J10,'28.10 MASAKA-MUTUKULA-24HR'!J10,'29.10 MASAKA-MUTUKULA'!J10,'30.10 MASAKA-MUTUKULA'!J10,'31.10 Masaka-Mutukula'!J10)</f>
        <v>0.5714285714285714</v>
      </c>
      <c r="K10" s="49">
        <f>AVERAGE('25.10 MASAKA-MUTUKULA'!K10,'26.10 MASAKA-MUTUKULA-24HR'!K10,'27.10 Masaka-Mutukula'!K10,'28.10 MASAKA-MUTUKULA-24HR'!K10,'29.10 MASAKA-MUTUKULA'!K10,'30.10 MASAKA-MUTUKULA'!K10,'31.10 Masaka-Mutukula'!K10)</f>
        <v>0.7142857142857143</v>
      </c>
      <c r="L10" s="49">
        <f>AVERAGE('25.10 MASAKA-MUTUKULA'!L10,'26.10 MASAKA-MUTUKULA-24HR'!L10,'27.10 Masaka-Mutukula'!L10,'28.10 MASAKA-MUTUKULA-24HR'!L10,'29.10 MASAKA-MUTUKULA'!L10,'30.10 MASAKA-MUTUKULA'!L10,'31.10 Masaka-Mutukula'!L10)</f>
        <v>0</v>
      </c>
      <c r="M10" s="49">
        <f>AVERAGE('25.10 MASAKA-MUTUKULA'!M10,'26.10 MASAKA-MUTUKULA-24HR'!M10,'27.10 Masaka-Mutukula'!M10,'28.10 MASAKA-MUTUKULA-24HR'!M10,'29.10 MASAKA-MUTUKULA'!M10,'30.10 MASAKA-MUTUKULA'!M10,'31.10 Masaka-Mutukula'!M10)</f>
        <v>8.5714285714285712</v>
      </c>
      <c r="N10" s="49">
        <f>AVERAGE('25.10 MASAKA-MUTUKULA'!N10,'26.10 MASAKA-MUTUKULA-24HR'!N10,'27.10 Masaka-Mutukula'!N10,'28.10 MASAKA-MUTUKULA-24HR'!N10,'29.10 MASAKA-MUTUKULA'!N10,'30.10 MASAKA-MUTUKULA'!N10,'31.10 Masaka-Mutukula'!N10)</f>
        <v>0</v>
      </c>
      <c r="O10" s="15">
        <f t="shared" ref="O10:O73" si="0">SUM(C10:L10,N10)</f>
        <v>4.1428571428571423</v>
      </c>
      <c r="P10" s="15">
        <f t="shared" ref="P10:P73" si="1">SUM(C10:N10)</f>
        <v>12.714285714285714</v>
      </c>
      <c r="R10" s="1" t="s">
        <v>6</v>
      </c>
      <c r="S10" s="17">
        <f t="shared" ref="S10:AF10" si="2">SUM(C10:C13)</f>
        <v>10.714285714285715</v>
      </c>
      <c r="T10" s="17">
        <f t="shared" si="2"/>
        <v>0.85714285714285698</v>
      </c>
      <c r="U10" s="17">
        <f t="shared" si="2"/>
        <v>0.14285714285714285</v>
      </c>
      <c r="V10" s="17">
        <f t="shared" si="2"/>
        <v>2.8571428571428572</v>
      </c>
      <c r="W10" s="17">
        <f t="shared" si="2"/>
        <v>0</v>
      </c>
      <c r="X10" s="17">
        <f t="shared" si="2"/>
        <v>0</v>
      </c>
      <c r="Y10" s="17">
        <f t="shared" si="2"/>
        <v>2.4285714285714284</v>
      </c>
      <c r="Z10" s="17">
        <f t="shared" si="2"/>
        <v>1.9999999999999998</v>
      </c>
      <c r="AA10" s="17">
        <f t="shared" si="2"/>
        <v>4</v>
      </c>
      <c r="AB10" s="17">
        <f t="shared" si="2"/>
        <v>0</v>
      </c>
      <c r="AC10" s="17">
        <f t="shared" si="2"/>
        <v>39</v>
      </c>
      <c r="AD10" s="17">
        <f t="shared" si="2"/>
        <v>0</v>
      </c>
      <c r="AE10" s="31">
        <f t="shared" si="2"/>
        <v>22.999999999999996</v>
      </c>
      <c r="AF10" s="31">
        <f t="shared" si="2"/>
        <v>62</v>
      </c>
    </row>
    <row r="11" spans="2:32" s="6" customFormat="1" ht="23.1" customHeight="1" x14ac:dyDescent="0.25">
      <c r="B11" s="23" t="s">
        <v>38</v>
      </c>
      <c r="C11" s="49">
        <f>AVERAGE('25.10 MASAKA-MUTUKULA'!C11,'26.10 MASAKA-MUTUKULA-24HR'!C11,'27.10 Masaka-Mutukula'!C11,'28.10 MASAKA-MUTUKULA-24HR'!C11,'29.10 MASAKA-MUTUKULA'!C11,'30.10 MASAKA-MUTUKULA'!C11,'31.10 Masaka-Mutukula'!C11)</f>
        <v>3.5714285714285716</v>
      </c>
      <c r="D11" s="49">
        <f>AVERAGE('25.10 MASAKA-MUTUKULA'!D11,'26.10 MASAKA-MUTUKULA-24HR'!D11,'27.10 Masaka-Mutukula'!D11,'28.10 MASAKA-MUTUKULA-24HR'!D11,'29.10 MASAKA-MUTUKULA'!D11,'30.10 MASAKA-MUTUKULA'!D11,'31.10 Masaka-Mutukula'!D11)</f>
        <v>0.2857142857142857</v>
      </c>
      <c r="E11" s="49">
        <f>AVERAGE('25.10 MASAKA-MUTUKULA'!E11,'26.10 MASAKA-MUTUKULA-24HR'!E11,'27.10 Masaka-Mutukula'!E11,'28.10 MASAKA-MUTUKULA-24HR'!E11,'29.10 MASAKA-MUTUKULA'!E11,'30.10 MASAKA-MUTUKULA'!E11,'31.10 Masaka-Mutukula'!E11)</f>
        <v>0</v>
      </c>
      <c r="F11" s="49">
        <f>AVERAGE('25.10 MASAKA-MUTUKULA'!F11,'26.10 MASAKA-MUTUKULA-24HR'!F11,'27.10 Masaka-Mutukula'!F11,'28.10 MASAKA-MUTUKULA-24HR'!F11,'29.10 MASAKA-MUTUKULA'!F11,'30.10 MASAKA-MUTUKULA'!F11,'31.10 Masaka-Mutukula'!F11)</f>
        <v>1.1428571428571428</v>
      </c>
      <c r="G11" s="49">
        <f>AVERAGE('25.10 MASAKA-MUTUKULA'!G11,'26.10 MASAKA-MUTUKULA-24HR'!G11,'27.10 Masaka-Mutukula'!G11,'28.10 MASAKA-MUTUKULA-24HR'!G11,'29.10 MASAKA-MUTUKULA'!G11,'30.10 MASAKA-MUTUKULA'!G11,'31.10 Masaka-Mutukula'!G11)</f>
        <v>0</v>
      </c>
      <c r="H11" s="49">
        <f>AVERAGE('25.10 MASAKA-MUTUKULA'!H11,'26.10 MASAKA-MUTUKULA-24HR'!H11,'27.10 Masaka-Mutukula'!H11,'28.10 MASAKA-MUTUKULA-24HR'!H11,'29.10 MASAKA-MUTUKULA'!H11,'30.10 MASAKA-MUTUKULA'!H11,'31.10 Masaka-Mutukula'!H11)</f>
        <v>0</v>
      </c>
      <c r="I11" s="49">
        <f>AVERAGE('25.10 MASAKA-MUTUKULA'!I11,'26.10 MASAKA-MUTUKULA-24HR'!I11,'27.10 Masaka-Mutukula'!I11,'28.10 MASAKA-MUTUKULA-24HR'!I11,'29.10 MASAKA-MUTUKULA'!I11,'30.10 MASAKA-MUTUKULA'!I11,'31.10 Masaka-Mutukula'!I11)</f>
        <v>0.7142857142857143</v>
      </c>
      <c r="J11" s="49">
        <f>AVERAGE('25.10 MASAKA-MUTUKULA'!J11,'26.10 MASAKA-MUTUKULA-24HR'!J11,'27.10 Masaka-Mutukula'!J11,'28.10 MASAKA-MUTUKULA-24HR'!J11,'29.10 MASAKA-MUTUKULA'!J11,'30.10 MASAKA-MUTUKULA'!J11,'31.10 Masaka-Mutukula'!J11)</f>
        <v>0.2857142857142857</v>
      </c>
      <c r="K11" s="49">
        <f>AVERAGE('25.10 MASAKA-MUTUKULA'!K11,'26.10 MASAKA-MUTUKULA-24HR'!K11,'27.10 Masaka-Mutukula'!K11,'28.10 MASAKA-MUTUKULA-24HR'!K11,'29.10 MASAKA-MUTUKULA'!K11,'30.10 MASAKA-MUTUKULA'!K11,'31.10 Masaka-Mutukula'!K11)</f>
        <v>0.2857142857142857</v>
      </c>
      <c r="L11" s="49">
        <f>AVERAGE('25.10 MASAKA-MUTUKULA'!L11,'26.10 MASAKA-MUTUKULA-24HR'!L11,'27.10 Masaka-Mutukula'!L11,'28.10 MASAKA-MUTUKULA-24HR'!L11,'29.10 MASAKA-MUTUKULA'!L11,'30.10 MASAKA-MUTUKULA'!L11,'31.10 Masaka-Mutukula'!L11)</f>
        <v>0</v>
      </c>
      <c r="M11" s="49">
        <f>AVERAGE('25.10 MASAKA-MUTUKULA'!M11,'26.10 MASAKA-MUTUKULA-24HR'!M11,'27.10 Masaka-Mutukula'!M11,'28.10 MASAKA-MUTUKULA-24HR'!M11,'29.10 MASAKA-MUTUKULA'!M11,'30.10 MASAKA-MUTUKULA'!M11,'31.10 Masaka-Mutukula'!M11)</f>
        <v>8.4285714285714288</v>
      </c>
      <c r="N11" s="49">
        <f>AVERAGE('25.10 MASAKA-MUTUKULA'!N11,'26.10 MASAKA-MUTUKULA-24HR'!N11,'27.10 Masaka-Mutukula'!N11,'28.10 MASAKA-MUTUKULA-24HR'!N11,'29.10 MASAKA-MUTUKULA'!N11,'30.10 MASAKA-MUTUKULA'!N11,'31.10 Masaka-Mutukula'!N11)</f>
        <v>0</v>
      </c>
      <c r="O11" s="15">
        <f t="shared" si="0"/>
        <v>6.2857142857142856</v>
      </c>
      <c r="P11" s="15">
        <f t="shared" si="1"/>
        <v>14.714285714285715</v>
      </c>
      <c r="R11" s="1" t="s">
        <v>7</v>
      </c>
      <c r="S11" s="17">
        <f t="shared" ref="S11:AF11" si="3">SUM(C14:C17)</f>
        <v>14</v>
      </c>
      <c r="T11" s="17">
        <f t="shared" si="3"/>
        <v>0.8571428571428571</v>
      </c>
      <c r="U11" s="17">
        <f t="shared" si="3"/>
        <v>0.14285714285714285</v>
      </c>
      <c r="V11" s="17">
        <f t="shared" si="3"/>
        <v>3.8571428571428572</v>
      </c>
      <c r="W11" s="17">
        <f t="shared" si="3"/>
        <v>0</v>
      </c>
      <c r="X11" s="17">
        <f t="shared" si="3"/>
        <v>0.2857142857142857</v>
      </c>
      <c r="Y11" s="17">
        <f t="shared" si="3"/>
        <v>4.5714285714285712</v>
      </c>
      <c r="Z11" s="17">
        <f t="shared" si="3"/>
        <v>2.1428571428571428</v>
      </c>
      <c r="AA11" s="17">
        <f t="shared" si="3"/>
        <v>5.1428571428571432</v>
      </c>
      <c r="AB11" s="17">
        <f t="shared" si="3"/>
        <v>0.5714285714285714</v>
      </c>
      <c r="AC11" s="17">
        <f t="shared" si="3"/>
        <v>53.285714285714292</v>
      </c>
      <c r="AD11" s="17">
        <f t="shared" si="3"/>
        <v>0</v>
      </c>
      <c r="AE11" s="31">
        <f t="shared" si="3"/>
        <v>31.571428571428573</v>
      </c>
      <c r="AF11" s="31">
        <f t="shared" si="3"/>
        <v>84.857142857142861</v>
      </c>
    </row>
    <row r="12" spans="2:32" ht="23.1" customHeight="1" x14ac:dyDescent="0.25">
      <c r="B12" s="23" t="s">
        <v>39</v>
      </c>
      <c r="C12" s="49">
        <f>AVERAGE('25.10 MASAKA-MUTUKULA'!C12,'26.10 MASAKA-MUTUKULA-24HR'!C12,'27.10 Masaka-Mutukula'!C12,'28.10 MASAKA-MUTUKULA-24HR'!C12,'29.10 MASAKA-MUTUKULA'!C12,'30.10 MASAKA-MUTUKULA'!C12,'31.10 Masaka-Mutukula'!C12)</f>
        <v>2.5714285714285716</v>
      </c>
      <c r="D12" s="49">
        <f>AVERAGE('25.10 MASAKA-MUTUKULA'!D12,'26.10 MASAKA-MUTUKULA-24HR'!D12,'27.10 Masaka-Mutukula'!D12,'28.10 MASAKA-MUTUKULA-24HR'!D12,'29.10 MASAKA-MUTUKULA'!D12,'30.10 MASAKA-MUTUKULA'!D12,'31.10 Masaka-Mutukula'!D12)</f>
        <v>0.14285714285714285</v>
      </c>
      <c r="E12" s="49">
        <f>AVERAGE('25.10 MASAKA-MUTUKULA'!E12,'26.10 MASAKA-MUTUKULA-24HR'!E12,'27.10 Masaka-Mutukula'!E12,'28.10 MASAKA-MUTUKULA-24HR'!E12,'29.10 MASAKA-MUTUKULA'!E12,'30.10 MASAKA-MUTUKULA'!E12,'31.10 Masaka-Mutukula'!E12)</f>
        <v>0.14285714285714285</v>
      </c>
      <c r="F12" s="49">
        <f>AVERAGE('25.10 MASAKA-MUTUKULA'!F12,'26.10 MASAKA-MUTUKULA-24HR'!F12,'27.10 Masaka-Mutukula'!F12,'28.10 MASAKA-MUTUKULA-24HR'!F12,'29.10 MASAKA-MUTUKULA'!F12,'30.10 MASAKA-MUTUKULA'!F12,'31.10 Masaka-Mutukula'!F12)</f>
        <v>0.2857142857142857</v>
      </c>
      <c r="G12" s="49">
        <f>AVERAGE('25.10 MASAKA-MUTUKULA'!G12,'26.10 MASAKA-MUTUKULA-24HR'!G12,'27.10 Masaka-Mutukula'!G12,'28.10 MASAKA-MUTUKULA-24HR'!G12,'29.10 MASAKA-MUTUKULA'!G12,'30.10 MASAKA-MUTUKULA'!G12,'31.10 Masaka-Mutukula'!G12)</f>
        <v>0</v>
      </c>
      <c r="H12" s="49">
        <f>AVERAGE('25.10 MASAKA-MUTUKULA'!H12,'26.10 MASAKA-MUTUKULA-24HR'!H12,'27.10 Masaka-Mutukula'!H12,'28.10 MASAKA-MUTUKULA-24HR'!H12,'29.10 MASAKA-MUTUKULA'!H12,'30.10 MASAKA-MUTUKULA'!H12,'31.10 Masaka-Mutukula'!H12)</f>
        <v>0</v>
      </c>
      <c r="I12" s="49">
        <f>AVERAGE('25.10 MASAKA-MUTUKULA'!I12,'26.10 MASAKA-MUTUKULA-24HR'!I12,'27.10 Masaka-Mutukula'!I12,'28.10 MASAKA-MUTUKULA-24HR'!I12,'29.10 MASAKA-MUTUKULA'!I12,'30.10 MASAKA-MUTUKULA'!I12,'31.10 Masaka-Mutukula'!I12)</f>
        <v>0.5714285714285714</v>
      </c>
      <c r="J12" s="49">
        <f>AVERAGE('25.10 MASAKA-MUTUKULA'!J12,'26.10 MASAKA-MUTUKULA-24HR'!J12,'27.10 Masaka-Mutukula'!J12,'28.10 MASAKA-MUTUKULA-24HR'!J12,'29.10 MASAKA-MUTUKULA'!J12,'30.10 MASAKA-MUTUKULA'!J12,'31.10 Masaka-Mutukula'!J12)</f>
        <v>0.5714285714285714</v>
      </c>
      <c r="K12" s="49">
        <f>AVERAGE('25.10 MASAKA-MUTUKULA'!K12,'26.10 MASAKA-MUTUKULA-24HR'!K12,'27.10 Masaka-Mutukula'!K12,'28.10 MASAKA-MUTUKULA-24HR'!K12,'29.10 MASAKA-MUTUKULA'!K12,'30.10 MASAKA-MUTUKULA'!K12,'31.10 Masaka-Mutukula'!K12)</f>
        <v>1</v>
      </c>
      <c r="L12" s="49">
        <f>AVERAGE('25.10 MASAKA-MUTUKULA'!L12,'26.10 MASAKA-MUTUKULA-24HR'!L12,'27.10 Masaka-Mutukula'!L12,'28.10 MASAKA-MUTUKULA-24HR'!L12,'29.10 MASAKA-MUTUKULA'!L12,'30.10 MASAKA-MUTUKULA'!L12,'31.10 Masaka-Mutukula'!L12)</f>
        <v>0</v>
      </c>
      <c r="M12" s="49">
        <f>AVERAGE('25.10 MASAKA-MUTUKULA'!M12,'26.10 MASAKA-MUTUKULA-24HR'!M12,'27.10 Masaka-Mutukula'!M12,'28.10 MASAKA-MUTUKULA-24HR'!M12,'29.10 MASAKA-MUTUKULA'!M12,'30.10 MASAKA-MUTUKULA'!M12,'31.10 Masaka-Mutukula'!M12)</f>
        <v>10.857142857142858</v>
      </c>
      <c r="N12" s="49">
        <f>AVERAGE('25.10 MASAKA-MUTUKULA'!N12,'26.10 MASAKA-MUTUKULA-24HR'!N12,'27.10 Masaka-Mutukula'!N12,'28.10 MASAKA-MUTUKULA-24HR'!N12,'29.10 MASAKA-MUTUKULA'!N12,'30.10 MASAKA-MUTUKULA'!N12,'31.10 Masaka-Mutukula'!N12)</f>
        <v>0</v>
      </c>
      <c r="O12" s="15">
        <f t="shared" si="0"/>
        <v>5.2857142857142856</v>
      </c>
      <c r="P12" s="15">
        <f t="shared" si="1"/>
        <v>16.142857142857142</v>
      </c>
      <c r="R12" s="1" t="s">
        <v>8</v>
      </c>
      <c r="S12" s="17">
        <f t="shared" ref="S12:AF12" si="4">SUM(C18:C21)</f>
        <v>9.9999999999999982</v>
      </c>
      <c r="T12" s="17">
        <f t="shared" si="4"/>
        <v>0.5714285714285714</v>
      </c>
      <c r="U12" s="17">
        <f t="shared" si="4"/>
        <v>1.2857142857142856</v>
      </c>
      <c r="V12" s="17">
        <f t="shared" si="4"/>
        <v>4.2857142857142856</v>
      </c>
      <c r="W12" s="17">
        <f t="shared" si="4"/>
        <v>0</v>
      </c>
      <c r="X12" s="17">
        <f t="shared" si="4"/>
        <v>0.14285714285714285</v>
      </c>
      <c r="Y12" s="17">
        <f t="shared" si="4"/>
        <v>4.7142857142857144</v>
      </c>
      <c r="Z12" s="17">
        <f t="shared" si="4"/>
        <v>2.1428571428571428</v>
      </c>
      <c r="AA12" s="17">
        <f t="shared" si="4"/>
        <v>3.714285714285714</v>
      </c>
      <c r="AB12" s="17">
        <f t="shared" si="4"/>
        <v>0.5714285714285714</v>
      </c>
      <c r="AC12" s="17">
        <f t="shared" si="4"/>
        <v>55</v>
      </c>
      <c r="AD12" s="17">
        <f t="shared" si="4"/>
        <v>0</v>
      </c>
      <c r="AE12" s="31">
        <f t="shared" si="4"/>
        <v>27.428571428571423</v>
      </c>
      <c r="AF12" s="31">
        <f t="shared" si="4"/>
        <v>82.428571428571431</v>
      </c>
    </row>
    <row r="13" spans="2:32" ht="23.1" customHeight="1" x14ac:dyDescent="0.25">
      <c r="B13" s="23" t="s">
        <v>40</v>
      </c>
      <c r="C13" s="49">
        <f>AVERAGE('25.10 MASAKA-MUTUKULA'!C13,'26.10 MASAKA-MUTUKULA-24HR'!C13,'27.10 Masaka-Mutukula'!C13,'28.10 MASAKA-MUTUKULA-24HR'!C13,'29.10 MASAKA-MUTUKULA'!C13,'30.10 MASAKA-MUTUKULA'!C13,'31.10 Masaka-Mutukula'!C13)</f>
        <v>3</v>
      </c>
      <c r="D13" s="49">
        <f>AVERAGE('25.10 MASAKA-MUTUKULA'!D13,'26.10 MASAKA-MUTUKULA-24HR'!D13,'27.10 Masaka-Mutukula'!D13,'28.10 MASAKA-MUTUKULA-24HR'!D13,'29.10 MASAKA-MUTUKULA'!D13,'30.10 MASAKA-MUTUKULA'!D13,'31.10 Masaka-Mutukula'!D13)</f>
        <v>0.14285714285714285</v>
      </c>
      <c r="E13" s="49">
        <f>AVERAGE('25.10 MASAKA-MUTUKULA'!E13,'26.10 MASAKA-MUTUKULA-24HR'!E13,'27.10 Masaka-Mutukula'!E13,'28.10 MASAKA-MUTUKULA-24HR'!E13,'29.10 MASAKA-MUTUKULA'!E13,'30.10 MASAKA-MUTUKULA'!E13,'31.10 Masaka-Mutukula'!E13)</f>
        <v>0</v>
      </c>
      <c r="F13" s="49">
        <f>AVERAGE('25.10 MASAKA-MUTUKULA'!F13,'26.10 MASAKA-MUTUKULA-24HR'!F13,'27.10 Masaka-Mutukula'!F13,'28.10 MASAKA-MUTUKULA-24HR'!F13,'29.10 MASAKA-MUTUKULA'!F13,'30.10 MASAKA-MUTUKULA'!F13,'31.10 Masaka-Mutukula'!F13)</f>
        <v>1</v>
      </c>
      <c r="G13" s="49">
        <f>AVERAGE('25.10 MASAKA-MUTUKULA'!G13,'26.10 MASAKA-MUTUKULA-24HR'!G13,'27.10 Masaka-Mutukula'!G13,'28.10 MASAKA-MUTUKULA-24HR'!G13,'29.10 MASAKA-MUTUKULA'!G13,'30.10 MASAKA-MUTUKULA'!G13,'31.10 Masaka-Mutukula'!G13)</f>
        <v>0</v>
      </c>
      <c r="H13" s="49">
        <f>AVERAGE('25.10 MASAKA-MUTUKULA'!H13,'26.10 MASAKA-MUTUKULA-24HR'!H13,'27.10 Masaka-Mutukula'!H13,'28.10 MASAKA-MUTUKULA-24HR'!H13,'29.10 MASAKA-MUTUKULA'!H13,'30.10 MASAKA-MUTUKULA'!H13,'31.10 Masaka-Mutukula'!H13)</f>
        <v>0</v>
      </c>
      <c r="I13" s="49">
        <f>AVERAGE('25.10 MASAKA-MUTUKULA'!I13,'26.10 MASAKA-MUTUKULA-24HR'!I13,'27.10 Masaka-Mutukula'!I13,'28.10 MASAKA-MUTUKULA-24HR'!I13,'29.10 MASAKA-MUTUKULA'!I13,'30.10 MASAKA-MUTUKULA'!I13,'31.10 Masaka-Mutukula'!I13)</f>
        <v>0.5714285714285714</v>
      </c>
      <c r="J13" s="49">
        <f>AVERAGE('25.10 MASAKA-MUTUKULA'!J13,'26.10 MASAKA-MUTUKULA-24HR'!J13,'27.10 Masaka-Mutukula'!J13,'28.10 MASAKA-MUTUKULA-24HR'!J13,'29.10 MASAKA-MUTUKULA'!J13,'30.10 MASAKA-MUTUKULA'!J13,'31.10 Masaka-Mutukula'!J13)</f>
        <v>0.5714285714285714</v>
      </c>
      <c r="K13" s="49">
        <f>AVERAGE('25.10 MASAKA-MUTUKULA'!K13,'26.10 MASAKA-MUTUKULA-24HR'!K13,'27.10 Masaka-Mutukula'!K13,'28.10 MASAKA-MUTUKULA-24HR'!K13,'29.10 MASAKA-MUTUKULA'!K13,'30.10 MASAKA-MUTUKULA'!K13,'31.10 Masaka-Mutukula'!K13)</f>
        <v>2</v>
      </c>
      <c r="L13" s="49">
        <f>AVERAGE('25.10 MASAKA-MUTUKULA'!L13,'26.10 MASAKA-MUTUKULA-24HR'!L13,'27.10 Masaka-Mutukula'!L13,'28.10 MASAKA-MUTUKULA-24HR'!L13,'29.10 MASAKA-MUTUKULA'!L13,'30.10 MASAKA-MUTUKULA'!L13,'31.10 Masaka-Mutukula'!L13)</f>
        <v>0</v>
      </c>
      <c r="M13" s="49">
        <f>AVERAGE('25.10 MASAKA-MUTUKULA'!M13,'26.10 MASAKA-MUTUKULA-24HR'!M13,'27.10 Masaka-Mutukula'!M13,'28.10 MASAKA-MUTUKULA-24HR'!M13,'29.10 MASAKA-MUTUKULA'!M13,'30.10 MASAKA-MUTUKULA'!M13,'31.10 Masaka-Mutukula'!M13)</f>
        <v>11.142857142857142</v>
      </c>
      <c r="N13" s="49">
        <f>AVERAGE('25.10 MASAKA-MUTUKULA'!N13,'26.10 MASAKA-MUTUKULA-24HR'!N13,'27.10 Masaka-Mutukula'!N13,'28.10 MASAKA-MUTUKULA-24HR'!N13,'29.10 MASAKA-MUTUKULA'!N13,'30.10 MASAKA-MUTUKULA'!N13,'31.10 Masaka-Mutukula'!N13)</f>
        <v>0</v>
      </c>
      <c r="O13" s="15">
        <f t="shared" si="0"/>
        <v>7.2857142857142847</v>
      </c>
      <c r="P13" s="15">
        <f t="shared" si="1"/>
        <v>18.428571428571427</v>
      </c>
      <c r="R13" s="1" t="s">
        <v>9</v>
      </c>
      <c r="S13" s="17">
        <f t="shared" ref="S13:AF13" si="5">SUM(C22:C25)</f>
        <v>9.5714285714285712</v>
      </c>
      <c r="T13" s="17">
        <f t="shared" si="5"/>
        <v>0.71428571428571419</v>
      </c>
      <c r="U13" s="17">
        <f t="shared" si="5"/>
        <v>0.2857142857142857</v>
      </c>
      <c r="V13" s="17">
        <f t="shared" si="5"/>
        <v>5.5714285714285712</v>
      </c>
      <c r="W13" s="17">
        <f t="shared" si="5"/>
        <v>0</v>
      </c>
      <c r="X13" s="17">
        <f t="shared" si="5"/>
        <v>0</v>
      </c>
      <c r="Y13" s="17">
        <f t="shared" si="5"/>
        <v>4.7142857142857144</v>
      </c>
      <c r="Z13" s="17">
        <f t="shared" si="5"/>
        <v>1.1428571428571428</v>
      </c>
      <c r="AA13" s="17">
        <f t="shared" si="5"/>
        <v>4.1428571428571423</v>
      </c>
      <c r="AB13" s="17">
        <f t="shared" si="5"/>
        <v>0</v>
      </c>
      <c r="AC13" s="17">
        <f t="shared" si="5"/>
        <v>41.285714285714292</v>
      </c>
      <c r="AD13" s="17">
        <f t="shared" si="5"/>
        <v>0</v>
      </c>
      <c r="AE13" s="31">
        <f t="shared" si="5"/>
        <v>26.142857142857142</v>
      </c>
      <c r="AF13" s="31">
        <f t="shared" si="5"/>
        <v>67.428571428571431</v>
      </c>
    </row>
    <row r="14" spans="2:32" ht="23.1" customHeight="1" x14ac:dyDescent="0.25">
      <c r="B14" s="23" t="s">
        <v>41</v>
      </c>
      <c r="C14" s="49">
        <f>AVERAGE('25.10 MASAKA-MUTUKULA'!C14,'26.10 MASAKA-MUTUKULA-24HR'!C14,'27.10 Masaka-Mutukula'!C14,'28.10 MASAKA-MUTUKULA-24HR'!C14,'29.10 MASAKA-MUTUKULA'!C14,'30.10 MASAKA-MUTUKULA'!C14,'31.10 Masaka-Mutukula'!C14)</f>
        <v>2.8571428571428572</v>
      </c>
      <c r="D14" s="49">
        <f>AVERAGE('25.10 MASAKA-MUTUKULA'!D14,'26.10 MASAKA-MUTUKULA-24HR'!D14,'27.10 Masaka-Mutukula'!D14,'28.10 MASAKA-MUTUKULA-24HR'!D14,'29.10 MASAKA-MUTUKULA'!D14,'30.10 MASAKA-MUTUKULA'!D14,'31.10 Masaka-Mutukula'!D14)</f>
        <v>0.2857142857142857</v>
      </c>
      <c r="E14" s="49">
        <f>AVERAGE('25.10 MASAKA-MUTUKULA'!E14,'26.10 MASAKA-MUTUKULA-24HR'!E14,'27.10 Masaka-Mutukula'!E14,'28.10 MASAKA-MUTUKULA-24HR'!E14,'29.10 MASAKA-MUTUKULA'!E14,'30.10 MASAKA-MUTUKULA'!E14,'31.10 Masaka-Mutukula'!E14)</f>
        <v>0.14285714285714285</v>
      </c>
      <c r="F14" s="49">
        <f>AVERAGE('25.10 MASAKA-MUTUKULA'!F14,'26.10 MASAKA-MUTUKULA-24HR'!F14,'27.10 Masaka-Mutukula'!F14,'28.10 MASAKA-MUTUKULA-24HR'!F14,'29.10 MASAKA-MUTUKULA'!F14,'30.10 MASAKA-MUTUKULA'!F14,'31.10 Masaka-Mutukula'!F14)</f>
        <v>0</v>
      </c>
      <c r="G14" s="49">
        <f>AVERAGE('25.10 MASAKA-MUTUKULA'!G14,'26.10 MASAKA-MUTUKULA-24HR'!G14,'27.10 Masaka-Mutukula'!G14,'28.10 MASAKA-MUTUKULA-24HR'!G14,'29.10 MASAKA-MUTUKULA'!G14,'30.10 MASAKA-MUTUKULA'!G14,'31.10 Masaka-Mutukula'!G14)</f>
        <v>0</v>
      </c>
      <c r="H14" s="49">
        <f>AVERAGE('25.10 MASAKA-MUTUKULA'!H14,'26.10 MASAKA-MUTUKULA-24HR'!H14,'27.10 Masaka-Mutukula'!H14,'28.10 MASAKA-MUTUKULA-24HR'!H14,'29.10 MASAKA-MUTUKULA'!H14,'30.10 MASAKA-MUTUKULA'!H14,'31.10 Masaka-Mutukula'!H14)</f>
        <v>0</v>
      </c>
      <c r="I14" s="49">
        <f>AVERAGE('25.10 MASAKA-MUTUKULA'!I14,'26.10 MASAKA-MUTUKULA-24HR'!I14,'27.10 Masaka-Mutukula'!I14,'28.10 MASAKA-MUTUKULA-24HR'!I14,'29.10 MASAKA-MUTUKULA'!I14,'30.10 MASAKA-MUTUKULA'!I14,'31.10 Masaka-Mutukula'!I14)</f>
        <v>1.2857142857142858</v>
      </c>
      <c r="J14" s="49">
        <f>AVERAGE('25.10 MASAKA-MUTUKULA'!J14,'26.10 MASAKA-MUTUKULA-24HR'!J14,'27.10 Masaka-Mutukula'!J14,'28.10 MASAKA-MUTUKULA-24HR'!J14,'29.10 MASAKA-MUTUKULA'!J14,'30.10 MASAKA-MUTUKULA'!J14,'31.10 Masaka-Mutukula'!J14)</f>
        <v>0.7142857142857143</v>
      </c>
      <c r="K14" s="49">
        <f>AVERAGE('25.10 MASAKA-MUTUKULA'!K14,'26.10 MASAKA-MUTUKULA-24HR'!K14,'27.10 Masaka-Mutukula'!K14,'28.10 MASAKA-MUTUKULA-24HR'!K14,'29.10 MASAKA-MUTUKULA'!K14,'30.10 MASAKA-MUTUKULA'!K14,'31.10 Masaka-Mutukula'!K14)</f>
        <v>2.4285714285714284</v>
      </c>
      <c r="L14" s="49">
        <f>AVERAGE('25.10 MASAKA-MUTUKULA'!L14,'26.10 MASAKA-MUTUKULA-24HR'!L14,'27.10 Masaka-Mutukula'!L14,'28.10 MASAKA-MUTUKULA-24HR'!L14,'29.10 MASAKA-MUTUKULA'!L14,'30.10 MASAKA-MUTUKULA'!L14,'31.10 Masaka-Mutukula'!L14)</f>
        <v>0</v>
      </c>
      <c r="M14" s="49">
        <f>AVERAGE('25.10 MASAKA-MUTUKULA'!M14,'26.10 MASAKA-MUTUKULA-24HR'!M14,'27.10 Masaka-Mutukula'!M14,'28.10 MASAKA-MUTUKULA-24HR'!M14,'29.10 MASAKA-MUTUKULA'!M14,'30.10 MASAKA-MUTUKULA'!M14,'31.10 Masaka-Mutukula'!M14)</f>
        <v>11.142857142857142</v>
      </c>
      <c r="N14" s="49">
        <f>AVERAGE('25.10 MASAKA-MUTUKULA'!N14,'26.10 MASAKA-MUTUKULA-24HR'!N14,'27.10 Masaka-Mutukula'!N14,'28.10 MASAKA-MUTUKULA-24HR'!N14,'29.10 MASAKA-MUTUKULA'!N14,'30.10 MASAKA-MUTUKULA'!N14,'31.10 Masaka-Mutukula'!N14)</f>
        <v>0</v>
      </c>
      <c r="O14" s="15">
        <f t="shared" si="0"/>
        <v>7.7142857142857135</v>
      </c>
      <c r="P14" s="15">
        <f t="shared" si="1"/>
        <v>18.857142857142854</v>
      </c>
      <c r="R14" s="1" t="s">
        <v>10</v>
      </c>
      <c r="S14" s="17">
        <f t="shared" ref="S14:AF14" si="6">SUM(C26:C29)</f>
        <v>7.4285714285714288</v>
      </c>
      <c r="T14" s="17">
        <f t="shared" si="6"/>
        <v>1</v>
      </c>
      <c r="U14" s="17">
        <f t="shared" si="6"/>
        <v>0.42857142857142855</v>
      </c>
      <c r="V14" s="17">
        <f t="shared" si="6"/>
        <v>6.5714285714285712</v>
      </c>
      <c r="W14" s="17">
        <f t="shared" si="6"/>
        <v>0</v>
      </c>
      <c r="X14" s="17">
        <f t="shared" si="6"/>
        <v>0</v>
      </c>
      <c r="Y14" s="17">
        <f t="shared" si="6"/>
        <v>3.2857142857142856</v>
      </c>
      <c r="Z14" s="17">
        <f t="shared" si="6"/>
        <v>2.4285714285714284</v>
      </c>
      <c r="AA14" s="17">
        <f t="shared" si="6"/>
        <v>2</v>
      </c>
      <c r="AB14" s="17">
        <f t="shared" si="6"/>
        <v>0</v>
      </c>
      <c r="AC14" s="17">
        <f t="shared" si="6"/>
        <v>43.714285714285715</v>
      </c>
      <c r="AD14" s="17">
        <f t="shared" si="6"/>
        <v>0</v>
      </c>
      <c r="AE14" s="31">
        <f t="shared" si="6"/>
        <v>23.142857142857142</v>
      </c>
      <c r="AF14" s="31">
        <f t="shared" si="6"/>
        <v>66.857142857142861</v>
      </c>
    </row>
    <row r="15" spans="2:32" ht="23.1" customHeight="1" x14ac:dyDescent="0.25">
      <c r="B15" s="23" t="s">
        <v>42</v>
      </c>
      <c r="C15" s="49">
        <f>AVERAGE('25.10 MASAKA-MUTUKULA'!C15,'26.10 MASAKA-MUTUKULA-24HR'!C15,'27.10 Masaka-Mutukula'!C15,'28.10 MASAKA-MUTUKULA-24HR'!C15,'29.10 MASAKA-MUTUKULA'!C15,'30.10 MASAKA-MUTUKULA'!C15,'31.10 Masaka-Mutukula'!C15)</f>
        <v>5.4285714285714288</v>
      </c>
      <c r="D15" s="49">
        <f>AVERAGE('25.10 MASAKA-MUTUKULA'!D15,'26.10 MASAKA-MUTUKULA-24HR'!D15,'27.10 Masaka-Mutukula'!D15,'28.10 MASAKA-MUTUKULA-24HR'!D15,'29.10 MASAKA-MUTUKULA'!D15,'30.10 MASAKA-MUTUKULA'!D15,'31.10 Masaka-Mutukula'!D15)</f>
        <v>0.14285714285714285</v>
      </c>
      <c r="E15" s="49">
        <f>AVERAGE('25.10 MASAKA-MUTUKULA'!E15,'26.10 MASAKA-MUTUKULA-24HR'!E15,'27.10 Masaka-Mutukula'!E15,'28.10 MASAKA-MUTUKULA-24HR'!E15,'29.10 MASAKA-MUTUKULA'!E15,'30.10 MASAKA-MUTUKULA'!E15,'31.10 Masaka-Mutukula'!E15)</f>
        <v>0</v>
      </c>
      <c r="F15" s="49">
        <f>AVERAGE('25.10 MASAKA-MUTUKULA'!F15,'26.10 MASAKA-MUTUKULA-24HR'!F15,'27.10 Masaka-Mutukula'!F15,'28.10 MASAKA-MUTUKULA-24HR'!F15,'29.10 MASAKA-MUTUKULA'!F15,'30.10 MASAKA-MUTUKULA'!F15,'31.10 Masaka-Mutukula'!F15)</f>
        <v>0.5714285714285714</v>
      </c>
      <c r="G15" s="49">
        <f>AVERAGE('25.10 MASAKA-MUTUKULA'!G15,'26.10 MASAKA-MUTUKULA-24HR'!G15,'27.10 Masaka-Mutukula'!G15,'28.10 MASAKA-MUTUKULA-24HR'!G15,'29.10 MASAKA-MUTUKULA'!G15,'30.10 MASAKA-MUTUKULA'!G15,'31.10 Masaka-Mutukula'!G15)</f>
        <v>0</v>
      </c>
      <c r="H15" s="49">
        <f>AVERAGE('25.10 MASAKA-MUTUKULA'!H15,'26.10 MASAKA-MUTUKULA-24HR'!H15,'27.10 Masaka-Mutukula'!H15,'28.10 MASAKA-MUTUKULA-24HR'!H15,'29.10 MASAKA-MUTUKULA'!H15,'30.10 MASAKA-MUTUKULA'!H15,'31.10 Masaka-Mutukula'!H15)</f>
        <v>0.14285714285714285</v>
      </c>
      <c r="I15" s="49">
        <f>AVERAGE('25.10 MASAKA-MUTUKULA'!I15,'26.10 MASAKA-MUTUKULA-24HR'!I15,'27.10 Masaka-Mutukula'!I15,'28.10 MASAKA-MUTUKULA-24HR'!I15,'29.10 MASAKA-MUTUKULA'!I15,'30.10 MASAKA-MUTUKULA'!I15,'31.10 Masaka-Mutukula'!I15)</f>
        <v>1</v>
      </c>
      <c r="J15" s="49">
        <f>AVERAGE('25.10 MASAKA-MUTUKULA'!J15,'26.10 MASAKA-MUTUKULA-24HR'!J15,'27.10 Masaka-Mutukula'!J15,'28.10 MASAKA-MUTUKULA-24HR'!J15,'29.10 MASAKA-MUTUKULA'!J15,'30.10 MASAKA-MUTUKULA'!J15,'31.10 Masaka-Mutukula'!J15)</f>
        <v>0.42857142857142855</v>
      </c>
      <c r="K15" s="49">
        <f>AVERAGE('25.10 MASAKA-MUTUKULA'!K15,'26.10 MASAKA-MUTUKULA-24HR'!K15,'27.10 Masaka-Mutukula'!K15,'28.10 MASAKA-MUTUKULA-24HR'!K15,'29.10 MASAKA-MUTUKULA'!K15,'30.10 MASAKA-MUTUKULA'!K15,'31.10 Masaka-Mutukula'!K15)</f>
        <v>0.7142857142857143</v>
      </c>
      <c r="L15" s="49">
        <f>AVERAGE('25.10 MASAKA-MUTUKULA'!L15,'26.10 MASAKA-MUTUKULA-24HR'!L15,'27.10 Masaka-Mutukula'!L15,'28.10 MASAKA-MUTUKULA-24HR'!L15,'29.10 MASAKA-MUTUKULA'!L15,'30.10 MASAKA-MUTUKULA'!L15,'31.10 Masaka-Mutukula'!L15)</f>
        <v>0.2857142857142857</v>
      </c>
      <c r="M15" s="49">
        <f>AVERAGE('25.10 MASAKA-MUTUKULA'!M15,'26.10 MASAKA-MUTUKULA-24HR'!M15,'27.10 Masaka-Mutukula'!M15,'28.10 MASAKA-MUTUKULA-24HR'!M15,'29.10 MASAKA-MUTUKULA'!M15,'30.10 MASAKA-MUTUKULA'!M15,'31.10 Masaka-Mutukula'!M15)</f>
        <v>13.857142857142858</v>
      </c>
      <c r="N15" s="49">
        <f>AVERAGE('25.10 MASAKA-MUTUKULA'!N15,'26.10 MASAKA-MUTUKULA-24HR'!N15,'27.10 Masaka-Mutukula'!N15,'28.10 MASAKA-MUTUKULA-24HR'!N15,'29.10 MASAKA-MUTUKULA'!N15,'30.10 MASAKA-MUTUKULA'!N15,'31.10 Masaka-Mutukula'!N15)</f>
        <v>0</v>
      </c>
      <c r="O15" s="15">
        <f t="shared" si="0"/>
        <v>8.7142857142857153</v>
      </c>
      <c r="P15" s="15">
        <f t="shared" si="1"/>
        <v>22.571428571428573</v>
      </c>
      <c r="R15" s="1" t="s">
        <v>11</v>
      </c>
      <c r="S15" s="17">
        <f t="shared" ref="S15:AF15" si="7">SUM(C30:C33)</f>
        <v>11.285714285714288</v>
      </c>
      <c r="T15" s="17">
        <f t="shared" si="7"/>
        <v>1.2857142857142856</v>
      </c>
      <c r="U15" s="17">
        <f t="shared" si="7"/>
        <v>1</v>
      </c>
      <c r="V15" s="17">
        <f t="shared" si="7"/>
        <v>8.2857142857142865</v>
      </c>
      <c r="W15" s="17">
        <f t="shared" si="7"/>
        <v>0</v>
      </c>
      <c r="X15" s="17">
        <f t="shared" si="7"/>
        <v>0.14285714285714285</v>
      </c>
      <c r="Y15" s="17">
        <f t="shared" si="7"/>
        <v>3.5714285714285716</v>
      </c>
      <c r="Z15" s="17">
        <f t="shared" si="7"/>
        <v>1.2857142857142856</v>
      </c>
      <c r="AA15" s="17">
        <f t="shared" si="7"/>
        <v>2.1428571428571428</v>
      </c>
      <c r="AB15" s="17">
        <f t="shared" si="7"/>
        <v>0</v>
      </c>
      <c r="AC15" s="17">
        <f t="shared" si="7"/>
        <v>45.571428571428569</v>
      </c>
      <c r="AD15" s="17">
        <f t="shared" si="7"/>
        <v>0</v>
      </c>
      <c r="AE15" s="31">
        <f t="shared" si="7"/>
        <v>29</v>
      </c>
      <c r="AF15" s="31">
        <f t="shared" si="7"/>
        <v>74.571428571428569</v>
      </c>
    </row>
    <row r="16" spans="2:32" ht="23.1" customHeight="1" x14ac:dyDescent="0.25">
      <c r="B16" s="23" t="s">
        <v>43</v>
      </c>
      <c r="C16" s="49">
        <f>AVERAGE('25.10 MASAKA-MUTUKULA'!C16,'26.10 MASAKA-MUTUKULA-24HR'!C16,'27.10 Masaka-Mutukula'!C16,'28.10 MASAKA-MUTUKULA-24HR'!C16,'29.10 MASAKA-MUTUKULA'!C16,'30.10 MASAKA-MUTUKULA'!C16,'31.10 Masaka-Mutukula'!C16)</f>
        <v>3.5714285714285716</v>
      </c>
      <c r="D16" s="49">
        <f>AVERAGE('25.10 MASAKA-MUTUKULA'!D16,'26.10 MASAKA-MUTUKULA-24HR'!D16,'27.10 Masaka-Mutukula'!D16,'28.10 MASAKA-MUTUKULA-24HR'!D16,'29.10 MASAKA-MUTUKULA'!D16,'30.10 MASAKA-MUTUKULA'!D16,'31.10 Masaka-Mutukula'!D16)</f>
        <v>0.14285714285714285</v>
      </c>
      <c r="E16" s="49">
        <f>AVERAGE('25.10 MASAKA-MUTUKULA'!E16,'26.10 MASAKA-MUTUKULA-24HR'!E16,'27.10 Masaka-Mutukula'!E16,'28.10 MASAKA-MUTUKULA-24HR'!E16,'29.10 MASAKA-MUTUKULA'!E16,'30.10 MASAKA-MUTUKULA'!E16,'31.10 Masaka-Mutukula'!E16)</f>
        <v>0</v>
      </c>
      <c r="F16" s="49">
        <f>AVERAGE('25.10 MASAKA-MUTUKULA'!F16,'26.10 MASAKA-MUTUKULA-24HR'!F16,'27.10 Masaka-Mutukula'!F16,'28.10 MASAKA-MUTUKULA-24HR'!F16,'29.10 MASAKA-MUTUKULA'!F16,'30.10 MASAKA-MUTUKULA'!F16,'31.10 Masaka-Mutukula'!F16)</f>
        <v>1.4285714285714286</v>
      </c>
      <c r="G16" s="49">
        <f>AVERAGE('25.10 MASAKA-MUTUKULA'!G16,'26.10 MASAKA-MUTUKULA-24HR'!G16,'27.10 Masaka-Mutukula'!G16,'28.10 MASAKA-MUTUKULA-24HR'!G16,'29.10 MASAKA-MUTUKULA'!G16,'30.10 MASAKA-MUTUKULA'!G16,'31.10 Masaka-Mutukula'!G16)</f>
        <v>0</v>
      </c>
      <c r="H16" s="49">
        <f>AVERAGE('25.10 MASAKA-MUTUKULA'!H16,'26.10 MASAKA-MUTUKULA-24HR'!H16,'27.10 Masaka-Mutukula'!H16,'28.10 MASAKA-MUTUKULA-24HR'!H16,'29.10 MASAKA-MUTUKULA'!H16,'30.10 MASAKA-MUTUKULA'!H16,'31.10 Masaka-Mutukula'!H16)</f>
        <v>0.14285714285714285</v>
      </c>
      <c r="I16" s="49">
        <f>AVERAGE('25.10 MASAKA-MUTUKULA'!I16,'26.10 MASAKA-MUTUKULA-24HR'!I16,'27.10 Masaka-Mutukula'!I16,'28.10 MASAKA-MUTUKULA-24HR'!I16,'29.10 MASAKA-MUTUKULA'!I16,'30.10 MASAKA-MUTUKULA'!I16,'31.10 Masaka-Mutukula'!I16)</f>
        <v>0.8571428571428571</v>
      </c>
      <c r="J16" s="49">
        <f>AVERAGE('25.10 MASAKA-MUTUKULA'!J16,'26.10 MASAKA-MUTUKULA-24HR'!J16,'27.10 Masaka-Mutukula'!J16,'28.10 MASAKA-MUTUKULA-24HR'!J16,'29.10 MASAKA-MUTUKULA'!J16,'30.10 MASAKA-MUTUKULA'!J16,'31.10 Masaka-Mutukula'!J16)</f>
        <v>1</v>
      </c>
      <c r="K16" s="49">
        <f>AVERAGE('25.10 MASAKA-MUTUKULA'!K16,'26.10 MASAKA-MUTUKULA-24HR'!K16,'27.10 Masaka-Mutukula'!K16,'28.10 MASAKA-MUTUKULA-24HR'!K16,'29.10 MASAKA-MUTUKULA'!K16,'30.10 MASAKA-MUTUKULA'!K16,'31.10 Masaka-Mutukula'!K16)</f>
        <v>0.7142857142857143</v>
      </c>
      <c r="L16" s="49">
        <f>AVERAGE('25.10 MASAKA-MUTUKULA'!L16,'26.10 MASAKA-MUTUKULA-24HR'!L16,'27.10 Masaka-Mutukula'!L16,'28.10 MASAKA-MUTUKULA-24HR'!L16,'29.10 MASAKA-MUTUKULA'!L16,'30.10 MASAKA-MUTUKULA'!L16,'31.10 Masaka-Mutukula'!L16)</f>
        <v>0.14285714285714285</v>
      </c>
      <c r="M16" s="49">
        <f>AVERAGE('25.10 MASAKA-MUTUKULA'!M16,'26.10 MASAKA-MUTUKULA-24HR'!M16,'27.10 Masaka-Mutukula'!M16,'28.10 MASAKA-MUTUKULA-24HR'!M16,'29.10 MASAKA-MUTUKULA'!M16,'30.10 MASAKA-MUTUKULA'!M16,'31.10 Masaka-Mutukula'!M16)</f>
        <v>13.857142857142858</v>
      </c>
      <c r="N16" s="49">
        <f>AVERAGE('25.10 MASAKA-MUTUKULA'!N16,'26.10 MASAKA-MUTUKULA-24HR'!N16,'27.10 Masaka-Mutukula'!N16,'28.10 MASAKA-MUTUKULA-24HR'!N16,'29.10 MASAKA-MUTUKULA'!N16,'30.10 MASAKA-MUTUKULA'!N16,'31.10 Masaka-Mutukula'!N16)</f>
        <v>0</v>
      </c>
      <c r="O16" s="15">
        <f t="shared" si="0"/>
        <v>8</v>
      </c>
      <c r="P16" s="15">
        <f t="shared" si="1"/>
        <v>21.857142857142858</v>
      </c>
      <c r="R16" s="1" t="s">
        <v>12</v>
      </c>
      <c r="S16" s="17">
        <f t="shared" ref="S16:AF16" si="8">SUM(C34:C37)</f>
        <v>9</v>
      </c>
      <c r="T16" s="17">
        <f t="shared" si="8"/>
        <v>0.85714285714285698</v>
      </c>
      <c r="U16" s="17">
        <f t="shared" si="8"/>
        <v>0.2857142857142857</v>
      </c>
      <c r="V16" s="17">
        <f t="shared" si="8"/>
        <v>7.8571428571428559</v>
      </c>
      <c r="W16" s="17">
        <f t="shared" si="8"/>
        <v>0</v>
      </c>
      <c r="X16" s="17">
        <f t="shared" si="8"/>
        <v>0</v>
      </c>
      <c r="Y16" s="17">
        <f t="shared" si="8"/>
        <v>3.4285714285714288</v>
      </c>
      <c r="Z16" s="17">
        <f t="shared" si="8"/>
        <v>1.4285714285714284</v>
      </c>
      <c r="AA16" s="17">
        <f t="shared" si="8"/>
        <v>3.5714285714285716</v>
      </c>
      <c r="AB16" s="17">
        <f t="shared" si="8"/>
        <v>0.2857142857142857</v>
      </c>
      <c r="AC16" s="17">
        <f t="shared" si="8"/>
        <v>46.142857142857139</v>
      </c>
      <c r="AD16" s="17">
        <f t="shared" si="8"/>
        <v>0</v>
      </c>
      <c r="AE16" s="31">
        <f t="shared" si="8"/>
        <v>26.714285714285715</v>
      </c>
      <c r="AF16" s="31">
        <f t="shared" si="8"/>
        <v>72.857142857142861</v>
      </c>
    </row>
    <row r="17" spans="2:32" ht="23.1" customHeight="1" x14ac:dyDescent="0.25">
      <c r="B17" s="23" t="s">
        <v>44</v>
      </c>
      <c r="C17" s="49">
        <f>AVERAGE('25.10 MASAKA-MUTUKULA'!C17,'26.10 MASAKA-MUTUKULA-24HR'!C17,'27.10 Masaka-Mutukula'!C17,'28.10 MASAKA-MUTUKULA-24HR'!C17,'29.10 MASAKA-MUTUKULA'!C17,'30.10 MASAKA-MUTUKULA'!C17,'31.10 Masaka-Mutukula'!C17)</f>
        <v>2.1428571428571428</v>
      </c>
      <c r="D17" s="49">
        <f>AVERAGE('25.10 MASAKA-MUTUKULA'!D17,'26.10 MASAKA-MUTUKULA-24HR'!D17,'27.10 Masaka-Mutukula'!D17,'28.10 MASAKA-MUTUKULA-24HR'!D17,'29.10 MASAKA-MUTUKULA'!D17,'30.10 MASAKA-MUTUKULA'!D17,'31.10 Masaka-Mutukula'!D17)</f>
        <v>0.2857142857142857</v>
      </c>
      <c r="E17" s="49">
        <f>AVERAGE('25.10 MASAKA-MUTUKULA'!E17,'26.10 MASAKA-MUTUKULA-24HR'!E17,'27.10 Masaka-Mutukula'!E17,'28.10 MASAKA-MUTUKULA-24HR'!E17,'29.10 MASAKA-MUTUKULA'!E17,'30.10 MASAKA-MUTUKULA'!E17,'31.10 Masaka-Mutukula'!E17)</f>
        <v>0</v>
      </c>
      <c r="F17" s="49">
        <f>AVERAGE('25.10 MASAKA-MUTUKULA'!F17,'26.10 MASAKA-MUTUKULA-24HR'!F17,'27.10 Masaka-Mutukula'!F17,'28.10 MASAKA-MUTUKULA-24HR'!F17,'29.10 MASAKA-MUTUKULA'!F17,'30.10 MASAKA-MUTUKULA'!F17,'31.10 Masaka-Mutukula'!F17)</f>
        <v>1.8571428571428572</v>
      </c>
      <c r="G17" s="49">
        <f>AVERAGE('25.10 MASAKA-MUTUKULA'!G17,'26.10 MASAKA-MUTUKULA-24HR'!G17,'27.10 Masaka-Mutukula'!G17,'28.10 MASAKA-MUTUKULA-24HR'!G17,'29.10 MASAKA-MUTUKULA'!G17,'30.10 MASAKA-MUTUKULA'!G17,'31.10 Masaka-Mutukula'!G17)</f>
        <v>0</v>
      </c>
      <c r="H17" s="49">
        <f>AVERAGE('25.10 MASAKA-MUTUKULA'!H17,'26.10 MASAKA-MUTUKULA-24HR'!H17,'27.10 Masaka-Mutukula'!H17,'28.10 MASAKA-MUTUKULA-24HR'!H17,'29.10 MASAKA-MUTUKULA'!H17,'30.10 MASAKA-MUTUKULA'!H17,'31.10 Masaka-Mutukula'!H17)</f>
        <v>0</v>
      </c>
      <c r="I17" s="49">
        <f>AVERAGE('25.10 MASAKA-MUTUKULA'!I17,'26.10 MASAKA-MUTUKULA-24HR'!I17,'27.10 Masaka-Mutukula'!I17,'28.10 MASAKA-MUTUKULA-24HR'!I17,'29.10 MASAKA-MUTUKULA'!I17,'30.10 MASAKA-MUTUKULA'!I17,'31.10 Masaka-Mutukula'!I17)</f>
        <v>1.4285714285714286</v>
      </c>
      <c r="J17" s="49">
        <f>AVERAGE('25.10 MASAKA-MUTUKULA'!J17,'26.10 MASAKA-MUTUKULA-24HR'!J17,'27.10 Masaka-Mutukula'!J17,'28.10 MASAKA-MUTUKULA-24HR'!J17,'29.10 MASAKA-MUTUKULA'!J17,'30.10 MASAKA-MUTUKULA'!J17,'31.10 Masaka-Mutukula'!J17)</f>
        <v>0</v>
      </c>
      <c r="K17" s="49">
        <f>AVERAGE('25.10 MASAKA-MUTUKULA'!K17,'26.10 MASAKA-MUTUKULA-24HR'!K17,'27.10 Masaka-Mutukula'!K17,'28.10 MASAKA-MUTUKULA-24HR'!K17,'29.10 MASAKA-MUTUKULA'!K17,'30.10 MASAKA-MUTUKULA'!K17,'31.10 Masaka-Mutukula'!K17)</f>
        <v>1.2857142857142858</v>
      </c>
      <c r="L17" s="49">
        <f>AVERAGE('25.10 MASAKA-MUTUKULA'!L17,'26.10 MASAKA-MUTUKULA-24HR'!L17,'27.10 Masaka-Mutukula'!L17,'28.10 MASAKA-MUTUKULA-24HR'!L17,'29.10 MASAKA-MUTUKULA'!L17,'30.10 MASAKA-MUTUKULA'!L17,'31.10 Masaka-Mutukula'!L17)</f>
        <v>0.14285714285714285</v>
      </c>
      <c r="M17" s="49">
        <f>AVERAGE('25.10 MASAKA-MUTUKULA'!M17,'26.10 MASAKA-MUTUKULA-24HR'!M17,'27.10 Masaka-Mutukula'!M17,'28.10 MASAKA-MUTUKULA-24HR'!M17,'29.10 MASAKA-MUTUKULA'!M17,'30.10 MASAKA-MUTUKULA'!M17,'31.10 Masaka-Mutukula'!M17)</f>
        <v>14.428571428571429</v>
      </c>
      <c r="N17" s="49">
        <f>AVERAGE('25.10 MASAKA-MUTUKULA'!N17,'26.10 MASAKA-MUTUKULA-24HR'!N17,'27.10 Masaka-Mutukula'!N17,'28.10 MASAKA-MUTUKULA-24HR'!N17,'29.10 MASAKA-MUTUKULA'!N17,'30.10 MASAKA-MUTUKULA'!N17,'31.10 Masaka-Mutukula'!N17)</f>
        <v>0</v>
      </c>
      <c r="O17" s="15">
        <f t="shared" si="0"/>
        <v>7.1428571428571432</v>
      </c>
      <c r="P17" s="15">
        <f t="shared" si="1"/>
        <v>21.571428571428573</v>
      </c>
      <c r="R17" s="1" t="s">
        <v>13</v>
      </c>
      <c r="S17" s="17">
        <f t="shared" ref="S17:AF17" si="9">SUM(C38:C41)</f>
        <v>12.857142857142858</v>
      </c>
      <c r="T17" s="17">
        <f t="shared" si="9"/>
        <v>0.5714285714285714</v>
      </c>
      <c r="U17" s="17">
        <f t="shared" si="9"/>
        <v>6.4285714285714288</v>
      </c>
      <c r="V17" s="17">
        <f t="shared" si="9"/>
        <v>7.1428571428571423</v>
      </c>
      <c r="W17" s="17">
        <f t="shared" si="9"/>
        <v>0</v>
      </c>
      <c r="X17" s="17">
        <f t="shared" si="9"/>
        <v>0.14285714285714285</v>
      </c>
      <c r="Y17" s="17">
        <f t="shared" si="9"/>
        <v>3.2857142857142851</v>
      </c>
      <c r="Z17" s="17">
        <f t="shared" si="9"/>
        <v>1.4285714285714286</v>
      </c>
      <c r="AA17" s="17">
        <f t="shared" si="9"/>
        <v>2.5714285714285712</v>
      </c>
      <c r="AB17" s="17">
        <f t="shared" si="9"/>
        <v>0.14285714285714285</v>
      </c>
      <c r="AC17" s="17">
        <f t="shared" si="9"/>
        <v>52</v>
      </c>
      <c r="AD17" s="17">
        <f t="shared" si="9"/>
        <v>0</v>
      </c>
      <c r="AE17" s="31">
        <f t="shared" si="9"/>
        <v>34.571428571428569</v>
      </c>
      <c r="AF17" s="31">
        <f t="shared" si="9"/>
        <v>86.571428571428584</v>
      </c>
    </row>
    <row r="18" spans="2:32" ht="23.1" customHeight="1" x14ac:dyDescent="0.25">
      <c r="B18" s="23" t="s">
        <v>45</v>
      </c>
      <c r="C18" s="49">
        <f>AVERAGE('25.10 MASAKA-MUTUKULA'!C18,'26.10 MASAKA-MUTUKULA-24HR'!C18,'27.10 Masaka-Mutukula'!C18,'28.10 MASAKA-MUTUKULA-24HR'!C18,'29.10 MASAKA-MUTUKULA'!C18,'30.10 MASAKA-MUTUKULA'!C18,'31.10 Masaka-Mutukula'!C18)</f>
        <v>3.5714285714285716</v>
      </c>
      <c r="D18" s="49">
        <f>AVERAGE('25.10 MASAKA-MUTUKULA'!D18,'26.10 MASAKA-MUTUKULA-24HR'!D18,'27.10 Masaka-Mutukula'!D18,'28.10 MASAKA-MUTUKULA-24HR'!D18,'29.10 MASAKA-MUTUKULA'!D18,'30.10 MASAKA-MUTUKULA'!D18,'31.10 Masaka-Mutukula'!D18)</f>
        <v>0.14285714285714285</v>
      </c>
      <c r="E18" s="49">
        <f>AVERAGE('25.10 MASAKA-MUTUKULA'!E18,'26.10 MASAKA-MUTUKULA-24HR'!E18,'27.10 Masaka-Mutukula'!E18,'28.10 MASAKA-MUTUKULA-24HR'!E18,'29.10 MASAKA-MUTUKULA'!E18,'30.10 MASAKA-MUTUKULA'!E18,'31.10 Masaka-Mutukula'!E18)</f>
        <v>0.2857142857142857</v>
      </c>
      <c r="F18" s="49">
        <f>AVERAGE('25.10 MASAKA-MUTUKULA'!F18,'26.10 MASAKA-MUTUKULA-24HR'!F18,'27.10 Masaka-Mutukula'!F18,'28.10 MASAKA-MUTUKULA-24HR'!F18,'29.10 MASAKA-MUTUKULA'!F18,'30.10 MASAKA-MUTUKULA'!F18,'31.10 Masaka-Mutukula'!F18)</f>
        <v>0.8571428571428571</v>
      </c>
      <c r="G18" s="49">
        <f>AVERAGE('25.10 MASAKA-MUTUKULA'!G18,'26.10 MASAKA-MUTUKULA-24HR'!G18,'27.10 Masaka-Mutukula'!G18,'28.10 MASAKA-MUTUKULA-24HR'!G18,'29.10 MASAKA-MUTUKULA'!G18,'30.10 MASAKA-MUTUKULA'!G18,'31.10 Masaka-Mutukula'!G18)</f>
        <v>0</v>
      </c>
      <c r="H18" s="49">
        <f>AVERAGE('25.10 MASAKA-MUTUKULA'!H18,'26.10 MASAKA-MUTUKULA-24HR'!H18,'27.10 Masaka-Mutukula'!H18,'28.10 MASAKA-MUTUKULA-24HR'!H18,'29.10 MASAKA-MUTUKULA'!H18,'30.10 MASAKA-MUTUKULA'!H18,'31.10 Masaka-Mutukula'!H18)</f>
        <v>0</v>
      </c>
      <c r="I18" s="49">
        <f>AVERAGE('25.10 MASAKA-MUTUKULA'!I18,'26.10 MASAKA-MUTUKULA-24HR'!I18,'27.10 Masaka-Mutukula'!I18,'28.10 MASAKA-MUTUKULA-24HR'!I18,'29.10 MASAKA-MUTUKULA'!I18,'30.10 MASAKA-MUTUKULA'!I18,'31.10 Masaka-Mutukula'!I18)</f>
        <v>1.5714285714285714</v>
      </c>
      <c r="J18" s="49">
        <f>AVERAGE('25.10 MASAKA-MUTUKULA'!J18,'26.10 MASAKA-MUTUKULA-24HR'!J18,'27.10 Masaka-Mutukula'!J18,'28.10 MASAKA-MUTUKULA-24HR'!J18,'29.10 MASAKA-MUTUKULA'!J18,'30.10 MASAKA-MUTUKULA'!J18,'31.10 Masaka-Mutukula'!J18)</f>
        <v>0.5714285714285714</v>
      </c>
      <c r="K18" s="49">
        <f>AVERAGE('25.10 MASAKA-MUTUKULA'!K18,'26.10 MASAKA-MUTUKULA-24HR'!K18,'27.10 Masaka-Mutukula'!K18,'28.10 MASAKA-MUTUKULA-24HR'!K18,'29.10 MASAKA-MUTUKULA'!K18,'30.10 MASAKA-MUTUKULA'!K18,'31.10 Masaka-Mutukula'!K18)</f>
        <v>1.1428571428571428</v>
      </c>
      <c r="L18" s="49">
        <f>AVERAGE('25.10 MASAKA-MUTUKULA'!L18,'26.10 MASAKA-MUTUKULA-24HR'!L18,'27.10 Masaka-Mutukula'!L18,'28.10 MASAKA-MUTUKULA-24HR'!L18,'29.10 MASAKA-MUTUKULA'!L18,'30.10 MASAKA-MUTUKULA'!L18,'31.10 Masaka-Mutukula'!L18)</f>
        <v>0.14285714285714285</v>
      </c>
      <c r="M18" s="49">
        <f>AVERAGE('25.10 MASAKA-MUTUKULA'!M18,'26.10 MASAKA-MUTUKULA-24HR'!M18,'27.10 Masaka-Mutukula'!M18,'28.10 MASAKA-MUTUKULA-24HR'!M18,'29.10 MASAKA-MUTUKULA'!M18,'30.10 MASAKA-MUTUKULA'!M18,'31.10 Masaka-Mutukula'!M18)</f>
        <v>13.714285714285714</v>
      </c>
      <c r="N18" s="49">
        <f>AVERAGE('25.10 MASAKA-MUTUKULA'!N18,'26.10 MASAKA-MUTUKULA-24HR'!N18,'27.10 Masaka-Mutukula'!N18,'28.10 MASAKA-MUTUKULA-24HR'!N18,'29.10 MASAKA-MUTUKULA'!N18,'30.10 MASAKA-MUTUKULA'!N18,'31.10 Masaka-Mutukula'!N18)</f>
        <v>0</v>
      </c>
      <c r="O18" s="15">
        <f t="shared" si="0"/>
        <v>8.2857142857142847</v>
      </c>
      <c r="P18" s="15">
        <f t="shared" si="1"/>
        <v>22</v>
      </c>
      <c r="R18" s="1" t="s">
        <v>14</v>
      </c>
      <c r="S18" s="17">
        <f t="shared" ref="S18:AF18" si="10">SUM(C42:C45)</f>
        <v>10</v>
      </c>
      <c r="T18" s="17">
        <f t="shared" si="10"/>
        <v>1.4285714285714284</v>
      </c>
      <c r="U18" s="17">
        <f t="shared" si="10"/>
        <v>1</v>
      </c>
      <c r="V18" s="17">
        <f t="shared" si="10"/>
        <v>6.8571428571428577</v>
      </c>
      <c r="W18" s="17">
        <f t="shared" si="10"/>
        <v>0</v>
      </c>
      <c r="X18" s="17">
        <f t="shared" si="10"/>
        <v>0</v>
      </c>
      <c r="Y18" s="17">
        <f t="shared" si="10"/>
        <v>5.2857142857142856</v>
      </c>
      <c r="Z18" s="17">
        <f t="shared" si="10"/>
        <v>0.85714285714285698</v>
      </c>
      <c r="AA18" s="17">
        <f t="shared" si="10"/>
        <v>2.7142857142857144</v>
      </c>
      <c r="AB18" s="17">
        <f t="shared" si="10"/>
        <v>0.14285714285714285</v>
      </c>
      <c r="AC18" s="17">
        <f t="shared" si="10"/>
        <v>48.285714285714292</v>
      </c>
      <c r="AD18" s="17">
        <f t="shared" si="10"/>
        <v>0</v>
      </c>
      <c r="AE18" s="31">
        <f t="shared" si="10"/>
        <v>28.285714285714285</v>
      </c>
      <c r="AF18" s="31">
        <f t="shared" si="10"/>
        <v>76.571428571428584</v>
      </c>
    </row>
    <row r="19" spans="2:32" ht="23.1" customHeight="1" x14ac:dyDescent="0.25">
      <c r="B19" s="23" t="s">
        <v>46</v>
      </c>
      <c r="C19" s="49">
        <f>AVERAGE('25.10 MASAKA-MUTUKULA'!C19,'26.10 MASAKA-MUTUKULA-24HR'!C19,'27.10 Masaka-Mutukula'!C19,'28.10 MASAKA-MUTUKULA-24HR'!C19,'29.10 MASAKA-MUTUKULA'!C19,'30.10 MASAKA-MUTUKULA'!C19,'31.10 Masaka-Mutukula'!C19)</f>
        <v>2.4285714285714284</v>
      </c>
      <c r="D19" s="49">
        <f>AVERAGE('25.10 MASAKA-MUTUKULA'!D19,'26.10 MASAKA-MUTUKULA-24HR'!D19,'27.10 Masaka-Mutukula'!D19,'28.10 MASAKA-MUTUKULA-24HR'!D19,'29.10 MASAKA-MUTUKULA'!D19,'30.10 MASAKA-MUTUKULA'!D19,'31.10 Masaka-Mutukula'!D19)</f>
        <v>0</v>
      </c>
      <c r="E19" s="49">
        <f>AVERAGE('25.10 MASAKA-MUTUKULA'!E19,'26.10 MASAKA-MUTUKULA-24HR'!E19,'27.10 Masaka-Mutukula'!E19,'28.10 MASAKA-MUTUKULA-24HR'!E19,'29.10 MASAKA-MUTUKULA'!E19,'30.10 MASAKA-MUTUKULA'!E19,'31.10 Masaka-Mutukula'!E19)</f>
        <v>0.2857142857142857</v>
      </c>
      <c r="F19" s="49">
        <f>AVERAGE('25.10 MASAKA-MUTUKULA'!F19,'26.10 MASAKA-MUTUKULA-24HR'!F19,'27.10 Masaka-Mutukula'!F19,'28.10 MASAKA-MUTUKULA-24HR'!F19,'29.10 MASAKA-MUTUKULA'!F19,'30.10 MASAKA-MUTUKULA'!F19,'31.10 Masaka-Mutukula'!F19)</f>
        <v>1.4285714285714286</v>
      </c>
      <c r="G19" s="49">
        <f>AVERAGE('25.10 MASAKA-MUTUKULA'!G19,'26.10 MASAKA-MUTUKULA-24HR'!G19,'27.10 Masaka-Mutukula'!G19,'28.10 MASAKA-MUTUKULA-24HR'!G19,'29.10 MASAKA-MUTUKULA'!G19,'30.10 MASAKA-MUTUKULA'!G19,'31.10 Masaka-Mutukula'!G19)</f>
        <v>0</v>
      </c>
      <c r="H19" s="49">
        <f>AVERAGE('25.10 MASAKA-MUTUKULA'!H19,'26.10 MASAKA-MUTUKULA-24HR'!H19,'27.10 Masaka-Mutukula'!H19,'28.10 MASAKA-MUTUKULA-24HR'!H19,'29.10 MASAKA-MUTUKULA'!H19,'30.10 MASAKA-MUTUKULA'!H19,'31.10 Masaka-Mutukula'!H19)</f>
        <v>0.14285714285714285</v>
      </c>
      <c r="I19" s="49">
        <f>AVERAGE('25.10 MASAKA-MUTUKULA'!I19,'26.10 MASAKA-MUTUKULA-24HR'!I19,'27.10 Masaka-Mutukula'!I19,'28.10 MASAKA-MUTUKULA-24HR'!I19,'29.10 MASAKA-MUTUKULA'!I19,'30.10 MASAKA-MUTUKULA'!I19,'31.10 Masaka-Mutukula'!I19)</f>
        <v>1.1428571428571428</v>
      </c>
      <c r="J19" s="49">
        <f>AVERAGE('25.10 MASAKA-MUTUKULA'!J19,'26.10 MASAKA-MUTUKULA-24HR'!J19,'27.10 Masaka-Mutukula'!J19,'28.10 MASAKA-MUTUKULA-24HR'!J19,'29.10 MASAKA-MUTUKULA'!J19,'30.10 MASAKA-MUTUKULA'!J19,'31.10 Masaka-Mutukula'!J19)</f>
        <v>0.5714285714285714</v>
      </c>
      <c r="K19" s="49">
        <f>AVERAGE('25.10 MASAKA-MUTUKULA'!K19,'26.10 MASAKA-MUTUKULA-24HR'!K19,'27.10 Masaka-Mutukula'!K19,'28.10 MASAKA-MUTUKULA-24HR'!K19,'29.10 MASAKA-MUTUKULA'!K19,'30.10 MASAKA-MUTUKULA'!K19,'31.10 Masaka-Mutukula'!K19)</f>
        <v>0.5714285714285714</v>
      </c>
      <c r="L19" s="49">
        <f>AVERAGE('25.10 MASAKA-MUTUKULA'!L19,'26.10 MASAKA-MUTUKULA-24HR'!L19,'27.10 Masaka-Mutukula'!L19,'28.10 MASAKA-MUTUKULA-24HR'!L19,'29.10 MASAKA-MUTUKULA'!L19,'30.10 MASAKA-MUTUKULA'!L19,'31.10 Masaka-Mutukula'!L19)</f>
        <v>0</v>
      </c>
      <c r="M19" s="49">
        <f>AVERAGE('25.10 MASAKA-MUTUKULA'!M19,'26.10 MASAKA-MUTUKULA-24HR'!M19,'27.10 Masaka-Mutukula'!M19,'28.10 MASAKA-MUTUKULA-24HR'!M19,'29.10 MASAKA-MUTUKULA'!M19,'30.10 MASAKA-MUTUKULA'!M19,'31.10 Masaka-Mutukula'!M19)</f>
        <v>12.428571428571429</v>
      </c>
      <c r="N19" s="49">
        <f>AVERAGE('25.10 MASAKA-MUTUKULA'!N19,'26.10 MASAKA-MUTUKULA-24HR'!N19,'27.10 Masaka-Mutukula'!N19,'28.10 MASAKA-MUTUKULA-24HR'!N19,'29.10 MASAKA-MUTUKULA'!N19,'30.10 MASAKA-MUTUKULA'!N19,'31.10 Masaka-Mutukula'!N19)</f>
        <v>0</v>
      </c>
      <c r="O19" s="15">
        <f t="shared" si="0"/>
        <v>6.5714285714285712</v>
      </c>
      <c r="P19" s="15">
        <f t="shared" si="1"/>
        <v>19</v>
      </c>
      <c r="R19" s="1" t="s">
        <v>15</v>
      </c>
      <c r="S19" s="17">
        <f t="shared" ref="S19:AF19" si="11">SUM(C46:C49)</f>
        <v>11.142857142857142</v>
      </c>
      <c r="T19" s="17">
        <f t="shared" si="11"/>
        <v>2</v>
      </c>
      <c r="U19" s="17">
        <f t="shared" si="11"/>
        <v>0.2857142857142857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2.1428571428571428</v>
      </c>
      <c r="Z19" s="17">
        <f t="shared" si="11"/>
        <v>1.5714285714285714</v>
      </c>
      <c r="AA19" s="17">
        <f t="shared" si="11"/>
        <v>2.1428571428571428</v>
      </c>
      <c r="AB19" s="17">
        <f t="shared" si="11"/>
        <v>0.14285714285714285</v>
      </c>
      <c r="AC19" s="17">
        <f t="shared" si="11"/>
        <v>56.571428571428577</v>
      </c>
      <c r="AD19" s="17">
        <f t="shared" si="11"/>
        <v>0</v>
      </c>
      <c r="AE19" s="31">
        <f t="shared" si="11"/>
        <v>26.428571428571427</v>
      </c>
      <c r="AF19" s="31">
        <f t="shared" si="11"/>
        <v>83</v>
      </c>
    </row>
    <row r="20" spans="2:32" ht="23.1" customHeight="1" x14ac:dyDescent="0.25">
      <c r="B20" s="23" t="s">
        <v>47</v>
      </c>
      <c r="C20" s="49">
        <f>AVERAGE('25.10 MASAKA-MUTUKULA'!C20,'26.10 MASAKA-MUTUKULA-24HR'!C20,'27.10 Masaka-Mutukula'!C20,'28.10 MASAKA-MUTUKULA-24HR'!C20,'29.10 MASAKA-MUTUKULA'!C20,'30.10 MASAKA-MUTUKULA'!C20,'31.10 Masaka-Mutukula'!C20)</f>
        <v>2.2857142857142856</v>
      </c>
      <c r="D20" s="49">
        <f>AVERAGE('25.10 MASAKA-MUTUKULA'!D20,'26.10 MASAKA-MUTUKULA-24HR'!D20,'27.10 Masaka-Mutukula'!D20,'28.10 MASAKA-MUTUKULA-24HR'!D20,'29.10 MASAKA-MUTUKULA'!D20,'30.10 MASAKA-MUTUKULA'!D20,'31.10 Masaka-Mutukula'!D20)</f>
        <v>0.42857142857142855</v>
      </c>
      <c r="E20" s="49">
        <f>AVERAGE('25.10 MASAKA-MUTUKULA'!E20,'26.10 MASAKA-MUTUKULA-24HR'!E20,'27.10 Masaka-Mutukula'!E20,'28.10 MASAKA-MUTUKULA-24HR'!E20,'29.10 MASAKA-MUTUKULA'!E20,'30.10 MASAKA-MUTUKULA'!E20,'31.10 Masaka-Mutukula'!E20)</f>
        <v>0.42857142857142855</v>
      </c>
      <c r="F20" s="49">
        <f>AVERAGE('25.10 MASAKA-MUTUKULA'!F20,'26.10 MASAKA-MUTUKULA-24HR'!F20,'27.10 Masaka-Mutukula'!F20,'28.10 MASAKA-MUTUKULA-24HR'!F20,'29.10 MASAKA-MUTUKULA'!F20,'30.10 MASAKA-MUTUKULA'!F20,'31.10 Masaka-Mutukula'!F20)</f>
        <v>1</v>
      </c>
      <c r="G20" s="49">
        <f>AVERAGE('25.10 MASAKA-MUTUKULA'!G20,'26.10 MASAKA-MUTUKULA-24HR'!G20,'27.10 Masaka-Mutukula'!G20,'28.10 MASAKA-MUTUKULA-24HR'!G20,'29.10 MASAKA-MUTUKULA'!G20,'30.10 MASAKA-MUTUKULA'!G20,'31.10 Masaka-Mutukula'!G20)</f>
        <v>0</v>
      </c>
      <c r="H20" s="49">
        <f>AVERAGE('25.10 MASAKA-MUTUKULA'!H20,'26.10 MASAKA-MUTUKULA-24HR'!H20,'27.10 Masaka-Mutukula'!H20,'28.10 MASAKA-MUTUKULA-24HR'!H20,'29.10 MASAKA-MUTUKULA'!H20,'30.10 MASAKA-MUTUKULA'!H20,'31.10 Masaka-Mutukula'!H20)</f>
        <v>0</v>
      </c>
      <c r="I20" s="49">
        <f>AVERAGE('25.10 MASAKA-MUTUKULA'!I20,'26.10 MASAKA-MUTUKULA-24HR'!I20,'27.10 Masaka-Mutukula'!I20,'28.10 MASAKA-MUTUKULA-24HR'!I20,'29.10 MASAKA-MUTUKULA'!I20,'30.10 MASAKA-MUTUKULA'!I20,'31.10 Masaka-Mutukula'!I20)</f>
        <v>1.4285714285714286</v>
      </c>
      <c r="J20" s="49">
        <f>AVERAGE('25.10 MASAKA-MUTUKULA'!J20,'26.10 MASAKA-MUTUKULA-24HR'!J20,'27.10 Masaka-Mutukula'!J20,'28.10 MASAKA-MUTUKULA-24HR'!J20,'29.10 MASAKA-MUTUKULA'!J20,'30.10 MASAKA-MUTUKULA'!J20,'31.10 Masaka-Mutukula'!J20)</f>
        <v>0.7142857142857143</v>
      </c>
      <c r="K20" s="49">
        <f>AVERAGE('25.10 MASAKA-MUTUKULA'!K20,'26.10 MASAKA-MUTUKULA-24HR'!K20,'27.10 Masaka-Mutukula'!K20,'28.10 MASAKA-MUTUKULA-24HR'!K20,'29.10 MASAKA-MUTUKULA'!K20,'30.10 MASAKA-MUTUKULA'!K20,'31.10 Masaka-Mutukula'!K20)</f>
        <v>1.5714285714285714</v>
      </c>
      <c r="L20" s="49">
        <f>AVERAGE('25.10 MASAKA-MUTUKULA'!L20,'26.10 MASAKA-MUTUKULA-24HR'!L20,'27.10 Masaka-Mutukula'!L20,'28.10 MASAKA-MUTUKULA-24HR'!L20,'29.10 MASAKA-MUTUKULA'!L20,'30.10 MASAKA-MUTUKULA'!L20,'31.10 Masaka-Mutukula'!L20)</f>
        <v>0.42857142857142855</v>
      </c>
      <c r="M20" s="49">
        <f>AVERAGE('25.10 MASAKA-MUTUKULA'!M20,'26.10 MASAKA-MUTUKULA-24HR'!M20,'27.10 Masaka-Mutukula'!M20,'28.10 MASAKA-MUTUKULA-24HR'!M20,'29.10 MASAKA-MUTUKULA'!M20,'30.10 MASAKA-MUTUKULA'!M20,'31.10 Masaka-Mutukula'!M20)</f>
        <v>15.285714285714286</v>
      </c>
      <c r="N20" s="49">
        <f>AVERAGE('25.10 MASAKA-MUTUKULA'!N20,'26.10 MASAKA-MUTUKULA-24HR'!N20,'27.10 Masaka-Mutukula'!N20,'28.10 MASAKA-MUTUKULA-24HR'!N20,'29.10 MASAKA-MUTUKULA'!N20,'30.10 MASAKA-MUTUKULA'!N20,'31.10 Masaka-Mutukula'!N20)</f>
        <v>0</v>
      </c>
      <c r="O20" s="15">
        <f t="shared" si="0"/>
        <v>8.2857142857142847</v>
      </c>
      <c r="P20" s="15">
        <f t="shared" si="1"/>
        <v>23.571428571428569</v>
      </c>
      <c r="R20" s="1" t="s">
        <v>16</v>
      </c>
      <c r="S20" s="17">
        <f t="shared" ref="S20:AF20" si="12">SUM(C50:C53)</f>
        <v>12.571428571428571</v>
      </c>
      <c r="T20" s="17">
        <f t="shared" si="12"/>
        <v>1.1428571428571428</v>
      </c>
      <c r="U20" s="17">
        <f t="shared" si="12"/>
        <v>0.73809523809523814</v>
      </c>
      <c r="V20" s="17">
        <f t="shared" si="12"/>
        <v>6.2857142857142865</v>
      </c>
      <c r="W20" s="17">
        <f t="shared" si="12"/>
        <v>0</v>
      </c>
      <c r="X20" s="17">
        <f t="shared" si="12"/>
        <v>0</v>
      </c>
      <c r="Y20" s="17">
        <f t="shared" si="12"/>
        <v>3.1428571428571428</v>
      </c>
      <c r="Z20" s="17">
        <f t="shared" si="12"/>
        <v>0.8571428571428571</v>
      </c>
      <c r="AA20" s="17">
        <f t="shared" si="12"/>
        <v>3.7142857142857144</v>
      </c>
      <c r="AB20" s="17">
        <f t="shared" si="12"/>
        <v>0</v>
      </c>
      <c r="AC20" s="17">
        <f t="shared" si="12"/>
        <v>51.428571428571431</v>
      </c>
      <c r="AD20" s="17">
        <f t="shared" si="12"/>
        <v>0</v>
      </c>
      <c r="AE20" s="31">
        <f t="shared" si="12"/>
        <v>28.452380952380949</v>
      </c>
      <c r="AF20" s="31">
        <f t="shared" si="12"/>
        <v>79.88095238095238</v>
      </c>
    </row>
    <row r="21" spans="2:32" ht="23.1" customHeight="1" x14ac:dyDescent="0.25">
      <c r="B21" s="23" t="s">
        <v>48</v>
      </c>
      <c r="C21" s="49">
        <f>AVERAGE('25.10 MASAKA-MUTUKULA'!C21,'26.10 MASAKA-MUTUKULA-24HR'!C21,'27.10 Masaka-Mutukula'!C21,'28.10 MASAKA-MUTUKULA-24HR'!C21,'29.10 MASAKA-MUTUKULA'!C21,'30.10 MASAKA-MUTUKULA'!C21,'31.10 Masaka-Mutukula'!C21)</f>
        <v>1.7142857142857142</v>
      </c>
      <c r="D21" s="49">
        <f>AVERAGE('25.10 MASAKA-MUTUKULA'!D21,'26.10 MASAKA-MUTUKULA-24HR'!D21,'27.10 Masaka-Mutukula'!D21,'28.10 MASAKA-MUTUKULA-24HR'!D21,'29.10 MASAKA-MUTUKULA'!D21,'30.10 MASAKA-MUTUKULA'!D21,'31.10 Masaka-Mutukula'!D21)</f>
        <v>0</v>
      </c>
      <c r="E21" s="49">
        <f>AVERAGE('25.10 MASAKA-MUTUKULA'!E21,'26.10 MASAKA-MUTUKULA-24HR'!E21,'27.10 Masaka-Mutukula'!E21,'28.10 MASAKA-MUTUKULA-24HR'!E21,'29.10 MASAKA-MUTUKULA'!E21,'30.10 MASAKA-MUTUKULA'!E21,'31.10 Masaka-Mutukula'!E21)</f>
        <v>0.2857142857142857</v>
      </c>
      <c r="F21" s="49">
        <f>AVERAGE('25.10 MASAKA-MUTUKULA'!F21,'26.10 MASAKA-MUTUKULA-24HR'!F21,'27.10 Masaka-Mutukula'!F21,'28.10 MASAKA-MUTUKULA-24HR'!F21,'29.10 MASAKA-MUTUKULA'!F21,'30.10 MASAKA-MUTUKULA'!F21,'31.10 Masaka-Mutukula'!F21)</f>
        <v>1</v>
      </c>
      <c r="G21" s="49">
        <f>AVERAGE('25.10 MASAKA-MUTUKULA'!G21,'26.10 MASAKA-MUTUKULA-24HR'!G21,'27.10 Masaka-Mutukula'!G21,'28.10 MASAKA-MUTUKULA-24HR'!G21,'29.10 MASAKA-MUTUKULA'!G21,'30.10 MASAKA-MUTUKULA'!G21,'31.10 Masaka-Mutukula'!G21)</f>
        <v>0</v>
      </c>
      <c r="H21" s="49">
        <f>AVERAGE('25.10 MASAKA-MUTUKULA'!H21,'26.10 MASAKA-MUTUKULA-24HR'!H21,'27.10 Masaka-Mutukula'!H21,'28.10 MASAKA-MUTUKULA-24HR'!H21,'29.10 MASAKA-MUTUKULA'!H21,'30.10 MASAKA-MUTUKULA'!H21,'31.10 Masaka-Mutukula'!H21)</f>
        <v>0</v>
      </c>
      <c r="I21" s="49">
        <f>AVERAGE('25.10 MASAKA-MUTUKULA'!I21,'26.10 MASAKA-MUTUKULA-24HR'!I21,'27.10 Masaka-Mutukula'!I21,'28.10 MASAKA-MUTUKULA-24HR'!I21,'29.10 MASAKA-MUTUKULA'!I21,'30.10 MASAKA-MUTUKULA'!I21,'31.10 Masaka-Mutukula'!I21)</f>
        <v>0.5714285714285714</v>
      </c>
      <c r="J21" s="49">
        <f>AVERAGE('25.10 MASAKA-MUTUKULA'!J21,'26.10 MASAKA-MUTUKULA-24HR'!J21,'27.10 Masaka-Mutukula'!J21,'28.10 MASAKA-MUTUKULA-24HR'!J21,'29.10 MASAKA-MUTUKULA'!J21,'30.10 MASAKA-MUTUKULA'!J21,'31.10 Masaka-Mutukula'!J21)</f>
        <v>0.2857142857142857</v>
      </c>
      <c r="K21" s="49">
        <f>AVERAGE('25.10 MASAKA-MUTUKULA'!K21,'26.10 MASAKA-MUTUKULA-24HR'!K21,'27.10 Masaka-Mutukula'!K21,'28.10 MASAKA-MUTUKULA-24HR'!K21,'29.10 MASAKA-MUTUKULA'!K21,'30.10 MASAKA-MUTUKULA'!K21,'31.10 Masaka-Mutukula'!K21)</f>
        <v>0.42857142857142855</v>
      </c>
      <c r="L21" s="49">
        <f>AVERAGE('25.10 MASAKA-MUTUKULA'!L21,'26.10 MASAKA-MUTUKULA-24HR'!L21,'27.10 Masaka-Mutukula'!L21,'28.10 MASAKA-MUTUKULA-24HR'!L21,'29.10 MASAKA-MUTUKULA'!L21,'30.10 MASAKA-MUTUKULA'!L21,'31.10 Masaka-Mutukula'!L21)</f>
        <v>0</v>
      </c>
      <c r="M21" s="49">
        <f>AVERAGE('25.10 MASAKA-MUTUKULA'!M21,'26.10 MASAKA-MUTUKULA-24HR'!M21,'27.10 Masaka-Mutukula'!M21,'28.10 MASAKA-MUTUKULA-24HR'!M21,'29.10 MASAKA-MUTUKULA'!M21,'30.10 MASAKA-MUTUKULA'!M21,'31.10 Masaka-Mutukula'!M21)</f>
        <v>13.571428571428571</v>
      </c>
      <c r="N21" s="49">
        <f>AVERAGE('25.10 MASAKA-MUTUKULA'!N21,'26.10 MASAKA-MUTUKULA-24HR'!N21,'27.10 Masaka-Mutukula'!N21,'28.10 MASAKA-MUTUKULA-24HR'!N21,'29.10 MASAKA-MUTUKULA'!N21,'30.10 MASAKA-MUTUKULA'!N21,'31.10 Masaka-Mutukula'!N21)</f>
        <v>0</v>
      </c>
      <c r="O21" s="15">
        <f t="shared" si="0"/>
        <v>4.2857142857142856</v>
      </c>
      <c r="P21" s="15">
        <f t="shared" si="1"/>
        <v>17.857142857142858</v>
      </c>
      <c r="R21" s="36" t="s">
        <v>20</v>
      </c>
      <c r="S21" s="34">
        <f t="shared" ref="S21:AF21" si="13">SUM(C54:C57)</f>
        <v>15.857142857142858</v>
      </c>
      <c r="T21" s="17">
        <f t="shared" si="13"/>
        <v>1.1428571428571428</v>
      </c>
      <c r="U21" s="17">
        <f t="shared" si="13"/>
        <v>1.5714285714285714</v>
      </c>
      <c r="V21" s="17">
        <f t="shared" si="13"/>
        <v>6.5714285714285712</v>
      </c>
      <c r="W21" s="17">
        <f t="shared" si="13"/>
        <v>0</v>
      </c>
      <c r="X21" s="17">
        <f t="shared" si="13"/>
        <v>0</v>
      </c>
      <c r="Y21" s="17">
        <f t="shared" si="13"/>
        <v>3.8571428571428572</v>
      </c>
      <c r="Z21" s="17">
        <f t="shared" si="13"/>
        <v>1.5714285714285712</v>
      </c>
      <c r="AA21" s="17">
        <f t="shared" si="13"/>
        <v>4.7142857142857135</v>
      </c>
      <c r="AB21" s="17">
        <f t="shared" si="13"/>
        <v>1</v>
      </c>
      <c r="AC21" s="17">
        <f t="shared" si="13"/>
        <v>56</v>
      </c>
      <c r="AD21" s="17">
        <f t="shared" si="13"/>
        <v>6.5714285714285712</v>
      </c>
      <c r="AE21" s="31">
        <f t="shared" si="13"/>
        <v>42.857142857142861</v>
      </c>
      <c r="AF21" s="31">
        <f t="shared" si="13"/>
        <v>98.857142857142847</v>
      </c>
    </row>
    <row r="22" spans="2:32" ht="23.1" customHeight="1" x14ac:dyDescent="0.25">
      <c r="B22" s="23" t="s">
        <v>49</v>
      </c>
      <c r="C22" s="49">
        <f>AVERAGE('25.10 MASAKA-MUTUKULA'!C22,'26.10 MASAKA-MUTUKULA-24HR'!C22,'27.10 Masaka-Mutukula'!C22,'28.10 MASAKA-MUTUKULA-24HR'!C22,'29.10 MASAKA-MUTUKULA'!C22,'30.10 MASAKA-MUTUKULA'!C22,'31.10 Masaka-Mutukula'!C22)</f>
        <v>2.1428571428571428</v>
      </c>
      <c r="D22" s="49">
        <f>AVERAGE('25.10 MASAKA-MUTUKULA'!D22,'26.10 MASAKA-MUTUKULA-24HR'!D22,'27.10 Masaka-Mutukula'!D22,'28.10 MASAKA-MUTUKULA-24HR'!D22,'29.10 MASAKA-MUTUKULA'!D22,'30.10 MASAKA-MUTUKULA'!D22,'31.10 Masaka-Mutukula'!D22)</f>
        <v>0.2857142857142857</v>
      </c>
      <c r="E22" s="49">
        <f>AVERAGE('25.10 MASAKA-MUTUKULA'!E22,'26.10 MASAKA-MUTUKULA-24HR'!E22,'27.10 Masaka-Mutukula'!E22,'28.10 MASAKA-MUTUKULA-24HR'!E22,'29.10 MASAKA-MUTUKULA'!E22,'30.10 MASAKA-MUTUKULA'!E22,'31.10 Masaka-Mutukula'!E22)</f>
        <v>0</v>
      </c>
      <c r="F22" s="49">
        <f>AVERAGE('25.10 MASAKA-MUTUKULA'!F22,'26.10 MASAKA-MUTUKULA-24HR'!F22,'27.10 Masaka-Mutukula'!F22,'28.10 MASAKA-MUTUKULA-24HR'!F22,'29.10 MASAKA-MUTUKULA'!F22,'30.10 MASAKA-MUTUKULA'!F22,'31.10 Masaka-Mutukula'!F22)</f>
        <v>1.4285714285714286</v>
      </c>
      <c r="G22" s="49">
        <f>AVERAGE('25.10 MASAKA-MUTUKULA'!G22,'26.10 MASAKA-MUTUKULA-24HR'!G22,'27.10 Masaka-Mutukula'!G22,'28.10 MASAKA-MUTUKULA-24HR'!G22,'29.10 MASAKA-MUTUKULA'!G22,'30.10 MASAKA-MUTUKULA'!G22,'31.10 Masaka-Mutukula'!G22)</f>
        <v>0</v>
      </c>
      <c r="H22" s="49">
        <f>AVERAGE('25.10 MASAKA-MUTUKULA'!H22,'26.10 MASAKA-MUTUKULA-24HR'!H22,'27.10 Masaka-Mutukula'!H22,'28.10 MASAKA-MUTUKULA-24HR'!H22,'29.10 MASAKA-MUTUKULA'!H22,'30.10 MASAKA-MUTUKULA'!H22,'31.10 Masaka-Mutukula'!H22)</f>
        <v>0</v>
      </c>
      <c r="I22" s="49">
        <f>AVERAGE('25.10 MASAKA-MUTUKULA'!I22,'26.10 MASAKA-MUTUKULA-24HR'!I22,'27.10 Masaka-Mutukula'!I22,'28.10 MASAKA-MUTUKULA-24HR'!I22,'29.10 MASAKA-MUTUKULA'!I22,'30.10 MASAKA-MUTUKULA'!I22,'31.10 Masaka-Mutukula'!I22)</f>
        <v>1</v>
      </c>
      <c r="J22" s="49">
        <f>AVERAGE('25.10 MASAKA-MUTUKULA'!J22,'26.10 MASAKA-MUTUKULA-24HR'!J22,'27.10 Masaka-Mutukula'!J22,'28.10 MASAKA-MUTUKULA-24HR'!J22,'29.10 MASAKA-MUTUKULA'!J22,'30.10 MASAKA-MUTUKULA'!J22,'31.10 Masaka-Mutukula'!J22)</f>
        <v>0.14285714285714285</v>
      </c>
      <c r="K22" s="49">
        <f>AVERAGE('25.10 MASAKA-MUTUKULA'!K22,'26.10 MASAKA-MUTUKULA-24HR'!K22,'27.10 Masaka-Mutukula'!K22,'28.10 MASAKA-MUTUKULA-24HR'!K22,'29.10 MASAKA-MUTUKULA'!K22,'30.10 MASAKA-MUTUKULA'!K22,'31.10 Masaka-Mutukula'!K22)</f>
        <v>1.8571428571428572</v>
      </c>
      <c r="L22" s="49">
        <f>AVERAGE('25.10 MASAKA-MUTUKULA'!L22,'26.10 MASAKA-MUTUKULA-24HR'!L22,'27.10 Masaka-Mutukula'!L22,'28.10 MASAKA-MUTUKULA-24HR'!L22,'29.10 MASAKA-MUTUKULA'!L22,'30.10 MASAKA-MUTUKULA'!L22,'31.10 Masaka-Mutukula'!L22)</f>
        <v>0</v>
      </c>
      <c r="M22" s="49">
        <f>AVERAGE('25.10 MASAKA-MUTUKULA'!M22,'26.10 MASAKA-MUTUKULA-24HR'!M22,'27.10 Masaka-Mutukula'!M22,'28.10 MASAKA-MUTUKULA-24HR'!M22,'29.10 MASAKA-MUTUKULA'!M22,'30.10 MASAKA-MUTUKULA'!M22,'31.10 Masaka-Mutukula'!M22)</f>
        <v>11</v>
      </c>
      <c r="N22" s="49">
        <f>AVERAGE('25.10 MASAKA-MUTUKULA'!N22,'26.10 MASAKA-MUTUKULA-24HR'!N22,'27.10 Masaka-Mutukula'!N22,'28.10 MASAKA-MUTUKULA-24HR'!N22,'29.10 MASAKA-MUTUKULA'!N22,'30.10 MASAKA-MUTUKULA'!N22,'31.10 Masaka-Mutukula'!N22)</f>
        <v>0</v>
      </c>
      <c r="O22" s="15">
        <f t="shared" si="0"/>
        <v>6.8571428571428577</v>
      </c>
      <c r="P22" s="15">
        <f t="shared" si="1"/>
        <v>17.857142857142858</v>
      </c>
      <c r="R22" s="1" t="s">
        <v>146</v>
      </c>
      <c r="S22" s="34">
        <f>SUM(C58:C61)</f>
        <v>9.5</v>
      </c>
      <c r="T22" s="34">
        <f t="shared" ref="T22:AF22" si="14">SUM(D58:D61)</f>
        <v>3</v>
      </c>
      <c r="U22" s="34">
        <f t="shared" si="14"/>
        <v>0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2.5</v>
      </c>
      <c r="AA22" s="34">
        <f t="shared" si="14"/>
        <v>1</v>
      </c>
      <c r="AB22" s="34">
        <f t="shared" si="14"/>
        <v>0</v>
      </c>
      <c r="AC22" s="34">
        <f t="shared" si="14"/>
        <v>75</v>
      </c>
      <c r="AD22" s="34">
        <f t="shared" si="14"/>
        <v>0</v>
      </c>
      <c r="AE22" s="31">
        <f t="shared" si="14"/>
        <v>24.5</v>
      </c>
      <c r="AF22" s="31">
        <f t="shared" si="14"/>
        <v>99.5</v>
      </c>
    </row>
    <row r="23" spans="2:32" ht="23.1" customHeight="1" x14ac:dyDescent="0.25">
      <c r="B23" s="23" t="s">
        <v>50</v>
      </c>
      <c r="C23" s="49">
        <f>AVERAGE('25.10 MASAKA-MUTUKULA'!C23,'26.10 MASAKA-MUTUKULA-24HR'!C23,'27.10 Masaka-Mutukula'!C23,'28.10 MASAKA-MUTUKULA-24HR'!C23,'29.10 MASAKA-MUTUKULA'!C23,'30.10 MASAKA-MUTUKULA'!C23,'31.10 Masaka-Mutukula'!C23)</f>
        <v>1.8571428571428572</v>
      </c>
      <c r="D23" s="49">
        <f>AVERAGE('25.10 MASAKA-MUTUKULA'!D23,'26.10 MASAKA-MUTUKULA-24HR'!D23,'27.10 Masaka-Mutukula'!D23,'28.10 MASAKA-MUTUKULA-24HR'!D23,'29.10 MASAKA-MUTUKULA'!D23,'30.10 MASAKA-MUTUKULA'!D23,'31.10 Masaka-Mutukula'!D23)</f>
        <v>0.14285714285714285</v>
      </c>
      <c r="E23" s="49">
        <f>AVERAGE('25.10 MASAKA-MUTUKULA'!E23,'26.10 MASAKA-MUTUKULA-24HR'!E23,'27.10 Masaka-Mutukula'!E23,'28.10 MASAKA-MUTUKULA-24HR'!E23,'29.10 MASAKA-MUTUKULA'!E23,'30.10 MASAKA-MUTUKULA'!E23,'31.10 Masaka-Mutukula'!E23)</f>
        <v>0</v>
      </c>
      <c r="F23" s="49">
        <f>AVERAGE('25.10 MASAKA-MUTUKULA'!F23,'26.10 MASAKA-MUTUKULA-24HR'!F23,'27.10 Masaka-Mutukula'!F23,'28.10 MASAKA-MUTUKULA-24HR'!F23,'29.10 MASAKA-MUTUKULA'!F23,'30.10 MASAKA-MUTUKULA'!F23,'31.10 Masaka-Mutukula'!F23)</f>
        <v>1.2857142857142858</v>
      </c>
      <c r="G23" s="49">
        <f>AVERAGE('25.10 MASAKA-MUTUKULA'!G23,'26.10 MASAKA-MUTUKULA-24HR'!G23,'27.10 Masaka-Mutukula'!G23,'28.10 MASAKA-MUTUKULA-24HR'!G23,'29.10 MASAKA-MUTUKULA'!G23,'30.10 MASAKA-MUTUKULA'!G23,'31.10 Masaka-Mutukula'!G23)</f>
        <v>0</v>
      </c>
      <c r="H23" s="49">
        <f>AVERAGE('25.10 MASAKA-MUTUKULA'!H23,'26.10 MASAKA-MUTUKULA-24HR'!H23,'27.10 Masaka-Mutukula'!H23,'28.10 MASAKA-MUTUKULA-24HR'!H23,'29.10 MASAKA-MUTUKULA'!H23,'30.10 MASAKA-MUTUKULA'!H23,'31.10 Masaka-Mutukula'!H23)</f>
        <v>0</v>
      </c>
      <c r="I23" s="49">
        <f>AVERAGE('25.10 MASAKA-MUTUKULA'!I23,'26.10 MASAKA-MUTUKULA-24HR'!I23,'27.10 Masaka-Mutukula'!I23,'28.10 MASAKA-MUTUKULA-24HR'!I23,'29.10 MASAKA-MUTUKULA'!I23,'30.10 MASAKA-MUTUKULA'!I23,'31.10 Masaka-Mutukula'!I23)</f>
        <v>1.2857142857142858</v>
      </c>
      <c r="J23" s="49">
        <f>AVERAGE('25.10 MASAKA-MUTUKULA'!J23,'26.10 MASAKA-MUTUKULA-24HR'!J23,'27.10 Masaka-Mutukula'!J23,'28.10 MASAKA-MUTUKULA-24HR'!J23,'29.10 MASAKA-MUTUKULA'!J23,'30.10 MASAKA-MUTUKULA'!J23,'31.10 Masaka-Mutukula'!J23)</f>
        <v>0.14285714285714285</v>
      </c>
      <c r="K23" s="49">
        <f>AVERAGE('25.10 MASAKA-MUTUKULA'!K23,'26.10 MASAKA-MUTUKULA-24HR'!K23,'27.10 Masaka-Mutukula'!K23,'28.10 MASAKA-MUTUKULA-24HR'!K23,'29.10 MASAKA-MUTUKULA'!K23,'30.10 MASAKA-MUTUKULA'!K23,'31.10 Masaka-Mutukula'!K23)</f>
        <v>0.42857142857142855</v>
      </c>
      <c r="L23" s="49">
        <f>AVERAGE('25.10 MASAKA-MUTUKULA'!L23,'26.10 MASAKA-MUTUKULA-24HR'!L23,'27.10 Masaka-Mutukula'!L23,'28.10 MASAKA-MUTUKULA-24HR'!L23,'29.10 MASAKA-MUTUKULA'!L23,'30.10 MASAKA-MUTUKULA'!L23,'31.10 Masaka-Mutukula'!L23)</f>
        <v>0</v>
      </c>
      <c r="M23" s="49">
        <f>AVERAGE('25.10 MASAKA-MUTUKULA'!M23,'26.10 MASAKA-MUTUKULA-24HR'!M23,'27.10 Masaka-Mutukula'!M23,'28.10 MASAKA-MUTUKULA-24HR'!M23,'29.10 MASAKA-MUTUKULA'!M23,'30.10 MASAKA-MUTUKULA'!M23,'31.10 Masaka-Mutukula'!M23)</f>
        <v>8.4285714285714288</v>
      </c>
      <c r="N23" s="49">
        <f>AVERAGE('25.10 MASAKA-MUTUKULA'!N23,'26.10 MASAKA-MUTUKULA-24HR'!N23,'27.10 Masaka-Mutukula'!N23,'28.10 MASAKA-MUTUKULA-24HR'!N23,'29.10 MASAKA-MUTUKULA'!N23,'30.10 MASAKA-MUTUKULA'!N23,'31.10 Masaka-Mutukula'!N23)</f>
        <v>0</v>
      </c>
      <c r="O23" s="15">
        <f t="shared" si="0"/>
        <v>5.1428571428571432</v>
      </c>
      <c r="P23" s="15">
        <f t="shared" si="1"/>
        <v>13.571428571428573</v>
      </c>
      <c r="R23" s="1" t="s">
        <v>147</v>
      </c>
      <c r="S23" s="34">
        <f>SUM(C62:C65)</f>
        <v>10.5</v>
      </c>
      <c r="T23" s="34">
        <f t="shared" ref="T23:AF23" si="15">SUM(D62:D65)</f>
        <v>0.5</v>
      </c>
      <c r="U23" s="34">
        <f t="shared" si="15"/>
        <v>0.5</v>
      </c>
      <c r="V23" s="34">
        <f t="shared" si="15"/>
        <v>1.5</v>
      </c>
      <c r="W23" s="34">
        <f t="shared" si="15"/>
        <v>0</v>
      </c>
      <c r="X23" s="34">
        <f t="shared" si="15"/>
        <v>0.5</v>
      </c>
      <c r="Y23" s="34">
        <f t="shared" si="15"/>
        <v>1</v>
      </c>
      <c r="Z23" s="34">
        <f t="shared" si="15"/>
        <v>0.5</v>
      </c>
      <c r="AA23" s="34">
        <f t="shared" si="15"/>
        <v>4</v>
      </c>
      <c r="AB23" s="34">
        <f t="shared" si="15"/>
        <v>0</v>
      </c>
      <c r="AC23" s="34">
        <f t="shared" si="15"/>
        <v>19.5</v>
      </c>
      <c r="AD23" s="34">
        <f t="shared" si="15"/>
        <v>0</v>
      </c>
      <c r="AE23" s="31">
        <f t="shared" si="15"/>
        <v>19</v>
      </c>
      <c r="AF23" s="31">
        <f t="shared" si="15"/>
        <v>38.5</v>
      </c>
    </row>
    <row r="24" spans="2:32" ht="23.1" customHeight="1" x14ac:dyDescent="0.25">
      <c r="B24" s="23" t="s">
        <v>51</v>
      </c>
      <c r="C24" s="49">
        <f>AVERAGE('25.10 MASAKA-MUTUKULA'!C24,'26.10 MASAKA-MUTUKULA-24HR'!C24,'27.10 Masaka-Mutukula'!C24,'28.10 MASAKA-MUTUKULA-24HR'!C24,'29.10 MASAKA-MUTUKULA'!C24,'30.10 MASAKA-MUTUKULA'!C24,'31.10 Masaka-Mutukula'!C24)</f>
        <v>3.1428571428571428</v>
      </c>
      <c r="D24" s="49">
        <f>AVERAGE('25.10 MASAKA-MUTUKULA'!D24,'26.10 MASAKA-MUTUKULA-24HR'!D24,'27.10 Masaka-Mutukula'!D24,'28.10 MASAKA-MUTUKULA-24HR'!D24,'29.10 MASAKA-MUTUKULA'!D24,'30.10 MASAKA-MUTUKULA'!D24,'31.10 Masaka-Mutukula'!D24)</f>
        <v>0.14285714285714285</v>
      </c>
      <c r="E24" s="49">
        <f>AVERAGE('25.10 MASAKA-MUTUKULA'!E24,'26.10 MASAKA-MUTUKULA-24HR'!E24,'27.10 Masaka-Mutukula'!E24,'28.10 MASAKA-MUTUKULA-24HR'!E24,'29.10 MASAKA-MUTUKULA'!E24,'30.10 MASAKA-MUTUKULA'!E24,'31.10 Masaka-Mutukula'!E24)</f>
        <v>0.2857142857142857</v>
      </c>
      <c r="F24" s="49">
        <f>AVERAGE('25.10 MASAKA-MUTUKULA'!F24,'26.10 MASAKA-MUTUKULA-24HR'!F24,'27.10 Masaka-Mutukula'!F24,'28.10 MASAKA-MUTUKULA-24HR'!F24,'29.10 MASAKA-MUTUKULA'!F24,'30.10 MASAKA-MUTUKULA'!F24,'31.10 Masaka-Mutukula'!F24)</f>
        <v>1.1428571428571428</v>
      </c>
      <c r="G24" s="49">
        <f>AVERAGE('25.10 MASAKA-MUTUKULA'!G24,'26.10 MASAKA-MUTUKULA-24HR'!G24,'27.10 Masaka-Mutukula'!G24,'28.10 MASAKA-MUTUKULA-24HR'!G24,'29.10 MASAKA-MUTUKULA'!G24,'30.10 MASAKA-MUTUKULA'!G24,'31.10 Masaka-Mutukula'!G24)</f>
        <v>0</v>
      </c>
      <c r="H24" s="49">
        <f>AVERAGE('25.10 MASAKA-MUTUKULA'!H24,'26.10 MASAKA-MUTUKULA-24HR'!H24,'27.10 Masaka-Mutukula'!H24,'28.10 MASAKA-MUTUKULA-24HR'!H24,'29.10 MASAKA-MUTUKULA'!H24,'30.10 MASAKA-MUTUKULA'!H24,'31.10 Masaka-Mutukula'!H24)</f>
        <v>0</v>
      </c>
      <c r="I24" s="49">
        <f>AVERAGE('25.10 MASAKA-MUTUKULA'!I24,'26.10 MASAKA-MUTUKULA-24HR'!I24,'27.10 Masaka-Mutukula'!I24,'28.10 MASAKA-MUTUKULA-24HR'!I24,'29.10 MASAKA-MUTUKULA'!I24,'30.10 MASAKA-MUTUKULA'!I24,'31.10 Masaka-Mutukula'!I24)</f>
        <v>1</v>
      </c>
      <c r="J24" s="49">
        <f>AVERAGE('25.10 MASAKA-MUTUKULA'!J24,'26.10 MASAKA-MUTUKULA-24HR'!J24,'27.10 Masaka-Mutukula'!J24,'28.10 MASAKA-MUTUKULA-24HR'!J24,'29.10 MASAKA-MUTUKULA'!J24,'30.10 MASAKA-MUTUKULA'!J24,'31.10 Masaka-Mutukula'!J24)</f>
        <v>0.42857142857142855</v>
      </c>
      <c r="K24" s="49">
        <f>AVERAGE('25.10 MASAKA-MUTUKULA'!K24,'26.10 MASAKA-MUTUKULA-24HR'!K24,'27.10 Masaka-Mutukula'!K24,'28.10 MASAKA-MUTUKULA-24HR'!K24,'29.10 MASAKA-MUTUKULA'!K24,'30.10 MASAKA-MUTUKULA'!K24,'31.10 Masaka-Mutukula'!K24)</f>
        <v>1</v>
      </c>
      <c r="L24" s="49">
        <f>AVERAGE('25.10 MASAKA-MUTUKULA'!L24,'26.10 MASAKA-MUTUKULA-24HR'!L24,'27.10 Masaka-Mutukula'!L24,'28.10 MASAKA-MUTUKULA-24HR'!L24,'29.10 MASAKA-MUTUKULA'!L24,'30.10 MASAKA-MUTUKULA'!L24,'31.10 Masaka-Mutukula'!L24)</f>
        <v>0</v>
      </c>
      <c r="M24" s="49">
        <f>AVERAGE('25.10 MASAKA-MUTUKULA'!M24,'26.10 MASAKA-MUTUKULA-24HR'!M24,'27.10 Masaka-Mutukula'!M24,'28.10 MASAKA-MUTUKULA-24HR'!M24,'29.10 MASAKA-MUTUKULA'!M24,'30.10 MASAKA-MUTUKULA'!M24,'31.10 Masaka-Mutukula'!M24)</f>
        <v>10.714285714285714</v>
      </c>
      <c r="N24" s="49">
        <f>AVERAGE('25.10 MASAKA-MUTUKULA'!N24,'26.10 MASAKA-MUTUKULA-24HR'!N24,'27.10 Masaka-Mutukula'!N24,'28.10 MASAKA-MUTUKULA-24HR'!N24,'29.10 MASAKA-MUTUKULA'!N24,'30.10 MASAKA-MUTUKULA'!N24,'31.10 Masaka-Mutukula'!N24)</f>
        <v>0</v>
      </c>
      <c r="O24" s="15">
        <f t="shared" si="0"/>
        <v>7.1428571428571423</v>
      </c>
      <c r="P24" s="15">
        <f t="shared" si="1"/>
        <v>17.857142857142854</v>
      </c>
      <c r="R24" s="1" t="s">
        <v>148</v>
      </c>
      <c r="S24" s="34">
        <f>SUM(C66:C69)</f>
        <v>9.5</v>
      </c>
      <c r="T24" s="34">
        <f t="shared" ref="T24:AF24" si="16">SUM(D66:D69)</f>
        <v>0.5</v>
      </c>
      <c r="U24" s="34">
        <f t="shared" si="16"/>
        <v>0</v>
      </c>
      <c r="V24" s="34">
        <f t="shared" si="16"/>
        <v>2</v>
      </c>
      <c r="W24" s="34">
        <f t="shared" si="16"/>
        <v>1</v>
      </c>
      <c r="X24" s="34">
        <f t="shared" si="16"/>
        <v>0</v>
      </c>
      <c r="Y24" s="34">
        <f t="shared" si="16"/>
        <v>0.5</v>
      </c>
      <c r="Z24" s="34">
        <f t="shared" si="16"/>
        <v>1.5</v>
      </c>
      <c r="AA24" s="34">
        <f t="shared" si="16"/>
        <v>1</v>
      </c>
      <c r="AB24" s="34">
        <f t="shared" si="16"/>
        <v>0</v>
      </c>
      <c r="AC24" s="34">
        <f t="shared" si="16"/>
        <v>28</v>
      </c>
      <c r="AD24" s="34">
        <f t="shared" si="16"/>
        <v>0</v>
      </c>
      <c r="AE24" s="31">
        <f t="shared" si="16"/>
        <v>16</v>
      </c>
      <c r="AF24" s="31">
        <f t="shared" si="16"/>
        <v>44</v>
      </c>
    </row>
    <row r="25" spans="2:32" ht="23.1" customHeight="1" x14ac:dyDescent="0.25">
      <c r="B25" s="23" t="s">
        <v>52</v>
      </c>
      <c r="C25" s="49">
        <f>AVERAGE('25.10 MASAKA-MUTUKULA'!C25,'26.10 MASAKA-MUTUKULA-24HR'!C25,'27.10 Masaka-Mutukula'!C25,'28.10 MASAKA-MUTUKULA-24HR'!C25,'29.10 MASAKA-MUTUKULA'!C25,'30.10 MASAKA-MUTUKULA'!C25,'31.10 Masaka-Mutukula'!C25)</f>
        <v>2.4285714285714284</v>
      </c>
      <c r="D25" s="49">
        <f>AVERAGE('25.10 MASAKA-MUTUKULA'!D25,'26.10 MASAKA-MUTUKULA-24HR'!D25,'27.10 Masaka-Mutukula'!D25,'28.10 MASAKA-MUTUKULA-24HR'!D25,'29.10 MASAKA-MUTUKULA'!D25,'30.10 MASAKA-MUTUKULA'!D25,'31.10 Masaka-Mutukula'!D25)</f>
        <v>0.14285714285714285</v>
      </c>
      <c r="E25" s="49">
        <f>AVERAGE('25.10 MASAKA-MUTUKULA'!E25,'26.10 MASAKA-MUTUKULA-24HR'!E25,'27.10 Masaka-Mutukula'!E25,'28.10 MASAKA-MUTUKULA-24HR'!E25,'29.10 MASAKA-MUTUKULA'!E25,'30.10 MASAKA-MUTUKULA'!E25,'31.10 Masaka-Mutukula'!E25)</f>
        <v>0</v>
      </c>
      <c r="F25" s="49">
        <f>AVERAGE('25.10 MASAKA-MUTUKULA'!F25,'26.10 MASAKA-MUTUKULA-24HR'!F25,'27.10 Masaka-Mutukula'!F25,'28.10 MASAKA-MUTUKULA-24HR'!F25,'29.10 MASAKA-MUTUKULA'!F25,'30.10 MASAKA-MUTUKULA'!F25,'31.10 Masaka-Mutukula'!F25)</f>
        <v>1.7142857142857142</v>
      </c>
      <c r="G25" s="49">
        <f>AVERAGE('25.10 MASAKA-MUTUKULA'!G25,'26.10 MASAKA-MUTUKULA-24HR'!G25,'27.10 Masaka-Mutukula'!G25,'28.10 MASAKA-MUTUKULA-24HR'!G25,'29.10 MASAKA-MUTUKULA'!G25,'30.10 MASAKA-MUTUKULA'!G25,'31.10 Masaka-Mutukula'!G25)</f>
        <v>0</v>
      </c>
      <c r="H25" s="49">
        <f>AVERAGE('25.10 MASAKA-MUTUKULA'!H25,'26.10 MASAKA-MUTUKULA-24HR'!H25,'27.10 Masaka-Mutukula'!H25,'28.10 MASAKA-MUTUKULA-24HR'!H25,'29.10 MASAKA-MUTUKULA'!H25,'30.10 MASAKA-MUTUKULA'!H25,'31.10 Masaka-Mutukula'!H25)</f>
        <v>0</v>
      </c>
      <c r="I25" s="49">
        <f>AVERAGE('25.10 MASAKA-MUTUKULA'!I25,'26.10 MASAKA-MUTUKULA-24HR'!I25,'27.10 Masaka-Mutukula'!I25,'28.10 MASAKA-MUTUKULA-24HR'!I25,'29.10 MASAKA-MUTUKULA'!I25,'30.10 MASAKA-MUTUKULA'!I25,'31.10 Masaka-Mutukula'!I25)</f>
        <v>1.4285714285714286</v>
      </c>
      <c r="J25" s="49">
        <f>AVERAGE('25.10 MASAKA-MUTUKULA'!J25,'26.10 MASAKA-MUTUKULA-24HR'!J25,'27.10 Masaka-Mutukula'!J25,'28.10 MASAKA-MUTUKULA-24HR'!J25,'29.10 MASAKA-MUTUKULA'!J25,'30.10 MASAKA-MUTUKULA'!J25,'31.10 Masaka-Mutukula'!J25)</f>
        <v>0.42857142857142855</v>
      </c>
      <c r="K25" s="49">
        <f>AVERAGE('25.10 MASAKA-MUTUKULA'!K25,'26.10 MASAKA-MUTUKULA-24HR'!K25,'27.10 Masaka-Mutukula'!K25,'28.10 MASAKA-MUTUKULA-24HR'!K25,'29.10 MASAKA-MUTUKULA'!K25,'30.10 MASAKA-MUTUKULA'!K25,'31.10 Masaka-Mutukula'!K25)</f>
        <v>0.8571428571428571</v>
      </c>
      <c r="L25" s="49">
        <f>AVERAGE('25.10 MASAKA-MUTUKULA'!L25,'26.10 MASAKA-MUTUKULA-24HR'!L25,'27.10 Masaka-Mutukula'!L25,'28.10 MASAKA-MUTUKULA-24HR'!L25,'29.10 MASAKA-MUTUKULA'!L25,'30.10 MASAKA-MUTUKULA'!L25,'31.10 Masaka-Mutukula'!L25)</f>
        <v>0</v>
      </c>
      <c r="M25" s="49">
        <f>AVERAGE('25.10 MASAKA-MUTUKULA'!M25,'26.10 MASAKA-MUTUKULA-24HR'!M25,'27.10 Masaka-Mutukula'!M25,'28.10 MASAKA-MUTUKULA-24HR'!M25,'29.10 MASAKA-MUTUKULA'!M25,'30.10 MASAKA-MUTUKULA'!M25,'31.10 Masaka-Mutukula'!M25)</f>
        <v>11.142857142857142</v>
      </c>
      <c r="N25" s="49">
        <f>AVERAGE('25.10 MASAKA-MUTUKULA'!N25,'26.10 MASAKA-MUTUKULA-24HR'!N25,'27.10 Masaka-Mutukula'!N25,'28.10 MASAKA-MUTUKULA-24HR'!N25,'29.10 MASAKA-MUTUKULA'!N25,'30.10 MASAKA-MUTUKULA'!N25,'31.10 Masaka-Mutukula'!N25)</f>
        <v>0</v>
      </c>
      <c r="O25" s="15">
        <f t="shared" si="0"/>
        <v>7</v>
      </c>
      <c r="P25" s="15">
        <f t="shared" si="1"/>
        <v>18.142857142857142</v>
      </c>
      <c r="R25" s="1" t="s">
        <v>149</v>
      </c>
      <c r="S25" s="34">
        <f>SUM(C70:C73)</f>
        <v>8.5</v>
      </c>
      <c r="T25" s="34">
        <f t="shared" ref="T25:AF25" si="17">SUM(D70:D73)</f>
        <v>0.5</v>
      </c>
      <c r="U25" s="34">
        <f t="shared" si="17"/>
        <v>0.5</v>
      </c>
      <c r="V25" s="34">
        <f t="shared" si="17"/>
        <v>2</v>
      </c>
      <c r="W25" s="34">
        <f t="shared" si="17"/>
        <v>1</v>
      </c>
      <c r="X25" s="34">
        <f t="shared" si="17"/>
        <v>0</v>
      </c>
      <c r="Y25" s="34">
        <f t="shared" si="17"/>
        <v>2</v>
      </c>
      <c r="Z25" s="34">
        <f t="shared" si="17"/>
        <v>1</v>
      </c>
      <c r="AA25" s="34">
        <f t="shared" si="17"/>
        <v>4.5</v>
      </c>
      <c r="AB25" s="34">
        <f t="shared" si="17"/>
        <v>0</v>
      </c>
      <c r="AC25" s="34">
        <f t="shared" si="17"/>
        <v>16</v>
      </c>
      <c r="AD25" s="34">
        <f t="shared" si="17"/>
        <v>0</v>
      </c>
      <c r="AE25" s="31">
        <f t="shared" si="17"/>
        <v>20</v>
      </c>
      <c r="AF25" s="31">
        <f t="shared" si="17"/>
        <v>36</v>
      </c>
    </row>
    <row r="26" spans="2:32" ht="23.1" customHeight="1" x14ac:dyDescent="0.25">
      <c r="B26" s="23" t="s">
        <v>53</v>
      </c>
      <c r="C26" s="49">
        <f>AVERAGE('25.10 MASAKA-MUTUKULA'!C26,'26.10 MASAKA-MUTUKULA-24HR'!C26,'27.10 Masaka-Mutukula'!C26,'28.10 MASAKA-MUTUKULA-24HR'!C26,'29.10 MASAKA-MUTUKULA'!C26,'30.10 MASAKA-MUTUKULA'!C26,'31.10 Masaka-Mutukula'!C26)</f>
        <v>1.7142857142857142</v>
      </c>
      <c r="D26" s="49">
        <f>AVERAGE('25.10 MASAKA-MUTUKULA'!D26,'26.10 MASAKA-MUTUKULA-24HR'!D26,'27.10 Masaka-Mutukula'!D26,'28.10 MASAKA-MUTUKULA-24HR'!D26,'29.10 MASAKA-MUTUKULA'!D26,'30.10 MASAKA-MUTUKULA'!D26,'31.10 Masaka-Mutukula'!D26)</f>
        <v>0.7142857142857143</v>
      </c>
      <c r="E26" s="49">
        <f>AVERAGE('25.10 MASAKA-MUTUKULA'!E26,'26.10 MASAKA-MUTUKULA-24HR'!E26,'27.10 Masaka-Mutukula'!E26,'28.10 MASAKA-MUTUKULA-24HR'!E26,'29.10 MASAKA-MUTUKULA'!E26,'30.10 MASAKA-MUTUKULA'!E26,'31.10 Masaka-Mutukula'!E26)</f>
        <v>0</v>
      </c>
      <c r="F26" s="49">
        <f>AVERAGE('25.10 MASAKA-MUTUKULA'!F26,'26.10 MASAKA-MUTUKULA-24HR'!F26,'27.10 Masaka-Mutukula'!F26,'28.10 MASAKA-MUTUKULA-24HR'!F26,'29.10 MASAKA-MUTUKULA'!F26,'30.10 MASAKA-MUTUKULA'!F26,'31.10 Masaka-Mutukula'!F26)</f>
        <v>2.5714285714285716</v>
      </c>
      <c r="G26" s="49">
        <f>AVERAGE('25.10 MASAKA-MUTUKULA'!G26,'26.10 MASAKA-MUTUKULA-24HR'!G26,'27.10 Masaka-Mutukula'!G26,'28.10 MASAKA-MUTUKULA-24HR'!G26,'29.10 MASAKA-MUTUKULA'!G26,'30.10 MASAKA-MUTUKULA'!G26,'31.10 Masaka-Mutukula'!G26)</f>
        <v>0</v>
      </c>
      <c r="H26" s="49">
        <f>AVERAGE('25.10 MASAKA-MUTUKULA'!H26,'26.10 MASAKA-MUTUKULA-24HR'!H26,'27.10 Masaka-Mutukula'!H26,'28.10 MASAKA-MUTUKULA-24HR'!H26,'29.10 MASAKA-MUTUKULA'!H26,'30.10 MASAKA-MUTUKULA'!H26,'31.10 Masaka-Mutukula'!H26)</f>
        <v>0</v>
      </c>
      <c r="I26" s="49">
        <f>AVERAGE('25.10 MASAKA-MUTUKULA'!I26,'26.10 MASAKA-MUTUKULA-24HR'!I26,'27.10 Masaka-Mutukula'!I26,'28.10 MASAKA-MUTUKULA-24HR'!I26,'29.10 MASAKA-MUTUKULA'!I26,'30.10 MASAKA-MUTUKULA'!I26,'31.10 Masaka-Mutukula'!I26)</f>
        <v>0.5714285714285714</v>
      </c>
      <c r="J26" s="49">
        <f>AVERAGE('25.10 MASAKA-MUTUKULA'!J26,'26.10 MASAKA-MUTUKULA-24HR'!J26,'27.10 Masaka-Mutukula'!J26,'28.10 MASAKA-MUTUKULA-24HR'!J26,'29.10 MASAKA-MUTUKULA'!J26,'30.10 MASAKA-MUTUKULA'!J26,'31.10 Masaka-Mutukula'!J26)</f>
        <v>0.14285714285714285</v>
      </c>
      <c r="K26" s="49">
        <f>AVERAGE('25.10 MASAKA-MUTUKULA'!K26,'26.10 MASAKA-MUTUKULA-24HR'!K26,'27.10 Masaka-Mutukula'!K26,'28.10 MASAKA-MUTUKULA-24HR'!K26,'29.10 MASAKA-MUTUKULA'!K26,'30.10 MASAKA-MUTUKULA'!K26,'31.10 Masaka-Mutukula'!K26)</f>
        <v>0.5714285714285714</v>
      </c>
      <c r="L26" s="49">
        <f>AVERAGE('25.10 MASAKA-MUTUKULA'!L26,'26.10 MASAKA-MUTUKULA-24HR'!L26,'27.10 Masaka-Mutukula'!L26,'28.10 MASAKA-MUTUKULA-24HR'!L26,'29.10 MASAKA-MUTUKULA'!L26,'30.10 MASAKA-MUTUKULA'!L26,'31.10 Masaka-Mutukula'!L26)</f>
        <v>0</v>
      </c>
      <c r="M26" s="49">
        <f>AVERAGE('25.10 MASAKA-MUTUKULA'!M26,'26.10 MASAKA-MUTUKULA-24HR'!M26,'27.10 Masaka-Mutukula'!M26,'28.10 MASAKA-MUTUKULA-24HR'!M26,'29.10 MASAKA-MUTUKULA'!M26,'30.10 MASAKA-MUTUKULA'!M26,'31.10 Masaka-Mutukula'!M26)</f>
        <v>10.285714285714286</v>
      </c>
      <c r="N26" s="49">
        <f>AVERAGE('25.10 MASAKA-MUTUKULA'!N26,'26.10 MASAKA-MUTUKULA-24HR'!N26,'27.10 Masaka-Mutukula'!N26,'28.10 MASAKA-MUTUKULA-24HR'!N26,'29.10 MASAKA-MUTUKULA'!N26,'30.10 MASAKA-MUTUKULA'!N26,'31.10 Masaka-Mutukula'!N26)</f>
        <v>0</v>
      </c>
      <c r="O26" s="15">
        <f t="shared" si="0"/>
        <v>6.2857142857142856</v>
      </c>
      <c r="P26" s="15">
        <f t="shared" si="1"/>
        <v>16.571428571428573</v>
      </c>
      <c r="R26" s="1" t="s">
        <v>150</v>
      </c>
      <c r="S26" s="34">
        <f>SUM(C74:C77)</f>
        <v>1.5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0.5</v>
      </c>
      <c r="X26" s="34">
        <f t="shared" si="18"/>
        <v>0</v>
      </c>
      <c r="Y26" s="34">
        <f t="shared" si="18"/>
        <v>0</v>
      </c>
      <c r="Z26" s="34">
        <f t="shared" si="18"/>
        <v>2.5</v>
      </c>
      <c r="AA26" s="34">
        <f t="shared" si="18"/>
        <v>2.5</v>
      </c>
      <c r="AB26" s="34">
        <f t="shared" si="18"/>
        <v>1.5</v>
      </c>
      <c r="AC26" s="34">
        <f t="shared" si="18"/>
        <v>3.5</v>
      </c>
      <c r="AD26" s="34">
        <f t="shared" si="18"/>
        <v>0</v>
      </c>
      <c r="AE26" s="31">
        <f t="shared" si="18"/>
        <v>10.5</v>
      </c>
      <c r="AF26" s="31">
        <f t="shared" si="18"/>
        <v>14</v>
      </c>
    </row>
    <row r="27" spans="2:32" ht="23.1" customHeight="1" x14ac:dyDescent="0.25">
      <c r="B27" s="23" t="s">
        <v>54</v>
      </c>
      <c r="C27" s="49">
        <f>AVERAGE('25.10 MASAKA-MUTUKULA'!C27,'26.10 MASAKA-MUTUKULA-24HR'!C27,'27.10 Masaka-Mutukula'!C27,'28.10 MASAKA-MUTUKULA-24HR'!C27,'29.10 MASAKA-MUTUKULA'!C27,'30.10 MASAKA-MUTUKULA'!C27,'31.10 Masaka-Mutukula'!C27)</f>
        <v>2</v>
      </c>
      <c r="D27" s="49">
        <f>AVERAGE('25.10 MASAKA-MUTUKULA'!D27,'26.10 MASAKA-MUTUKULA-24HR'!D27,'27.10 Masaka-Mutukula'!D27,'28.10 MASAKA-MUTUKULA-24HR'!D27,'29.10 MASAKA-MUTUKULA'!D27,'30.10 MASAKA-MUTUKULA'!D27,'31.10 Masaka-Mutukula'!D27)</f>
        <v>0</v>
      </c>
      <c r="E27" s="49">
        <f>AVERAGE('25.10 MASAKA-MUTUKULA'!E27,'26.10 MASAKA-MUTUKULA-24HR'!E27,'27.10 Masaka-Mutukula'!E27,'28.10 MASAKA-MUTUKULA-24HR'!E27,'29.10 MASAKA-MUTUKULA'!E27,'30.10 MASAKA-MUTUKULA'!E27,'31.10 Masaka-Mutukula'!E27)</f>
        <v>0.14285714285714285</v>
      </c>
      <c r="F27" s="49">
        <f>AVERAGE('25.10 MASAKA-MUTUKULA'!F27,'26.10 MASAKA-MUTUKULA-24HR'!F27,'27.10 Masaka-Mutukula'!F27,'28.10 MASAKA-MUTUKULA-24HR'!F27,'29.10 MASAKA-MUTUKULA'!F27,'30.10 MASAKA-MUTUKULA'!F27,'31.10 Masaka-Mutukula'!F27)</f>
        <v>1.2857142857142858</v>
      </c>
      <c r="G27" s="49">
        <f>AVERAGE('25.10 MASAKA-MUTUKULA'!G27,'26.10 MASAKA-MUTUKULA-24HR'!G27,'27.10 Masaka-Mutukula'!G27,'28.10 MASAKA-MUTUKULA-24HR'!G27,'29.10 MASAKA-MUTUKULA'!G27,'30.10 MASAKA-MUTUKULA'!G27,'31.10 Masaka-Mutukula'!G27)</f>
        <v>0</v>
      </c>
      <c r="H27" s="49">
        <f>AVERAGE('25.10 MASAKA-MUTUKULA'!H27,'26.10 MASAKA-MUTUKULA-24HR'!H27,'27.10 Masaka-Mutukula'!H27,'28.10 MASAKA-MUTUKULA-24HR'!H27,'29.10 MASAKA-MUTUKULA'!H27,'30.10 MASAKA-MUTUKULA'!H27,'31.10 Masaka-Mutukula'!H27)</f>
        <v>0</v>
      </c>
      <c r="I27" s="49">
        <f>AVERAGE('25.10 MASAKA-MUTUKULA'!I27,'26.10 MASAKA-MUTUKULA-24HR'!I27,'27.10 Masaka-Mutukula'!I27,'28.10 MASAKA-MUTUKULA-24HR'!I27,'29.10 MASAKA-MUTUKULA'!I27,'30.10 MASAKA-MUTUKULA'!I27,'31.10 Masaka-Mutukula'!I27)</f>
        <v>1</v>
      </c>
      <c r="J27" s="49">
        <f>AVERAGE('25.10 MASAKA-MUTUKULA'!J27,'26.10 MASAKA-MUTUKULA-24HR'!J27,'27.10 Masaka-Mutukula'!J27,'28.10 MASAKA-MUTUKULA-24HR'!J27,'29.10 MASAKA-MUTUKULA'!J27,'30.10 MASAKA-MUTUKULA'!J27,'31.10 Masaka-Mutukula'!J27)</f>
        <v>1</v>
      </c>
      <c r="K27" s="49">
        <f>AVERAGE('25.10 MASAKA-MUTUKULA'!K27,'26.10 MASAKA-MUTUKULA-24HR'!K27,'27.10 Masaka-Mutukula'!K27,'28.10 MASAKA-MUTUKULA-24HR'!K27,'29.10 MASAKA-MUTUKULA'!K27,'30.10 MASAKA-MUTUKULA'!K27,'31.10 Masaka-Mutukula'!K27)</f>
        <v>0.2857142857142857</v>
      </c>
      <c r="L27" s="49">
        <f>AVERAGE('25.10 MASAKA-MUTUKULA'!L27,'26.10 MASAKA-MUTUKULA-24HR'!L27,'27.10 Masaka-Mutukula'!L27,'28.10 MASAKA-MUTUKULA-24HR'!L27,'29.10 MASAKA-MUTUKULA'!L27,'30.10 MASAKA-MUTUKULA'!L27,'31.10 Masaka-Mutukula'!L27)</f>
        <v>0</v>
      </c>
      <c r="M27" s="49">
        <f>AVERAGE('25.10 MASAKA-MUTUKULA'!M27,'26.10 MASAKA-MUTUKULA-24HR'!M27,'27.10 Masaka-Mutukula'!M27,'28.10 MASAKA-MUTUKULA-24HR'!M27,'29.10 MASAKA-MUTUKULA'!M27,'30.10 MASAKA-MUTUKULA'!M27,'31.10 Masaka-Mutukula'!M27)</f>
        <v>13.857142857142858</v>
      </c>
      <c r="N27" s="49">
        <f>AVERAGE('25.10 MASAKA-MUTUKULA'!N27,'26.10 MASAKA-MUTUKULA-24HR'!N27,'27.10 Masaka-Mutukula'!N27,'28.10 MASAKA-MUTUKULA-24HR'!N27,'29.10 MASAKA-MUTUKULA'!N27,'30.10 MASAKA-MUTUKULA'!N27,'31.10 Masaka-Mutukula'!N27)</f>
        <v>0</v>
      </c>
      <c r="O27" s="15">
        <f t="shared" si="0"/>
        <v>5.7142857142857144</v>
      </c>
      <c r="P27" s="15">
        <f t="shared" si="1"/>
        <v>19.571428571428573</v>
      </c>
      <c r="R27" s="1" t="s">
        <v>151</v>
      </c>
      <c r="S27" s="34">
        <f>SUM(C78:C81)</f>
        <v>2</v>
      </c>
      <c r="T27" s="34">
        <f t="shared" ref="T27:AF27" si="19">SUM(D78:D81)</f>
        <v>1.5</v>
      </c>
      <c r="U27" s="34">
        <f t="shared" si="19"/>
        <v>0</v>
      </c>
      <c r="V27" s="34">
        <f t="shared" si="19"/>
        <v>1</v>
      </c>
      <c r="W27" s="34">
        <f t="shared" si="19"/>
        <v>1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2.5</v>
      </c>
      <c r="AB27" s="34">
        <f t="shared" si="19"/>
        <v>0</v>
      </c>
      <c r="AC27" s="34">
        <f t="shared" si="19"/>
        <v>2.5</v>
      </c>
      <c r="AD27" s="34">
        <f t="shared" si="19"/>
        <v>0</v>
      </c>
      <c r="AE27" s="31">
        <f t="shared" si="19"/>
        <v>8.5</v>
      </c>
      <c r="AF27" s="31">
        <f t="shared" si="19"/>
        <v>11</v>
      </c>
    </row>
    <row r="28" spans="2:32" ht="23.1" customHeight="1" x14ac:dyDescent="0.25">
      <c r="B28" s="23" t="s">
        <v>55</v>
      </c>
      <c r="C28" s="49">
        <f>AVERAGE('25.10 MASAKA-MUTUKULA'!C28,'26.10 MASAKA-MUTUKULA-24HR'!C28,'27.10 Masaka-Mutukula'!C28,'28.10 MASAKA-MUTUKULA-24HR'!C28,'29.10 MASAKA-MUTUKULA'!C28,'30.10 MASAKA-MUTUKULA'!C28,'31.10 Masaka-Mutukula'!C28)</f>
        <v>2.1428571428571428</v>
      </c>
      <c r="D28" s="49">
        <f>AVERAGE('25.10 MASAKA-MUTUKULA'!D28,'26.10 MASAKA-MUTUKULA-24HR'!D28,'27.10 Masaka-Mutukula'!D28,'28.10 MASAKA-MUTUKULA-24HR'!D28,'29.10 MASAKA-MUTUKULA'!D28,'30.10 MASAKA-MUTUKULA'!D28,'31.10 Masaka-Mutukula'!D28)</f>
        <v>0.2857142857142857</v>
      </c>
      <c r="E28" s="49">
        <f>AVERAGE('25.10 MASAKA-MUTUKULA'!E28,'26.10 MASAKA-MUTUKULA-24HR'!E28,'27.10 Masaka-Mutukula'!E28,'28.10 MASAKA-MUTUKULA-24HR'!E28,'29.10 MASAKA-MUTUKULA'!E28,'30.10 MASAKA-MUTUKULA'!E28,'31.10 Masaka-Mutukula'!E28)</f>
        <v>0.2857142857142857</v>
      </c>
      <c r="F28" s="49">
        <f>AVERAGE('25.10 MASAKA-MUTUKULA'!F28,'26.10 MASAKA-MUTUKULA-24HR'!F28,'27.10 Masaka-Mutukula'!F28,'28.10 MASAKA-MUTUKULA-24HR'!F28,'29.10 MASAKA-MUTUKULA'!F28,'30.10 MASAKA-MUTUKULA'!F28,'31.10 Masaka-Mutukula'!F28)</f>
        <v>0.8571428571428571</v>
      </c>
      <c r="G28" s="49">
        <f>AVERAGE('25.10 MASAKA-MUTUKULA'!G28,'26.10 MASAKA-MUTUKULA-24HR'!G28,'27.10 Masaka-Mutukula'!G28,'28.10 MASAKA-MUTUKULA-24HR'!G28,'29.10 MASAKA-MUTUKULA'!G28,'30.10 MASAKA-MUTUKULA'!G28,'31.10 Masaka-Mutukula'!G28)</f>
        <v>0</v>
      </c>
      <c r="H28" s="49">
        <f>AVERAGE('25.10 MASAKA-MUTUKULA'!H28,'26.10 MASAKA-MUTUKULA-24HR'!H28,'27.10 Masaka-Mutukula'!H28,'28.10 MASAKA-MUTUKULA-24HR'!H28,'29.10 MASAKA-MUTUKULA'!H28,'30.10 MASAKA-MUTUKULA'!H28,'31.10 Masaka-Mutukula'!H28)</f>
        <v>0</v>
      </c>
      <c r="I28" s="49">
        <f>AVERAGE('25.10 MASAKA-MUTUKULA'!I28,'26.10 MASAKA-MUTUKULA-24HR'!I28,'27.10 Masaka-Mutukula'!I28,'28.10 MASAKA-MUTUKULA-24HR'!I28,'29.10 MASAKA-MUTUKULA'!I28,'30.10 MASAKA-MUTUKULA'!I28,'31.10 Masaka-Mutukula'!I28)</f>
        <v>1.2857142857142858</v>
      </c>
      <c r="J28" s="49">
        <f>AVERAGE('25.10 MASAKA-MUTUKULA'!J28,'26.10 MASAKA-MUTUKULA-24HR'!J28,'27.10 Masaka-Mutukula'!J28,'28.10 MASAKA-MUTUKULA-24HR'!J28,'29.10 MASAKA-MUTUKULA'!J28,'30.10 MASAKA-MUTUKULA'!J28,'31.10 Masaka-Mutukula'!J28)</f>
        <v>0.42857142857142855</v>
      </c>
      <c r="K28" s="49">
        <f>AVERAGE('25.10 MASAKA-MUTUKULA'!K28,'26.10 MASAKA-MUTUKULA-24HR'!K28,'27.10 Masaka-Mutukula'!K28,'28.10 MASAKA-MUTUKULA-24HR'!K28,'29.10 MASAKA-MUTUKULA'!K28,'30.10 MASAKA-MUTUKULA'!K28,'31.10 Masaka-Mutukula'!K28)</f>
        <v>0.8571428571428571</v>
      </c>
      <c r="L28" s="49">
        <f>AVERAGE('25.10 MASAKA-MUTUKULA'!L28,'26.10 MASAKA-MUTUKULA-24HR'!L28,'27.10 Masaka-Mutukula'!L28,'28.10 MASAKA-MUTUKULA-24HR'!L28,'29.10 MASAKA-MUTUKULA'!L28,'30.10 MASAKA-MUTUKULA'!L28,'31.10 Masaka-Mutukula'!L28)</f>
        <v>0</v>
      </c>
      <c r="M28" s="49">
        <f>AVERAGE('25.10 MASAKA-MUTUKULA'!M28,'26.10 MASAKA-MUTUKULA-24HR'!M28,'27.10 Masaka-Mutukula'!M28,'28.10 MASAKA-MUTUKULA-24HR'!M28,'29.10 MASAKA-MUTUKULA'!M28,'30.10 MASAKA-MUTUKULA'!M28,'31.10 Masaka-Mutukula'!M28)</f>
        <v>10.285714285714286</v>
      </c>
      <c r="N28" s="49">
        <f>AVERAGE('25.10 MASAKA-MUTUKULA'!N28,'26.10 MASAKA-MUTUKULA-24HR'!N28,'27.10 Masaka-Mutukula'!N28,'28.10 MASAKA-MUTUKULA-24HR'!N28,'29.10 MASAKA-MUTUKULA'!N28,'30.10 MASAKA-MUTUKULA'!N28,'31.10 Masaka-Mutukula'!N28)</f>
        <v>0</v>
      </c>
      <c r="O28" s="15">
        <f t="shared" si="0"/>
        <v>6.1428571428571423</v>
      </c>
      <c r="P28" s="15">
        <f t="shared" si="1"/>
        <v>16.428571428571431</v>
      </c>
      <c r="R28" s="1" t="s">
        <v>152</v>
      </c>
      <c r="S28" s="34">
        <f>SUM(C82:C85)</f>
        <v>1.5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2</v>
      </c>
      <c r="AA28" s="34">
        <f t="shared" si="20"/>
        <v>0.5</v>
      </c>
      <c r="AB28" s="34">
        <f t="shared" si="20"/>
        <v>0</v>
      </c>
      <c r="AC28" s="34">
        <f t="shared" si="20"/>
        <v>0.5</v>
      </c>
      <c r="AD28" s="34">
        <f t="shared" si="20"/>
        <v>0</v>
      </c>
      <c r="AE28" s="31">
        <f t="shared" si="20"/>
        <v>5</v>
      </c>
      <c r="AF28" s="31">
        <f t="shared" si="20"/>
        <v>5.5</v>
      </c>
    </row>
    <row r="29" spans="2:32" ht="23.1" customHeight="1" x14ac:dyDescent="0.25">
      <c r="B29" s="23" t="s">
        <v>56</v>
      </c>
      <c r="C29" s="49">
        <f>AVERAGE('25.10 MASAKA-MUTUKULA'!C29,'26.10 MASAKA-MUTUKULA-24HR'!C29,'27.10 Masaka-Mutukula'!C29,'28.10 MASAKA-MUTUKULA-24HR'!C29,'29.10 MASAKA-MUTUKULA'!C29,'30.10 MASAKA-MUTUKULA'!C29,'31.10 Masaka-Mutukula'!C29)</f>
        <v>1.5714285714285714</v>
      </c>
      <c r="D29" s="49">
        <f>AVERAGE('25.10 MASAKA-MUTUKULA'!D29,'26.10 MASAKA-MUTUKULA-24HR'!D29,'27.10 Masaka-Mutukula'!D29,'28.10 MASAKA-MUTUKULA-24HR'!D29,'29.10 MASAKA-MUTUKULA'!D29,'30.10 MASAKA-MUTUKULA'!D29,'31.10 Masaka-Mutukula'!D29)</f>
        <v>0</v>
      </c>
      <c r="E29" s="49">
        <f>AVERAGE('25.10 MASAKA-MUTUKULA'!E29,'26.10 MASAKA-MUTUKULA-24HR'!E29,'27.10 Masaka-Mutukula'!E29,'28.10 MASAKA-MUTUKULA-24HR'!E29,'29.10 MASAKA-MUTUKULA'!E29,'30.10 MASAKA-MUTUKULA'!E29,'31.10 Masaka-Mutukula'!E29)</f>
        <v>0</v>
      </c>
      <c r="F29" s="49">
        <f>AVERAGE('25.10 MASAKA-MUTUKULA'!F29,'26.10 MASAKA-MUTUKULA-24HR'!F29,'27.10 Masaka-Mutukula'!F29,'28.10 MASAKA-MUTUKULA-24HR'!F29,'29.10 MASAKA-MUTUKULA'!F29,'30.10 MASAKA-MUTUKULA'!F29,'31.10 Masaka-Mutukula'!F29)</f>
        <v>1.8571428571428572</v>
      </c>
      <c r="G29" s="49">
        <f>AVERAGE('25.10 MASAKA-MUTUKULA'!G29,'26.10 MASAKA-MUTUKULA-24HR'!G29,'27.10 Masaka-Mutukula'!G29,'28.10 MASAKA-MUTUKULA-24HR'!G29,'29.10 MASAKA-MUTUKULA'!G29,'30.10 MASAKA-MUTUKULA'!G29,'31.10 Masaka-Mutukula'!G29)</f>
        <v>0</v>
      </c>
      <c r="H29" s="49">
        <f>AVERAGE('25.10 MASAKA-MUTUKULA'!H29,'26.10 MASAKA-MUTUKULA-24HR'!H29,'27.10 Masaka-Mutukula'!H29,'28.10 MASAKA-MUTUKULA-24HR'!H29,'29.10 MASAKA-MUTUKULA'!H29,'30.10 MASAKA-MUTUKULA'!H29,'31.10 Masaka-Mutukula'!H29)</f>
        <v>0</v>
      </c>
      <c r="I29" s="49">
        <f>AVERAGE('25.10 MASAKA-MUTUKULA'!I29,'26.10 MASAKA-MUTUKULA-24HR'!I29,'27.10 Masaka-Mutukula'!I29,'28.10 MASAKA-MUTUKULA-24HR'!I29,'29.10 MASAKA-MUTUKULA'!I29,'30.10 MASAKA-MUTUKULA'!I29,'31.10 Masaka-Mutukula'!I29)</f>
        <v>0.42857142857142855</v>
      </c>
      <c r="J29" s="49">
        <f>AVERAGE('25.10 MASAKA-MUTUKULA'!J29,'26.10 MASAKA-MUTUKULA-24HR'!J29,'27.10 Masaka-Mutukula'!J29,'28.10 MASAKA-MUTUKULA-24HR'!J29,'29.10 MASAKA-MUTUKULA'!J29,'30.10 MASAKA-MUTUKULA'!J29,'31.10 Masaka-Mutukula'!J29)</f>
        <v>0.8571428571428571</v>
      </c>
      <c r="K29" s="49">
        <f>AVERAGE('25.10 MASAKA-MUTUKULA'!K29,'26.10 MASAKA-MUTUKULA-24HR'!K29,'27.10 Masaka-Mutukula'!K29,'28.10 MASAKA-MUTUKULA-24HR'!K29,'29.10 MASAKA-MUTUKULA'!K29,'30.10 MASAKA-MUTUKULA'!K29,'31.10 Masaka-Mutukula'!K29)</f>
        <v>0.2857142857142857</v>
      </c>
      <c r="L29" s="49">
        <f>AVERAGE('25.10 MASAKA-MUTUKULA'!L29,'26.10 MASAKA-MUTUKULA-24HR'!L29,'27.10 Masaka-Mutukula'!L29,'28.10 MASAKA-MUTUKULA-24HR'!L29,'29.10 MASAKA-MUTUKULA'!L29,'30.10 MASAKA-MUTUKULA'!L29,'31.10 Masaka-Mutukula'!L29)</f>
        <v>0</v>
      </c>
      <c r="M29" s="49">
        <f>AVERAGE('25.10 MASAKA-MUTUKULA'!M29,'26.10 MASAKA-MUTUKULA-24HR'!M29,'27.10 Masaka-Mutukula'!M29,'28.10 MASAKA-MUTUKULA-24HR'!M29,'29.10 MASAKA-MUTUKULA'!M29,'30.10 MASAKA-MUTUKULA'!M29,'31.10 Masaka-Mutukula'!M29)</f>
        <v>9.2857142857142865</v>
      </c>
      <c r="N29" s="49">
        <f>AVERAGE('25.10 MASAKA-MUTUKULA'!N29,'26.10 MASAKA-MUTUKULA-24HR'!N29,'27.10 Masaka-Mutukula'!N29,'28.10 MASAKA-MUTUKULA-24HR'!N29,'29.10 MASAKA-MUTUKULA'!N29,'30.10 MASAKA-MUTUKULA'!N29,'31.10 Masaka-Mutukula'!N29)</f>
        <v>0</v>
      </c>
      <c r="O29" s="15">
        <f t="shared" si="0"/>
        <v>5</v>
      </c>
      <c r="P29" s="15">
        <f t="shared" si="1"/>
        <v>14.285714285714286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0.5</v>
      </c>
      <c r="W29" s="34">
        <f t="shared" si="21"/>
        <v>0</v>
      </c>
      <c r="X29" s="34">
        <f t="shared" si="21"/>
        <v>0.5</v>
      </c>
      <c r="Y29" s="34">
        <f t="shared" si="21"/>
        <v>0</v>
      </c>
      <c r="Z29" s="34">
        <f t="shared" si="21"/>
        <v>0.5</v>
      </c>
      <c r="AA29" s="34">
        <f t="shared" si="21"/>
        <v>2</v>
      </c>
      <c r="AB29" s="34">
        <f t="shared" si="21"/>
        <v>0.5</v>
      </c>
      <c r="AC29" s="34">
        <f t="shared" si="21"/>
        <v>1.5</v>
      </c>
      <c r="AD29" s="34">
        <f t="shared" si="21"/>
        <v>0</v>
      </c>
      <c r="AE29" s="31">
        <f t="shared" si="21"/>
        <v>4.5</v>
      </c>
      <c r="AF29" s="31">
        <f t="shared" si="21"/>
        <v>6</v>
      </c>
    </row>
    <row r="30" spans="2:32" ht="23.1" customHeight="1" x14ac:dyDescent="0.25">
      <c r="B30" s="23" t="s">
        <v>57</v>
      </c>
      <c r="C30" s="49">
        <f>AVERAGE('25.10 MASAKA-MUTUKULA'!C30,'26.10 MASAKA-MUTUKULA-24HR'!C30,'27.10 Masaka-Mutukula'!C30,'28.10 MASAKA-MUTUKULA-24HR'!C30,'29.10 MASAKA-MUTUKULA'!C30,'30.10 MASAKA-MUTUKULA'!C30,'31.10 Masaka-Mutukula'!C30)</f>
        <v>2.1428571428571428</v>
      </c>
      <c r="D30" s="49">
        <f>AVERAGE('25.10 MASAKA-MUTUKULA'!D30,'26.10 MASAKA-MUTUKULA-24HR'!D30,'27.10 Masaka-Mutukula'!D30,'28.10 MASAKA-MUTUKULA-24HR'!D30,'29.10 MASAKA-MUTUKULA'!D30,'30.10 MASAKA-MUTUKULA'!D30,'31.10 Masaka-Mutukula'!D30)</f>
        <v>0.42857142857142855</v>
      </c>
      <c r="E30" s="49">
        <f>AVERAGE('25.10 MASAKA-MUTUKULA'!E30,'26.10 MASAKA-MUTUKULA-24HR'!E30,'27.10 Masaka-Mutukula'!E30,'28.10 MASAKA-MUTUKULA-24HR'!E30,'29.10 MASAKA-MUTUKULA'!E30,'30.10 MASAKA-MUTUKULA'!E30,'31.10 Masaka-Mutukula'!E30)</f>
        <v>0.2857142857142857</v>
      </c>
      <c r="F30" s="49">
        <f>AVERAGE('25.10 MASAKA-MUTUKULA'!F30,'26.10 MASAKA-MUTUKULA-24HR'!F30,'27.10 Masaka-Mutukula'!F30,'28.10 MASAKA-MUTUKULA-24HR'!F30,'29.10 MASAKA-MUTUKULA'!F30,'30.10 MASAKA-MUTUKULA'!F30,'31.10 Masaka-Mutukula'!F30)</f>
        <v>2.1428571428571428</v>
      </c>
      <c r="G30" s="49">
        <f>AVERAGE('25.10 MASAKA-MUTUKULA'!G30,'26.10 MASAKA-MUTUKULA-24HR'!G30,'27.10 Masaka-Mutukula'!G30,'28.10 MASAKA-MUTUKULA-24HR'!G30,'29.10 MASAKA-MUTUKULA'!G30,'30.10 MASAKA-MUTUKULA'!G30,'31.10 Masaka-Mutukula'!G30)</f>
        <v>0</v>
      </c>
      <c r="H30" s="49">
        <f>AVERAGE('25.10 MASAKA-MUTUKULA'!H30,'26.10 MASAKA-MUTUKULA-24HR'!H30,'27.10 Masaka-Mutukula'!H30,'28.10 MASAKA-MUTUKULA-24HR'!H30,'29.10 MASAKA-MUTUKULA'!H30,'30.10 MASAKA-MUTUKULA'!H30,'31.10 Masaka-Mutukula'!H30)</f>
        <v>0</v>
      </c>
      <c r="I30" s="49">
        <f>AVERAGE('25.10 MASAKA-MUTUKULA'!I30,'26.10 MASAKA-MUTUKULA-24HR'!I30,'27.10 Masaka-Mutukula'!I30,'28.10 MASAKA-MUTUKULA-24HR'!I30,'29.10 MASAKA-MUTUKULA'!I30,'30.10 MASAKA-MUTUKULA'!I30,'31.10 Masaka-Mutukula'!I30)</f>
        <v>1.4285714285714286</v>
      </c>
      <c r="J30" s="49">
        <f>AVERAGE('25.10 MASAKA-MUTUKULA'!J30,'26.10 MASAKA-MUTUKULA-24HR'!J30,'27.10 Masaka-Mutukula'!J30,'28.10 MASAKA-MUTUKULA-24HR'!J30,'29.10 MASAKA-MUTUKULA'!J30,'30.10 MASAKA-MUTUKULA'!J30,'31.10 Masaka-Mutukula'!J30)</f>
        <v>0.2857142857142857</v>
      </c>
      <c r="K30" s="49">
        <f>AVERAGE('25.10 MASAKA-MUTUKULA'!K30,'26.10 MASAKA-MUTUKULA-24HR'!K30,'27.10 Masaka-Mutukula'!K30,'28.10 MASAKA-MUTUKULA-24HR'!K30,'29.10 MASAKA-MUTUKULA'!K30,'30.10 MASAKA-MUTUKULA'!K30,'31.10 Masaka-Mutukula'!K30)</f>
        <v>0.42857142857142855</v>
      </c>
      <c r="L30" s="49">
        <f>AVERAGE('25.10 MASAKA-MUTUKULA'!L30,'26.10 MASAKA-MUTUKULA-24HR'!L30,'27.10 Masaka-Mutukula'!L30,'28.10 MASAKA-MUTUKULA-24HR'!L30,'29.10 MASAKA-MUTUKULA'!L30,'30.10 MASAKA-MUTUKULA'!L30,'31.10 Masaka-Mutukula'!L30)</f>
        <v>0</v>
      </c>
      <c r="M30" s="49">
        <f>AVERAGE('25.10 MASAKA-MUTUKULA'!M30,'26.10 MASAKA-MUTUKULA-24HR'!M30,'27.10 Masaka-Mutukula'!M30,'28.10 MASAKA-MUTUKULA-24HR'!M30,'29.10 MASAKA-MUTUKULA'!M30,'30.10 MASAKA-MUTUKULA'!M30,'31.10 Masaka-Mutukula'!M30)</f>
        <v>14.142857142857142</v>
      </c>
      <c r="N30" s="49">
        <f>AVERAGE('25.10 MASAKA-MUTUKULA'!N30,'26.10 MASAKA-MUTUKULA-24HR'!N30,'27.10 Masaka-Mutukula'!N30,'28.10 MASAKA-MUTUKULA-24HR'!N30,'29.10 MASAKA-MUTUKULA'!N30,'30.10 MASAKA-MUTUKULA'!N30,'31.10 Masaka-Mutukula'!N30)</f>
        <v>0</v>
      </c>
      <c r="O30" s="15">
        <f t="shared" si="0"/>
        <v>7.1428571428571432</v>
      </c>
      <c r="P30" s="15">
        <f t="shared" si="1"/>
        <v>21.285714285714285</v>
      </c>
      <c r="R30" s="1" t="s">
        <v>154</v>
      </c>
      <c r="S30" s="34">
        <f>SUM(C90:C93)</f>
        <v>0</v>
      </c>
      <c r="T30" s="34">
        <f t="shared" ref="T30:AF30" si="22">SUM(D90:D93)</f>
        <v>0.5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1.5</v>
      </c>
      <c r="Y30" s="34">
        <f t="shared" si="22"/>
        <v>0</v>
      </c>
      <c r="Z30" s="34">
        <f t="shared" si="22"/>
        <v>1.5</v>
      </c>
      <c r="AA30" s="34">
        <f t="shared" si="22"/>
        <v>1.5</v>
      </c>
      <c r="AB30" s="34">
        <f t="shared" si="22"/>
        <v>0</v>
      </c>
      <c r="AC30" s="34">
        <f t="shared" si="22"/>
        <v>1.5</v>
      </c>
      <c r="AD30" s="34">
        <f t="shared" si="22"/>
        <v>0</v>
      </c>
      <c r="AE30" s="31">
        <f t="shared" si="22"/>
        <v>5</v>
      </c>
      <c r="AF30" s="31">
        <f t="shared" si="22"/>
        <v>6.5</v>
      </c>
    </row>
    <row r="31" spans="2:32" ht="23.1" customHeight="1" x14ac:dyDescent="0.25">
      <c r="B31" s="24" t="s">
        <v>58</v>
      </c>
      <c r="C31" s="49">
        <f>AVERAGE('25.10 MASAKA-MUTUKULA'!C31,'26.10 MASAKA-MUTUKULA-24HR'!C31,'27.10 Masaka-Mutukula'!C31,'28.10 MASAKA-MUTUKULA-24HR'!C31,'29.10 MASAKA-MUTUKULA'!C31,'30.10 MASAKA-MUTUKULA'!C31,'31.10 Masaka-Mutukula'!C31)</f>
        <v>2.2857142857142856</v>
      </c>
      <c r="D31" s="49">
        <f>AVERAGE('25.10 MASAKA-MUTUKULA'!D31,'26.10 MASAKA-MUTUKULA-24HR'!D31,'27.10 Masaka-Mutukula'!D31,'28.10 MASAKA-MUTUKULA-24HR'!D31,'29.10 MASAKA-MUTUKULA'!D31,'30.10 MASAKA-MUTUKULA'!D31,'31.10 Masaka-Mutukula'!D31)</f>
        <v>0.2857142857142857</v>
      </c>
      <c r="E31" s="49">
        <f>AVERAGE('25.10 MASAKA-MUTUKULA'!E31,'26.10 MASAKA-MUTUKULA-24HR'!E31,'27.10 Masaka-Mutukula'!E31,'28.10 MASAKA-MUTUKULA-24HR'!E31,'29.10 MASAKA-MUTUKULA'!E31,'30.10 MASAKA-MUTUKULA'!E31,'31.10 Masaka-Mutukula'!E31)</f>
        <v>0.2857142857142857</v>
      </c>
      <c r="F31" s="49">
        <f>AVERAGE('25.10 MASAKA-MUTUKULA'!F31,'26.10 MASAKA-MUTUKULA-24HR'!F31,'27.10 Masaka-Mutukula'!F31,'28.10 MASAKA-MUTUKULA-24HR'!F31,'29.10 MASAKA-MUTUKULA'!F31,'30.10 MASAKA-MUTUKULA'!F31,'31.10 Masaka-Mutukula'!F31)</f>
        <v>2</v>
      </c>
      <c r="G31" s="49">
        <f>AVERAGE('25.10 MASAKA-MUTUKULA'!G31,'26.10 MASAKA-MUTUKULA-24HR'!G31,'27.10 Masaka-Mutukula'!G31,'28.10 MASAKA-MUTUKULA-24HR'!G31,'29.10 MASAKA-MUTUKULA'!G31,'30.10 MASAKA-MUTUKULA'!G31,'31.10 Masaka-Mutukula'!G31)</f>
        <v>0</v>
      </c>
      <c r="H31" s="49">
        <f>AVERAGE('25.10 MASAKA-MUTUKULA'!H31,'26.10 MASAKA-MUTUKULA-24HR'!H31,'27.10 Masaka-Mutukula'!H31,'28.10 MASAKA-MUTUKULA-24HR'!H31,'29.10 MASAKA-MUTUKULA'!H31,'30.10 MASAKA-MUTUKULA'!H31,'31.10 Masaka-Mutukula'!H31)</f>
        <v>0</v>
      </c>
      <c r="I31" s="49">
        <f>AVERAGE('25.10 MASAKA-MUTUKULA'!I31,'26.10 MASAKA-MUTUKULA-24HR'!I31,'27.10 Masaka-Mutukula'!I31,'28.10 MASAKA-MUTUKULA-24HR'!I31,'29.10 MASAKA-MUTUKULA'!I31,'30.10 MASAKA-MUTUKULA'!I31,'31.10 Masaka-Mutukula'!I31)</f>
        <v>0.7142857142857143</v>
      </c>
      <c r="J31" s="49">
        <f>AVERAGE('25.10 MASAKA-MUTUKULA'!J31,'26.10 MASAKA-MUTUKULA-24HR'!J31,'27.10 Masaka-Mutukula'!J31,'28.10 MASAKA-MUTUKULA-24HR'!J31,'29.10 MASAKA-MUTUKULA'!J31,'30.10 MASAKA-MUTUKULA'!J31,'31.10 Masaka-Mutukula'!J31)</f>
        <v>0.42857142857142855</v>
      </c>
      <c r="K31" s="49">
        <f>AVERAGE('25.10 MASAKA-MUTUKULA'!K31,'26.10 MASAKA-MUTUKULA-24HR'!K31,'27.10 Masaka-Mutukula'!K31,'28.10 MASAKA-MUTUKULA-24HR'!K31,'29.10 MASAKA-MUTUKULA'!K31,'30.10 MASAKA-MUTUKULA'!K31,'31.10 Masaka-Mutukula'!K31)</f>
        <v>1.1428571428571428</v>
      </c>
      <c r="L31" s="49">
        <f>AVERAGE('25.10 MASAKA-MUTUKULA'!L31,'26.10 MASAKA-MUTUKULA-24HR'!L31,'27.10 Masaka-Mutukula'!L31,'28.10 MASAKA-MUTUKULA-24HR'!L31,'29.10 MASAKA-MUTUKULA'!L31,'30.10 MASAKA-MUTUKULA'!L31,'31.10 Masaka-Mutukula'!L31)</f>
        <v>0</v>
      </c>
      <c r="M31" s="49">
        <f>AVERAGE('25.10 MASAKA-MUTUKULA'!M31,'26.10 MASAKA-MUTUKULA-24HR'!M31,'27.10 Masaka-Mutukula'!M31,'28.10 MASAKA-MUTUKULA-24HR'!M31,'29.10 MASAKA-MUTUKULA'!M31,'30.10 MASAKA-MUTUKULA'!M31,'31.10 Masaka-Mutukula'!M31)</f>
        <v>11.571428571428571</v>
      </c>
      <c r="N31" s="49">
        <f>AVERAGE('25.10 MASAKA-MUTUKULA'!N31,'26.10 MASAKA-MUTUKULA-24HR'!N31,'27.10 Masaka-Mutukula'!N31,'28.10 MASAKA-MUTUKULA-24HR'!N31,'29.10 MASAKA-MUTUKULA'!N31,'30.10 MASAKA-MUTUKULA'!N31,'31.10 Masaka-Mutukula'!N31)</f>
        <v>0</v>
      </c>
      <c r="O31" s="15">
        <f t="shared" si="0"/>
        <v>7.1428571428571423</v>
      </c>
      <c r="P31" s="15">
        <f t="shared" si="1"/>
        <v>18.714285714285715</v>
      </c>
      <c r="R31" s="1" t="s">
        <v>155</v>
      </c>
      <c r="S31" s="34">
        <f>SUM(C94:C97)</f>
        <v>0.5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2.5</v>
      </c>
      <c r="AA31" s="34">
        <f t="shared" si="23"/>
        <v>2.5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5.5</v>
      </c>
      <c r="AF31" s="31">
        <f t="shared" si="23"/>
        <v>6</v>
      </c>
    </row>
    <row r="32" spans="2:32" ht="23.1" customHeight="1" x14ac:dyDescent="0.25">
      <c r="B32" s="24" t="s">
        <v>59</v>
      </c>
      <c r="C32" s="49">
        <f>AVERAGE('25.10 MASAKA-MUTUKULA'!C32,'26.10 MASAKA-MUTUKULA-24HR'!C32,'27.10 Masaka-Mutukula'!C32,'28.10 MASAKA-MUTUKULA-24HR'!C32,'29.10 MASAKA-MUTUKULA'!C32,'30.10 MASAKA-MUTUKULA'!C32,'31.10 Masaka-Mutukula'!C32)</f>
        <v>4.1428571428571432</v>
      </c>
      <c r="D32" s="49">
        <f>AVERAGE('25.10 MASAKA-MUTUKULA'!D32,'26.10 MASAKA-MUTUKULA-24HR'!D32,'27.10 Masaka-Mutukula'!D32,'28.10 MASAKA-MUTUKULA-24HR'!D32,'29.10 MASAKA-MUTUKULA'!D32,'30.10 MASAKA-MUTUKULA'!D32,'31.10 Masaka-Mutukula'!D32)</f>
        <v>0.14285714285714285</v>
      </c>
      <c r="E32" s="49">
        <f>AVERAGE('25.10 MASAKA-MUTUKULA'!E32,'26.10 MASAKA-MUTUKULA-24HR'!E32,'27.10 Masaka-Mutukula'!E32,'28.10 MASAKA-MUTUKULA-24HR'!E32,'29.10 MASAKA-MUTUKULA'!E32,'30.10 MASAKA-MUTUKULA'!E32,'31.10 Masaka-Mutukula'!E32)</f>
        <v>0.2857142857142857</v>
      </c>
      <c r="F32" s="49">
        <f>AVERAGE('25.10 MASAKA-MUTUKULA'!F32,'26.10 MASAKA-MUTUKULA-24HR'!F32,'27.10 Masaka-Mutukula'!F32,'28.10 MASAKA-MUTUKULA-24HR'!F32,'29.10 MASAKA-MUTUKULA'!F32,'30.10 MASAKA-MUTUKULA'!F32,'31.10 Masaka-Mutukula'!F32)</f>
        <v>2.8571428571428572</v>
      </c>
      <c r="G32" s="49">
        <f>AVERAGE('25.10 MASAKA-MUTUKULA'!G32,'26.10 MASAKA-MUTUKULA-24HR'!G32,'27.10 Masaka-Mutukula'!G32,'28.10 MASAKA-MUTUKULA-24HR'!G32,'29.10 MASAKA-MUTUKULA'!G32,'30.10 MASAKA-MUTUKULA'!G32,'31.10 Masaka-Mutukula'!G32)</f>
        <v>0</v>
      </c>
      <c r="H32" s="49">
        <f>AVERAGE('25.10 MASAKA-MUTUKULA'!H32,'26.10 MASAKA-MUTUKULA-24HR'!H32,'27.10 Masaka-Mutukula'!H32,'28.10 MASAKA-MUTUKULA-24HR'!H32,'29.10 MASAKA-MUTUKULA'!H32,'30.10 MASAKA-MUTUKULA'!H32,'31.10 Masaka-Mutukula'!H32)</f>
        <v>0.14285714285714285</v>
      </c>
      <c r="I32" s="49">
        <f>AVERAGE('25.10 MASAKA-MUTUKULA'!I32,'26.10 MASAKA-MUTUKULA-24HR'!I32,'27.10 Masaka-Mutukula'!I32,'28.10 MASAKA-MUTUKULA-24HR'!I32,'29.10 MASAKA-MUTUKULA'!I32,'30.10 MASAKA-MUTUKULA'!I32,'31.10 Masaka-Mutukula'!I32)</f>
        <v>0.5714285714285714</v>
      </c>
      <c r="J32" s="49">
        <f>AVERAGE('25.10 MASAKA-MUTUKULA'!J32,'26.10 MASAKA-MUTUKULA-24HR'!J32,'27.10 Masaka-Mutukula'!J32,'28.10 MASAKA-MUTUKULA-24HR'!J32,'29.10 MASAKA-MUTUKULA'!J32,'30.10 MASAKA-MUTUKULA'!J32,'31.10 Masaka-Mutukula'!J32)</f>
        <v>0.14285714285714285</v>
      </c>
      <c r="K32" s="49">
        <f>AVERAGE('25.10 MASAKA-MUTUKULA'!K32,'26.10 MASAKA-MUTUKULA-24HR'!K32,'27.10 Masaka-Mutukula'!K32,'28.10 MASAKA-MUTUKULA-24HR'!K32,'29.10 MASAKA-MUTUKULA'!K32,'30.10 MASAKA-MUTUKULA'!K32,'31.10 Masaka-Mutukula'!K32)</f>
        <v>0.2857142857142857</v>
      </c>
      <c r="L32" s="49">
        <f>AVERAGE('25.10 MASAKA-MUTUKULA'!L32,'26.10 MASAKA-MUTUKULA-24HR'!L32,'27.10 Masaka-Mutukula'!L32,'28.10 MASAKA-MUTUKULA-24HR'!L32,'29.10 MASAKA-MUTUKULA'!L32,'30.10 MASAKA-MUTUKULA'!L32,'31.10 Masaka-Mutukula'!L32)</f>
        <v>0</v>
      </c>
      <c r="M32" s="49">
        <f>AVERAGE('25.10 MASAKA-MUTUKULA'!M32,'26.10 MASAKA-MUTUKULA-24HR'!M32,'27.10 Masaka-Mutukula'!M32,'28.10 MASAKA-MUTUKULA-24HR'!M32,'29.10 MASAKA-MUTUKULA'!M32,'30.10 MASAKA-MUTUKULA'!M32,'31.10 Masaka-Mutukula'!M32)</f>
        <v>10.571428571428571</v>
      </c>
      <c r="N32" s="49">
        <f>AVERAGE('25.10 MASAKA-MUTUKULA'!N32,'26.10 MASAKA-MUTUKULA-24HR'!N32,'27.10 Masaka-Mutukula'!N32,'28.10 MASAKA-MUTUKULA-24HR'!N32,'29.10 MASAKA-MUTUKULA'!N32,'30.10 MASAKA-MUTUKULA'!N32,'31.10 Masaka-Mutukula'!N32)</f>
        <v>0</v>
      </c>
      <c r="O32" s="15">
        <f t="shared" si="0"/>
        <v>8.571428571428573</v>
      </c>
      <c r="P32" s="15">
        <f t="shared" si="1"/>
        <v>19.142857142857146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2</v>
      </c>
      <c r="AA32" s="34">
        <f t="shared" si="24"/>
        <v>3.5</v>
      </c>
      <c r="AB32" s="34">
        <f t="shared" si="24"/>
        <v>0</v>
      </c>
      <c r="AC32" s="34">
        <f t="shared" si="24"/>
        <v>0.5</v>
      </c>
      <c r="AD32" s="34">
        <f t="shared" si="24"/>
        <v>0</v>
      </c>
      <c r="AE32" s="31">
        <f t="shared" si="24"/>
        <v>8.5</v>
      </c>
      <c r="AF32" s="31">
        <f t="shared" si="24"/>
        <v>9</v>
      </c>
    </row>
    <row r="33" spans="2:32" ht="23.1" customHeight="1" x14ac:dyDescent="0.25">
      <c r="B33" s="23" t="s">
        <v>60</v>
      </c>
      <c r="C33" s="49">
        <f>AVERAGE('25.10 MASAKA-MUTUKULA'!C33,'26.10 MASAKA-MUTUKULA-24HR'!C33,'27.10 Masaka-Mutukula'!C33,'28.10 MASAKA-MUTUKULA-24HR'!C33,'29.10 MASAKA-MUTUKULA'!C33,'30.10 MASAKA-MUTUKULA'!C33,'31.10 Masaka-Mutukula'!C33)</f>
        <v>2.7142857142857144</v>
      </c>
      <c r="D33" s="49">
        <f>AVERAGE('25.10 MASAKA-MUTUKULA'!D33,'26.10 MASAKA-MUTUKULA-24HR'!D33,'27.10 Masaka-Mutukula'!D33,'28.10 MASAKA-MUTUKULA-24HR'!D33,'29.10 MASAKA-MUTUKULA'!D33,'30.10 MASAKA-MUTUKULA'!D33,'31.10 Masaka-Mutukula'!D33)</f>
        <v>0.42857142857142855</v>
      </c>
      <c r="E33" s="49">
        <f>AVERAGE('25.10 MASAKA-MUTUKULA'!E33,'26.10 MASAKA-MUTUKULA-24HR'!E33,'27.10 Masaka-Mutukula'!E33,'28.10 MASAKA-MUTUKULA-24HR'!E33,'29.10 MASAKA-MUTUKULA'!E33,'30.10 MASAKA-MUTUKULA'!E33,'31.10 Masaka-Mutukula'!E33)</f>
        <v>0.14285714285714285</v>
      </c>
      <c r="F33" s="49">
        <f>AVERAGE('25.10 MASAKA-MUTUKULA'!F33,'26.10 MASAKA-MUTUKULA-24HR'!F33,'27.10 Masaka-Mutukula'!F33,'28.10 MASAKA-MUTUKULA-24HR'!F33,'29.10 MASAKA-MUTUKULA'!F33,'30.10 MASAKA-MUTUKULA'!F33,'31.10 Masaka-Mutukula'!F33)</f>
        <v>1.2857142857142858</v>
      </c>
      <c r="G33" s="49">
        <f>AVERAGE('25.10 MASAKA-MUTUKULA'!G33,'26.10 MASAKA-MUTUKULA-24HR'!G33,'27.10 Masaka-Mutukula'!G33,'28.10 MASAKA-MUTUKULA-24HR'!G33,'29.10 MASAKA-MUTUKULA'!G33,'30.10 MASAKA-MUTUKULA'!G33,'31.10 Masaka-Mutukula'!G33)</f>
        <v>0</v>
      </c>
      <c r="H33" s="49">
        <f>AVERAGE('25.10 MASAKA-MUTUKULA'!H33,'26.10 MASAKA-MUTUKULA-24HR'!H33,'27.10 Masaka-Mutukula'!H33,'28.10 MASAKA-MUTUKULA-24HR'!H33,'29.10 MASAKA-MUTUKULA'!H33,'30.10 MASAKA-MUTUKULA'!H33,'31.10 Masaka-Mutukula'!H33)</f>
        <v>0</v>
      </c>
      <c r="I33" s="49">
        <f>AVERAGE('25.10 MASAKA-MUTUKULA'!I33,'26.10 MASAKA-MUTUKULA-24HR'!I33,'27.10 Masaka-Mutukula'!I33,'28.10 MASAKA-MUTUKULA-24HR'!I33,'29.10 MASAKA-MUTUKULA'!I33,'30.10 MASAKA-MUTUKULA'!I33,'31.10 Masaka-Mutukula'!I33)</f>
        <v>0.8571428571428571</v>
      </c>
      <c r="J33" s="49">
        <f>AVERAGE('25.10 MASAKA-MUTUKULA'!J33,'26.10 MASAKA-MUTUKULA-24HR'!J33,'27.10 Masaka-Mutukula'!J33,'28.10 MASAKA-MUTUKULA-24HR'!J33,'29.10 MASAKA-MUTUKULA'!J33,'30.10 MASAKA-MUTUKULA'!J33,'31.10 Masaka-Mutukula'!J33)</f>
        <v>0.42857142857142855</v>
      </c>
      <c r="K33" s="49">
        <f>AVERAGE('25.10 MASAKA-MUTUKULA'!K33,'26.10 MASAKA-MUTUKULA-24HR'!K33,'27.10 Masaka-Mutukula'!K33,'28.10 MASAKA-MUTUKULA-24HR'!K33,'29.10 MASAKA-MUTUKULA'!K33,'30.10 MASAKA-MUTUKULA'!K33,'31.10 Masaka-Mutukula'!K33)</f>
        <v>0.2857142857142857</v>
      </c>
      <c r="L33" s="49">
        <f>AVERAGE('25.10 MASAKA-MUTUKULA'!L33,'26.10 MASAKA-MUTUKULA-24HR'!L33,'27.10 Masaka-Mutukula'!L33,'28.10 MASAKA-MUTUKULA-24HR'!L33,'29.10 MASAKA-MUTUKULA'!L33,'30.10 MASAKA-MUTUKULA'!L33,'31.10 Masaka-Mutukula'!L33)</f>
        <v>0</v>
      </c>
      <c r="M33" s="49">
        <f>AVERAGE('25.10 MASAKA-MUTUKULA'!M33,'26.10 MASAKA-MUTUKULA-24HR'!M33,'27.10 Masaka-Mutukula'!M33,'28.10 MASAKA-MUTUKULA-24HR'!M33,'29.10 MASAKA-MUTUKULA'!M33,'30.10 MASAKA-MUTUKULA'!M33,'31.10 Masaka-Mutukula'!M33)</f>
        <v>9.2857142857142865</v>
      </c>
      <c r="N33" s="49">
        <f>AVERAGE('25.10 MASAKA-MUTUKULA'!N33,'26.10 MASAKA-MUTUKULA-24HR'!N33,'27.10 Masaka-Mutukula'!N33,'28.10 MASAKA-MUTUKULA-24HR'!N33,'29.10 MASAKA-MUTUKULA'!N33,'30.10 MASAKA-MUTUKULA'!N33,'31.10 Masaka-Mutukula'!N33)</f>
        <v>0</v>
      </c>
      <c r="O33" s="15">
        <f t="shared" si="0"/>
        <v>6.1428571428571423</v>
      </c>
      <c r="P33" s="15">
        <f t="shared" si="1"/>
        <v>15.428571428571429</v>
      </c>
      <c r="R33" s="1" t="s">
        <v>157</v>
      </c>
      <c r="S33" s="34">
        <f>SUM(C102:C105)</f>
        <v>4.5</v>
      </c>
      <c r="T33" s="34">
        <f t="shared" ref="T33:AF33" si="25">SUM(D102:D105)</f>
        <v>2.5</v>
      </c>
      <c r="U33" s="34">
        <f t="shared" si="25"/>
        <v>0</v>
      </c>
      <c r="V33" s="34">
        <f t="shared" si="25"/>
        <v>13.5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3.5</v>
      </c>
      <c r="AB33" s="34">
        <f t="shared" si="25"/>
        <v>0</v>
      </c>
      <c r="AC33" s="34">
        <f t="shared" si="25"/>
        <v>14.5</v>
      </c>
      <c r="AD33" s="34">
        <f t="shared" si="25"/>
        <v>0</v>
      </c>
      <c r="AE33" s="31">
        <f t="shared" si="25"/>
        <v>28</v>
      </c>
      <c r="AF33" s="31">
        <f t="shared" si="25"/>
        <v>42.5</v>
      </c>
    </row>
    <row r="34" spans="2:32" ht="23.1" customHeight="1" x14ac:dyDescent="0.25">
      <c r="B34" s="24" t="s">
        <v>61</v>
      </c>
      <c r="C34" s="49">
        <f>AVERAGE('25.10 MASAKA-MUTUKULA'!C34,'26.10 MASAKA-MUTUKULA-24HR'!C34,'27.10 Masaka-Mutukula'!C34,'28.10 MASAKA-MUTUKULA-24HR'!C34,'29.10 MASAKA-MUTUKULA'!C34,'30.10 MASAKA-MUTUKULA'!C34,'31.10 Masaka-Mutukula'!C34)</f>
        <v>3.4285714285714284</v>
      </c>
      <c r="D34" s="49">
        <f>AVERAGE('25.10 MASAKA-MUTUKULA'!D34,'26.10 MASAKA-MUTUKULA-24HR'!D34,'27.10 Masaka-Mutukula'!D34,'28.10 MASAKA-MUTUKULA-24HR'!D34,'29.10 MASAKA-MUTUKULA'!D34,'30.10 MASAKA-MUTUKULA'!D34,'31.10 Masaka-Mutukula'!D34)</f>
        <v>0.14285714285714285</v>
      </c>
      <c r="E34" s="49">
        <f>AVERAGE('25.10 MASAKA-MUTUKULA'!E34,'26.10 MASAKA-MUTUKULA-24HR'!E34,'27.10 Masaka-Mutukula'!E34,'28.10 MASAKA-MUTUKULA-24HR'!E34,'29.10 MASAKA-MUTUKULA'!E34,'30.10 MASAKA-MUTUKULA'!E34,'31.10 Masaka-Mutukula'!E34)</f>
        <v>0</v>
      </c>
      <c r="F34" s="49">
        <f>AVERAGE('25.10 MASAKA-MUTUKULA'!F34,'26.10 MASAKA-MUTUKULA-24HR'!F34,'27.10 Masaka-Mutukula'!F34,'28.10 MASAKA-MUTUKULA-24HR'!F34,'29.10 MASAKA-MUTUKULA'!F34,'30.10 MASAKA-MUTUKULA'!F34,'31.10 Masaka-Mutukula'!F34)</f>
        <v>2.5714285714285716</v>
      </c>
      <c r="G34" s="49">
        <f>AVERAGE('25.10 MASAKA-MUTUKULA'!G34,'26.10 MASAKA-MUTUKULA-24HR'!G34,'27.10 Masaka-Mutukula'!G34,'28.10 MASAKA-MUTUKULA-24HR'!G34,'29.10 MASAKA-MUTUKULA'!G34,'30.10 MASAKA-MUTUKULA'!G34,'31.10 Masaka-Mutukula'!G34)</f>
        <v>0</v>
      </c>
      <c r="H34" s="49">
        <f>AVERAGE('25.10 MASAKA-MUTUKULA'!H34,'26.10 MASAKA-MUTUKULA-24HR'!H34,'27.10 Masaka-Mutukula'!H34,'28.10 MASAKA-MUTUKULA-24HR'!H34,'29.10 MASAKA-MUTUKULA'!H34,'30.10 MASAKA-MUTUKULA'!H34,'31.10 Masaka-Mutukula'!H34)</f>
        <v>0</v>
      </c>
      <c r="I34" s="49">
        <f>AVERAGE('25.10 MASAKA-MUTUKULA'!I34,'26.10 MASAKA-MUTUKULA-24HR'!I34,'27.10 Masaka-Mutukula'!I34,'28.10 MASAKA-MUTUKULA-24HR'!I34,'29.10 MASAKA-MUTUKULA'!I34,'30.10 MASAKA-MUTUKULA'!I34,'31.10 Masaka-Mutukula'!I34)</f>
        <v>0.5714285714285714</v>
      </c>
      <c r="J34" s="49">
        <f>AVERAGE('25.10 MASAKA-MUTUKULA'!J34,'26.10 MASAKA-MUTUKULA-24HR'!J34,'27.10 Masaka-Mutukula'!J34,'28.10 MASAKA-MUTUKULA-24HR'!J34,'29.10 MASAKA-MUTUKULA'!J34,'30.10 MASAKA-MUTUKULA'!J34,'31.10 Masaka-Mutukula'!J34)</f>
        <v>0.42857142857142855</v>
      </c>
      <c r="K34" s="49">
        <f>AVERAGE('25.10 MASAKA-MUTUKULA'!K34,'26.10 MASAKA-MUTUKULA-24HR'!K34,'27.10 Masaka-Mutukula'!K34,'28.10 MASAKA-MUTUKULA-24HR'!K34,'29.10 MASAKA-MUTUKULA'!K34,'30.10 MASAKA-MUTUKULA'!K34,'31.10 Masaka-Mutukula'!K34)</f>
        <v>0.7142857142857143</v>
      </c>
      <c r="L34" s="49">
        <f>AVERAGE('25.10 MASAKA-MUTUKULA'!L34,'26.10 MASAKA-MUTUKULA-24HR'!L34,'27.10 Masaka-Mutukula'!L34,'28.10 MASAKA-MUTUKULA-24HR'!L34,'29.10 MASAKA-MUTUKULA'!L34,'30.10 MASAKA-MUTUKULA'!L34,'31.10 Masaka-Mutukula'!L34)</f>
        <v>0.2857142857142857</v>
      </c>
      <c r="M34" s="49">
        <f>AVERAGE('25.10 MASAKA-MUTUKULA'!M34,'26.10 MASAKA-MUTUKULA-24HR'!M34,'27.10 Masaka-Mutukula'!M34,'28.10 MASAKA-MUTUKULA-24HR'!M34,'29.10 MASAKA-MUTUKULA'!M34,'30.10 MASAKA-MUTUKULA'!M34,'31.10 Masaka-Mutukula'!M34)</f>
        <v>13.857142857142858</v>
      </c>
      <c r="N34" s="49">
        <f>AVERAGE('25.10 MASAKA-MUTUKULA'!N34,'26.10 MASAKA-MUTUKULA-24HR'!N34,'27.10 Masaka-Mutukula'!N34,'28.10 MASAKA-MUTUKULA-24HR'!N34,'29.10 MASAKA-MUTUKULA'!N34,'30.10 MASAKA-MUTUKULA'!N34,'31.10 Masaka-Mutukula'!N34)</f>
        <v>0</v>
      </c>
      <c r="O34" s="15">
        <f t="shared" si="0"/>
        <v>8.1428571428571423</v>
      </c>
      <c r="P34" s="15">
        <f t="shared" si="1"/>
        <v>22</v>
      </c>
      <c r="R34" s="38" t="s">
        <v>90</v>
      </c>
      <c r="S34" s="39">
        <f t="shared" ref="S34:AF34" si="26">MAX(S10:S12)</f>
        <v>14</v>
      </c>
      <c r="T34" s="39">
        <f t="shared" si="26"/>
        <v>0.8571428571428571</v>
      </c>
      <c r="U34" s="39">
        <f t="shared" si="26"/>
        <v>1.2857142857142856</v>
      </c>
      <c r="V34" s="39">
        <f t="shared" si="26"/>
        <v>4.2857142857142856</v>
      </c>
      <c r="W34" s="39">
        <f t="shared" si="26"/>
        <v>0</v>
      </c>
      <c r="X34" s="39">
        <f t="shared" si="26"/>
        <v>0.2857142857142857</v>
      </c>
      <c r="Y34" s="39">
        <f t="shared" si="26"/>
        <v>4.7142857142857144</v>
      </c>
      <c r="Z34" s="39">
        <f t="shared" si="26"/>
        <v>2.1428571428571428</v>
      </c>
      <c r="AA34" s="39">
        <f t="shared" si="26"/>
        <v>5.1428571428571432</v>
      </c>
      <c r="AB34" s="39">
        <f t="shared" si="26"/>
        <v>0.5714285714285714</v>
      </c>
      <c r="AC34" s="39">
        <f t="shared" si="26"/>
        <v>55</v>
      </c>
      <c r="AD34" s="39">
        <f t="shared" si="26"/>
        <v>0</v>
      </c>
      <c r="AE34" s="40">
        <f t="shared" si="26"/>
        <v>31.571428571428573</v>
      </c>
      <c r="AF34" s="40">
        <f t="shared" si="26"/>
        <v>84.857142857142861</v>
      </c>
    </row>
    <row r="35" spans="2:32" ht="23.1" customHeight="1" x14ac:dyDescent="0.25">
      <c r="B35" s="24" t="s">
        <v>62</v>
      </c>
      <c r="C35" s="49">
        <f>AVERAGE('25.10 MASAKA-MUTUKULA'!C35,'26.10 MASAKA-MUTUKULA-24HR'!C35,'27.10 Masaka-Mutukula'!C35,'28.10 MASAKA-MUTUKULA-24HR'!C35,'29.10 MASAKA-MUTUKULA'!C35,'30.10 MASAKA-MUTUKULA'!C35,'31.10 Masaka-Mutukula'!C35)</f>
        <v>2</v>
      </c>
      <c r="D35" s="49">
        <f>AVERAGE('25.10 MASAKA-MUTUKULA'!D35,'26.10 MASAKA-MUTUKULA-24HR'!D35,'27.10 Masaka-Mutukula'!D35,'28.10 MASAKA-MUTUKULA-24HR'!D35,'29.10 MASAKA-MUTUKULA'!D35,'30.10 MASAKA-MUTUKULA'!D35,'31.10 Masaka-Mutukula'!D35)</f>
        <v>0.2857142857142857</v>
      </c>
      <c r="E35" s="49">
        <f>AVERAGE('25.10 MASAKA-MUTUKULA'!E35,'26.10 MASAKA-MUTUKULA-24HR'!E35,'27.10 Masaka-Mutukula'!E35,'28.10 MASAKA-MUTUKULA-24HR'!E35,'29.10 MASAKA-MUTUKULA'!E35,'30.10 MASAKA-MUTUKULA'!E35,'31.10 Masaka-Mutukula'!E35)</f>
        <v>0</v>
      </c>
      <c r="F35" s="49">
        <f>AVERAGE('25.10 MASAKA-MUTUKULA'!F35,'26.10 MASAKA-MUTUKULA-24HR'!F35,'27.10 Masaka-Mutukula'!F35,'28.10 MASAKA-MUTUKULA-24HR'!F35,'29.10 MASAKA-MUTUKULA'!F35,'30.10 MASAKA-MUTUKULA'!F35,'31.10 Masaka-Mutukula'!F35)</f>
        <v>2</v>
      </c>
      <c r="G35" s="49">
        <f>AVERAGE('25.10 MASAKA-MUTUKULA'!G35,'26.10 MASAKA-MUTUKULA-24HR'!G35,'27.10 Masaka-Mutukula'!G35,'28.10 MASAKA-MUTUKULA-24HR'!G35,'29.10 MASAKA-MUTUKULA'!G35,'30.10 MASAKA-MUTUKULA'!G35,'31.10 Masaka-Mutukula'!G35)</f>
        <v>0</v>
      </c>
      <c r="H35" s="49">
        <f>AVERAGE('25.10 MASAKA-MUTUKULA'!H35,'26.10 MASAKA-MUTUKULA-24HR'!H35,'27.10 Masaka-Mutukula'!H35,'28.10 MASAKA-MUTUKULA-24HR'!H35,'29.10 MASAKA-MUTUKULA'!H35,'30.10 MASAKA-MUTUKULA'!H35,'31.10 Masaka-Mutukula'!H35)</f>
        <v>0</v>
      </c>
      <c r="I35" s="49">
        <f>AVERAGE('25.10 MASAKA-MUTUKULA'!I35,'26.10 MASAKA-MUTUKULA-24HR'!I35,'27.10 Masaka-Mutukula'!I35,'28.10 MASAKA-MUTUKULA-24HR'!I35,'29.10 MASAKA-MUTUKULA'!I35,'30.10 MASAKA-MUTUKULA'!I35,'31.10 Masaka-Mutukula'!I35)</f>
        <v>1</v>
      </c>
      <c r="J35" s="49">
        <f>AVERAGE('25.10 MASAKA-MUTUKULA'!J35,'26.10 MASAKA-MUTUKULA-24HR'!J35,'27.10 Masaka-Mutukula'!J35,'28.10 MASAKA-MUTUKULA-24HR'!J35,'29.10 MASAKA-MUTUKULA'!J35,'30.10 MASAKA-MUTUKULA'!J35,'31.10 Masaka-Mutukula'!J35)</f>
        <v>0.14285714285714285</v>
      </c>
      <c r="K35" s="49">
        <f>AVERAGE('25.10 MASAKA-MUTUKULA'!K35,'26.10 MASAKA-MUTUKULA-24HR'!K35,'27.10 Masaka-Mutukula'!K35,'28.10 MASAKA-MUTUKULA-24HR'!K35,'29.10 MASAKA-MUTUKULA'!K35,'30.10 MASAKA-MUTUKULA'!K35,'31.10 Masaka-Mutukula'!K35)</f>
        <v>0.7142857142857143</v>
      </c>
      <c r="L35" s="49">
        <f>AVERAGE('25.10 MASAKA-MUTUKULA'!L35,'26.10 MASAKA-MUTUKULA-24HR'!L35,'27.10 Masaka-Mutukula'!L35,'28.10 MASAKA-MUTUKULA-24HR'!L35,'29.10 MASAKA-MUTUKULA'!L35,'30.10 MASAKA-MUTUKULA'!L35,'31.10 Masaka-Mutukula'!L35)</f>
        <v>0</v>
      </c>
      <c r="M35" s="49">
        <f>AVERAGE('25.10 MASAKA-MUTUKULA'!M35,'26.10 MASAKA-MUTUKULA-24HR'!M35,'27.10 Masaka-Mutukula'!M35,'28.10 MASAKA-MUTUKULA-24HR'!M35,'29.10 MASAKA-MUTUKULA'!M35,'30.10 MASAKA-MUTUKULA'!M35,'31.10 Masaka-Mutukula'!M35)</f>
        <v>8.5714285714285712</v>
      </c>
      <c r="N35" s="49">
        <f>AVERAGE('25.10 MASAKA-MUTUKULA'!N35,'26.10 MASAKA-MUTUKULA-24HR'!N35,'27.10 Masaka-Mutukula'!N35,'28.10 MASAKA-MUTUKULA-24HR'!N35,'29.10 MASAKA-MUTUKULA'!N35,'30.10 MASAKA-MUTUKULA'!N35,'31.10 Masaka-Mutukula'!N35)</f>
        <v>0</v>
      </c>
      <c r="O35" s="15">
        <f t="shared" si="0"/>
        <v>6.1428571428571432</v>
      </c>
      <c r="P35" s="15">
        <f t="shared" si="1"/>
        <v>14.714285714285715</v>
      </c>
      <c r="R35" s="38" t="s">
        <v>91</v>
      </c>
      <c r="S35" s="39">
        <f t="shared" ref="S35:AF35" si="27">MAX(S13:S18)</f>
        <v>12.857142857142858</v>
      </c>
      <c r="T35" s="39">
        <f t="shared" si="27"/>
        <v>1.4285714285714284</v>
      </c>
      <c r="U35" s="39">
        <f t="shared" si="27"/>
        <v>6.4285714285714288</v>
      </c>
      <c r="V35" s="39">
        <f t="shared" si="27"/>
        <v>8.2857142857142865</v>
      </c>
      <c r="W35" s="39">
        <f t="shared" si="27"/>
        <v>0</v>
      </c>
      <c r="X35" s="39">
        <f t="shared" si="27"/>
        <v>0.14285714285714285</v>
      </c>
      <c r="Y35" s="39">
        <f t="shared" si="27"/>
        <v>5.2857142857142856</v>
      </c>
      <c r="Z35" s="39">
        <f t="shared" si="27"/>
        <v>2.4285714285714284</v>
      </c>
      <c r="AA35" s="39">
        <f t="shared" si="27"/>
        <v>4.1428571428571423</v>
      </c>
      <c r="AB35" s="39">
        <f t="shared" si="27"/>
        <v>0.2857142857142857</v>
      </c>
      <c r="AC35" s="39">
        <f t="shared" si="27"/>
        <v>52</v>
      </c>
      <c r="AD35" s="39">
        <f t="shared" si="27"/>
        <v>0</v>
      </c>
      <c r="AE35" s="40">
        <f t="shared" si="27"/>
        <v>34.571428571428569</v>
      </c>
      <c r="AF35" s="40">
        <f t="shared" si="27"/>
        <v>86.571428571428584</v>
      </c>
    </row>
    <row r="36" spans="2:32" ht="23.1" customHeight="1" x14ac:dyDescent="0.25">
      <c r="B36" s="24" t="s">
        <v>63</v>
      </c>
      <c r="C36" s="49">
        <f>AVERAGE('25.10 MASAKA-MUTUKULA'!C36,'26.10 MASAKA-MUTUKULA-24HR'!C36,'27.10 Masaka-Mutukula'!C36,'28.10 MASAKA-MUTUKULA-24HR'!C36,'29.10 MASAKA-MUTUKULA'!C36,'30.10 MASAKA-MUTUKULA'!C36,'31.10 Masaka-Mutukula'!C36)</f>
        <v>0.8571428571428571</v>
      </c>
      <c r="D36" s="49">
        <f>AVERAGE('25.10 MASAKA-MUTUKULA'!D36,'26.10 MASAKA-MUTUKULA-24HR'!D36,'27.10 Masaka-Mutukula'!D36,'28.10 MASAKA-MUTUKULA-24HR'!D36,'29.10 MASAKA-MUTUKULA'!D36,'30.10 MASAKA-MUTUKULA'!D36,'31.10 Masaka-Mutukula'!D36)</f>
        <v>0.2857142857142857</v>
      </c>
      <c r="E36" s="49">
        <f>AVERAGE('25.10 MASAKA-MUTUKULA'!E36,'26.10 MASAKA-MUTUKULA-24HR'!E36,'27.10 Masaka-Mutukula'!E36,'28.10 MASAKA-MUTUKULA-24HR'!E36,'29.10 MASAKA-MUTUKULA'!E36,'30.10 MASAKA-MUTUKULA'!E36,'31.10 Masaka-Mutukula'!E36)</f>
        <v>0</v>
      </c>
      <c r="F36" s="49">
        <f>AVERAGE('25.10 MASAKA-MUTUKULA'!F36,'26.10 MASAKA-MUTUKULA-24HR'!F36,'27.10 Masaka-Mutukula'!F36,'28.10 MASAKA-MUTUKULA-24HR'!F36,'29.10 MASAKA-MUTUKULA'!F36,'30.10 MASAKA-MUTUKULA'!F36,'31.10 Masaka-Mutukula'!F36)</f>
        <v>2.1428571428571428</v>
      </c>
      <c r="G36" s="49">
        <f>AVERAGE('25.10 MASAKA-MUTUKULA'!G36,'26.10 MASAKA-MUTUKULA-24HR'!G36,'27.10 Masaka-Mutukula'!G36,'28.10 MASAKA-MUTUKULA-24HR'!G36,'29.10 MASAKA-MUTUKULA'!G36,'30.10 MASAKA-MUTUKULA'!G36,'31.10 Masaka-Mutukula'!G36)</f>
        <v>0</v>
      </c>
      <c r="H36" s="49">
        <f>AVERAGE('25.10 MASAKA-MUTUKULA'!H36,'26.10 MASAKA-MUTUKULA-24HR'!H36,'27.10 Masaka-Mutukula'!H36,'28.10 MASAKA-MUTUKULA-24HR'!H36,'29.10 MASAKA-MUTUKULA'!H36,'30.10 MASAKA-MUTUKULA'!H36,'31.10 Masaka-Mutukula'!H36)</f>
        <v>0</v>
      </c>
      <c r="I36" s="49">
        <f>AVERAGE('25.10 MASAKA-MUTUKULA'!I36,'26.10 MASAKA-MUTUKULA-24HR'!I36,'27.10 Masaka-Mutukula'!I36,'28.10 MASAKA-MUTUKULA-24HR'!I36,'29.10 MASAKA-MUTUKULA'!I36,'30.10 MASAKA-MUTUKULA'!I36,'31.10 Masaka-Mutukula'!I36)</f>
        <v>1.1428571428571428</v>
      </c>
      <c r="J36" s="49">
        <f>AVERAGE('25.10 MASAKA-MUTUKULA'!J36,'26.10 MASAKA-MUTUKULA-24HR'!J36,'27.10 Masaka-Mutukula'!J36,'28.10 MASAKA-MUTUKULA-24HR'!J36,'29.10 MASAKA-MUTUKULA'!J36,'30.10 MASAKA-MUTUKULA'!J36,'31.10 Masaka-Mutukula'!J36)</f>
        <v>0.5714285714285714</v>
      </c>
      <c r="K36" s="49">
        <f>AVERAGE('25.10 MASAKA-MUTUKULA'!K36,'26.10 MASAKA-MUTUKULA-24HR'!K36,'27.10 Masaka-Mutukula'!K36,'28.10 MASAKA-MUTUKULA-24HR'!K36,'29.10 MASAKA-MUTUKULA'!K36,'30.10 MASAKA-MUTUKULA'!K36,'31.10 Masaka-Mutukula'!K36)</f>
        <v>1</v>
      </c>
      <c r="L36" s="49">
        <f>AVERAGE('25.10 MASAKA-MUTUKULA'!L36,'26.10 MASAKA-MUTUKULA-24HR'!L36,'27.10 Masaka-Mutukula'!L36,'28.10 MASAKA-MUTUKULA-24HR'!L36,'29.10 MASAKA-MUTUKULA'!L36,'30.10 MASAKA-MUTUKULA'!L36,'31.10 Masaka-Mutukula'!L36)</f>
        <v>0</v>
      </c>
      <c r="M36" s="49">
        <f>AVERAGE('25.10 MASAKA-MUTUKULA'!M36,'26.10 MASAKA-MUTUKULA-24HR'!M36,'27.10 Masaka-Mutukula'!M36,'28.10 MASAKA-MUTUKULA-24HR'!M36,'29.10 MASAKA-MUTUKULA'!M36,'30.10 MASAKA-MUTUKULA'!M36,'31.10 Masaka-Mutukula'!M36)</f>
        <v>12.571428571428571</v>
      </c>
      <c r="N36" s="49">
        <f>AVERAGE('25.10 MASAKA-MUTUKULA'!N36,'26.10 MASAKA-MUTUKULA-24HR'!N36,'27.10 Masaka-Mutukula'!N36,'28.10 MASAKA-MUTUKULA-24HR'!N36,'29.10 MASAKA-MUTUKULA'!N36,'30.10 MASAKA-MUTUKULA'!N36,'31.10 Masaka-Mutukula'!N36)</f>
        <v>0</v>
      </c>
      <c r="O36" s="15">
        <f t="shared" si="0"/>
        <v>6</v>
      </c>
      <c r="P36" s="15">
        <f t="shared" si="1"/>
        <v>18.571428571428569</v>
      </c>
      <c r="R36" s="38" t="s">
        <v>92</v>
      </c>
      <c r="S36" s="39">
        <f t="shared" ref="S36:AF36" si="28">MAX(S19:S21)</f>
        <v>15.857142857142858</v>
      </c>
      <c r="T36" s="39">
        <f t="shared" si="28"/>
        <v>2</v>
      </c>
      <c r="U36" s="39">
        <f t="shared" si="28"/>
        <v>1.5714285714285714</v>
      </c>
      <c r="V36" s="39">
        <f t="shared" si="28"/>
        <v>7</v>
      </c>
      <c r="W36" s="39">
        <f t="shared" si="28"/>
        <v>0</v>
      </c>
      <c r="X36" s="39">
        <f t="shared" si="28"/>
        <v>0</v>
      </c>
      <c r="Y36" s="39">
        <f t="shared" si="28"/>
        <v>3.8571428571428572</v>
      </c>
      <c r="Z36" s="39">
        <f t="shared" si="28"/>
        <v>1.5714285714285714</v>
      </c>
      <c r="AA36" s="39">
        <f t="shared" si="28"/>
        <v>4.7142857142857135</v>
      </c>
      <c r="AB36" s="39">
        <f t="shared" si="28"/>
        <v>1</v>
      </c>
      <c r="AC36" s="39">
        <f t="shared" si="28"/>
        <v>56.571428571428577</v>
      </c>
      <c r="AD36" s="39">
        <f t="shared" si="28"/>
        <v>6.5714285714285712</v>
      </c>
      <c r="AE36" s="40">
        <f t="shared" si="28"/>
        <v>42.857142857142861</v>
      </c>
      <c r="AF36" s="40">
        <f t="shared" si="28"/>
        <v>98.857142857142847</v>
      </c>
    </row>
    <row r="37" spans="2:32" ht="23.1" customHeight="1" x14ac:dyDescent="0.25">
      <c r="B37" s="23" t="s">
        <v>64</v>
      </c>
      <c r="C37" s="49">
        <f>AVERAGE('25.10 MASAKA-MUTUKULA'!C37,'26.10 MASAKA-MUTUKULA-24HR'!C37,'27.10 Masaka-Mutukula'!C37,'28.10 MASAKA-MUTUKULA-24HR'!C37,'29.10 MASAKA-MUTUKULA'!C37,'30.10 MASAKA-MUTUKULA'!C37,'31.10 Masaka-Mutukula'!C37)</f>
        <v>2.7142857142857144</v>
      </c>
      <c r="D37" s="49">
        <f>AVERAGE('25.10 MASAKA-MUTUKULA'!D37,'26.10 MASAKA-MUTUKULA-24HR'!D37,'27.10 Masaka-Mutukula'!D37,'28.10 MASAKA-MUTUKULA-24HR'!D37,'29.10 MASAKA-MUTUKULA'!D37,'30.10 MASAKA-MUTUKULA'!D37,'31.10 Masaka-Mutukula'!D37)</f>
        <v>0.14285714285714285</v>
      </c>
      <c r="E37" s="49">
        <f>AVERAGE('25.10 MASAKA-MUTUKULA'!E37,'26.10 MASAKA-MUTUKULA-24HR'!E37,'27.10 Masaka-Mutukula'!E37,'28.10 MASAKA-MUTUKULA-24HR'!E37,'29.10 MASAKA-MUTUKULA'!E37,'30.10 MASAKA-MUTUKULA'!E37,'31.10 Masaka-Mutukula'!E37)</f>
        <v>0.2857142857142857</v>
      </c>
      <c r="F37" s="49">
        <f>AVERAGE('25.10 MASAKA-MUTUKULA'!F37,'26.10 MASAKA-MUTUKULA-24HR'!F37,'27.10 Masaka-Mutukula'!F37,'28.10 MASAKA-MUTUKULA-24HR'!F37,'29.10 MASAKA-MUTUKULA'!F37,'30.10 MASAKA-MUTUKULA'!F37,'31.10 Masaka-Mutukula'!F37)</f>
        <v>1.1428571428571428</v>
      </c>
      <c r="G37" s="49">
        <f>AVERAGE('25.10 MASAKA-MUTUKULA'!G37,'26.10 MASAKA-MUTUKULA-24HR'!G37,'27.10 Masaka-Mutukula'!G37,'28.10 MASAKA-MUTUKULA-24HR'!G37,'29.10 MASAKA-MUTUKULA'!G37,'30.10 MASAKA-MUTUKULA'!G37,'31.10 Masaka-Mutukula'!G37)</f>
        <v>0</v>
      </c>
      <c r="H37" s="49">
        <f>AVERAGE('25.10 MASAKA-MUTUKULA'!H37,'26.10 MASAKA-MUTUKULA-24HR'!H37,'27.10 Masaka-Mutukula'!H37,'28.10 MASAKA-MUTUKULA-24HR'!H37,'29.10 MASAKA-MUTUKULA'!H37,'30.10 MASAKA-MUTUKULA'!H37,'31.10 Masaka-Mutukula'!H37)</f>
        <v>0</v>
      </c>
      <c r="I37" s="49">
        <f>AVERAGE('25.10 MASAKA-MUTUKULA'!I37,'26.10 MASAKA-MUTUKULA-24HR'!I37,'27.10 Masaka-Mutukula'!I37,'28.10 MASAKA-MUTUKULA-24HR'!I37,'29.10 MASAKA-MUTUKULA'!I37,'30.10 MASAKA-MUTUKULA'!I37,'31.10 Masaka-Mutukula'!I37)</f>
        <v>0.7142857142857143</v>
      </c>
      <c r="J37" s="49">
        <f>AVERAGE('25.10 MASAKA-MUTUKULA'!J37,'26.10 MASAKA-MUTUKULA-24HR'!J37,'27.10 Masaka-Mutukula'!J37,'28.10 MASAKA-MUTUKULA-24HR'!J37,'29.10 MASAKA-MUTUKULA'!J37,'30.10 MASAKA-MUTUKULA'!J37,'31.10 Masaka-Mutukula'!J37)</f>
        <v>0.2857142857142857</v>
      </c>
      <c r="K37" s="49">
        <f>AVERAGE('25.10 MASAKA-MUTUKULA'!K37,'26.10 MASAKA-MUTUKULA-24HR'!K37,'27.10 Masaka-Mutukula'!K37,'28.10 MASAKA-MUTUKULA-24HR'!K37,'29.10 MASAKA-MUTUKULA'!K37,'30.10 MASAKA-MUTUKULA'!K37,'31.10 Masaka-Mutukula'!K37)</f>
        <v>1.1428571428571428</v>
      </c>
      <c r="L37" s="49">
        <f>AVERAGE('25.10 MASAKA-MUTUKULA'!L37,'26.10 MASAKA-MUTUKULA-24HR'!L37,'27.10 Masaka-Mutukula'!L37,'28.10 MASAKA-MUTUKULA-24HR'!L37,'29.10 MASAKA-MUTUKULA'!L37,'30.10 MASAKA-MUTUKULA'!L37,'31.10 Masaka-Mutukula'!L37)</f>
        <v>0</v>
      </c>
      <c r="M37" s="49">
        <f>AVERAGE('25.10 MASAKA-MUTUKULA'!M37,'26.10 MASAKA-MUTUKULA-24HR'!M37,'27.10 Masaka-Mutukula'!M37,'28.10 MASAKA-MUTUKULA-24HR'!M37,'29.10 MASAKA-MUTUKULA'!M37,'30.10 MASAKA-MUTUKULA'!M37,'31.10 Masaka-Mutukula'!M37)</f>
        <v>11.142857142857142</v>
      </c>
      <c r="N37" s="49">
        <f>AVERAGE('25.10 MASAKA-MUTUKULA'!N37,'26.10 MASAKA-MUTUKULA-24HR'!N37,'27.10 Masaka-Mutukula'!N37,'28.10 MASAKA-MUTUKULA-24HR'!N37,'29.10 MASAKA-MUTUKULA'!N37,'30.10 MASAKA-MUTUKULA'!N37,'31.10 Masaka-Mutukula'!N37)</f>
        <v>0</v>
      </c>
      <c r="O37" s="15">
        <f t="shared" si="0"/>
        <v>6.4285714285714288</v>
      </c>
      <c r="P37" s="15">
        <f t="shared" si="1"/>
        <v>17.571428571428569</v>
      </c>
      <c r="R37" s="37" t="s">
        <v>85</v>
      </c>
      <c r="S37" s="35">
        <f t="shared" ref="S37:AF37" si="29">SUM(S10:S12)</f>
        <v>34.714285714285715</v>
      </c>
      <c r="T37" s="16">
        <f t="shared" si="29"/>
        <v>2.2857142857142856</v>
      </c>
      <c r="U37" s="16">
        <f t="shared" si="29"/>
        <v>1.5714285714285712</v>
      </c>
      <c r="V37" s="16">
        <f t="shared" si="29"/>
        <v>11</v>
      </c>
      <c r="W37" s="16">
        <f t="shared" si="29"/>
        <v>0</v>
      </c>
      <c r="X37" s="16">
        <f t="shared" si="29"/>
        <v>0.42857142857142855</v>
      </c>
      <c r="Y37" s="16">
        <f t="shared" si="29"/>
        <v>11.714285714285715</v>
      </c>
      <c r="Z37" s="16">
        <f t="shared" si="29"/>
        <v>6.2857142857142847</v>
      </c>
      <c r="AA37" s="16">
        <f t="shared" si="29"/>
        <v>12.857142857142856</v>
      </c>
      <c r="AB37" s="16">
        <f t="shared" si="29"/>
        <v>1.1428571428571428</v>
      </c>
      <c r="AC37" s="16">
        <f t="shared" si="29"/>
        <v>147.28571428571428</v>
      </c>
      <c r="AD37" s="16">
        <f t="shared" si="29"/>
        <v>0</v>
      </c>
      <c r="AE37" s="32">
        <f t="shared" si="29"/>
        <v>82</v>
      </c>
      <c r="AF37" s="32">
        <f t="shared" si="29"/>
        <v>229.28571428571428</v>
      </c>
    </row>
    <row r="38" spans="2:32" ht="23.1" customHeight="1" x14ac:dyDescent="0.25">
      <c r="B38" s="24" t="s">
        <v>65</v>
      </c>
      <c r="C38" s="49">
        <f>AVERAGE('25.10 MASAKA-MUTUKULA'!C38,'26.10 MASAKA-MUTUKULA-24HR'!C38,'27.10 Masaka-Mutukula'!C38,'28.10 MASAKA-MUTUKULA-24HR'!C38,'29.10 MASAKA-MUTUKULA'!C38,'30.10 MASAKA-MUTUKULA'!C38,'31.10 Masaka-Mutukula'!C38)</f>
        <v>2.7142857142857144</v>
      </c>
      <c r="D38" s="49">
        <f>AVERAGE('25.10 MASAKA-MUTUKULA'!D38,'26.10 MASAKA-MUTUKULA-24HR'!D38,'27.10 Masaka-Mutukula'!D38,'28.10 MASAKA-MUTUKULA-24HR'!D38,'29.10 MASAKA-MUTUKULA'!D38,'30.10 MASAKA-MUTUKULA'!D38,'31.10 Masaka-Mutukula'!D38)</f>
        <v>0.14285714285714285</v>
      </c>
      <c r="E38" s="49">
        <f>AVERAGE('25.10 MASAKA-MUTUKULA'!E38,'26.10 MASAKA-MUTUKULA-24HR'!E38,'27.10 Masaka-Mutukula'!E38,'28.10 MASAKA-MUTUKULA-24HR'!E38,'29.10 MASAKA-MUTUKULA'!E38,'30.10 MASAKA-MUTUKULA'!E38,'31.10 Masaka-Mutukula'!E38)</f>
        <v>0</v>
      </c>
      <c r="F38" s="49">
        <f>AVERAGE('25.10 MASAKA-MUTUKULA'!F38,'26.10 MASAKA-MUTUKULA-24HR'!F38,'27.10 Masaka-Mutukula'!F38,'28.10 MASAKA-MUTUKULA-24HR'!F38,'29.10 MASAKA-MUTUKULA'!F38,'30.10 MASAKA-MUTUKULA'!F38,'31.10 Masaka-Mutukula'!F38)</f>
        <v>2.4285714285714284</v>
      </c>
      <c r="G38" s="49">
        <f>AVERAGE('25.10 MASAKA-MUTUKULA'!G38,'26.10 MASAKA-MUTUKULA-24HR'!G38,'27.10 Masaka-Mutukula'!G38,'28.10 MASAKA-MUTUKULA-24HR'!G38,'29.10 MASAKA-MUTUKULA'!G38,'30.10 MASAKA-MUTUKULA'!G38,'31.10 Masaka-Mutukula'!G38)</f>
        <v>0</v>
      </c>
      <c r="H38" s="49">
        <f>AVERAGE('25.10 MASAKA-MUTUKULA'!H38,'26.10 MASAKA-MUTUKULA-24HR'!H38,'27.10 Masaka-Mutukula'!H38,'28.10 MASAKA-MUTUKULA-24HR'!H38,'29.10 MASAKA-MUTUKULA'!H38,'30.10 MASAKA-MUTUKULA'!H38,'31.10 Masaka-Mutukula'!H38)</f>
        <v>0</v>
      </c>
      <c r="I38" s="49">
        <f>AVERAGE('25.10 MASAKA-MUTUKULA'!I38,'26.10 MASAKA-MUTUKULA-24HR'!I38,'27.10 Masaka-Mutukula'!I38,'28.10 MASAKA-MUTUKULA-24HR'!I38,'29.10 MASAKA-MUTUKULA'!I38,'30.10 MASAKA-MUTUKULA'!I38,'31.10 Masaka-Mutukula'!I38)</f>
        <v>0.8571428571428571</v>
      </c>
      <c r="J38" s="49">
        <f>AVERAGE('25.10 MASAKA-MUTUKULA'!J38,'26.10 MASAKA-MUTUKULA-24HR'!J38,'27.10 Masaka-Mutukula'!J38,'28.10 MASAKA-MUTUKULA-24HR'!J38,'29.10 MASAKA-MUTUKULA'!J38,'30.10 MASAKA-MUTUKULA'!J38,'31.10 Masaka-Mutukula'!J38)</f>
        <v>0.14285714285714285</v>
      </c>
      <c r="K38" s="49">
        <f>AVERAGE('25.10 MASAKA-MUTUKULA'!K38,'26.10 MASAKA-MUTUKULA-24HR'!K38,'27.10 Masaka-Mutukula'!K38,'28.10 MASAKA-MUTUKULA-24HR'!K38,'29.10 MASAKA-MUTUKULA'!K38,'30.10 MASAKA-MUTUKULA'!K38,'31.10 Masaka-Mutukula'!K38)</f>
        <v>0.5714285714285714</v>
      </c>
      <c r="L38" s="49">
        <f>AVERAGE('25.10 MASAKA-MUTUKULA'!L38,'26.10 MASAKA-MUTUKULA-24HR'!L38,'27.10 Masaka-Mutukula'!L38,'28.10 MASAKA-MUTUKULA-24HR'!L38,'29.10 MASAKA-MUTUKULA'!L38,'30.10 MASAKA-MUTUKULA'!L38,'31.10 Masaka-Mutukula'!L38)</f>
        <v>0.14285714285714285</v>
      </c>
      <c r="M38" s="49">
        <f>AVERAGE('25.10 MASAKA-MUTUKULA'!M38,'26.10 MASAKA-MUTUKULA-24HR'!M38,'27.10 Masaka-Mutukula'!M38,'28.10 MASAKA-MUTUKULA-24HR'!M38,'29.10 MASAKA-MUTUKULA'!M38,'30.10 MASAKA-MUTUKULA'!M38,'31.10 Masaka-Mutukula'!M38)</f>
        <v>12.714285714285714</v>
      </c>
      <c r="N38" s="49">
        <f>AVERAGE('25.10 MASAKA-MUTUKULA'!N38,'26.10 MASAKA-MUTUKULA-24HR'!N38,'27.10 Masaka-Mutukula'!N38,'28.10 MASAKA-MUTUKULA-24HR'!N38,'29.10 MASAKA-MUTUKULA'!N38,'30.10 MASAKA-MUTUKULA'!N38,'31.10 Masaka-Mutukula'!N38)</f>
        <v>0</v>
      </c>
      <c r="O38" s="15">
        <f t="shared" si="0"/>
        <v>7</v>
      </c>
      <c r="P38" s="15">
        <f t="shared" si="1"/>
        <v>19.714285714285715</v>
      </c>
      <c r="R38" s="28" t="s">
        <v>86</v>
      </c>
      <c r="S38" s="16">
        <f t="shared" ref="S38:AF38" si="30">SUM(S13:S18)</f>
        <v>60.142857142857153</v>
      </c>
      <c r="T38" s="16">
        <f t="shared" si="30"/>
        <v>5.8571428571428559</v>
      </c>
      <c r="U38" s="16">
        <f t="shared" si="30"/>
        <v>9.4285714285714288</v>
      </c>
      <c r="V38" s="16">
        <f t="shared" si="30"/>
        <v>42.285714285714292</v>
      </c>
      <c r="W38" s="16">
        <f t="shared" si="30"/>
        <v>0</v>
      </c>
      <c r="X38" s="16">
        <f t="shared" si="30"/>
        <v>0.2857142857142857</v>
      </c>
      <c r="Y38" s="16">
        <f t="shared" si="30"/>
        <v>23.571428571428569</v>
      </c>
      <c r="Z38" s="16">
        <f t="shared" si="30"/>
        <v>8.5714285714285712</v>
      </c>
      <c r="AA38" s="16">
        <f t="shared" si="30"/>
        <v>17.142857142857142</v>
      </c>
      <c r="AB38" s="16">
        <f t="shared" si="30"/>
        <v>0.5714285714285714</v>
      </c>
      <c r="AC38" s="16">
        <f t="shared" si="30"/>
        <v>277</v>
      </c>
      <c r="AD38" s="16">
        <f t="shared" si="30"/>
        <v>0</v>
      </c>
      <c r="AE38" s="32">
        <f t="shared" si="30"/>
        <v>167.85714285714283</v>
      </c>
      <c r="AF38" s="32">
        <f t="shared" si="30"/>
        <v>444.85714285714278</v>
      </c>
    </row>
    <row r="39" spans="2:32" ht="23.1" customHeight="1" x14ac:dyDescent="0.25">
      <c r="B39" s="24" t="s">
        <v>66</v>
      </c>
      <c r="C39" s="49">
        <f>AVERAGE('25.10 MASAKA-MUTUKULA'!C39,'26.10 MASAKA-MUTUKULA-24HR'!C39,'27.10 Masaka-Mutukula'!C39,'28.10 MASAKA-MUTUKULA-24HR'!C39,'29.10 MASAKA-MUTUKULA'!C39,'30.10 MASAKA-MUTUKULA'!C39,'31.10 Masaka-Mutukula'!C39)</f>
        <v>2.7142857142857144</v>
      </c>
      <c r="D39" s="49">
        <f>AVERAGE('25.10 MASAKA-MUTUKULA'!D39,'26.10 MASAKA-MUTUKULA-24HR'!D39,'27.10 Masaka-Mutukula'!D39,'28.10 MASAKA-MUTUKULA-24HR'!D39,'29.10 MASAKA-MUTUKULA'!D39,'30.10 MASAKA-MUTUKULA'!D39,'31.10 Masaka-Mutukula'!D39)</f>
        <v>0</v>
      </c>
      <c r="E39" s="49">
        <f>AVERAGE('25.10 MASAKA-MUTUKULA'!E39,'26.10 MASAKA-MUTUKULA-24HR'!E39,'27.10 Masaka-Mutukula'!E39,'28.10 MASAKA-MUTUKULA-24HR'!E39,'29.10 MASAKA-MUTUKULA'!E39,'30.10 MASAKA-MUTUKULA'!E39,'31.10 Masaka-Mutukula'!E39)</f>
        <v>0.14285714285714285</v>
      </c>
      <c r="F39" s="49">
        <f>AVERAGE('25.10 MASAKA-MUTUKULA'!F39,'26.10 MASAKA-MUTUKULA-24HR'!F39,'27.10 Masaka-Mutukula'!F39,'28.10 MASAKA-MUTUKULA-24HR'!F39,'29.10 MASAKA-MUTUKULA'!F39,'30.10 MASAKA-MUTUKULA'!F39,'31.10 Masaka-Mutukula'!F39)</f>
        <v>1.1428571428571428</v>
      </c>
      <c r="G39" s="49">
        <f>AVERAGE('25.10 MASAKA-MUTUKULA'!G39,'26.10 MASAKA-MUTUKULA-24HR'!G39,'27.10 Masaka-Mutukula'!G39,'28.10 MASAKA-MUTUKULA-24HR'!G39,'29.10 MASAKA-MUTUKULA'!G39,'30.10 MASAKA-MUTUKULA'!G39,'31.10 Masaka-Mutukula'!G39)</f>
        <v>0</v>
      </c>
      <c r="H39" s="49">
        <f>AVERAGE('25.10 MASAKA-MUTUKULA'!H39,'26.10 MASAKA-MUTUKULA-24HR'!H39,'27.10 Masaka-Mutukula'!H39,'28.10 MASAKA-MUTUKULA-24HR'!H39,'29.10 MASAKA-MUTUKULA'!H39,'30.10 MASAKA-MUTUKULA'!H39,'31.10 Masaka-Mutukula'!H39)</f>
        <v>0</v>
      </c>
      <c r="I39" s="49">
        <f>AVERAGE('25.10 MASAKA-MUTUKULA'!I39,'26.10 MASAKA-MUTUKULA-24HR'!I39,'27.10 Masaka-Mutukula'!I39,'28.10 MASAKA-MUTUKULA-24HR'!I39,'29.10 MASAKA-MUTUKULA'!I39,'30.10 MASAKA-MUTUKULA'!I39,'31.10 Masaka-Mutukula'!I39)</f>
        <v>1.5714285714285714</v>
      </c>
      <c r="J39" s="49">
        <f>AVERAGE('25.10 MASAKA-MUTUKULA'!J39,'26.10 MASAKA-MUTUKULA-24HR'!J39,'27.10 Masaka-Mutukula'!J39,'28.10 MASAKA-MUTUKULA-24HR'!J39,'29.10 MASAKA-MUTUKULA'!J39,'30.10 MASAKA-MUTUKULA'!J39,'31.10 Masaka-Mutukula'!J39)</f>
        <v>0.7142857142857143</v>
      </c>
      <c r="K39" s="49">
        <f>AVERAGE('25.10 MASAKA-MUTUKULA'!K39,'26.10 MASAKA-MUTUKULA-24HR'!K39,'27.10 Masaka-Mutukula'!K39,'28.10 MASAKA-MUTUKULA-24HR'!K39,'29.10 MASAKA-MUTUKULA'!K39,'30.10 MASAKA-MUTUKULA'!K39,'31.10 Masaka-Mutukula'!K39)</f>
        <v>0.2857142857142857</v>
      </c>
      <c r="L39" s="49">
        <f>AVERAGE('25.10 MASAKA-MUTUKULA'!L39,'26.10 MASAKA-MUTUKULA-24HR'!L39,'27.10 Masaka-Mutukula'!L39,'28.10 MASAKA-MUTUKULA-24HR'!L39,'29.10 MASAKA-MUTUKULA'!L39,'30.10 MASAKA-MUTUKULA'!L39,'31.10 Masaka-Mutukula'!L39)</f>
        <v>0</v>
      </c>
      <c r="M39" s="49">
        <f>AVERAGE('25.10 MASAKA-MUTUKULA'!M39,'26.10 MASAKA-MUTUKULA-24HR'!M39,'27.10 Masaka-Mutukula'!M39,'28.10 MASAKA-MUTUKULA-24HR'!M39,'29.10 MASAKA-MUTUKULA'!M39,'30.10 MASAKA-MUTUKULA'!M39,'31.10 Masaka-Mutukula'!M39)</f>
        <v>11.571428571428571</v>
      </c>
      <c r="N39" s="49">
        <f>AVERAGE('25.10 MASAKA-MUTUKULA'!N39,'26.10 MASAKA-MUTUKULA-24HR'!N39,'27.10 Masaka-Mutukula'!N39,'28.10 MASAKA-MUTUKULA-24HR'!N39,'29.10 MASAKA-MUTUKULA'!N39,'30.10 MASAKA-MUTUKULA'!N39,'31.10 Masaka-Mutukula'!N39)</f>
        <v>0</v>
      </c>
      <c r="O39" s="15">
        <f t="shared" si="0"/>
        <v>6.5714285714285712</v>
      </c>
      <c r="P39" s="15">
        <f t="shared" si="1"/>
        <v>18.142857142857142</v>
      </c>
      <c r="R39" s="29" t="s">
        <v>87</v>
      </c>
      <c r="S39" s="16">
        <f t="shared" ref="S39:AF39" si="31">SUM(S19:S21)</f>
        <v>39.571428571428569</v>
      </c>
      <c r="T39" s="16">
        <f t="shared" si="31"/>
        <v>4.2857142857142856</v>
      </c>
      <c r="U39" s="16">
        <f t="shared" si="31"/>
        <v>2.5952380952380949</v>
      </c>
      <c r="V39" s="16">
        <f t="shared" si="31"/>
        <v>19.857142857142858</v>
      </c>
      <c r="W39" s="16">
        <f t="shared" si="31"/>
        <v>0</v>
      </c>
      <c r="X39" s="16">
        <f t="shared" si="31"/>
        <v>0</v>
      </c>
      <c r="Y39" s="16">
        <f t="shared" si="31"/>
        <v>9.1428571428571423</v>
      </c>
      <c r="Z39" s="16">
        <f t="shared" si="31"/>
        <v>3.9999999999999996</v>
      </c>
      <c r="AA39" s="16">
        <f t="shared" si="31"/>
        <v>10.571428571428571</v>
      </c>
      <c r="AB39" s="16">
        <f t="shared" si="31"/>
        <v>1.1428571428571428</v>
      </c>
      <c r="AC39" s="16">
        <f t="shared" si="31"/>
        <v>164</v>
      </c>
      <c r="AD39" s="16">
        <f t="shared" si="31"/>
        <v>6.5714285714285712</v>
      </c>
      <c r="AE39" s="32">
        <f t="shared" si="31"/>
        <v>97.738095238095241</v>
      </c>
      <c r="AF39" s="32">
        <f t="shared" si="31"/>
        <v>261.73809523809524</v>
      </c>
    </row>
    <row r="40" spans="2:32" ht="23.1" customHeight="1" x14ac:dyDescent="0.25">
      <c r="B40" s="24" t="s">
        <v>67</v>
      </c>
      <c r="C40" s="49">
        <f>AVERAGE('25.10 MASAKA-MUTUKULA'!C40,'26.10 MASAKA-MUTUKULA-24HR'!C40,'27.10 Masaka-Mutukula'!C40,'28.10 MASAKA-MUTUKULA-24HR'!C40,'29.10 MASAKA-MUTUKULA'!C40,'30.10 MASAKA-MUTUKULA'!C40,'31.10 Masaka-Mutukula'!C40)</f>
        <v>3.4285714285714284</v>
      </c>
      <c r="D40" s="49">
        <f>AVERAGE('25.10 MASAKA-MUTUKULA'!D40,'26.10 MASAKA-MUTUKULA-24HR'!D40,'27.10 Masaka-Mutukula'!D40,'28.10 MASAKA-MUTUKULA-24HR'!D40,'29.10 MASAKA-MUTUKULA'!D40,'30.10 MASAKA-MUTUKULA'!D40,'31.10 Masaka-Mutukula'!D40)</f>
        <v>0.2857142857142857</v>
      </c>
      <c r="E40" s="49">
        <f>AVERAGE('25.10 MASAKA-MUTUKULA'!E40,'26.10 MASAKA-MUTUKULA-24HR'!E40,'27.10 Masaka-Mutukula'!E40,'28.10 MASAKA-MUTUKULA-24HR'!E40,'29.10 MASAKA-MUTUKULA'!E40,'30.10 MASAKA-MUTUKULA'!E40,'31.10 Masaka-Mutukula'!E40)</f>
        <v>0.2857142857142857</v>
      </c>
      <c r="F40" s="49">
        <f>AVERAGE('25.10 MASAKA-MUTUKULA'!F40,'26.10 MASAKA-MUTUKULA-24HR'!F40,'27.10 Masaka-Mutukula'!F40,'28.10 MASAKA-MUTUKULA-24HR'!F40,'29.10 MASAKA-MUTUKULA'!F40,'30.10 MASAKA-MUTUKULA'!F40,'31.10 Masaka-Mutukula'!F40)</f>
        <v>1.5714285714285714</v>
      </c>
      <c r="G40" s="49">
        <f>AVERAGE('25.10 MASAKA-MUTUKULA'!G40,'26.10 MASAKA-MUTUKULA-24HR'!G40,'27.10 Masaka-Mutukula'!G40,'28.10 MASAKA-MUTUKULA-24HR'!G40,'29.10 MASAKA-MUTUKULA'!G40,'30.10 MASAKA-MUTUKULA'!G40,'31.10 Masaka-Mutukula'!G40)</f>
        <v>0</v>
      </c>
      <c r="H40" s="49">
        <f>AVERAGE('25.10 MASAKA-MUTUKULA'!H40,'26.10 MASAKA-MUTUKULA-24HR'!H40,'27.10 Masaka-Mutukula'!H40,'28.10 MASAKA-MUTUKULA-24HR'!H40,'29.10 MASAKA-MUTUKULA'!H40,'30.10 MASAKA-MUTUKULA'!H40,'31.10 Masaka-Mutukula'!H40)</f>
        <v>0.14285714285714285</v>
      </c>
      <c r="I40" s="49">
        <f>AVERAGE('25.10 MASAKA-MUTUKULA'!I40,'26.10 MASAKA-MUTUKULA-24HR'!I40,'27.10 Masaka-Mutukula'!I40,'28.10 MASAKA-MUTUKULA-24HR'!I40,'29.10 MASAKA-MUTUKULA'!I40,'30.10 MASAKA-MUTUKULA'!I40,'31.10 Masaka-Mutukula'!I40)</f>
        <v>0.42857142857142855</v>
      </c>
      <c r="J40" s="49">
        <f>AVERAGE('25.10 MASAKA-MUTUKULA'!J40,'26.10 MASAKA-MUTUKULA-24HR'!J40,'27.10 Masaka-Mutukula'!J40,'28.10 MASAKA-MUTUKULA-24HR'!J40,'29.10 MASAKA-MUTUKULA'!J40,'30.10 MASAKA-MUTUKULA'!J40,'31.10 Masaka-Mutukula'!J40)</f>
        <v>0.42857142857142855</v>
      </c>
      <c r="K40" s="49">
        <f>AVERAGE('25.10 MASAKA-MUTUKULA'!K40,'26.10 MASAKA-MUTUKULA-24HR'!K40,'27.10 Masaka-Mutukula'!K40,'28.10 MASAKA-MUTUKULA-24HR'!K40,'29.10 MASAKA-MUTUKULA'!K40,'30.10 MASAKA-MUTUKULA'!K40,'31.10 Masaka-Mutukula'!K40)</f>
        <v>0.7142857142857143</v>
      </c>
      <c r="L40" s="49">
        <f>AVERAGE('25.10 MASAKA-MUTUKULA'!L40,'26.10 MASAKA-MUTUKULA-24HR'!L40,'27.10 Masaka-Mutukula'!L40,'28.10 MASAKA-MUTUKULA-24HR'!L40,'29.10 MASAKA-MUTUKULA'!L40,'30.10 MASAKA-MUTUKULA'!L40,'31.10 Masaka-Mutukula'!L40)</f>
        <v>0</v>
      </c>
      <c r="M40" s="49">
        <f>AVERAGE('25.10 MASAKA-MUTUKULA'!M40,'26.10 MASAKA-MUTUKULA-24HR'!M40,'27.10 Masaka-Mutukula'!M40,'28.10 MASAKA-MUTUKULA-24HR'!M40,'29.10 MASAKA-MUTUKULA'!M40,'30.10 MASAKA-MUTUKULA'!M40,'31.10 Masaka-Mutukula'!M40)</f>
        <v>14.571428571428571</v>
      </c>
      <c r="N40" s="49">
        <f>AVERAGE('25.10 MASAKA-MUTUKULA'!N40,'26.10 MASAKA-MUTUKULA-24HR'!N40,'27.10 Masaka-Mutukula'!N40,'28.10 MASAKA-MUTUKULA-24HR'!N40,'29.10 MASAKA-MUTUKULA'!N40,'30.10 MASAKA-MUTUKULA'!N40,'31.10 Masaka-Mutukula'!N40)</f>
        <v>0</v>
      </c>
      <c r="O40" s="15">
        <f t="shared" si="0"/>
        <v>7.2857142857142865</v>
      </c>
      <c r="P40" s="15">
        <f t="shared" si="1"/>
        <v>21.857142857142858</v>
      </c>
      <c r="R40" s="5" t="s">
        <v>17</v>
      </c>
      <c r="S40" s="16">
        <f t="shared" ref="S40:AF40" si="32">SUM(S10:S21)</f>
        <v>134.42857142857142</v>
      </c>
      <c r="T40" s="16">
        <f t="shared" si="32"/>
        <v>12.428571428571427</v>
      </c>
      <c r="U40" s="16">
        <f t="shared" si="32"/>
        <v>13.595238095238097</v>
      </c>
      <c r="V40" s="16">
        <f t="shared" si="32"/>
        <v>73.142857142857139</v>
      </c>
      <c r="W40" s="16">
        <f t="shared" si="32"/>
        <v>0</v>
      </c>
      <c r="X40" s="16">
        <f t="shared" si="32"/>
        <v>0.71428571428571419</v>
      </c>
      <c r="Y40" s="16">
        <f t="shared" si="32"/>
        <v>44.428571428571431</v>
      </c>
      <c r="Z40" s="16">
        <f t="shared" si="32"/>
        <v>18.857142857142861</v>
      </c>
      <c r="AA40" s="16">
        <f t="shared" si="32"/>
        <v>40.571428571428577</v>
      </c>
      <c r="AB40" s="16">
        <f t="shared" si="32"/>
        <v>2.8571428571428568</v>
      </c>
      <c r="AC40" s="16">
        <f t="shared" si="32"/>
        <v>588.28571428571422</v>
      </c>
      <c r="AD40" s="16">
        <f t="shared" si="32"/>
        <v>6.5714285714285712</v>
      </c>
      <c r="AE40" s="32">
        <f t="shared" si="32"/>
        <v>347.59523809523807</v>
      </c>
      <c r="AF40" s="32">
        <f t="shared" si="32"/>
        <v>935.88095238095241</v>
      </c>
    </row>
    <row r="41" spans="2:32" ht="23.1" customHeight="1" x14ac:dyDescent="0.25">
      <c r="B41" s="23" t="s">
        <v>68</v>
      </c>
      <c r="C41" s="49">
        <f>AVERAGE('25.10 MASAKA-MUTUKULA'!C41,'26.10 MASAKA-MUTUKULA-24HR'!C41,'27.10 Masaka-Mutukula'!C41,'28.10 MASAKA-MUTUKULA-24HR'!C41,'29.10 MASAKA-MUTUKULA'!C41,'30.10 MASAKA-MUTUKULA'!C41,'31.10 Masaka-Mutukula'!C41)</f>
        <v>4</v>
      </c>
      <c r="D41" s="49">
        <f>AVERAGE('25.10 MASAKA-MUTUKULA'!D41,'26.10 MASAKA-MUTUKULA-24HR'!D41,'27.10 Masaka-Mutukula'!D41,'28.10 MASAKA-MUTUKULA-24HR'!D41,'29.10 MASAKA-MUTUKULA'!D41,'30.10 MASAKA-MUTUKULA'!D41,'31.10 Masaka-Mutukula'!D41)</f>
        <v>0.14285714285714285</v>
      </c>
      <c r="E41" s="49">
        <f>AVERAGE('25.10 MASAKA-MUTUKULA'!E41,'26.10 MASAKA-MUTUKULA-24HR'!E41,'27.10 Masaka-Mutukula'!E41,'28.10 MASAKA-MUTUKULA-24HR'!E41,'29.10 MASAKA-MUTUKULA'!E41,'30.10 MASAKA-MUTUKULA'!E41,'31.10 Masaka-Mutukula'!E41)</f>
        <v>6</v>
      </c>
      <c r="F41" s="49">
        <f>AVERAGE('25.10 MASAKA-MUTUKULA'!F41,'26.10 MASAKA-MUTUKULA-24HR'!F41,'27.10 Masaka-Mutukula'!F41,'28.10 MASAKA-MUTUKULA-24HR'!F41,'29.10 MASAKA-MUTUKULA'!F41,'30.10 MASAKA-MUTUKULA'!F41,'31.10 Masaka-Mutukula'!F41)</f>
        <v>2</v>
      </c>
      <c r="G41" s="49">
        <f>AVERAGE('25.10 MASAKA-MUTUKULA'!G41,'26.10 MASAKA-MUTUKULA-24HR'!G41,'27.10 Masaka-Mutukula'!G41,'28.10 MASAKA-MUTUKULA-24HR'!G41,'29.10 MASAKA-MUTUKULA'!G41,'30.10 MASAKA-MUTUKULA'!G41,'31.10 Masaka-Mutukula'!G41)</f>
        <v>0</v>
      </c>
      <c r="H41" s="49">
        <f>AVERAGE('25.10 MASAKA-MUTUKULA'!H41,'26.10 MASAKA-MUTUKULA-24HR'!H41,'27.10 Masaka-Mutukula'!H41,'28.10 MASAKA-MUTUKULA-24HR'!H41,'29.10 MASAKA-MUTUKULA'!H41,'30.10 MASAKA-MUTUKULA'!H41,'31.10 Masaka-Mutukula'!H41)</f>
        <v>0</v>
      </c>
      <c r="I41" s="49">
        <f>AVERAGE('25.10 MASAKA-MUTUKULA'!I41,'26.10 MASAKA-MUTUKULA-24HR'!I41,'27.10 Masaka-Mutukula'!I41,'28.10 MASAKA-MUTUKULA-24HR'!I41,'29.10 MASAKA-MUTUKULA'!I41,'30.10 MASAKA-MUTUKULA'!I41,'31.10 Masaka-Mutukula'!I41)</f>
        <v>0.42857142857142855</v>
      </c>
      <c r="J41" s="49">
        <f>AVERAGE('25.10 MASAKA-MUTUKULA'!J41,'26.10 MASAKA-MUTUKULA-24HR'!J41,'27.10 Masaka-Mutukula'!J41,'28.10 MASAKA-MUTUKULA-24HR'!J41,'29.10 MASAKA-MUTUKULA'!J41,'30.10 MASAKA-MUTUKULA'!J41,'31.10 Masaka-Mutukula'!J41)</f>
        <v>0.14285714285714285</v>
      </c>
      <c r="K41" s="49">
        <f>AVERAGE('25.10 MASAKA-MUTUKULA'!K41,'26.10 MASAKA-MUTUKULA-24HR'!K41,'27.10 Masaka-Mutukula'!K41,'28.10 MASAKA-MUTUKULA-24HR'!K41,'29.10 MASAKA-MUTUKULA'!K41,'30.10 MASAKA-MUTUKULA'!K41,'31.10 Masaka-Mutukula'!K41)</f>
        <v>1</v>
      </c>
      <c r="L41" s="49">
        <f>AVERAGE('25.10 MASAKA-MUTUKULA'!L41,'26.10 MASAKA-MUTUKULA-24HR'!L41,'27.10 Masaka-Mutukula'!L41,'28.10 MASAKA-MUTUKULA-24HR'!L41,'29.10 MASAKA-MUTUKULA'!L41,'30.10 MASAKA-MUTUKULA'!L41,'31.10 Masaka-Mutukula'!L41)</f>
        <v>0</v>
      </c>
      <c r="M41" s="49">
        <f>AVERAGE('25.10 MASAKA-MUTUKULA'!M41,'26.10 MASAKA-MUTUKULA-24HR'!M41,'27.10 Masaka-Mutukula'!M41,'28.10 MASAKA-MUTUKULA-24HR'!M41,'29.10 MASAKA-MUTUKULA'!M41,'30.10 MASAKA-MUTUKULA'!M41,'31.10 Masaka-Mutukula'!M41)</f>
        <v>13.142857142857142</v>
      </c>
      <c r="N41" s="49">
        <f>AVERAGE('25.10 MASAKA-MUTUKULA'!N41,'26.10 MASAKA-MUTUKULA-24HR'!N41,'27.10 Masaka-Mutukula'!N41,'28.10 MASAKA-MUTUKULA-24HR'!N41,'29.10 MASAKA-MUTUKULA'!N41,'30.10 MASAKA-MUTUKULA'!N41,'31.10 Masaka-Mutukula'!N41)</f>
        <v>0</v>
      </c>
      <c r="O41" s="15">
        <f t="shared" si="0"/>
        <v>13.714285714285714</v>
      </c>
      <c r="P41" s="15">
        <f t="shared" si="1"/>
        <v>26.857142857142854</v>
      </c>
      <c r="R41" s="5" t="s">
        <v>190</v>
      </c>
      <c r="S41" s="16">
        <f>SUM(S10:S33)</f>
        <v>184.42857142857142</v>
      </c>
      <c r="T41" s="16">
        <f t="shared" ref="T41:AD41" si="33">SUM(T10:T33)</f>
        <v>22.428571428571427</v>
      </c>
      <c r="U41" s="16">
        <f t="shared" si="33"/>
        <v>14.595238095238097</v>
      </c>
      <c r="V41" s="16">
        <f t="shared" si="33"/>
        <v>101.64285714285714</v>
      </c>
      <c r="W41" s="16">
        <f t="shared" si="33"/>
        <v>3.5</v>
      </c>
      <c r="X41" s="16">
        <f t="shared" si="33"/>
        <v>3.2142857142857144</v>
      </c>
      <c r="Y41" s="16">
        <f t="shared" si="33"/>
        <v>54.428571428571431</v>
      </c>
      <c r="Z41" s="16">
        <f t="shared" si="33"/>
        <v>37.357142857142861</v>
      </c>
      <c r="AA41" s="16">
        <f t="shared" si="33"/>
        <v>69.571428571428584</v>
      </c>
      <c r="AB41" s="16">
        <f t="shared" si="33"/>
        <v>4.8571428571428568</v>
      </c>
      <c r="AC41" s="16">
        <f t="shared" si="33"/>
        <v>751.78571428571422</v>
      </c>
      <c r="AD41" s="16">
        <f t="shared" si="33"/>
        <v>6.5714285714285712</v>
      </c>
      <c r="AE41" s="32">
        <f>SUM(AE10:AE33)</f>
        <v>502.59523809523807</v>
      </c>
      <c r="AF41" s="32">
        <f>SUM(AF10:AF33)</f>
        <v>1254.3809523809523</v>
      </c>
    </row>
    <row r="42" spans="2:32" ht="23.1" customHeight="1" x14ac:dyDescent="0.25">
      <c r="B42" s="24" t="s">
        <v>69</v>
      </c>
      <c r="C42" s="49">
        <f>AVERAGE('25.10 MASAKA-MUTUKULA'!C42,'26.10 MASAKA-MUTUKULA-24HR'!C42,'27.10 Masaka-Mutukula'!C42,'28.10 MASAKA-MUTUKULA-24HR'!C42,'29.10 MASAKA-MUTUKULA'!C42,'30.10 MASAKA-MUTUKULA'!C42,'31.10 Masaka-Mutukula'!C42)</f>
        <v>3.2857142857142856</v>
      </c>
      <c r="D42" s="49">
        <f>AVERAGE('25.10 MASAKA-MUTUKULA'!D42,'26.10 MASAKA-MUTUKULA-24HR'!D42,'27.10 Masaka-Mutukula'!D42,'28.10 MASAKA-MUTUKULA-24HR'!D42,'29.10 MASAKA-MUTUKULA'!D42,'30.10 MASAKA-MUTUKULA'!D42,'31.10 Masaka-Mutukula'!D42)</f>
        <v>0.2857142857142857</v>
      </c>
      <c r="E42" s="49">
        <f>AVERAGE('25.10 MASAKA-MUTUKULA'!E42,'26.10 MASAKA-MUTUKULA-24HR'!E42,'27.10 Masaka-Mutukula'!E42,'28.10 MASAKA-MUTUKULA-24HR'!E42,'29.10 MASAKA-MUTUKULA'!E42,'30.10 MASAKA-MUTUKULA'!E42,'31.10 Masaka-Mutukula'!E42)</f>
        <v>0.2857142857142857</v>
      </c>
      <c r="F42" s="49">
        <f>AVERAGE('25.10 MASAKA-MUTUKULA'!F42,'26.10 MASAKA-MUTUKULA-24HR'!F42,'27.10 Masaka-Mutukula'!F42,'28.10 MASAKA-MUTUKULA-24HR'!F42,'29.10 MASAKA-MUTUKULA'!F42,'30.10 MASAKA-MUTUKULA'!F42,'31.10 Masaka-Mutukula'!F42)</f>
        <v>1.1428571428571428</v>
      </c>
      <c r="G42" s="49">
        <f>AVERAGE('25.10 MASAKA-MUTUKULA'!G42,'26.10 MASAKA-MUTUKULA-24HR'!G42,'27.10 Masaka-Mutukula'!G42,'28.10 MASAKA-MUTUKULA-24HR'!G42,'29.10 MASAKA-MUTUKULA'!G42,'30.10 MASAKA-MUTUKULA'!G42,'31.10 Masaka-Mutukula'!G42)</f>
        <v>0</v>
      </c>
      <c r="H42" s="49">
        <f>AVERAGE('25.10 MASAKA-MUTUKULA'!H42,'26.10 MASAKA-MUTUKULA-24HR'!H42,'27.10 Masaka-Mutukula'!H42,'28.10 MASAKA-MUTUKULA-24HR'!H42,'29.10 MASAKA-MUTUKULA'!H42,'30.10 MASAKA-MUTUKULA'!H42,'31.10 Masaka-Mutukula'!H42)</f>
        <v>0</v>
      </c>
      <c r="I42" s="49">
        <f>AVERAGE('25.10 MASAKA-MUTUKULA'!I42,'26.10 MASAKA-MUTUKULA-24HR'!I42,'27.10 Masaka-Mutukula'!I42,'28.10 MASAKA-MUTUKULA-24HR'!I42,'29.10 MASAKA-MUTUKULA'!I42,'30.10 MASAKA-MUTUKULA'!I42,'31.10 Masaka-Mutukula'!I42)</f>
        <v>0.8571428571428571</v>
      </c>
      <c r="J42" s="49">
        <f>AVERAGE('25.10 MASAKA-MUTUKULA'!J42,'26.10 MASAKA-MUTUKULA-24HR'!J42,'27.10 Masaka-Mutukula'!J42,'28.10 MASAKA-MUTUKULA-24HR'!J42,'29.10 MASAKA-MUTUKULA'!J42,'30.10 MASAKA-MUTUKULA'!J42,'31.10 Masaka-Mutukula'!J42)</f>
        <v>0.14285714285714285</v>
      </c>
      <c r="K42" s="49">
        <f>AVERAGE('25.10 MASAKA-MUTUKULA'!K42,'26.10 MASAKA-MUTUKULA-24HR'!K42,'27.10 Masaka-Mutukula'!K42,'28.10 MASAKA-MUTUKULA-24HR'!K42,'29.10 MASAKA-MUTUKULA'!K42,'30.10 MASAKA-MUTUKULA'!K42,'31.10 Masaka-Mutukula'!K42)</f>
        <v>0.7142857142857143</v>
      </c>
      <c r="L42" s="49">
        <f>AVERAGE('25.10 MASAKA-MUTUKULA'!L42,'26.10 MASAKA-MUTUKULA-24HR'!L42,'27.10 Masaka-Mutukula'!L42,'28.10 MASAKA-MUTUKULA-24HR'!L42,'29.10 MASAKA-MUTUKULA'!L42,'30.10 MASAKA-MUTUKULA'!L42,'31.10 Masaka-Mutukula'!L42)</f>
        <v>0.14285714285714285</v>
      </c>
      <c r="M42" s="49">
        <f>AVERAGE('25.10 MASAKA-MUTUKULA'!M42,'26.10 MASAKA-MUTUKULA-24HR'!M42,'27.10 Masaka-Mutukula'!M42,'28.10 MASAKA-MUTUKULA-24HR'!M42,'29.10 MASAKA-MUTUKULA'!M42,'30.10 MASAKA-MUTUKULA'!M42,'31.10 Masaka-Mutukula'!M42)</f>
        <v>11.571428571428571</v>
      </c>
      <c r="N42" s="49">
        <f>AVERAGE('25.10 MASAKA-MUTUKULA'!N42,'26.10 MASAKA-MUTUKULA-24HR'!N42,'27.10 Masaka-Mutukula'!N42,'28.10 MASAKA-MUTUKULA-24HR'!N42,'29.10 MASAKA-MUTUKULA'!N42,'30.10 MASAKA-MUTUKULA'!N42,'31.10 Masaka-Mutukula'!N42)</f>
        <v>0</v>
      </c>
      <c r="O42" s="15">
        <f t="shared" si="0"/>
        <v>6.8571428571428577</v>
      </c>
      <c r="P42" s="15">
        <f t="shared" si="1"/>
        <v>18.428571428571431</v>
      </c>
      <c r="R42" s="5" t="s">
        <v>160</v>
      </c>
      <c r="S42" s="48">
        <f>S41/S40</f>
        <v>1.3719447396386824</v>
      </c>
      <c r="T42" s="48">
        <f t="shared" ref="T42:AF42" si="34">T41/T40</f>
        <v>1.8045977011494254</v>
      </c>
      <c r="U42" s="48">
        <f t="shared" si="34"/>
        <v>1.0735551663747811</v>
      </c>
      <c r="V42" s="48">
        <f t="shared" si="34"/>
        <v>1.3896484375</v>
      </c>
      <c r="W42" s="48" t="e">
        <f t="shared" si="34"/>
        <v>#DIV/0!</v>
      </c>
      <c r="X42" s="48">
        <f t="shared" si="34"/>
        <v>4.5000000000000009</v>
      </c>
      <c r="Y42" s="48">
        <f t="shared" si="34"/>
        <v>1.22508038585209</v>
      </c>
      <c r="Z42" s="48">
        <f t="shared" si="34"/>
        <v>1.9810606060606057</v>
      </c>
      <c r="AA42" s="48">
        <f t="shared" si="34"/>
        <v>1.7147887323943662</v>
      </c>
      <c r="AB42" s="48">
        <f t="shared" si="34"/>
        <v>1.7000000000000002</v>
      </c>
      <c r="AC42" s="48">
        <f t="shared" si="34"/>
        <v>1.2779261777561923</v>
      </c>
      <c r="AD42" s="48">
        <f t="shared" si="34"/>
        <v>1</v>
      </c>
      <c r="AE42" s="51">
        <f t="shared" si="34"/>
        <v>1.4459209534899651</v>
      </c>
      <c r="AF42" s="51">
        <f t="shared" si="34"/>
        <v>1.340321062406187</v>
      </c>
    </row>
    <row r="43" spans="2:32" ht="23.1" customHeight="1" x14ac:dyDescent="0.25">
      <c r="B43" s="23" t="s">
        <v>70</v>
      </c>
      <c r="C43" s="49">
        <f>AVERAGE('25.10 MASAKA-MUTUKULA'!C43,'26.10 MASAKA-MUTUKULA-24HR'!C43,'27.10 Masaka-Mutukula'!C43,'28.10 MASAKA-MUTUKULA-24HR'!C43,'29.10 MASAKA-MUTUKULA'!C43,'30.10 MASAKA-MUTUKULA'!C43,'31.10 Masaka-Mutukula'!C43)</f>
        <v>2</v>
      </c>
      <c r="D43" s="49">
        <f>AVERAGE('25.10 MASAKA-MUTUKULA'!D43,'26.10 MASAKA-MUTUKULA-24HR'!D43,'27.10 Masaka-Mutukula'!D43,'28.10 MASAKA-MUTUKULA-24HR'!D43,'29.10 MASAKA-MUTUKULA'!D43,'30.10 MASAKA-MUTUKULA'!D43,'31.10 Masaka-Mutukula'!D43)</f>
        <v>0.2857142857142857</v>
      </c>
      <c r="E43" s="49">
        <f>AVERAGE('25.10 MASAKA-MUTUKULA'!E43,'26.10 MASAKA-MUTUKULA-24HR'!E43,'27.10 Masaka-Mutukula'!E43,'28.10 MASAKA-MUTUKULA-24HR'!E43,'29.10 MASAKA-MUTUKULA'!E43,'30.10 MASAKA-MUTUKULA'!E43,'31.10 Masaka-Mutukula'!E43)</f>
        <v>0.5714285714285714</v>
      </c>
      <c r="F43" s="49">
        <f>AVERAGE('25.10 MASAKA-MUTUKULA'!F43,'26.10 MASAKA-MUTUKULA-24HR'!F43,'27.10 Masaka-Mutukula'!F43,'28.10 MASAKA-MUTUKULA-24HR'!F43,'29.10 MASAKA-MUTUKULA'!F43,'30.10 MASAKA-MUTUKULA'!F43,'31.10 Masaka-Mutukula'!F43)</f>
        <v>1.7142857142857142</v>
      </c>
      <c r="G43" s="49">
        <f>AVERAGE('25.10 MASAKA-MUTUKULA'!G43,'26.10 MASAKA-MUTUKULA-24HR'!G43,'27.10 Masaka-Mutukula'!G43,'28.10 MASAKA-MUTUKULA-24HR'!G43,'29.10 MASAKA-MUTUKULA'!G43,'30.10 MASAKA-MUTUKULA'!G43,'31.10 Masaka-Mutukula'!G43)</f>
        <v>0</v>
      </c>
      <c r="H43" s="49">
        <f>AVERAGE('25.10 MASAKA-MUTUKULA'!H43,'26.10 MASAKA-MUTUKULA-24HR'!H43,'27.10 Masaka-Mutukula'!H43,'28.10 MASAKA-MUTUKULA-24HR'!H43,'29.10 MASAKA-MUTUKULA'!H43,'30.10 MASAKA-MUTUKULA'!H43,'31.10 Masaka-Mutukula'!H43)</f>
        <v>0</v>
      </c>
      <c r="I43" s="49">
        <f>AVERAGE('25.10 MASAKA-MUTUKULA'!I43,'26.10 MASAKA-MUTUKULA-24HR'!I43,'27.10 Masaka-Mutukula'!I43,'28.10 MASAKA-MUTUKULA-24HR'!I43,'29.10 MASAKA-MUTUKULA'!I43,'30.10 MASAKA-MUTUKULA'!I43,'31.10 Masaka-Mutukula'!I43)</f>
        <v>0.7142857142857143</v>
      </c>
      <c r="J43" s="49">
        <f>AVERAGE('25.10 MASAKA-MUTUKULA'!J43,'26.10 MASAKA-MUTUKULA-24HR'!J43,'27.10 Masaka-Mutukula'!J43,'28.10 MASAKA-MUTUKULA-24HR'!J43,'29.10 MASAKA-MUTUKULA'!J43,'30.10 MASAKA-MUTUKULA'!J43,'31.10 Masaka-Mutukula'!J43)</f>
        <v>0</v>
      </c>
      <c r="K43" s="49">
        <f>AVERAGE('25.10 MASAKA-MUTUKULA'!K43,'26.10 MASAKA-MUTUKULA-24HR'!K43,'27.10 Masaka-Mutukula'!K43,'28.10 MASAKA-MUTUKULA-24HR'!K43,'29.10 MASAKA-MUTUKULA'!K43,'30.10 MASAKA-MUTUKULA'!K43,'31.10 Masaka-Mutukula'!K43)</f>
        <v>1</v>
      </c>
      <c r="L43" s="49">
        <f>AVERAGE('25.10 MASAKA-MUTUKULA'!L43,'26.10 MASAKA-MUTUKULA-24HR'!L43,'27.10 Masaka-Mutukula'!L43,'28.10 MASAKA-MUTUKULA-24HR'!L43,'29.10 MASAKA-MUTUKULA'!L43,'30.10 MASAKA-MUTUKULA'!L43,'31.10 Masaka-Mutukula'!L43)</f>
        <v>0</v>
      </c>
      <c r="M43" s="49">
        <f>AVERAGE('25.10 MASAKA-MUTUKULA'!M43,'26.10 MASAKA-MUTUKULA-24HR'!M43,'27.10 Masaka-Mutukula'!M43,'28.10 MASAKA-MUTUKULA-24HR'!M43,'29.10 MASAKA-MUTUKULA'!M43,'30.10 MASAKA-MUTUKULA'!M43,'31.10 Masaka-Mutukula'!M43)</f>
        <v>11.142857142857142</v>
      </c>
      <c r="N43" s="49">
        <f>AVERAGE('25.10 MASAKA-MUTUKULA'!N43,'26.10 MASAKA-MUTUKULA-24HR'!N43,'27.10 Masaka-Mutukula'!N43,'28.10 MASAKA-MUTUKULA-24HR'!N43,'29.10 MASAKA-MUTUKULA'!N43,'30.10 MASAKA-MUTUKULA'!N43,'31.10 Masaka-Mutukula'!N43)</f>
        <v>0</v>
      </c>
      <c r="O43" s="15">
        <f t="shared" si="0"/>
        <v>6.2857142857142856</v>
      </c>
      <c r="P43" s="15">
        <f t="shared" si="1"/>
        <v>17.428571428571427</v>
      </c>
    </row>
    <row r="44" spans="2:32" ht="23.1" customHeight="1" x14ac:dyDescent="0.25">
      <c r="B44" s="25" t="s">
        <v>71</v>
      </c>
      <c r="C44" s="49">
        <f>AVERAGE('25.10 MASAKA-MUTUKULA'!C44,'26.10 MASAKA-MUTUKULA-24HR'!C44,'27.10 Masaka-Mutukula'!C44,'28.10 MASAKA-MUTUKULA-24HR'!C44,'29.10 MASAKA-MUTUKULA'!C44,'30.10 MASAKA-MUTUKULA'!C44,'31.10 Masaka-Mutukula'!C44)</f>
        <v>2.5714285714285716</v>
      </c>
      <c r="D44" s="49">
        <f>AVERAGE('25.10 MASAKA-MUTUKULA'!D44,'26.10 MASAKA-MUTUKULA-24HR'!D44,'27.10 Masaka-Mutukula'!D44,'28.10 MASAKA-MUTUKULA-24HR'!D44,'29.10 MASAKA-MUTUKULA'!D44,'30.10 MASAKA-MUTUKULA'!D44,'31.10 Masaka-Mutukula'!D44)</f>
        <v>0.5714285714285714</v>
      </c>
      <c r="E44" s="49">
        <f>AVERAGE('25.10 MASAKA-MUTUKULA'!E44,'26.10 MASAKA-MUTUKULA-24HR'!E44,'27.10 Masaka-Mutukula'!E44,'28.10 MASAKA-MUTUKULA-24HR'!E44,'29.10 MASAKA-MUTUKULA'!E44,'30.10 MASAKA-MUTUKULA'!E44,'31.10 Masaka-Mutukula'!E44)</f>
        <v>0.14285714285714285</v>
      </c>
      <c r="F44" s="49">
        <f>AVERAGE('25.10 MASAKA-MUTUKULA'!F44,'26.10 MASAKA-MUTUKULA-24HR'!F44,'27.10 Masaka-Mutukula'!F44,'28.10 MASAKA-MUTUKULA-24HR'!F44,'29.10 MASAKA-MUTUKULA'!F44,'30.10 MASAKA-MUTUKULA'!F44,'31.10 Masaka-Mutukula'!F44)</f>
        <v>2.1428571428571428</v>
      </c>
      <c r="G44" s="49">
        <f>AVERAGE('25.10 MASAKA-MUTUKULA'!G44,'26.10 MASAKA-MUTUKULA-24HR'!G44,'27.10 Masaka-Mutukula'!G44,'28.10 MASAKA-MUTUKULA-24HR'!G44,'29.10 MASAKA-MUTUKULA'!G44,'30.10 MASAKA-MUTUKULA'!G44,'31.10 Masaka-Mutukula'!G44)</f>
        <v>0</v>
      </c>
      <c r="H44" s="49">
        <f>AVERAGE('25.10 MASAKA-MUTUKULA'!H44,'26.10 MASAKA-MUTUKULA-24HR'!H44,'27.10 Masaka-Mutukula'!H44,'28.10 MASAKA-MUTUKULA-24HR'!H44,'29.10 MASAKA-MUTUKULA'!H44,'30.10 MASAKA-MUTUKULA'!H44,'31.10 Masaka-Mutukula'!H44)</f>
        <v>0</v>
      </c>
      <c r="I44" s="49">
        <f>AVERAGE('25.10 MASAKA-MUTUKULA'!I44,'26.10 MASAKA-MUTUKULA-24HR'!I44,'27.10 Masaka-Mutukula'!I44,'28.10 MASAKA-MUTUKULA-24HR'!I44,'29.10 MASAKA-MUTUKULA'!I44,'30.10 MASAKA-MUTUKULA'!I44,'31.10 Masaka-Mutukula'!I44)</f>
        <v>2</v>
      </c>
      <c r="J44" s="49">
        <f>AVERAGE('25.10 MASAKA-MUTUKULA'!J44,'26.10 MASAKA-MUTUKULA-24HR'!J44,'27.10 Masaka-Mutukula'!J44,'28.10 MASAKA-MUTUKULA-24HR'!J44,'29.10 MASAKA-MUTUKULA'!J44,'30.10 MASAKA-MUTUKULA'!J44,'31.10 Masaka-Mutukula'!J44)</f>
        <v>0.5714285714285714</v>
      </c>
      <c r="K44" s="49">
        <f>AVERAGE('25.10 MASAKA-MUTUKULA'!K44,'26.10 MASAKA-MUTUKULA-24HR'!K44,'27.10 Masaka-Mutukula'!K44,'28.10 MASAKA-MUTUKULA-24HR'!K44,'29.10 MASAKA-MUTUKULA'!K44,'30.10 MASAKA-MUTUKULA'!K44,'31.10 Masaka-Mutukula'!K44)</f>
        <v>0.8571428571428571</v>
      </c>
      <c r="L44" s="49">
        <f>AVERAGE('25.10 MASAKA-MUTUKULA'!L44,'26.10 MASAKA-MUTUKULA-24HR'!L44,'27.10 Masaka-Mutukula'!L44,'28.10 MASAKA-MUTUKULA-24HR'!L44,'29.10 MASAKA-MUTUKULA'!L44,'30.10 MASAKA-MUTUKULA'!L44,'31.10 Masaka-Mutukula'!L44)</f>
        <v>0</v>
      </c>
      <c r="M44" s="49">
        <f>AVERAGE('25.10 MASAKA-MUTUKULA'!M44,'26.10 MASAKA-MUTUKULA-24HR'!M44,'27.10 Masaka-Mutukula'!M44,'28.10 MASAKA-MUTUKULA-24HR'!M44,'29.10 MASAKA-MUTUKULA'!M44,'30.10 MASAKA-MUTUKULA'!M44,'31.10 Masaka-Mutukula'!M44)</f>
        <v>12.428571428571429</v>
      </c>
      <c r="N44" s="49">
        <f>AVERAGE('25.10 MASAKA-MUTUKULA'!N44,'26.10 MASAKA-MUTUKULA-24HR'!N44,'27.10 Masaka-Mutukula'!N44,'28.10 MASAKA-MUTUKULA-24HR'!N44,'29.10 MASAKA-MUTUKULA'!N44,'30.10 MASAKA-MUTUKULA'!N44,'31.10 Masaka-Mutukula'!N44)</f>
        <v>0</v>
      </c>
      <c r="O44" s="15">
        <f t="shared" si="0"/>
        <v>8.8571428571428577</v>
      </c>
      <c r="P44" s="15">
        <f t="shared" si="1"/>
        <v>21.285714285714285</v>
      </c>
    </row>
    <row r="45" spans="2:32" ht="23.1" customHeight="1" x14ac:dyDescent="0.25">
      <c r="B45" s="23" t="s">
        <v>72</v>
      </c>
      <c r="C45" s="49">
        <f>AVERAGE('25.10 MASAKA-MUTUKULA'!C45,'26.10 MASAKA-MUTUKULA-24HR'!C45,'27.10 Masaka-Mutukula'!C45,'28.10 MASAKA-MUTUKULA-24HR'!C45,'29.10 MASAKA-MUTUKULA'!C45,'30.10 MASAKA-MUTUKULA'!C45,'31.10 Masaka-Mutukula'!C45)</f>
        <v>2.1428571428571428</v>
      </c>
      <c r="D45" s="49">
        <f>AVERAGE('25.10 MASAKA-MUTUKULA'!D45,'26.10 MASAKA-MUTUKULA-24HR'!D45,'27.10 Masaka-Mutukula'!D45,'28.10 MASAKA-MUTUKULA-24HR'!D45,'29.10 MASAKA-MUTUKULA'!D45,'30.10 MASAKA-MUTUKULA'!D45,'31.10 Masaka-Mutukula'!D45)</f>
        <v>0.2857142857142857</v>
      </c>
      <c r="E45" s="49">
        <f>AVERAGE('25.10 MASAKA-MUTUKULA'!E45,'26.10 MASAKA-MUTUKULA-24HR'!E45,'27.10 Masaka-Mutukula'!E45,'28.10 MASAKA-MUTUKULA-24HR'!E45,'29.10 MASAKA-MUTUKULA'!E45,'30.10 MASAKA-MUTUKULA'!E45,'31.10 Masaka-Mutukula'!E45)</f>
        <v>0</v>
      </c>
      <c r="F45" s="49">
        <f>AVERAGE('25.10 MASAKA-MUTUKULA'!F45,'26.10 MASAKA-MUTUKULA-24HR'!F45,'27.10 Masaka-Mutukula'!F45,'28.10 MASAKA-MUTUKULA-24HR'!F45,'29.10 MASAKA-MUTUKULA'!F45,'30.10 MASAKA-MUTUKULA'!F45,'31.10 Masaka-Mutukula'!F45)</f>
        <v>1.8571428571428572</v>
      </c>
      <c r="G45" s="49">
        <f>AVERAGE('25.10 MASAKA-MUTUKULA'!G45,'26.10 MASAKA-MUTUKULA-24HR'!G45,'27.10 Masaka-Mutukula'!G45,'28.10 MASAKA-MUTUKULA-24HR'!G45,'29.10 MASAKA-MUTUKULA'!G45,'30.10 MASAKA-MUTUKULA'!G45,'31.10 Masaka-Mutukula'!G45)</f>
        <v>0</v>
      </c>
      <c r="H45" s="49">
        <f>AVERAGE('25.10 MASAKA-MUTUKULA'!H45,'26.10 MASAKA-MUTUKULA-24HR'!H45,'27.10 Masaka-Mutukula'!H45,'28.10 MASAKA-MUTUKULA-24HR'!H45,'29.10 MASAKA-MUTUKULA'!H45,'30.10 MASAKA-MUTUKULA'!H45,'31.10 Masaka-Mutukula'!H45)</f>
        <v>0</v>
      </c>
      <c r="I45" s="49">
        <f>AVERAGE('25.10 MASAKA-MUTUKULA'!I45,'26.10 MASAKA-MUTUKULA-24HR'!I45,'27.10 Masaka-Mutukula'!I45,'28.10 MASAKA-MUTUKULA-24HR'!I45,'29.10 MASAKA-MUTUKULA'!I45,'30.10 MASAKA-MUTUKULA'!I45,'31.10 Masaka-Mutukula'!I45)</f>
        <v>1.7142857142857142</v>
      </c>
      <c r="J45" s="49">
        <f>AVERAGE('25.10 MASAKA-MUTUKULA'!J45,'26.10 MASAKA-MUTUKULA-24HR'!J45,'27.10 Masaka-Mutukula'!J45,'28.10 MASAKA-MUTUKULA-24HR'!J45,'29.10 MASAKA-MUTUKULA'!J45,'30.10 MASAKA-MUTUKULA'!J45,'31.10 Masaka-Mutukula'!J45)</f>
        <v>0.14285714285714285</v>
      </c>
      <c r="K45" s="49">
        <f>AVERAGE('25.10 MASAKA-MUTUKULA'!K45,'26.10 MASAKA-MUTUKULA-24HR'!K45,'27.10 Masaka-Mutukula'!K45,'28.10 MASAKA-MUTUKULA-24HR'!K45,'29.10 MASAKA-MUTUKULA'!K45,'30.10 MASAKA-MUTUKULA'!K45,'31.10 Masaka-Mutukula'!K45)</f>
        <v>0.14285714285714285</v>
      </c>
      <c r="L45" s="49">
        <f>AVERAGE('25.10 MASAKA-MUTUKULA'!L45,'26.10 MASAKA-MUTUKULA-24HR'!L45,'27.10 Masaka-Mutukula'!L45,'28.10 MASAKA-MUTUKULA-24HR'!L45,'29.10 MASAKA-MUTUKULA'!L45,'30.10 MASAKA-MUTUKULA'!L45,'31.10 Masaka-Mutukula'!L45)</f>
        <v>0</v>
      </c>
      <c r="M45" s="49">
        <f>AVERAGE('25.10 MASAKA-MUTUKULA'!M45,'26.10 MASAKA-MUTUKULA-24HR'!M45,'27.10 Masaka-Mutukula'!M45,'28.10 MASAKA-MUTUKULA-24HR'!M45,'29.10 MASAKA-MUTUKULA'!M45,'30.10 MASAKA-MUTUKULA'!M45,'31.10 Masaka-Mutukula'!M45)</f>
        <v>13.142857142857142</v>
      </c>
      <c r="N45" s="49">
        <f>AVERAGE('25.10 MASAKA-MUTUKULA'!N45,'26.10 MASAKA-MUTUKULA-24HR'!N45,'27.10 Masaka-Mutukula'!N45,'28.10 MASAKA-MUTUKULA-24HR'!N45,'29.10 MASAKA-MUTUKULA'!N45,'30.10 MASAKA-MUTUKULA'!N45,'31.10 Masaka-Mutukula'!N45)</f>
        <v>0</v>
      </c>
      <c r="O45" s="15">
        <f t="shared" si="0"/>
        <v>6.2857142857142865</v>
      </c>
      <c r="P45" s="15">
        <f t="shared" si="1"/>
        <v>19.428571428571431</v>
      </c>
    </row>
    <row r="46" spans="2:32" ht="23.1" customHeight="1" x14ac:dyDescent="0.25">
      <c r="B46" s="24" t="s">
        <v>73</v>
      </c>
      <c r="C46" s="49">
        <f>AVERAGE('25.10 MASAKA-MUTUKULA'!C46,'26.10 MASAKA-MUTUKULA-24HR'!C46,'27.10 Masaka-Mutukula'!C46,'28.10 MASAKA-MUTUKULA-24HR'!C46,'29.10 MASAKA-MUTUKULA'!C46,'30.10 MASAKA-MUTUKULA'!C46,'31.10 Masaka-Mutukula'!C46)</f>
        <v>2.8571428571428572</v>
      </c>
      <c r="D46" s="49">
        <f>AVERAGE('25.10 MASAKA-MUTUKULA'!D46,'26.10 MASAKA-MUTUKULA-24HR'!D46,'27.10 Masaka-Mutukula'!D46,'28.10 MASAKA-MUTUKULA-24HR'!D46,'29.10 MASAKA-MUTUKULA'!D46,'30.10 MASAKA-MUTUKULA'!D46,'31.10 Masaka-Mutukula'!D46)</f>
        <v>0.5714285714285714</v>
      </c>
      <c r="E46" s="49">
        <f>AVERAGE('25.10 MASAKA-MUTUKULA'!E46,'26.10 MASAKA-MUTUKULA-24HR'!E46,'27.10 Masaka-Mutukula'!E46,'28.10 MASAKA-MUTUKULA-24HR'!E46,'29.10 MASAKA-MUTUKULA'!E46,'30.10 MASAKA-MUTUKULA'!E46,'31.10 Masaka-Mutukula'!E46)</f>
        <v>0</v>
      </c>
      <c r="F46" s="49">
        <f>AVERAGE('25.10 MASAKA-MUTUKULA'!F46,'26.10 MASAKA-MUTUKULA-24HR'!F46,'27.10 Masaka-Mutukula'!F46,'28.10 MASAKA-MUTUKULA-24HR'!F46,'29.10 MASAKA-MUTUKULA'!F46,'30.10 MASAKA-MUTUKULA'!F46,'31.10 Masaka-Mutukula'!F46)</f>
        <v>2</v>
      </c>
      <c r="G46" s="49">
        <f>AVERAGE('25.10 MASAKA-MUTUKULA'!G46,'26.10 MASAKA-MUTUKULA-24HR'!G46,'27.10 Masaka-Mutukula'!G46,'28.10 MASAKA-MUTUKULA-24HR'!G46,'29.10 MASAKA-MUTUKULA'!G46,'30.10 MASAKA-MUTUKULA'!G46,'31.10 Masaka-Mutukula'!G46)</f>
        <v>0</v>
      </c>
      <c r="H46" s="49">
        <f>AVERAGE('25.10 MASAKA-MUTUKULA'!H46,'26.10 MASAKA-MUTUKULA-24HR'!H46,'27.10 Masaka-Mutukula'!H46,'28.10 MASAKA-MUTUKULA-24HR'!H46,'29.10 MASAKA-MUTUKULA'!H46,'30.10 MASAKA-MUTUKULA'!H46,'31.10 Masaka-Mutukula'!H46)</f>
        <v>0</v>
      </c>
      <c r="I46" s="49">
        <f>AVERAGE('25.10 MASAKA-MUTUKULA'!I46,'26.10 MASAKA-MUTUKULA-24HR'!I46,'27.10 Masaka-Mutukula'!I46,'28.10 MASAKA-MUTUKULA-24HR'!I46,'29.10 MASAKA-MUTUKULA'!I46,'30.10 MASAKA-MUTUKULA'!I46,'31.10 Masaka-Mutukula'!I46)</f>
        <v>0.42857142857142855</v>
      </c>
      <c r="J46" s="49">
        <f>AVERAGE('25.10 MASAKA-MUTUKULA'!J46,'26.10 MASAKA-MUTUKULA-24HR'!J46,'27.10 Masaka-Mutukula'!J46,'28.10 MASAKA-MUTUKULA-24HR'!J46,'29.10 MASAKA-MUTUKULA'!J46,'30.10 MASAKA-MUTUKULA'!J46,'31.10 Masaka-Mutukula'!J46)</f>
        <v>0.2857142857142857</v>
      </c>
      <c r="K46" s="49">
        <f>AVERAGE('25.10 MASAKA-MUTUKULA'!K46,'26.10 MASAKA-MUTUKULA-24HR'!K46,'27.10 Masaka-Mutukula'!K46,'28.10 MASAKA-MUTUKULA-24HR'!K46,'29.10 MASAKA-MUTUKULA'!K46,'30.10 MASAKA-MUTUKULA'!K46,'31.10 Masaka-Mutukula'!K46)</f>
        <v>0.5714285714285714</v>
      </c>
      <c r="L46" s="49">
        <f>AVERAGE('25.10 MASAKA-MUTUKULA'!L46,'26.10 MASAKA-MUTUKULA-24HR'!L46,'27.10 Masaka-Mutukula'!L46,'28.10 MASAKA-MUTUKULA-24HR'!L46,'29.10 MASAKA-MUTUKULA'!L46,'30.10 MASAKA-MUTUKULA'!L46,'31.10 Masaka-Mutukula'!L46)</f>
        <v>0</v>
      </c>
      <c r="M46" s="49">
        <f>AVERAGE('25.10 MASAKA-MUTUKULA'!M46,'26.10 MASAKA-MUTUKULA-24HR'!M46,'27.10 Masaka-Mutukula'!M46,'28.10 MASAKA-MUTUKULA-24HR'!M46,'29.10 MASAKA-MUTUKULA'!M46,'30.10 MASAKA-MUTUKULA'!M46,'31.10 Masaka-Mutukula'!M46)</f>
        <v>12.571428571428571</v>
      </c>
      <c r="N46" s="49">
        <f>AVERAGE('25.10 MASAKA-MUTUKULA'!N46,'26.10 MASAKA-MUTUKULA-24HR'!N46,'27.10 Masaka-Mutukula'!N46,'28.10 MASAKA-MUTUKULA-24HR'!N46,'29.10 MASAKA-MUTUKULA'!N46,'30.10 MASAKA-MUTUKULA'!N46,'31.10 Masaka-Mutukula'!N46)</f>
        <v>0</v>
      </c>
      <c r="O46" s="15">
        <f t="shared" si="0"/>
        <v>6.7142857142857144</v>
      </c>
      <c r="P46" s="15">
        <f t="shared" si="1"/>
        <v>19.285714285714285</v>
      </c>
      <c r="R46" s="8"/>
      <c r="T46"/>
    </row>
    <row r="47" spans="2:32" ht="23.1" customHeight="1" x14ac:dyDescent="0.25">
      <c r="B47" s="24" t="s">
        <v>74</v>
      </c>
      <c r="C47" s="49">
        <f>AVERAGE('25.10 MASAKA-MUTUKULA'!C47,'26.10 MASAKA-MUTUKULA-24HR'!C47,'27.10 Masaka-Mutukula'!C47,'28.10 MASAKA-MUTUKULA-24HR'!C47,'29.10 MASAKA-MUTUKULA'!C47,'30.10 MASAKA-MUTUKULA'!C47,'31.10 Masaka-Mutukula'!C47)</f>
        <v>3.4285714285714284</v>
      </c>
      <c r="D47" s="49">
        <f>AVERAGE('25.10 MASAKA-MUTUKULA'!D47,'26.10 MASAKA-MUTUKULA-24HR'!D47,'27.10 Masaka-Mutukula'!D47,'28.10 MASAKA-MUTUKULA-24HR'!D47,'29.10 MASAKA-MUTUKULA'!D47,'30.10 MASAKA-MUTUKULA'!D47,'31.10 Masaka-Mutukula'!D47)</f>
        <v>0.2857142857142857</v>
      </c>
      <c r="E47" s="49">
        <f>AVERAGE('25.10 MASAKA-MUTUKULA'!E47,'26.10 MASAKA-MUTUKULA-24HR'!E47,'27.10 Masaka-Mutukula'!E47,'28.10 MASAKA-MUTUKULA-24HR'!E47,'29.10 MASAKA-MUTUKULA'!E47,'30.10 MASAKA-MUTUKULA'!E47,'31.10 Masaka-Mutukula'!E47)</f>
        <v>0</v>
      </c>
      <c r="F47" s="49">
        <f>AVERAGE('25.10 MASAKA-MUTUKULA'!F47,'26.10 MASAKA-MUTUKULA-24HR'!F47,'27.10 Masaka-Mutukula'!F47,'28.10 MASAKA-MUTUKULA-24HR'!F47,'29.10 MASAKA-MUTUKULA'!F47,'30.10 MASAKA-MUTUKULA'!F47,'31.10 Masaka-Mutukula'!F47)</f>
        <v>1.8571428571428572</v>
      </c>
      <c r="G47" s="49">
        <f>AVERAGE('25.10 MASAKA-MUTUKULA'!G47,'26.10 MASAKA-MUTUKULA-24HR'!G47,'27.10 Masaka-Mutukula'!G47,'28.10 MASAKA-MUTUKULA-24HR'!G47,'29.10 MASAKA-MUTUKULA'!G47,'30.10 MASAKA-MUTUKULA'!G47,'31.10 Masaka-Mutukula'!G47)</f>
        <v>0</v>
      </c>
      <c r="H47" s="49">
        <f>AVERAGE('25.10 MASAKA-MUTUKULA'!H47,'26.10 MASAKA-MUTUKULA-24HR'!H47,'27.10 Masaka-Mutukula'!H47,'28.10 MASAKA-MUTUKULA-24HR'!H47,'29.10 MASAKA-MUTUKULA'!H47,'30.10 MASAKA-MUTUKULA'!H47,'31.10 Masaka-Mutukula'!H47)</f>
        <v>0</v>
      </c>
      <c r="I47" s="49">
        <f>AVERAGE('25.10 MASAKA-MUTUKULA'!I47,'26.10 MASAKA-MUTUKULA-24HR'!I47,'27.10 Masaka-Mutukula'!I47,'28.10 MASAKA-MUTUKULA-24HR'!I47,'29.10 MASAKA-MUTUKULA'!I47,'30.10 MASAKA-MUTUKULA'!I47,'31.10 Masaka-Mutukula'!I47)</f>
        <v>0.5714285714285714</v>
      </c>
      <c r="J47" s="49">
        <f>AVERAGE('25.10 MASAKA-MUTUKULA'!J47,'26.10 MASAKA-MUTUKULA-24HR'!J47,'27.10 Masaka-Mutukula'!J47,'28.10 MASAKA-MUTUKULA-24HR'!J47,'29.10 MASAKA-MUTUKULA'!J47,'30.10 MASAKA-MUTUKULA'!J47,'31.10 Masaka-Mutukula'!J47)</f>
        <v>0.7142857142857143</v>
      </c>
      <c r="K47" s="49">
        <f>AVERAGE('25.10 MASAKA-MUTUKULA'!K47,'26.10 MASAKA-MUTUKULA-24HR'!K47,'27.10 Masaka-Mutukula'!K47,'28.10 MASAKA-MUTUKULA-24HR'!K47,'29.10 MASAKA-MUTUKULA'!K47,'30.10 MASAKA-MUTUKULA'!K47,'31.10 Masaka-Mutukula'!K47)</f>
        <v>0.5714285714285714</v>
      </c>
      <c r="L47" s="49">
        <f>AVERAGE('25.10 MASAKA-MUTUKULA'!L47,'26.10 MASAKA-MUTUKULA-24HR'!L47,'27.10 Masaka-Mutukula'!L47,'28.10 MASAKA-MUTUKULA-24HR'!L47,'29.10 MASAKA-MUTUKULA'!L47,'30.10 MASAKA-MUTUKULA'!L47,'31.10 Masaka-Mutukula'!L47)</f>
        <v>0</v>
      </c>
      <c r="M47" s="49">
        <f>AVERAGE('25.10 MASAKA-MUTUKULA'!M47,'26.10 MASAKA-MUTUKULA-24HR'!M47,'27.10 Masaka-Mutukula'!M47,'28.10 MASAKA-MUTUKULA-24HR'!M47,'29.10 MASAKA-MUTUKULA'!M47,'30.10 MASAKA-MUTUKULA'!M47,'31.10 Masaka-Mutukula'!M47)</f>
        <v>13.285714285714286</v>
      </c>
      <c r="N47" s="49">
        <f>AVERAGE('25.10 MASAKA-MUTUKULA'!N47,'26.10 MASAKA-MUTUKULA-24HR'!N47,'27.10 Masaka-Mutukula'!N47,'28.10 MASAKA-MUTUKULA-24HR'!N47,'29.10 MASAKA-MUTUKULA'!N47,'30.10 MASAKA-MUTUKULA'!N47,'31.10 Masaka-Mutukula'!N47)</f>
        <v>0</v>
      </c>
      <c r="O47" s="15">
        <f t="shared" si="0"/>
        <v>7.4285714285714279</v>
      </c>
      <c r="P47" s="15">
        <f t="shared" si="1"/>
        <v>20.714285714285715</v>
      </c>
      <c r="R47" s="8"/>
      <c r="T47"/>
    </row>
    <row r="48" spans="2:32" ht="23.1" customHeight="1" x14ac:dyDescent="0.25">
      <c r="B48" s="24" t="s">
        <v>75</v>
      </c>
      <c r="C48" s="49">
        <f>AVERAGE('25.10 MASAKA-MUTUKULA'!C48,'26.10 MASAKA-MUTUKULA-24HR'!C48,'27.10 Masaka-Mutukula'!C48,'28.10 MASAKA-MUTUKULA-24HR'!C48,'29.10 MASAKA-MUTUKULA'!C48,'30.10 MASAKA-MUTUKULA'!C48,'31.10 Masaka-Mutukula'!C48)</f>
        <v>2.7142857142857144</v>
      </c>
      <c r="D48" s="49">
        <f>AVERAGE('25.10 MASAKA-MUTUKULA'!D48,'26.10 MASAKA-MUTUKULA-24HR'!D48,'27.10 Masaka-Mutukula'!D48,'28.10 MASAKA-MUTUKULA-24HR'!D48,'29.10 MASAKA-MUTUKULA'!D48,'30.10 MASAKA-MUTUKULA'!D48,'31.10 Masaka-Mutukula'!D48)</f>
        <v>0.42857142857142855</v>
      </c>
      <c r="E48" s="49">
        <f>AVERAGE('25.10 MASAKA-MUTUKULA'!E48,'26.10 MASAKA-MUTUKULA-24HR'!E48,'27.10 Masaka-Mutukula'!E48,'28.10 MASAKA-MUTUKULA-24HR'!E48,'29.10 MASAKA-MUTUKULA'!E48,'30.10 MASAKA-MUTUKULA'!E48,'31.10 Masaka-Mutukula'!E48)</f>
        <v>0</v>
      </c>
      <c r="F48" s="49">
        <f>AVERAGE('25.10 MASAKA-MUTUKULA'!F48,'26.10 MASAKA-MUTUKULA-24HR'!F48,'27.10 Masaka-Mutukula'!F48,'28.10 MASAKA-MUTUKULA-24HR'!F48,'29.10 MASAKA-MUTUKULA'!F48,'30.10 MASAKA-MUTUKULA'!F48,'31.10 Masaka-Mutukula'!F48)</f>
        <v>1.5714285714285714</v>
      </c>
      <c r="G48" s="49">
        <f>AVERAGE('25.10 MASAKA-MUTUKULA'!G48,'26.10 MASAKA-MUTUKULA-24HR'!G48,'27.10 Masaka-Mutukula'!G48,'28.10 MASAKA-MUTUKULA-24HR'!G48,'29.10 MASAKA-MUTUKULA'!G48,'30.10 MASAKA-MUTUKULA'!G48,'31.10 Masaka-Mutukula'!G48)</f>
        <v>0</v>
      </c>
      <c r="H48" s="49">
        <f>AVERAGE('25.10 MASAKA-MUTUKULA'!H48,'26.10 MASAKA-MUTUKULA-24HR'!H48,'27.10 Masaka-Mutukula'!H48,'28.10 MASAKA-MUTUKULA-24HR'!H48,'29.10 MASAKA-MUTUKULA'!H48,'30.10 MASAKA-MUTUKULA'!H48,'31.10 Masaka-Mutukula'!H48)</f>
        <v>0</v>
      </c>
      <c r="I48" s="49">
        <f>AVERAGE('25.10 MASAKA-MUTUKULA'!I48,'26.10 MASAKA-MUTUKULA-24HR'!I48,'27.10 Masaka-Mutukula'!I48,'28.10 MASAKA-MUTUKULA-24HR'!I48,'29.10 MASAKA-MUTUKULA'!I48,'30.10 MASAKA-MUTUKULA'!I48,'31.10 Masaka-Mutukula'!I48)</f>
        <v>0.42857142857142855</v>
      </c>
      <c r="J48" s="49">
        <f>AVERAGE('25.10 MASAKA-MUTUKULA'!J48,'26.10 MASAKA-MUTUKULA-24HR'!J48,'27.10 Masaka-Mutukula'!J48,'28.10 MASAKA-MUTUKULA-24HR'!J48,'29.10 MASAKA-MUTUKULA'!J48,'30.10 MASAKA-MUTUKULA'!J48,'31.10 Masaka-Mutukula'!J48)</f>
        <v>0.42857142857142855</v>
      </c>
      <c r="K48" s="49">
        <f>AVERAGE('25.10 MASAKA-MUTUKULA'!K48,'26.10 MASAKA-MUTUKULA-24HR'!K48,'27.10 Masaka-Mutukula'!K48,'28.10 MASAKA-MUTUKULA-24HR'!K48,'29.10 MASAKA-MUTUKULA'!K48,'30.10 MASAKA-MUTUKULA'!K48,'31.10 Masaka-Mutukula'!K48)</f>
        <v>0.42857142857142855</v>
      </c>
      <c r="L48" s="49">
        <f>AVERAGE('25.10 MASAKA-MUTUKULA'!L48,'26.10 MASAKA-MUTUKULA-24HR'!L48,'27.10 Masaka-Mutukula'!L48,'28.10 MASAKA-MUTUKULA-24HR'!L48,'29.10 MASAKA-MUTUKULA'!L48,'30.10 MASAKA-MUTUKULA'!L48,'31.10 Masaka-Mutukula'!L48)</f>
        <v>0.14285714285714285</v>
      </c>
      <c r="M48" s="49">
        <f>AVERAGE('25.10 MASAKA-MUTUKULA'!M48,'26.10 MASAKA-MUTUKULA-24HR'!M48,'27.10 Masaka-Mutukula'!M48,'28.10 MASAKA-MUTUKULA-24HR'!M48,'29.10 MASAKA-MUTUKULA'!M48,'30.10 MASAKA-MUTUKULA'!M48,'31.10 Masaka-Mutukula'!M48)</f>
        <v>15</v>
      </c>
      <c r="N48" s="49">
        <f>AVERAGE('25.10 MASAKA-MUTUKULA'!N48,'26.10 MASAKA-MUTUKULA-24HR'!N48,'27.10 Masaka-Mutukula'!N48,'28.10 MASAKA-MUTUKULA-24HR'!N48,'29.10 MASAKA-MUTUKULA'!N48,'30.10 MASAKA-MUTUKULA'!N48,'31.10 Masaka-Mutukula'!N48)</f>
        <v>0</v>
      </c>
      <c r="O48" s="15">
        <f t="shared" si="0"/>
        <v>6.1428571428571441</v>
      </c>
      <c r="P48" s="15">
        <f t="shared" si="1"/>
        <v>21.142857142857146</v>
      </c>
      <c r="R48" s="8"/>
      <c r="T48"/>
    </row>
    <row r="49" spans="2:20" ht="23.1" customHeight="1" x14ac:dyDescent="0.25">
      <c r="B49" s="23" t="s">
        <v>76</v>
      </c>
      <c r="C49" s="49">
        <f>AVERAGE('25.10 MASAKA-MUTUKULA'!C49,'26.10 MASAKA-MUTUKULA-24HR'!C49,'27.10 Masaka-Mutukula'!C49,'28.10 MASAKA-MUTUKULA-24HR'!C49,'29.10 MASAKA-MUTUKULA'!C49,'30.10 MASAKA-MUTUKULA'!C49,'31.10 Masaka-Mutukula'!C49)</f>
        <v>2.1428571428571428</v>
      </c>
      <c r="D49" s="49">
        <f>AVERAGE('25.10 MASAKA-MUTUKULA'!D49,'26.10 MASAKA-MUTUKULA-24HR'!D49,'27.10 Masaka-Mutukula'!D49,'28.10 MASAKA-MUTUKULA-24HR'!D49,'29.10 MASAKA-MUTUKULA'!D49,'30.10 MASAKA-MUTUKULA'!D49,'31.10 Masaka-Mutukula'!D49)</f>
        <v>0.7142857142857143</v>
      </c>
      <c r="E49" s="49">
        <f>AVERAGE('25.10 MASAKA-MUTUKULA'!E49,'26.10 MASAKA-MUTUKULA-24HR'!E49,'27.10 Masaka-Mutukula'!E49,'28.10 MASAKA-MUTUKULA-24HR'!E49,'29.10 MASAKA-MUTUKULA'!E49,'30.10 MASAKA-MUTUKULA'!E49,'31.10 Masaka-Mutukula'!E49)</f>
        <v>0.2857142857142857</v>
      </c>
      <c r="F49" s="49">
        <f>AVERAGE('25.10 MASAKA-MUTUKULA'!F49,'26.10 MASAKA-MUTUKULA-24HR'!F49,'27.10 Masaka-Mutukula'!F49,'28.10 MASAKA-MUTUKULA-24HR'!F49,'29.10 MASAKA-MUTUKULA'!F49,'30.10 MASAKA-MUTUKULA'!F49,'31.10 Masaka-Mutukula'!F49)</f>
        <v>1.5714285714285714</v>
      </c>
      <c r="G49" s="49">
        <f>AVERAGE('25.10 MASAKA-MUTUKULA'!G49,'26.10 MASAKA-MUTUKULA-24HR'!G49,'27.10 Masaka-Mutukula'!G49,'28.10 MASAKA-MUTUKULA-24HR'!G49,'29.10 MASAKA-MUTUKULA'!G49,'30.10 MASAKA-MUTUKULA'!G49,'31.10 Masaka-Mutukula'!G49)</f>
        <v>0</v>
      </c>
      <c r="H49" s="49">
        <f>AVERAGE('25.10 MASAKA-MUTUKULA'!H49,'26.10 MASAKA-MUTUKULA-24HR'!H49,'27.10 Masaka-Mutukula'!H49,'28.10 MASAKA-MUTUKULA-24HR'!H49,'29.10 MASAKA-MUTUKULA'!H49,'30.10 MASAKA-MUTUKULA'!H49,'31.10 Masaka-Mutukula'!H49)</f>
        <v>0</v>
      </c>
      <c r="I49" s="49">
        <f>AVERAGE('25.10 MASAKA-MUTUKULA'!I49,'26.10 MASAKA-MUTUKULA-24HR'!I49,'27.10 Masaka-Mutukula'!I49,'28.10 MASAKA-MUTUKULA-24HR'!I49,'29.10 MASAKA-MUTUKULA'!I49,'30.10 MASAKA-MUTUKULA'!I49,'31.10 Masaka-Mutukula'!I49)</f>
        <v>0.7142857142857143</v>
      </c>
      <c r="J49" s="49">
        <f>AVERAGE('25.10 MASAKA-MUTUKULA'!J49,'26.10 MASAKA-MUTUKULA-24HR'!J49,'27.10 Masaka-Mutukula'!J49,'28.10 MASAKA-MUTUKULA-24HR'!J49,'29.10 MASAKA-MUTUKULA'!J49,'30.10 MASAKA-MUTUKULA'!J49,'31.10 Masaka-Mutukula'!J49)</f>
        <v>0.14285714285714285</v>
      </c>
      <c r="K49" s="49">
        <f>AVERAGE('25.10 MASAKA-MUTUKULA'!K49,'26.10 MASAKA-MUTUKULA-24HR'!K49,'27.10 Masaka-Mutukula'!K49,'28.10 MASAKA-MUTUKULA-24HR'!K49,'29.10 MASAKA-MUTUKULA'!K49,'30.10 MASAKA-MUTUKULA'!K49,'31.10 Masaka-Mutukula'!K49)</f>
        <v>0.5714285714285714</v>
      </c>
      <c r="L49" s="49">
        <f>AVERAGE('25.10 MASAKA-MUTUKULA'!L49,'26.10 MASAKA-MUTUKULA-24HR'!L49,'27.10 Masaka-Mutukula'!L49,'28.10 MASAKA-MUTUKULA-24HR'!L49,'29.10 MASAKA-MUTUKULA'!L49,'30.10 MASAKA-MUTUKULA'!L49,'31.10 Masaka-Mutukula'!L49)</f>
        <v>0</v>
      </c>
      <c r="M49" s="49">
        <f>AVERAGE('25.10 MASAKA-MUTUKULA'!M49,'26.10 MASAKA-MUTUKULA-24HR'!M49,'27.10 Masaka-Mutukula'!M49,'28.10 MASAKA-MUTUKULA-24HR'!M49,'29.10 MASAKA-MUTUKULA'!M49,'30.10 MASAKA-MUTUKULA'!M49,'31.10 Masaka-Mutukula'!M49)</f>
        <v>15.714285714285714</v>
      </c>
      <c r="N49" s="49">
        <f>AVERAGE('25.10 MASAKA-MUTUKULA'!N49,'26.10 MASAKA-MUTUKULA-24HR'!N49,'27.10 Masaka-Mutukula'!N49,'28.10 MASAKA-MUTUKULA-24HR'!N49,'29.10 MASAKA-MUTUKULA'!N49,'30.10 MASAKA-MUTUKULA'!N49,'31.10 Masaka-Mutukula'!N49)</f>
        <v>0</v>
      </c>
      <c r="O49" s="15">
        <f t="shared" si="0"/>
        <v>6.1428571428571432</v>
      </c>
      <c r="P49" s="15">
        <f t="shared" si="1"/>
        <v>21.857142857142858</v>
      </c>
      <c r="R49" s="8"/>
      <c r="T49"/>
    </row>
    <row r="50" spans="2:20" ht="23.1" customHeight="1" x14ac:dyDescent="0.25">
      <c r="B50" s="24" t="s">
        <v>77</v>
      </c>
      <c r="C50" s="49">
        <f>AVERAGE('25.10 MASAKA-MUTUKULA'!C50,'26.10 MASAKA-MUTUKULA-24HR'!C50,'27.10 Masaka-Mutukula'!C50,'28.10 MASAKA-MUTUKULA-24HR'!C50,'29.10 MASAKA-MUTUKULA'!C50,'30.10 MASAKA-MUTUKULA'!C50,'31.10 Masaka-Mutukula'!C50)</f>
        <v>3.2857142857142856</v>
      </c>
      <c r="D50" s="49">
        <f>AVERAGE('25.10 MASAKA-MUTUKULA'!D50,'26.10 MASAKA-MUTUKULA-24HR'!D50,'27.10 Masaka-Mutukula'!D50,'28.10 MASAKA-MUTUKULA-24HR'!D50,'29.10 MASAKA-MUTUKULA'!D50,'30.10 MASAKA-MUTUKULA'!D50,'31.10 Masaka-Mutukula'!D50)</f>
        <v>0</v>
      </c>
      <c r="E50" s="49">
        <f>AVERAGE('25.10 MASAKA-MUTUKULA'!E50,'26.10 MASAKA-MUTUKULA-24HR'!E50,'27.10 Masaka-Mutukula'!E50,'28.10 MASAKA-MUTUKULA-24HR'!E50,'29.10 MASAKA-MUTUKULA'!E50,'30.10 MASAKA-MUTUKULA'!E50,'31.10 Masaka-Mutukula'!E50)</f>
        <v>0.14285714285714285</v>
      </c>
      <c r="F50" s="49">
        <f>AVERAGE('25.10 MASAKA-MUTUKULA'!F50,'26.10 MASAKA-MUTUKULA-24HR'!F50,'27.10 Masaka-Mutukula'!F50,'28.10 MASAKA-MUTUKULA-24HR'!F50,'29.10 MASAKA-MUTUKULA'!F50,'30.10 MASAKA-MUTUKULA'!F50,'31.10 Masaka-Mutukula'!F50)</f>
        <v>0.8571428571428571</v>
      </c>
      <c r="G50" s="49">
        <f>AVERAGE('25.10 MASAKA-MUTUKULA'!G50,'26.10 MASAKA-MUTUKULA-24HR'!G50,'27.10 Masaka-Mutukula'!G50,'28.10 MASAKA-MUTUKULA-24HR'!G50,'29.10 MASAKA-MUTUKULA'!G50,'30.10 MASAKA-MUTUKULA'!G50,'31.10 Masaka-Mutukula'!G50)</f>
        <v>0</v>
      </c>
      <c r="H50" s="49">
        <f>AVERAGE('25.10 MASAKA-MUTUKULA'!H50,'26.10 MASAKA-MUTUKULA-24HR'!H50,'27.10 Masaka-Mutukula'!H50,'28.10 MASAKA-MUTUKULA-24HR'!H50,'29.10 MASAKA-MUTUKULA'!H50,'30.10 MASAKA-MUTUKULA'!H50,'31.10 Masaka-Mutukula'!H50)</f>
        <v>0</v>
      </c>
      <c r="I50" s="49">
        <f>AVERAGE('25.10 MASAKA-MUTUKULA'!I50,'26.10 MASAKA-MUTUKULA-24HR'!I50,'27.10 Masaka-Mutukula'!I50,'28.10 MASAKA-MUTUKULA-24HR'!I50,'29.10 MASAKA-MUTUKULA'!I50,'30.10 MASAKA-MUTUKULA'!I50,'31.10 Masaka-Mutukula'!I50)</f>
        <v>0.42857142857142855</v>
      </c>
      <c r="J50" s="49">
        <f>AVERAGE('25.10 MASAKA-MUTUKULA'!J50,'26.10 MASAKA-MUTUKULA-24HR'!J50,'27.10 Masaka-Mutukula'!J50,'28.10 MASAKA-MUTUKULA-24HR'!J50,'29.10 MASAKA-MUTUKULA'!J50,'30.10 MASAKA-MUTUKULA'!J50,'31.10 Masaka-Mutukula'!J50)</f>
        <v>0.14285714285714285</v>
      </c>
      <c r="K50" s="49">
        <f>AVERAGE('25.10 MASAKA-MUTUKULA'!K50,'26.10 MASAKA-MUTUKULA-24HR'!K50,'27.10 Masaka-Mutukula'!K50,'28.10 MASAKA-MUTUKULA-24HR'!K50,'29.10 MASAKA-MUTUKULA'!K50,'30.10 MASAKA-MUTUKULA'!K50,'31.10 Masaka-Mutukula'!K50)</f>
        <v>0.8571428571428571</v>
      </c>
      <c r="L50" s="49">
        <f>AVERAGE('25.10 MASAKA-MUTUKULA'!L50,'26.10 MASAKA-MUTUKULA-24HR'!L50,'27.10 Masaka-Mutukula'!L50,'28.10 MASAKA-MUTUKULA-24HR'!L50,'29.10 MASAKA-MUTUKULA'!L50,'30.10 MASAKA-MUTUKULA'!L50,'31.10 Masaka-Mutukula'!L50)</f>
        <v>0</v>
      </c>
      <c r="M50" s="49">
        <f>AVERAGE('25.10 MASAKA-MUTUKULA'!M50,'26.10 MASAKA-MUTUKULA-24HR'!M50,'27.10 Masaka-Mutukula'!M50,'28.10 MASAKA-MUTUKULA-24HR'!M50,'29.10 MASAKA-MUTUKULA'!M50,'30.10 MASAKA-MUTUKULA'!M50,'31.10 Masaka-Mutukula'!M50)</f>
        <v>11.714285714285714</v>
      </c>
      <c r="N50" s="49">
        <f>AVERAGE('25.10 MASAKA-MUTUKULA'!N50,'26.10 MASAKA-MUTUKULA-24HR'!N50,'27.10 Masaka-Mutukula'!N50,'28.10 MASAKA-MUTUKULA-24HR'!N50,'29.10 MASAKA-MUTUKULA'!N50,'30.10 MASAKA-MUTUKULA'!N50,'31.10 Masaka-Mutukula'!N50)</f>
        <v>0</v>
      </c>
      <c r="O50" s="15">
        <f t="shared" si="0"/>
        <v>5.7142857142857144</v>
      </c>
      <c r="P50" s="15">
        <f t="shared" si="1"/>
        <v>17.428571428571427</v>
      </c>
      <c r="R50" s="8"/>
      <c r="T50"/>
    </row>
    <row r="51" spans="2:20" ht="23.1" customHeight="1" x14ac:dyDescent="0.25">
      <c r="B51" s="24" t="s">
        <v>78</v>
      </c>
      <c r="C51" s="49">
        <f>AVERAGE('25.10 MASAKA-MUTUKULA'!C51,'26.10 MASAKA-MUTUKULA-24HR'!C51,'27.10 Masaka-Mutukula'!C51,'28.10 MASAKA-MUTUKULA-24HR'!C51,'29.10 MASAKA-MUTUKULA'!C51,'30.10 MASAKA-MUTUKULA'!C51,'31.10 Masaka-Mutukula'!C51)</f>
        <v>3.4285714285714284</v>
      </c>
      <c r="D51" s="49">
        <f>AVERAGE('25.10 MASAKA-MUTUKULA'!D51,'26.10 MASAKA-MUTUKULA-24HR'!D51,'27.10 Masaka-Mutukula'!D51,'28.10 MASAKA-MUTUKULA-24HR'!D51,'29.10 MASAKA-MUTUKULA'!D51,'30.10 MASAKA-MUTUKULA'!D51,'31.10 Masaka-Mutukula'!D51)</f>
        <v>0.5714285714285714</v>
      </c>
      <c r="E51" s="49">
        <f>AVERAGE('25.10 MASAKA-MUTUKULA'!E51,'26.10 MASAKA-MUTUKULA-24HR'!E51,'27.10 Masaka-Mutukula'!E51,'28.10 MASAKA-MUTUKULA-24HR'!E51,'29.10 MASAKA-MUTUKULA'!E51,'30.10 MASAKA-MUTUKULA'!E51,'31.10 Masaka-Mutukula'!E51)</f>
        <v>0.16666666666666666</v>
      </c>
      <c r="F51" s="49">
        <f>AVERAGE('25.10 MASAKA-MUTUKULA'!F51,'26.10 MASAKA-MUTUKULA-24HR'!F51,'27.10 Masaka-Mutukula'!F51,'28.10 MASAKA-MUTUKULA-24HR'!F51,'29.10 MASAKA-MUTUKULA'!F51,'30.10 MASAKA-MUTUKULA'!F51,'31.10 Masaka-Mutukula'!F51)</f>
        <v>2.1428571428571428</v>
      </c>
      <c r="G51" s="49">
        <f>AVERAGE('25.10 MASAKA-MUTUKULA'!G51,'26.10 MASAKA-MUTUKULA-24HR'!G51,'27.10 Masaka-Mutukula'!G51,'28.10 MASAKA-MUTUKULA-24HR'!G51,'29.10 MASAKA-MUTUKULA'!G51,'30.10 MASAKA-MUTUKULA'!G51,'31.10 Masaka-Mutukula'!G51)</f>
        <v>0</v>
      </c>
      <c r="H51" s="49">
        <f>AVERAGE('25.10 MASAKA-MUTUKULA'!H51,'26.10 MASAKA-MUTUKULA-24HR'!H51,'27.10 Masaka-Mutukula'!H51,'28.10 MASAKA-MUTUKULA-24HR'!H51,'29.10 MASAKA-MUTUKULA'!H51,'30.10 MASAKA-MUTUKULA'!H51,'31.10 Masaka-Mutukula'!H51)</f>
        <v>0</v>
      </c>
      <c r="I51" s="49">
        <f>AVERAGE('25.10 MASAKA-MUTUKULA'!I51,'26.10 MASAKA-MUTUKULA-24HR'!I51,'27.10 Masaka-Mutukula'!I51,'28.10 MASAKA-MUTUKULA-24HR'!I51,'29.10 MASAKA-MUTUKULA'!I51,'30.10 MASAKA-MUTUKULA'!I51,'31.10 Masaka-Mutukula'!I51)</f>
        <v>0.8571428571428571</v>
      </c>
      <c r="J51" s="49">
        <f>AVERAGE('25.10 MASAKA-MUTUKULA'!J51,'26.10 MASAKA-MUTUKULA-24HR'!J51,'27.10 Masaka-Mutukula'!J51,'28.10 MASAKA-MUTUKULA-24HR'!J51,'29.10 MASAKA-MUTUKULA'!J51,'30.10 MASAKA-MUTUKULA'!J51,'31.10 Masaka-Mutukula'!J51)</f>
        <v>0</v>
      </c>
      <c r="K51" s="49">
        <f>AVERAGE('25.10 MASAKA-MUTUKULA'!K51,'26.10 MASAKA-MUTUKULA-24HR'!K51,'27.10 Masaka-Mutukula'!K51,'28.10 MASAKA-MUTUKULA-24HR'!K51,'29.10 MASAKA-MUTUKULA'!K51,'30.10 MASAKA-MUTUKULA'!K51,'31.10 Masaka-Mutukula'!K51)</f>
        <v>0.5714285714285714</v>
      </c>
      <c r="L51" s="49">
        <f>AVERAGE('25.10 MASAKA-MUTUKULA'!L51,'26.10 MASAKA-MUTUKULA-24HR'!L51,'27.10 Masaka-Mutukula'!L51,'28.10 MASAKA-MUTUKULA-24HR'!L51,'29.10 MASAKA-MUTUKULA'!L51,'30.10 MASAKA-MUTUKULA'!L51,'31.10 Masaka-Mutukula'!L51)</f>
        <v>0</v>
      </c>
      <c r="M51" s="49">
        <f>AVERAGE('25.10 MASAKA-MUTUKULA'!M51,'26.10 MASAKA-MUTUKULA-24HR'!M51,'27.10 Masaka-Mutukula'!M51,'28.10 MASAKA-MUTUKULA-24HR'!M51,'29.10 MASAKA-MUTUKULA'!M51,'30.10 MASAKA-MUTUKULA'!M51,'31.10 Masaka-Mutukula'!M51)</f>
        <v>13</v>
      </c>
      <c r="N51" s="49">
        <f>AVERAGE('25.10 MASAKA-MUTUKULA'!N51,'26.10 MASAKA-MUTUKULA-24HR'!N51,'27.10 Masaka-Mutukula'!N51,'28.10 MASAKA-MUTUKULA-24HR'!N51,'29.10 MASAKA-MUTUKULA'!N51,'30.10 MASAKA-MUTUKULA'!N51,'31.10 Masaka-Mutukula'!N51)</f>
        <v>0</v>
      </c>
      <c r="O51" s="15">
        <f t="shared" si="0"/>
        <v>7.7380952380952381</v>
      </c>
      <c r="P51" s="15">
        <f t="shared" si="1"/>
        <v>20.738095238095237</v>
      </c>
      <c r="R51" s="8"/>
      <c r="T51"/>
    </row>
    <row r="52" spans="2:20" ht="23.1" customHeight="1" x14ac:dyDescent="0.25">
      <c r="B52" s="24" t="s">
        <v>79</v>
      </c>
      <c r="C52" s="49">
        <f>AVERAGE('25.10 MASAKA-MUTUKULA'!C52,'26.10 MASAKA-MUTUKULA-24HR'!C52,'27.10 Masaka-Mutukula'!C52,'28.10 MASAKA-MUTUKULA-24HR'!C52,'29.10 MASAKA-MUTUKULA'!C52,'30.10 MASAKA-MUTUKULA'!C52,'31.10 Masaka-Mutukula'!C52)</f>
        <v>2.8571428571428572</v>
      </c>
      <c r="D52" s="49">
        <f>AVERAGE('25.10 MASAKA-MUTUKULA'!D52,'26.10 MASAKA-MUTUKULA-24HR'!D52,'27.10 Masaka-Mutukula'!D52,'28.10 MASAKA-MUTUKULA-24HR'!D52,'29.10 MASAKA-MUTUKULA'!D52,'30.10 MASAKA-MUTUKULA'!D52,'31.10 Masaka-Mutukula'!D52)</f>
        <v>0</v>
      </c>
      <c r="E52" s="49">
        <f>AVERAGE('25.10 MASAKA-MUTUKULA'!E52,'26.10 MASAKA-MUTUKULA-24HR'!E52,'27.10 Masaka-Mutukula'!E52,'28.10 MASAKA-MUTUKULA-24HR'!E52,'29.10 MASAKA-MUTUKULA'!E52,'30.10 MASAKA-MUTUKULA'!E52,'31.10 Masaka-Mutukula'!E52)</f>
        <v>0</v>
      </c>
      <c r="F52" s="49">
        <f>AVERAGE('25.10 MASAKA-MUTUKULA'!F52,'26.10 MASAKA-MUTUKULA-24HR'!F52,'27.10 Masaka-Mutukula'!F52,'28.10 MASAKA-MUTUKULA-24HR'!F52,'29.10 MASAKA-MUTUKULA'!F52,'30.10 MASAKA-MUTUKULA'!F52,'31.10 Masaka-Mutukula'!F52)</f>
        <v>1.8571428571428572</v>
      </c>
      <c r="G52" s="49">
        <f>AVERAGE('25.10 MASAKA-MUTUKULA'!G52,'26.10 MASAKA-MUTUKULA-24HR'!G52,'27.10 Masaka-Mutukula'!G52,'28.10 MASAKA-MUTUKULA-24HR'!G52,'29.10 MASAKA-MUTUKULA'!G52,'30.10 MASAKA-MUTUKULA'!G52,'31.10 Masaka-Mutukula'!G52)</f>
        <v>0</v>
      </c>
      <c r="H52" s="49">
        <f>AVERAGE('25.10 MASAKA-MUTUKULA'!H52,'26.10 MASAKA-MUTUKULA-24HR'!H52,'27.10 Masaka-Mutukula'!H52,'28.10 MASAKA-MUTUKULA-24HR'!H52,'29.10 MASAKA-MUTUKULA'!H52,'30.10 MASAKA-MUTUKULA'!H52,'31.10 Masaka-Mutukula'!H52)</f>
        <v>0</v>
      </c>
      <c r="I52" s="49">
        <f>AVERAGE('25.10 MASAKA-MUTUKULA'!I52,'26.10 MASAKA-MUTUKULA-24HR'!I52,'27.10 Masaka-Mutukula'!I52,'28.10 MASAKA-MUTUKULA-24HR'!I52,'29.10 MASAKA-MUTUKULA'!I52,'30.10 MASAKA-MUTUKULA'!I52,'31.10 Masaka-Mutukula'!I52)</f>
        <v>0.8571428571428571</v>
      </c>
      <c r="J52" s="49">
        <f>AVERAGE('25.10 MASAKA-MUTUKULA'!J52,'26.10 MASAKA-MUTUKULA-24HR'!J52,'27.10 Masaka-Mutukula'!J52,'28.10 MASAKA-MUTUKULA-24HR'!J52,'29.10 MASAKA-MUTUKULA'!J52,'30.10 MASAKA-MUTUKULA'!J52,'31.10 Masaka-Mutukula'!J52)</f>
        <v>0.42857142857142855</v>
      </c>
      <c r="K52" s="49">
        <f>AVERAGE('25.10 MASAKA-MUTUKULA'!K52,'26.10 MASAKA-MUTUKULA-24HR'!K52,'27.10 Masaka-Mutukula'!K52,'28.10 MASAKA-MUTUKULA-24HR'!K52,'29.10 MASAKA-MUTUKULA'!K52,'30.10 MASAKA-MUTUKULA'!K52,'31.10 Masaka-Mutukula'!K52)</f>
        <v>1.2857142857142858</v>
      </c>
      <c r="L52" s="49">
        <f>AVERAGE('25.10 MASAKA-MUTUKULA'!L52,'26.10 MASAKA-MUTUKULA-24HR'!L52,'27.10 Masaka-Mutukula'!L52,'28.10 MASAKA-MUTUKULA-24HR'!L52,'29.10 MASAKA-MUTUKULA'!L52,'30.10 MASAKA-MUTUKULA'!L52,'31.10 Masaka-Mutukula'!L52)</f>
        <v>0</v>
      </c>
      <c r="M52" s="49">
        <f>AVERAGE('25.10 MASAKA-MUTUKULA'!M52,'26.10 MASAKA-MUTUKULA-24HR'!M52,'27.10 Masaka-Mutukula'!M52,'28.10 MASAKA-MUTUKULA-24HR'!M52,'29.10 MASAKA-MUTUKULA'!M52,'30.10 MASAKA-MUTUKULA'!M52,'31.10 Masaka-Mutukula'!M52)</f>
        <v>14</v>
      </c>
      <c r="N52" s="49">
        <f>AVERAGE('25.10 MASAKA-MUTUKULA'!N52,'26.10 MASAKA-MUTUKULA-24HR'!N52,'27.10 Masaka-Mutukula'!N52,'28.10 MASAKA-MUTUKULA-24HR'!N52,'29.10 MASAKA-MUTUKULA'!N52,'30.10 MASAKA-MUTUKULA'!N52,'31.10 Masaka-Mutukula'!N52)</f>
        <v>0</v>
      </c>
      <c r="O52" s="15">
        <f t="shared" si="0"/>
        <v>7.2857142857142856</v>
      </c>
      <c r="P52" s="15">
        <f t="shared" si="1"/>
        <v>21.285714285714285</v>
      </c>
      <c r="R52" s="8"/>
      <c r="T52"/>
    </row>
    <row r="53" spans="2:20" ht="23.1" customHeight="1" x14ac:dyDescent="0.25">
      <c r="B53" s="23" t="s">
        <v>80</v>
      </c>
      <c r="C53" s="49">
        <f>AVERAGE('25.10 MASAKA-MUTUKULA'!C53,'26.10 MASAKA-MUTUKULA-24HR'!C53,'27.10 Masaka-Mutukula'!C53,'28.10 MASAKA-MUTUKULA-24HR'!C53,'29.10 MASAKA-MUTUKULA'!C53,'30.10 MASAKA-MUTUKULA'!C53,'31.10 Masaka-Mutukula'!C53)</f>
        <v>3</v>
      </c>
      <c r="D53" s="49">
        <f>AVERAGE('25.10 MASAKA-MUTUKULA'!D53,'26.10 MASAKA-MUTUKULA-24HR'!D53,'27.10 Masaka-Mutukula'!D53,'28.10 MASAKA-MUTUKULA-24HR'!D53,'29.10 MASAKA-MUTUKULA'!D53,'30.10 MASAKA-MUTUKULA'!D53,'31.10 Masaka-Mutukula'!D53)</f>
        <v>0.5714285714285714</v>
      </c>
      <c r="E53" s="49">
        <f>AVERAGE('25.10 MASAKA-MUTUKULA'!E53,'26.10 MASAKA-MUTUKULA-24HR'!E53,'27.10 Masaka-Mutukula'!E53,'28.10 MASAKA-MUTUKULA-24HR'!E53,'29.10 MASAKA-MUTUKULA'!E53,'30.10 MASAKA-MUTUKULA'!E53,'31.10 Masaka-Mutukula'!E53)</f>
        <v>0.42857142857142855</v>
      </c>
      <c r="F53" s="49">
        <f>AVERAGE('25.10 MASAKA-MUTUKULA'!F53,'26.10 MASAKA-MUTUKULA-24HR'!F53,'27.10 Masaka-Mutukula'!F53,'28.10 MASAKA-MUTUKULA-24HR'!F53,'29.10 MASAKA-MUTUKULA'!F53,'30.10 MASAKA-MUTUKULA'!F53,'31.10 Masaka-Mutukula'!F53)</f>
        <v>1.4285714285714286</v>
      </c>
      <c r="G53" s="49">
        <f>AVERAGE('25.10 MASAKA-MUTUKULA'!G53,'26.10 MASAKA-MUTUKULA-24HR'!G53,'27.10 Masaka-Mutukula'!G53,'28.10 MASAKA-MUTUKULA-24HR'!G53,'29.10 MASAKA-MUTUKULA'!G53,'30.10 MASAKA-MUTUKULA'!G53,'31.10 Masaka-Mutukula'!G53)</f>
        <v>0</v>
      </c>
      <c r="H53" s="49">
        <f>AVERAGE('25.10 MASAKA-MUTUKULA'!H53,'26.10 MASAKA-MUTUKULA-24HR'!H53,'27.10 Masaka-Mutukula'!H53,'28.10 MASAKA-MUTUKULA-24HR'!H53,'29.10 MASAKA-MUTUKULA'!H53,'30.10 MASAKA-MUTUKULA'!H53,'31.10 Masaka-Mutukula'!H53)</f>
        <v>0</v>
      </c>
      <c r="I53" s="49">
        <f>AVERAGE('25.10 MASAKA-MUTUKULA'!I53,'26.10 MASAKA-MUTUKULA-24HR'!I53,'27.10 Masaka-Mutukula'!I53,'28.10 MASAKA-MUTUKULA-24HR'!I53,'29.10 MASAKA-MUTUKULA'!I53,'30.10 MASAKA-MUTUKULA'!I53,'31.10 Masaka-Mutukula'!I53)</f>
        <v>1</v>
      </c>
      <c r="J53" s="49">
        <f>AVERAGE('25.10 MASAKA-MUTUKULA'!J53,'26.10 MASAKA-MUTUKULA-24HR'!J53,'27.10 Masaka-Mutukula'!J53,'28.10 MASAKA-MUTUKULA-24HR'!J53,'29.10 MASAKA-MUTUKULA'!J53,'30.10 MASAKA-MUTUKULA'!J53,'31.10 Masaka-Mutukula'!J53)</f>
        <v>0.2857142857142857</v>
      </c>
      <c r="K53" s="49">
        <f>AVERAGE('25.10 MASAKA-MUTUKULA'!K53,'26.10 MASAKA-MUTUKULA-24HR'!K53,'27.10 Masaka-Mutukula'!K53,'28.10 MASAKA-MUTUKULA-24HR'!K53,'29.10 MASAKA-MUTUKULA'!K53,'30.10 MASAKA-MUTUKULA'!K53,'31.10 Masaka-Mutukula'!K53)</f>
        <v>1</v>
      </c>
      <c r="L53" s="49">
        <f>AVERAGE('25.10 MASAKA-MUTUKULA'!L53,'26.10 MASAKA-MUTUKULA-24HR'!L53,'27.10 Masaka-Mutukula'!L53,'28.10 MASAKA-MUTUKULA-24HR'!L53,'29.10 MASAKA-MUTUKULA'!L53,'30.10 MASAKA-MUTUKULA'!L53,'31.10 Masaka-Mutukula'!L53)</f>
        <v>0</v>
      </c>
      <c r="M53" s="49">
        <f>AVERAGE('25.10 MASAKA-MUTUKULA'!M53,'26.10 MASAKA-MUTUKULA-24HR'!M53,'27.10 Masaka-Mutukula'!M53,'28.10 MASAKA-MUTUKULA-24HR'!M53,'29.10 MASAKA-MUTUKULA'!M53,'30.10 MASAKA-MUTUKULA'!M53,'31.10 Masaka-Mutukula'!M53)</f>
        <v>12.714285714285714</v>
      </c>
      <c r="N53" s="49">
        <f>AVERAGE('25.10 MASAKA-MUTUKULA'!N53,'26.10 MASAKA-MUTUKULA-24HR'!N53,'27.10 Masaka-Mutukula'!N53,'28.10 MASAKA-MUTUKULA-24HR'!N53,'29.10 MASAKA-MUTUKULA'!N53,'30.10 MASAKA-MUTUKULA'!N53,'31.10 Masaka-Mutukula'!N53)</f>
        <v>0</v>
      </c>
      <c r="O53" s="15">
        <f t="shared" si="0"/>
        <v>7.7142857142857135</v>
      </c>
      <c r="P53" s="15">
        <f t="shared" si="1"/>
        <v>20.428571428571427</v>
      </c>
      <c r="R53" s="8"/>
      <c r="T53"/>
    </row>
    <row r="54" spans="2:20" ht="23.1" customHeight="1" x14ac:dyDescent="0.25">
      <c r="B54" s="23" t="s">
        <v>81</v>
      </c>
      <c r="C54" s="49">
        <f>AVERAGE('25.10 MASAKA-MUTUKULA'!C54,'26.10 MASAKA-MUTUKULA-24HR'!C54,'27.10 Masaka-Mutukula'!C54,'28.10 MASAKA-MUTUKULA-24HR'!C54,'29.10 MASAKA-MUTUKULA'!C54,'30.10 MASAKA-MUTUKULA'!C54,'31.10 Masaka-Mutukula'!C54)</f>
        <v>4.8571428571428568</v>
      </c>
      <c r="D54" s="49">
        <f>AVERAGE('25.10 MASAKA-MUTUKULA'!D54,'26.10 MASAKA-MUTUKULA-24HR'!D54,'27.10 Masaka-Mutukula'!D54,'28.10 MASAKA-MUTUKULA-24HR'!D54,'29.10 MASAKA-MUTUKULA'!D54,'30.10 MASAKA-MUTUKULA'!D54,'31.10 Masaka-Mutukula'!D54)</f>
        <v>0.2857142857142857</v>
      </c>
      <c r="E54" s="49">
        <f>AVERAGE('25.10 MASAKA-MUTUKULA'!E54,'26.10 MASAKA-MUTUKULA-24HR'!E54,'27.10 Masaka-Mutukula'!E54,'28.10 MASAKA-MUTUKULA-24HR'!E54,'29.10 MASAKA-MUTUKULA'!E54,'30.10 MASAKA-MUTUKULA'!E54,'31.10 Masaka-Mutukula'!E54)</f>
        <v>0.5714285714285714</v>
      </c>
      <c r="F54" s="49">
        <f>AVERAGE('25.10 MASAKA-MUTUKULA'!F54,'26.10 MASAKA-MUTUKULA-24HR'!F54,'27.10 Masaka-Mutukula'!F54,'28.10 MASAKA-MUTUKULA-24HR'!F54,'29.10 MASAKA-MUTUKULA'!F54,'30.10 MASAKA-MUTUKULA'!F54,'31.10 Masaka-Mutukula'!F54)</f>
        <v>1.2857142857142858</v>
      </c>
      <c r="G54" s="49">
        <f>AVERAGE('25.10 MASAKA-MUTUKULA'!G54,'26.10 MASAKA-MUTUKULA-24HR'!G54,'27.10 Masaka-Mutukula'!G54,'28.10 MASAKA-MUTUKULA-24HR'!G54,'29.10 MASAKA-MUTUKULA'!G54,'30.10 MASAKA-MUTUKULA'!G54,'31.10 Masaka-Mutukula'!G54)</f>
        <v>0</v>
      </c>
      <c r="H54" s="49">
        <f>AVERAGE('25.10 MASAKA-MUTUKULA'!H54,'26.10 MASAKA-MUTUKULA-24HR'!H54,'27.10 Masaka-Mutukula'!H54,'28.10 MASAKA-MUTUKULA-24HR'!H54,'29.10 MASAKA-MUTUKULA'!H54,'30.10 MASAKA-MUTUKULA'!H54,'31.10 Masaka-Mutukula'!H54)</f>
        <v>0</v>
      </c>
      <c r="I54" s="49">
        <f>AVERAGE('25.10 MASAKA-MUTUKULA'!I54,'26.10 MASAKA-MUTUKULA-24HR'!I54,'27.10 Masaka-Mutukula'!I54,'28.10 MASAKA-MUTUKULA-24HR'!I54,'29.10 MASAKA-MUTUKULA'!I54,'30.10 MASAKA-MUTUKULA'!I54,'31.10 Masaka-Mutukula'!I54)</f>
        <v>0.5714285714285714</v>
      </c>
      <c r="J54" s="49">
        <f>AVERAGE('25.10 MASAKA-MUTUKULA'!J54,'26.10 MASAKA-MUTUKULA-24HR'!J54,'27.10 Masaka-Mutukula'!J54,'28.10 MASAKA-MUTUKULA-24HR'!J54,'29.10 MASAKA-MUTUKULA'!J54,'30.10 MASAKA-MUTUKULA'!J54,'31.10 Masaka-Mutukula'!J54)</f>
        <v>0.5714285714285714</v>
      </c>
      <c r="K54" s="49">
        <f>AVERAGE('25.10 MASAKA-MUTUKULA'!K54,'26.10 MASAKA-MUTUKULA-24HR'!K54,'27.10 Masaka-Mutukula'!K54,'28.10 MASAKA-MUTUKULA-24HR'!K54,'29.10 MASAKA-MUTUKULA'!K54,'30.10 MASAKA-MUTUKULA'!K54,'31.10 Masaka-Mutukula'!K54)</f>
        <v>1.4285714285714286</v>
      </c>
      <c r="L54" s="49">
        <f>AVERAGE('25.10 MASAKA-MUTUKULA'!L54,'26.10 MASAKA-MUTUKULA-24HR'!L54,'27.10 Masaka-Mutukula'!L54,'28.10 MASAKA-MUTUKULA-24HR'!L54,'29.10 MASAKA-MUTUKULA'!L54,'30.10 MASAKA-MUTUKULA'!L54,'31.10 Masaka-Mutukula'!L54)</f>
        <v>0.42857142857142855</v>
      </c>
      <c r="M54" s="49">
        <f>AVERAGE('25.10 MASAKA-MUTUKULA'!M54,'26.10 MASAKA-MUTUKULA-24HR'!M54,'27.10 Masaka-Mutukula'!M54,'28.10 MASAKA-MUTUKULA-24HR'!M54,'29.10 MASAKA-MUTUKULA'!M54,'30.10 MASAKA-MUTUKULA'!M54,'31.10 Masaka-Mutukula'!M54)</f>
        <v>13.714285714285714</v>
      </c>
      <c r="N54" s="49">
        <f>AVERAGE('25.10 MASAKA-MUTUKULA'!N54,'26.10 MASAKA-MUTUKULA-24HR'!N54,'27.10 Masaka-Mutukula'!N54,'28.10 MASAKA-MUTUKULA-24HR'!N54,'29.10 MASAKA-MUTUKULA'!N54,'30.10 MASAKA-MUTUKULA'!N54,'31.10 Masaka-Mutukula'!N54)</f>
        <v>0</v>
      </c>
      <c r="O54" s="15">
        <f t="shared" si="0"/>
        <v>10</v>
      </c>
      <c r="P54" s="15">
        <f t="shared" si="1"/>
        <v>23.714285714285715</v>
      </c>
      <c r="R54" s="8"/>
      <c r="T54"/>
    </row>
    <row r="55" spans="2:20" ht="23.1" customHeight="1" x14ac:dyDescent="0.25">
      <c r="B55" s="23" t="s">
        <v>82</v>
      </c>
      <c r="C55" s="49">
        <f>AVERAGE('25.10 MASAKA-MUTUKULA'!C55,'26.10 MASAKA-MUTUKULA-24HR'!C55,'27.10 Masaka-Mutukula'!C55,'28.10 MASAKA-MUTUKULA-24HR'!C55,'29.10 MASAKA-MUTUKULA'!C55,'30.10 MASAKA-MUTUKULA'!C55,'31.10 Masaka-Mutukula'!C55)</f>
        <v>3.7142857142857144</v>
      </c>
      <c r="D55" s="49">
        <f>AVERAGE('25.10 MASAKA-MUTUKULA'!D55,'26.10 MASAKA-MUTUKULA-24HR'!D55,'27.10 Masaka-Mutukula'!D55,'28.10 MASAKA-MUTUKULA-24HR'!D55,'29.10 MASAKA-MUTUKULA'!D55,'30.10 MASAKA-MUTUKULA'!D55,'31.10 Masaka-Mutukula'!D55)</f>
        <v>0.2857142857142857</v>
      </c>
      <c r="E55" s="49">
        <f>AVERAGE('25.10 MASAKA-MUTUKULA'!E55,'26.10 MASAKA-MUTUKULA-24HR'!E55,'27.10 Masaka-Mutukula'!E55,'28.10 MASAKA-MUTUKULA-24HR'!E55,'29.10 MASAKA-MUTUKULA'!E55,'30.10 MASAKA-MUTUKULA'!E55,'31.10 Masaka-Mutukula'!E55)</f>
        <v>0.42857142857142855</v>
      </c>
      <c r="F55" s="49">
        <f>AVERAGE('25.10 MASAKA-MUTUKULA'!F55,'26.10 MASAKA-MUTUKULA-24HR'!F55,'27.10 Masaka-Mutukula'!F55,'28.10 MASAKA-MUTUKULA-24HR'!F55,'29.10 MASAKA-MUTUKULA'!F55,'30.10 MASAKA-MUTUKULA'!F55,'31.10 Masaka-Mutukula'!F55)</f>
        <v>1.4285714285714286</v>
      </c>
      <c r="G55" s="49">
        <f>AVERAGE('25.10 MASAKA-MUTUKULA'!G55,'26.10 MASAKA-MUTUKULA-24HR'!G55,'27.10 Masaka-Mutukula'!G55,'28.10 MASAKA-MUTUKULA-24HR'!G55,'29.10 MASAKA-MUTUKULA'!G55,'30.10 MASAKA-MUTUKULA'!G55,'31.10 Masaka-Mutukula'!G55)</f>
        <v>0</v>
      </c>
      <c r="H55" s="49">
        <f>AVERAGE('25.10 MASAKA-MUTUKULA'!H55,'26.10 MASAKA-MUTUKULA-24HR'!H55,'27.10 Masaka-Mutukula'!H55,'28.10 MASAKA-MUTUKULA-24HR'!H55,'29.10 MASAKA-MUTUKULA'!H55,'30.10 MASAKA-MUTUKULA'!H55,'31.10 Masaka-Mutukula'!H55)</f>
        <v>0</v>
      </c>
      <c r="I55" s="49">
        <f>AVERAGE('25.10 MASAKA-MUTUKULA'!I55,'26.10 MASAKA-MUTUKULA-24HR'!I55,'27.10 Masaka-Mutukula'!I55,'28.10 MASAKA-MUTUKULA-24HR'!I55,'29.10 MASAKA-MUTUKULA'!I55,'30.10 MASAKA-MUTUKULA'!I55,'31.10 Masaka-Mutukula'!I55)</f>
        <v>1.5714285714285714</v>
      </c>
      <c r="J55" s="49">
        <f>AVERAGE('25.10 MASAKA-MUTUKULA'!J55,'26.10 MASAKA-MUTUKULA-24HR'!J55,'27.10 Masaka-Mutukula'!J55,'28.10 MASAKA-MUTUKULA-24HR'!J55,'29.10 MASAKA-MUTUKULA'!J55,'30.10 MASAKA-MUTUKULA'!J55,'31.10 Masaka-Mutukula'!J55)</f>
        <v>0.2857142857142857</v>
      </c>
      <c r="K55" s="49">
        <f>AVERAGE('25.10 MASAKA-MUTUKULA'!K55,'26.10 MASAKA-MUTUKULA-24HR'!K55,'27.10 Masaka-Mutukula'!K55,'28.10 MASAKA-MUTUKULA-24HR'!K55,'29.10 MASAKA-MUTUKULA'!K55,'30.10 MASAKA-MUTUKULA'!K55,'31.10 Masaka-Mutukula'!K55)</f>
        <v>1.7142857142857142</v>
      </c>
      <c r="L55" s="49">
        <f>AVERAGE('25.10 MASAKA-MUTUKULA'!L55,'26.10 MASAKA-MUTUKULA-24HR'!L55,'27.10 Masaka-Mutukula'!L55,'28.10 MASAKA-MUTUKULA-24HR'!L55,'29.10 MASAKA-MUTUKULA'!L55,'30.10 MASAKA-MUTUKULA'!L55,'31.10 Masaka-Mutukula'!L55)</f>
        <v>0</v>
      </c>
      <c r="M55" s="49">
        <f>AVERAGE('25.10 MASAKA-MUTUKULA'!M55,'26.10 MASAKA-MUTUKULA-24HR'!M55,'27.10 Masaka-Mutukula'!M55,'28.10 MASAKA-MUTUKULA-24HR'!M55,'29.10 MASAKA-MUTUKULA'!M55,'30.10 MASAKA-MUTUKULA'!M55,'31.10 Masaka-Mutukula'!M55)</f>
        <v>14.571428571428571</v>
      </c>
      <c r="N55" s="49">
        <f>AVERAGE('25.10 MASAKA-MUTUKULA'!N55,'26.10 MASAKA-MUTUKULA-24HR'!N55,'27.10 Masaka-Mutukula'!N55,'28.10 MASAKA-MUTUKULA-24HR'!N55,'29.10 MASAKA-MUTUKULA'!N55,'30.10 MASAKA-MUTUKULA'!N55,'31.10 Masaka-Mutukula'!N55)</f>
        <v>2.2857142857142856</v>
      </c>
      <c r="O55" s="15">
        <f t="shared" si="0"/>
        <v>11.714285714285715</v>
      </c>
      <c r="P55" s="15">
        <f t="shared" si="1"/>
        <v>26.285714285714285</v>
      </c>
      <c r="R55" s="8"/>
      <c r="T55"/>
    </row>
    <row r="56" spans="2:20" ht="23.1" customHeight="1" x14ac:dyDescent="0.25">
      <c r="B56" s="23" t="s">
        <v>83</v>
      </c>
      <c r="C56" s="49">
        <f>AVERAGE('25.10 MASAKA-MUTUKULA'!C56,'26.10 MASAKA-MUTUKULA-24HR'!C56,'27.10 Masaka-Mutukula'!C56,'28.10 MASAKA-MUTUKULA-24HR'!C56,'29.10 MASAKA-MUTUKULA'!C56,'30.10 MASAKA-MUTUKULA'!C56,'31.10 Masaka-Mutukula'!C56)</f>
        <v>4.5714285714285712</v>
      </c>
      <c r="D56" s="49">
        <f>AVERAGE('25.10 MASAKA-MUTUKULA'!D56,'26.10 MASAKA-MUTUKULA-24HR'!D56,'27.10 Masaka-Mutukula'!D56,'28.10 MASAKA-MUTUKULA-24HR'!D56,'29.10 MASAKA-MUTUKULA'!D56,'30.10 MASAKA-MUTUKULA'!D56,'31.10 Masaka-Mutukula'!D56)</f>
        <v>0.2857142857142857</v>
      </c>
      <c r="E56" s="49">
        <f>AVERAGE('25.10 MASAKA-MUTUKULA'!E56,'26.10 MASAKA-MUTUKULA-24HR'!E56,'27.10 Masaka-Mutukula'!E56,'28.10 MASAKA-MUTUKULA-24HR'!E56,'29.10 MASAKA-MUTUKULA'!E56,'30.10 MASAKA-MUTUKULA'!E56,'31.10 Masaka-Mutukula'!E56)</f>
        <v>0.5714285714285714</v>
      </c>
      <c r="F56" s="49">
        <f>AVERAGE('25.10 MASAKA-MUTUKULA'!F56,'26.10 MASAKA-MUTUKULA-24HR'!F56,'27.10 Masaka-Mutukula'!F56,'28.10 MASAKA-MUTUKULA-24HR'!F56,'29.10 MASAKA-MUTUKULA'!F56,'30.10 MASAKA-MUTUKULA'!F56,'31.10 Masaka-Mutukula'!F56)</f>
        <v>2</v>
      </c>
      <c r="G56" s="49">
        <f>AVERAGE('25.10 MASAKA-MUTUKULA'!G56,'26.10 MASAKA-MUTUKULA-24HR'!G56,'27.10 Masaka-Mutukula'!G56,'28.10 MASAKA-MUTUKULA-24HR'!G56,'29.10 MASAKA-MUTUKULA'!G56,'30.10 MASAKA-MUTUKULA'!G56,'31.10 Masaka-Mutukula'!G56)</f>
        <v>0</v>
      </c>
      <c r="H56" s="49">
        <f>AVERAGE('25.10 MASAKA-MUTUKULA'!H56,'26.10 MASAKA-MUTUKULA-24HR'!H56,'27.10 Masaka-Mutukula'!H56,'28.10 MASAKA-MUTUKULA-24HR'!H56,'29.10 MASAKA-MUTUKULA'!H56,'30.10 MASAKA-MUTUKULA'!H56,'31.10 Masaka-Mutukula'!H56)</f>
        <v>0</v>
      </c>
      <c r="I56" s="49">
        <f>AVERAGE('25.10 MASAKA-MUTUKULA'!I56,'26.10 MASAKA-MUTUKULA-24HR'!I56,'27.10 Masaka-Mutukula'!I56,'28.10 MASAKA-MUTUKULA-24HR'!I56,'29.10 MASAKA-MUTUKULA'!I56,'30.10 MASAKA-MUTUKULA'!I56,'31.10 Masaka-Mutukula'!I56)</f>
        <v>0.7142857142857143</v>
      </c>
      <c r="J56" s="49">
        <f>AVERAGE('25.10 MASAKA-MUTUKULA'!J56,'26.10 MASAKA-MUTUKULA-24HR'!J56,'27.10 Masaka-Mutukula'!J56,'28.10 MASAKA-MUTUKULA-24HR'!J56,'29.10 MASAKA-MUTUKULA'!J56,'30.10 MASAKA-MUTUKULA'!J56,'31.10 Masaka-Mutukula'!J56)</f>
        <v>0.42857142857142855</v>
      </c>
      <c r="K56" s="49">
        <f>AVERAGE('25.10 MASAKA-MUTUKULA'!K56,'26.10 MASAKA-MUTUKULA-24HR'!K56,'27.10 Masaka-Mutukula'!K56,'28.10 MASAKA-MUTUKULA-24HR'!K56,'29.10 MASAKA-MUTUKULA'!K56,'30.10 MASAKA-MUTUKULA'!K56,'31.10 Masaka-Mutukula'!K56)</f>
        <v>1</v>
      </c>
      <c r="L56" s="49">
        <f>AVERAGE('25.10 MASAKA-MUTUKULA'!L56,'26.10 MASAKA-MUTUKULA-24HR'!L56,'27.10 Masaka-Mutukula'!L56,'28.10 MASAKA-MUTUKULA-24HR'!L56,'29.10 MASAKA-MUTUKULA'!L56,'30.10 MASAKA-MUTUKULA'!L56,'31.10 Masaka-Mutukula'!L56)</f>
        <v>0.42857142857142855</v>
      </c>
      <c r="M56" s="49">
        <f>AVERAGE('25.10 MASAKA-MUTUKULA'!M56,'26.10 MASAKA-MUTUKULA-24HR'!M56,'27.10 Masaka-Mutukula'!M56,'28.10 MASAKA-MUTUKULA-24HR'!M56,'29.10 MASAKA-MUTUKULA'!M56,'30.10 MASAKA-MUTUKULA'!M56,'31.10 Masaka-Mutukula'!M56)</f>
        <v>13</v>
      </c>
      <c r="N56" s="49">
        <f>AVERAGE('25.10 MASAKA-MUTUKULA'!N56,'26.10 MASAKA-MUTUKULA-24HR'!N56,'27.10 Masaka-Mutukula'!N56,'28.10 MASAKA-MUTUKULA-24HR'!N56,'29.10 MASAKA-MUTUKULA'!N56,'30.10 MASAKA-MUTUKULA'!N56,'31.10 Masaka-Mutukula'!N56)</f>
        <v>3.2857142857142856</v>
      </c>
      <c r="O56" s="15">
        <f t="shared" si="0"/>
        <v>13.285714285714285</v>
      </c>
      <c r="P56" s="15">
        <f t="shared" si="1"/>
        <v>26.285714285714285</v>
      </c>
      <c r="R56" s="8"/>
      <c r="T56"/>
    </row>
    <row r="57" spans="2:20" ht="23.1" customHeight="1" x14ac:dyDescent="0.25">
      <c r="B57" s="23" t="s">
        <v>84</v>
      </c>
      <c r="C57" s="49">
        <f>AVERAGE('25.10 MASAKA-MUTUKULA'!C57,'26.10 MASAKA-MUTUKULA-24HR'!C57,'27.10 Masaka-Mutukula'!C57,'28.10 MASAKA-MUTUKULA-24HR'!C57,'29.10 MASAKA-MUTUKULA'!C57,'30.10 MASAKA-MUTUKULA'!C57,'31.10 Masaka-Mutukula'!C57)</f>
        <v>2.7142857142857144</v>
      </c>
      <c r="D57" s="49">
        <f>AVERAGE('25.10 MASAKA-MUTUKULA'!D57,'26.10 MASAKA-MUTUKULA-24HR'!D57,'27.10 Masaka-Mutukula'!D57,'28.10 MASAKA-MUTUKULA-24HR'!D57,'29.10 MASAKA-MUTUKULA'!D57,'30.10 MASAKA-MUTUKULA'!D57,'31.10 Masaka-Mutukula'!D57)</f>
        <v>0.2857142857142857</v>
      </c>
      <c r="E57" s="49">
        <f>AVERAGE('25.10 MASAKA-MUTUKULA'!E57,'26.10 MASAKA-MUTUKULA-24HR'!E57,'27.10 Masaka-Mutukula'!E57,'28.10 MASAKA-MUTUKULA-24HR'!E57,'29.10 MASAKA-MUTUKULA'!E57,'30.10 MASAKA-MUTUKULA'!E57,'31.10 Masaka-Mutukula'!E57)</f>
        <v>0</v>
      </c>
      <c r="F57" s="49">
        <f>AVERAGE('25.10 MASAKA-MUTUKULA'!F57,'26.10 MASAKA-MUTUKULA-24HR'!F57,'27.10 Masaka-Mutukula'!F57,'28.10 MASAKA-MUTUKULA-24HR'!F57,'29.10 MASAKA-MUTUKULA'!F57,'30.10 MASAKA-MUTUKULA'!F57,'31.10 Masaka-Mutukula'!F57)</f>
        <v>1.8571428571428572</v>
      </c>
      <c r="G57" s="49">
        <f>AVERAGE('25.10 MASAKA-MUTUKULA'!G57,'26.10 MASAKA-MUTUKULA-24HR'!G57,'27.10 Masaka-Mutukula'!G57,'28.10 MASAKA-MUTUKULA-24HR'!G57,'29.10 MASAKA-MUTUKULA'!G57,'30.10 MASAKA-MUTUKULA'!G57,'31.10 Masaka-Mutukula'!G57)</f>
        <v>0</v>
      </c>
      <c r="H57" s="49">
        <f>AVERAGE('25.10 MASAKA-MUTUKULA'!H57,'26.10 MASAKA-MUTUKULA-24HR'!H57,'27.10 Masaka-Mutukula'!H57,'28.10 MASAKA-MUTUKULA-24HR'!H57,'29.10 MASAKA-MUTUKULA'!H57,'30.10 MASAKA-MUTUKULA'!H57,'31.10 Masaka-Mutukula'!H57)</f>
        <v>0</v>
      </c>
      <c r="I57" s="49">
        <f>AVERAGE('25.10 MASAKA-MUTUKULA'!I57,'26.10 MASAKA-MUTUKULA-24HR'!I57,'27.10 Masaka-Mutukula'!I57,'28.10 MASAKA-MUTUKULA-24HR'!I57,'29.10 MASAKA-MUTUKULA'!I57,'30.10 MASAKA-MUTUKULA'!I57,'31.10 Masaka-Mutukula'!I57)</f>
        <v>1</v>
      </c>
      <c r="J57" s="49">
        <f>AVERAGE('25.10 MASAKA-MUTUKULA'!J57,'26.10 MASAKA-MUTUKULA-24HR'!J57,'27.10 Masaka-Mutukula'!J57,'28.10 MASAKA-MUTUKULA-24HR'!J57,'29.10 MASAKA-MUTUKULA'!J57,'30.10 MASAKA-MUTUKULA'!J57,'31.10 Masaka-Mutukula'!J57)</f>
        <v>0.2857142857142857</v>
      </c>
      <c r="K57" s="49">
        <f>AVERAGE('25.10 MASAKA-MUTUKULA'!K57,'26.10 MASAKA-MUTUKULA-24HR'!K57,'27.10 Masaka-Mutukula'!K57,'28.10 MASAKA-MUTUKULA-24HR'!K57,'29.10 MASAKA-MUTUKULA'!K57,'30.10 MASAKA-MUTUKULA'!K57,'31.10 Masaka-Mutukula'!K57)</f>
        <v>0.5714285714285714</v>
      </c>
      <c r="L57" s="49">
        <f>AVERAGE('25.10 MASAKA-MUTUKULA'!L57,'26.10 MASAKA-MUTUKULA-24HR'!L57,'27.10 Masaka-Mutukula'!L57,'28.10 MASAKA-MUTUKULA-24HR'!L57,'29.10 MASAKA-MUTUKULA'!L57,'30.10 MASAKA-MUTUKULA'!L57,'31.10 Masaka-Mutukula'!L57)</f>
        <v>0.14285714285714285</v>
      </c>
      <c r="M57" s="49">
        <f>AVERAGE('25.10 MASAKA-MUTUKULA'!M57,'26.10 MASAKA-MUTUKULA-24HR'!M57,'27.10 Masaka-Mutukula'!M57,'28.10 MASAKA-MUTUKULA-24HR'!M57,'29.10 MASAKA-MUTUKULA'!M57,'30.10 MASAKA-MUTUKULA'!M57,'31.10 Masaka-Mutukula'!M57)</f>
        <v>14.714285714285714</v>
      </c>
      <c r="N57" s="49">
        <f>AVERAGE('25.10 MASAKA-MUTUKULA'!N57,'26.10 MASAKA-MUTUKULA-24HR'!N57,'27.10 Masaka-Mutukula'!N57,'28.10 MASAKA-MUTUKULA-24HR'!N57,'29.10 MASAKA-MUTUKULA'!N57,'30.10 MASAKA-MUTUKULA'!N57,'31.10 Masaka-Mutukula'!N57)</f>
        <v>1</v>
      </c>
      <c r="O57" s="15">
        <f t="shared" si="0"/>
        <v>7.8571428571428577</v>
      </c>
      <c r="P57" s="15">
        <f t="shared" si="1"/>
        <v>22.571428571428569</v>
      </c>
      <c r="R57" s="8"/>
      <c r="T57"/>
    </row>
    <row r="58" spans="2:20" ht="23.1" customHeight="1" x14ac:dyDescent="0.25">
      <c r="B58" s="23" t="s">
        <v>99</v>
      </c>
      <c r="C58" s="49">
        <f>AVERAGE('26.10 MASAKA-MUTUKULA-24HR'!C58,'28.10 MASAKA-MUTUKULA-24HR'!C58)</f>
        <v>1.5</v>
      </c>
      <c r="D58" s="49">
        <f>AVERAGE('26.10 MASAKA-MUTUKULA-24HR'!D58,'28.10 MASAKA-MUTUKULA-24HR'!D58)</f>
        <v>1</v>
      </c>
      <c r="E58" s="49">
        <f>AVERAGE('26.10 MASAKA-MUTUKULA-24HR'!E58,'28.10 MASAKA-MUTUKULA-24HR'!E58)</f>
        <v>0</v>
      </c>
      <c r="F58" s="49">
        <f>AVERAGE('26.10 MASAKA-MUTUKULA-24HR'!F58,'28.10 MASAKA-MUTUKULA-24HR'!F58)</f>
        <v>0.5</v>
      </c>
      <c r="G58" s="49">
        <f>AVERAGE('26.10 MASAKA-MUTUKULA-24HR'!G58,'28.10 MASAKA-MUTUKULA-24HR'!G58)</f>
        <v>0</v>
      </c>
      <c r="H58" s="49">
        <f>AVERAGE('26.10 MASAKA-MUTUKULA-24HR'!H58,'28.10 MASAKA-MUTUKULA-24HR'!H58)</f>
        <v>0</v>
      </c>
      <c r="I58" s="49">
        <f>AVERAGE('26.10 MASAKA-MUTUKULA-24HR'!I58,'28.10 MASAKA-MUTUKULA-24HR'!I58)</f>
        <v>0</v>
      </c>
      <c r="J58" s="49">
        <f>AVERAGE('26.10 MASAKA-MUTUKULA-24HR'!J58,'28.10 MASAKA-MUTUKULA-24HR'!J58)</f>
        <v>1</v>
      </c>
      <c r="K58" s="49">
        <f>AVERAGE('26.10 MASAKA-MUTUKULA-24HR'!K58,'28.10 MASAKA-MUTUKULA-24HR'!K58)</f>
        <v>0</v>
      </c>
      <c r="L58" s="49">
        <f>AVERAGE('26.10 MASAKA-MUTUKULA-24HR'!L58,'28.10 MASAKA-MUTUKULA-24HR'!L58)</f>
        <v>0</v>
      </c>
      <c r="M58" s="49">
        <f>AVERAGE('26.10 MASAKA-MUTUKULA-24HR'!M58,'28.10 MASAKA-MUTUKULA-24HR'!M58)</f>
        <v>14.5</v>
      </c>
      <c r="N58" s="49">
        <f>AVERAGE('26.10 MASAKA-MUTUKULA-24HR'!N58,'28.10 MASAKA-MUTUKULA-24HR'!N58)</f>
        <v>0</v>
      </c>
      <c r="O58" s="15">
        <f t="shared" si="0"/>
        <v>4</v>
      </c>
      <c r="P58" s="15">
        <f t="shared" si="1"/>
        <v>18.5</v>
      </c>
      <c r="R58" s="8"/>
      <c r="T58"/>
    </row>
    <row r="59" spans="2:20" ht="23.1" customHeight="1" x14ac:dyDescent="0.25">
      <c r="B59" s="23" t="s">
        <v>100</v>
      </c>
      <c r="C59" s="49">
        <f>AVERAGE('26.10 MASAKA-MUTUKULA-24HR'!C59,'28.10 MASAKA-MUTUKULA-24HR'!C59)</f>
        <v>2.5</v>
      </c>
      <c r="D59" s="49">
        <f>AVERAGE('26.10 MASAKA-MUTUKULA-24HR'!D59,'28.10 MASAKA-MUTUKULA-24HR'!D59)</f>
        <v>1</v>
      </c>
      <c r="E59" s="49">
        <f>AVERAGE('26.10 MASAKA-MUTUKULA-24HR'!E59,'28.10 MASAKA-MUTUKULA-24HR'!E59)</f>
        <v>0</v>
      </c>
      <c r="F59" s="49">
        <f>AVERAGE('26.10 MASAKA-MUTUKULA-24HR'!F59,'28.10 MASAKA-MUTUKULA-24HR'!F59)</f>
        <v>1.5</v>
      </c>
      <c r="G59" s="49">
        <f>AVERAGE('26.10 MASAKA-MUTUKULA-24HR'!G59,'28.10 MASAKA-MUTUKULA-24HR'!G59)</f>
        <v>0</v>
      </c>
      <c r="H59" s="49">
        <f>AVERAGE('26.10 MASAKA-MUTUKULA-24HR'!H59,'28.10 MASAKA-MUTUKULA-24HR'!H59)</f>
        <v>0</v>
      </c>
      <c r="I59" s="49">
        <f>AVERAGE('26.10 MASAKA-MUTUKULA-24HR'!I59,'28.10 MASAKA-MUTUKULA-24HR'!I59)</f>
        <v>0</v>
      </c>
      <c r="J59" s="49">
        <f>AVERAGE('26.10 MASAKA-MUTUKULA-24HR'!J59,'28.10 MASAKA-MUTUKULA-24HR'!J59)</f>
        <v>0.5</v>
      </c>
      <c r="K59" s="49">
        <f>AVERAGE('26.10 MASAKA-MUTUKULA-24HR'!K59,'28.10 MASAKA-MUTUKULA-24HR'!K59)</f>
        <v>0</v>
      </c>
      <c r="L59" s="49">
        <f>AVERAGE('26.10 MASAKA-MUTUKULA-24HR'!L59,'28.10 MASAKA-MUTUKULA-24HR'!L59)</f>
        <v>0</v>
      </c>
      <c r="M59" s="49">
        <f>AVERAGE('26.10 MASAKA-MUTUKULA-24HR'!M59,'28.10 MASAKA-MUTUKULA-24HR'!M59)</f>
        <v>24</v>
      </c>
      <c r="N59" s="49">
        <f>AVERAGE('26.10 MASAKA-MUTUKULA-24HR'!N59,'28.10 MASAKA-MUTUKULA-24HR'!N59)</f>
        <v>0</v>
      </c>
      <c r="O59" s="15">
        <f t="shared" si="0"/>
        <v>5.5</v>
      </c>
      <c r="P59" s="15">
        <f t="shared" si="1"/>
        <v>29.5</v>
      </c>
      <c r="R59" s="8"/>
      <c r="T59"/>
    </row>
    <row r="60" spans="2:20" ht="23.1" customHeight="1" x14ac:dyDescent="0.25">
      <c r="B60" s="23" t="s">
        <v>101</v>
      </c>
      <c r="C60" s="49">
        <f>AVERAGE('26.10 MASAKA-MUTUKULA-24HR'!C60,'28.10 MASAKA-MUTUKULA-24HR'!C60)</f>
        <v>2.5</v>
      </c>
      <c r="D60" s="49">
        <f>AVERAGE('26.10 MASAKA-MUTUKULA-24HR'!D60,'28.10 MASAKA-MUTUKULA-24HR'!D60)</f>
        <v>0.5</v>
      </c>
      <c r="E60" s="49">
        <f>AVERAGE('26.10 MASAKA-MUTUKULA-24HR'!E60,'28.10 MASAKA-MUTUKULA-24HR'!E60)</f>
        <v>0</v>
      </c>
      <c r="F60" s="49">
        <f>AVERAGE('26.10 MASAKA-MUTUKULA-24HR'!F60,'28.10 MASAKA-MUTUKULA-24HR'!F60)</f>
        <v>2</v>
      </c>
      <c r="G60" s="49">
        <f>AVERAGE('26.10 MASAKA-MUTUKULA-24HR'!G60,'28.10 MASAKA-MUTUKULA-24HR'!G60)</f>
        <v>0</v>
      </c>
      <c r="H60" s="49">
        <f>AVERAGE('26.10 MASAKA-MUTUKULA-24HR'!H60,'28.10 MASAKA-MUTUKULA-24HR'!H60)</f>
        <v>0</v>
      </c>
      <c r="I60" s="49">
        <f>AVERAGE('26.10 MASAKA-MUTUKULA-24HR'!I60,'28.10 MASAKA-MUTUKULA-24HR'!I60)</f>
        <v>2</v>
      </c>
      <c r="J60" s="49">
        <f>AVERAGE('26.10 MASAKA-MUTUKULA-24HR'!J60,'28.10 MASAKA-MUTUKULA-24HR'!J60)</f>
        <v>0</v>
      </c>
      <c r="K60" s="49">
        <f>AVERAGE('26.10 MASAKA-MUTUKULA-24HR'!K60,'28.10 MASAKA-MUTUKULA-24HR'!K60)</f>
        <v>0</v>
      </c>
      <c r="L60" s="49">
        <f>AVERAGE('26.10 MASAKA-MUTUKULA-24HR'!L60,'28.10 MASAKA-MUTUKULA-24HR'!L60)</f>
        <v>0</v>
      </c>
      <c r="M60" s="49">
        <f>AVERAGE('26.10 MASAKA-MUTUKULA-24HR'!M60,'28.10 MASAKA-MUTUKULA-24HR'!M60)</f>
        <v>20</v>
      </c>
      <c r="N60" s="49">
        <f>AVERAGE('26.10 MASAKA-MUTUKULA-24HR'!N60,'28.10 MASAKA-MUTUKULA-24HR'!N60)</f>
        <v>0</v>
      </c>
      <c r="O60" s="15">
        <f t="shared" si="0"/>
        <v>7</v>
      </c>
      <c r="P60" s="15">
        <f t="shared" si="1"/>
        <v>27</v>
      </c>
      <c r="R60" s="8"/>
      <c r="T60"/>
    </row>
    <row r="61" spans="2:20" ht="23.1" customHeight="1" x14ac:dyDescent="0.25">
      <c r="B61" s="23" t="s">
        <v>102</v>
      </c>
      <c r="C61" s="49">
        <f>AVERAGE('26.10 MASAKA-MUTUKULA-24HR'!C61,'28.10 MASAKA-MUTUKULA-24HR'!C61)</f>
        <v>3</v>
      </c>
      <c r="D61" s="49">
        <f>AVERAGE('26.10 MASAKA-MUTUKULA-24HR'!D61,'28.10 MASAKA-MUTUKULA-24HR'!D61)</f>
        <v>0.5</v>
      </c>
      <c r="E61" s="49">
        <f>AVERAGE('26.10 MASAKA-MUTUKULA-24HR'!E61,'28.10 MASAKA-MUTUKULA-24HR'!E61)</f>
        <v>0</v>
      </c>
      <c r="F61" s="49">
        <f>AVERAGE('26.10 MASAKA-MUTUKULA-24HR'!F61,'28.10 MASAKA-MUTUKULA-24HR'!F61)</f>
        <v>2</v>
      </c>
      <c r="G61" s="49">
        <f>AVERAGE('26.10 MASAKA-MUTUKULA-24HR'!G61,'28.10 MASAKA-MUTUKULA-24HR'!G61)</f>
        <v>0</v>
      </c>
      <c r="H61" s="49">
        <f>AVERAGE('26.10 MASAKA-MUTUKULA-24HR'!H61,'28.10 MASAKA-MUTUKULA-24HR'!H61)</f>
        <v>0</v>
      </c>
      <c r="I61" s="49">
        <f>AVERAGE('26.10 MASAKA-MUTUKULA-24HR'!I61,'28.10 MASAKA-MUTUKULA-24HR'!I61)</f>
        <v>0.5</v>
      </c>
      <c r="J61" s="49">
        <f>AVERAGE('26.10 MASAKA-MUTUKULA-24HR'!J61,'28.10 MASAKA-MUTUKULA-24HR'!J61)</f>
        <v>1</v>
      </c>
      <c r="K61" s="49">
        <f>AVERAGE('26.10 MASAKA-MUTUKULA-24HR'!K61,'28.10 MASAKA-MUTUKULA-24HR'!K61)</f>
        <v>1</v>
      </c>
      <c r="L61" s="49">
        <f>AVERAGE('26.10 MASAKA-MUTUKULA-24HR'!L61,'28.10 MASAKA-MUTUKULA-24HR'!L61)</f>
        <v>0</v>
      </c>
      <c r="M61" s="49">
        <f>AVERAGE('26.10 MASAKA-MUTUKULA-24HR'!M61,'28.10 MASAKA-MUTUKULA-24HR'!M61)</f>
        <v>16.5</v>
      </c>
      <c r="N61" s="49">
        <f>AVERAGE('26.10 MASAKA-MUTUKULA-24HR'!N61,'28.10 MASAKA-MUTUKULA-24HR'!N61)</f>
        <v>0</v>
      </c>
      <c r="O61" s="15">
        <f t="shared" si="0"/>
        <v>8</v>
      </c>
      <c r="P61" s="15">
        <f t="shared" si="1"/>
        <v>24.5</v>
      </c>
      <c r="R61" s="8"/>
      <c r="T61"/>
    </row>
    <row r="62" spans="2:20" ht="23.1" customHeight="1" x14ac:dyDescent="0.25">
      <c r="B62" s="23" t="s">
        <v>107</v>
      </c>
      <c r="C62" s="49">
        <f>AVERAGE('26.10 MASAKA-MUTUKULA-24HR'!C62,'28.10 MASAKA-MUTUKULA-24HR'!C62)</f>
        <v>2</v>
      </c>
      <c r="D62" s="49">
        <f>AVERAGE('26.10 MASAKA-MUTUKULA-24HR'!D62,'28.10 MASAKA-MUTUKULA-24HR'!D62)</f>
        <v>0</v>
      </c>
      <c r="E62" s="49">
        <f>AVERAGE('26.10 MASAKA-MUTUKULA-24HR'!E62,'28.10 MASAKA-MUTUKULA-24HR'!E62)</f>
        <v>0</v>
      </c>
      <c r="F62" s="49">
        <f>AVERAGE('26.10 MASAKA-MUTUKULA-24HR'!F62,'28.10 MASAKA-MUTUKULA-24HR'!F62)</f>
        <v>0.5</v>
      </c>
      <c r="G62" s="49">
        <f>AVERAGE('26.10 MASAKA-MUTUKULA-24HR'!G62,'28.10 MASAKA-MUTUKULA-24HR'!G62)</f>
        <v>0</v>
      </c>
      <c r="H62" s="49">
        <f>AVERAGE('26.10 MASAKA-MUTUKULA-24HR'!H62,'28.10 MASAKA-MUTUKULA-24HR'!H62)</f>
        <v>0</v>
      </c>
      <c r="I62" s="49">
        <f>AVERAGE('26.10 MASAKA-MUTUKULA-24HR'!I62,'28.10 MASAKA-MUTUKULA-24HR'!I62)</f>
        <v>0.5</v>
      </c>
      <c r="J62" s="49">
        <f>AVERAGE('26.10 MASAKA-MUTUKULA-24HR'!J62,'28.10 MASAKA-MUTUKULA-24HR'!J62)</f>
        <v>0</v>
      </c>
      <c r="K62" s="49">
        <f>AVERAGE('26.10 MASAKA-MUTUKULA-24HR'!K62,'28.10 MASAKA-MUTUKULA-24HR'!K62)</f>
        <v>2.5</v>
      </c>
      <c r="L62" s="49">
        <f>AVERAGE('26.10 MASAKA-MUTUKULA-24HR'!L62,'28.10 MASAKA-MUTUKULA-24HR'!L62)</f>
        <v>0</v>
      </c>
      <c r="M62" s="49">
        <f>AVERAGE('26.10 MASAKA-MUTUKULA-24HR'!M62,'28.10 MASAKA-MUTUKULA-24HR'!M62)</f>
        <v>5.5</v>
      </c>
      <c r="N62" s="49">
        <f>AVERAGE('26.10 MASAKA-MUTUKULA-24HR'!N62,'28.10 MASAKA-MUTUKULA-24HR'!N62)</f>
        <v>0</v>
      </c>
      <c r="O62" s="15">
        <f t="shared" si="0"/>
        <v>5.5</v>
      </c>
      <c r="P62" s="15">
        <f t="shared" si="1"/>
        <v>11</v>
      </c>
      <c r="R62" s="8"/>
      <c r="T62"/>
    </row>
    <row r="63" spans="2:20" ht="23.1" customHeight="1" x14ac:dyDescent="0.25">
      <c r="B63" s="23" t="s">
        <v>108</v>
      </c>
      <c r="C63" s="49">
        <f>AVERAGE('26.10 MASAKA-MUTUKULA-24HR'!C63,'28.10 MASAKA-MUTUKULA-24HR'!C63)</f>
        <v>3.5</v>
      </c>
      <c r="D63" s="49">
        <f>AVERAGE('26.10 MASAKA-MUTUKULA-24HR'!D63,'28.10 MASAKA-MUTUKULA-24HR'!D63)</f>
        <v>0</v>
      </c>
      <c r="E63" s="49">
        <f>AVERAGE('26.10 MASAKA-MUTUKULA-24HR'!E63,'28.10 MASAKA-MUTUKULA-24HR'!E63)</f>
        <v>0</v>
      </c>
      <c r="F63" s="49">
        <f>AVERAGE('26.10 MASAKA-MUTUKULA-24HR'!F63,'28.10 MASAKA-MUTUKULA-24HR'!F63)</f>
        <v>0</v>
      </c>
      <c r="G63" s="49">
        <f>AVERAGE('26.10 MASAKA-MUTUKULA-24HR'!G63,'28.10 MASAKA-MUTUKULA-24HR'!G63)</f>
        <v>0</v>
      </c>
      <c r="H63" s="49">
        <f>AVERAGE('26.10 MASAKA-MUTUKULA-24HR'!H63,'28.10 MASAKA-MUTUKULA-24HR'!H63)</f>
        <v>0.5</v>
      </c>
      <c r="I63" s="49">
        <f>AVERAGE('26.10 MASAKA-MUTUKULA-24HR'!I63,'28.10 MASAKA-MUTUKULA-24HR'!I63)</f>
        <v>0.5</v>
      </c>
      <c r="J63" s="49">
        <f>AVERAGE('26.10 MASAKA-MUTUKULA-24HR'!J63,'28.10 MASAKA-MUTUKULA-24HR'!J63)</f>
        <v>0.5</v>
      </c>
      <c r="K63" s="49">
        <f>AVERAGE('26.10 MASAKA-MUTUKULA-24HR'!K63,'28.10 MASAKA-MUTUKULA-24HR'!K63)</f>
        <v>1.5</v>
      </c>
      <c r="L63" s="49">
        <f>AVERAGE('26.10 MASAKA-MUTUKULA-24HR'!L63,'28.10 MASAKA-MUTUKULA-24HR'!L63)</f>
        <v>0</v>
      </c>
      <c r="M63" s="49">
        <f>AVERAGE('26.10 MASAKA-MUTUKULA-24HR'!M63,'28.10 MASAKA-MUTUKULA-24HR'!M63)</f>
        <v>6.5</v>
      </c>
      <c r="N63" s="49">
        <f>AVERAGE('26.10 MASAKA-MUTUKULA-24HR'!N63,'28.10 MASAKA-MUTUKULA-24HR'!N63)</f>
        <v>0</v>
      </c>
      <c r="O63" s="15">
        <f t="shared" si="0"/>
        <v>6.5</v>
      </c>
      <c r="P63" s="15">
        <f t="shared" si="1"/>
        <v>13</v>
      </c>
      <c r="R63" s="8"/>
      <c r="T63"/>
    </row>
    <row r="64" spans="2:20" ht="23.1" customHeight="1" x14ac:dyDescent="0.25">
      <c r="B64" s="23" t="s">
        <v>109</v>
      </c>
      <c r="C64" s="49">
        <f>AVERAGE('26.10 MASAKA-MUTUKULA-24HR'!C64,'28.10 MASAKA-MUTUKULA-24HR'!C64)</f>
        <v>1</v>
      </c>
      <c r="D64" s="49">
        <f>AVERAGE('26.10 MASAKA-MUTUKULA-24HR'!D64,'28.10 MASAKA-MUTUKULA-24HR'!D64)</f>
        <v>0.5</v>
      </c>
      <c r="E64" s="49">
        <f>AVERAGE('26.10 MASAKA-MUTUKULA-24HR'!E64,'28.10 MASAKA-MUTUKULA-24HR'!E64)</f>
        <v>0</v>
      </c>
      <c r="F64" s="49">
        <f>AVERAGE('26.10 MASAKA-MUTUKULA-24HR'!F64,'28.10 MASAKA-MUTUKULA-24HR'!F64)</f>
        <v>0</v>
      </c>
      <c r="G64" s="49">
        <f>AVERAGE('26.10 MASAKA-MUTUKULA-24HR'!G64,'28.10 MASAKA-MUTUKULA-24HR'!G64)</f>
        <v>0</v>
      </c>
      <c r="H64" s="49">
        <f>AVERAGE('26.10 MASAKA-MUTUKULA-24HR'!H64,'28.10 MASAKA-MUTUKULA-24HR'!H64)</f>
        <v>0</v>
      </c>
      <c r="I64" s="49">
        <f>AVERAGE('26.10 MASAKA-MUTUKULA-24HR'!I64,'28.10 MASAKA-MUTUKULA-24HR'!I64)</f>
        <v>0</v>
      </c>
      <c r="J64" s="49">
        <f>AVERAGE('26.10 MASAKA-MUTUKULA-24HR'!J64,'28.10 MASAKA-MUTUKULA-24HR'!J64)</f>
        <v>0</v>
      </c>
      <c r="K64" s="49">
        <f>AVERAGE('26.10 MASAKA-MUTUKULA-24HR'!K64,'28.10 MASAKA-MUTUKULA-24HR'!K64)</f>
        <v>0</v>
      </c>
      <c r="L64" s="49">
        <f>AVERAGE('26.10 MASAKA-MUTUKULA-24HR'!L64,'28.10 MASAKA-MUTUKULA-24HR'!L64)</f>
        <v>0</v>
      </c>
      <c r="M64" s="49">
        <f>AVERAGE('26.10 MASAKA-MUTUKULA-24HR'!M64,'28.10 MASAKA-MUTUKULA-24HR'!M64)</f>
        <v>4.5</v>
      </c>
      <c r="N64" s="49">
        <f>AVERAGE('26.10 MASAKA-MUTUKULA-24HR'!N64,'28.10 MASAKA-MUTUKULA-24HR'!N64)</f>
        <v>0</v>
      </c>
      <c r="O64" s="15">
        <f t="shared" si="0"/>
        <v>1.5</v>
      </c>
      <c r="P64" s="15">
        <f t="shared" si="1"/>
        <v>6</v>
      </c>
      <c r="R64" s="8"/>
      <c r="T64"/>
    </row>
    <row r="65" spans="2:20" ht="23.1" customHeight="1" x14ac:dyDescent="0.25">
      <c r="B65" s="23" t="s">
        <v>158</v>
      </c>
      <c r="C65" s="49">
        <f>AVERAGE('26.10 MASAKA-MUTUKULA-24HR'!C65,'28.10 MASAKA-MUTUKULA-24HR'!C65)</f>
        <v>4</v>
      </c>
      <c r="D65" s="49">
        <f>AVERAGE('26.10 MASAKA-MUTUKULA-24HR'!D65,'28.10 MASAKA-MUTUKULA-24HR'!D65)</f>
        <v>0</v>
      </c>
      <c r="E65" s="49">
        <f>AVERAGE('26.10 MASAKA-MUTUKULA-24HR'!E65,'28.10 MASAKA-MUTUKULA-24HR'!E65)</f>
        <v>0.5</v>
      </c>
      <c r="F65" s="49">
        <f>AVERAGE('26.10 MASAKA-MUTUKULA-24HR'!F65,'28.10 MASAKA-MUTUKULA-24HR'!F65)</f>
        <v>1</v>
      </c>
      <c r="G65" s="49">
        <f>AVERAGE('26.10 MASAKA-MUTUKULA-24HR'!G65,'28.10 MASAKA-MUTUKULA-24HR'!G65)</f>
        <v>0</v>
      </c>
      <c r="H65" s="49">
        <f>AVERAGE('26.10 MASAKA-MUTUKULA-24HR'!H65,'28.10 MASAKA-MUTUKULA-24HR'!H65)</f>
        <v>0</v>
      </c>
      <c r="I65" s="49">
        <f>AVERAGE('26.10 MASAKA-MUTUKULA-24HR'!I65,'28.10 MASAKA-MUTUKULA-24HR'!I65)</f>
        <v>0</v>
      </c>
      <c r="J65" s="49">
        <f>AVERAGE('26.10 MASAKA-MUTUKULA-24HR'!J65,'28.10 MASAKA-MUTUKULA-24HR'!J65)</f>
        <v>0</v>
      </c>
      <c r="K65" s="49">
        <f>AVERAGE('26.10 MASAKA-MUTUKULA-24HR'!K65,'28.10 MASAKA-MUTUKULA-24HR'!K65)</f>
        <v>0</v>
      </c>
      <c r="L65" s="49">
        <f>AVERAGE('26.10 MASAKA-MUTUKULA-24HR'!L65,'28.10 MASAKA-MUTUKULA-24HR'!L65)</f>
        <v>0</v>
      </c>
      <c r="M65" s="49">
        <f>AVERAGE('26.10 MASAKA-MUTUKULA-24HR'!M65,'28.10 MASAKA-MUTUKULA-24HR'!M65)</f>
        <v>3</v>
      </c>
      <c r="N65" s="49">
        <f>AVERAGE('26.10 MASAKA-MUTUKULA-24HR'!N65,'28.10 MASAKA-MUTUKULA-24HR'!N65)</f>
        <v>0</v>
      </c>
      <c r="O65" s="15">
        <f t="shared" si="0"/>
        <v>5.5</v>
      </c>
      <c r="P65" s="15">
        <f t="shared" si="1"/>
        <v>8.5</v>
      </c>
      <c r="R65" s="8"/>
      <c r="T65"/>
    </row>
    <row r="66" spans="2:20" ht="23.1" customHeight="1" x14ac:dyDescent="0.25">
      <c r="B66" s="23" t="s">
        <v>103</v>
      </c>
      <c r="C66" s="49">
        <f>AVERAGE('26.10 MASAKA-MUTUKULA-24HR'!C66,'28.10 MASAKA-MUTUKULA-24HR'!C66)</f>
        <v>2</v>
      </c>
      <c r="D66" s="49">
        <f>AVERAGE('26.10 MASAKA-MUTUKULA-24HR'!D66,'28.10 MASAKA-MUTUKULA-24HR'!D66)</f>
        <v>0</v>
      </c>
      <c r="E66" s="49">
        <f>AVERAGE('26.10 MASAKA-MUTUKULA-24HR'!E66,'28.10 MASAKA-MUTUKULA-24HR'!E66)</f>
        <v>0</v>
      </c>
      <c r="F66" s="49">
        <f>AVERAGE('26.10 MASAKA-MUTUKULA-24HR'!F66,'28.10 MASAKA-MUTUKULA-24HR'!F66)</f>
        <v>0</v>
      </c>
      <c r="G66" s="49">
        <f>AVERAGE('26.10 MASAKA-MUTUKULA-24HR'!G66,'28.10 MASAKA-MUTUKULA-24HR'!G66)</f>
        <v>0</v>
      </c>
      <c r="H66" s="49">
        <f>AVERAGE('26.10 MASAKA-MUTUKULA-24HR'!H66,'28.10 MASAKA-MUTUKULA-24HR'!H66)</f>
        <v>0</v>
      </c>
      <c r="I66" s="49">
        <f>AVERAGE('26.10 MASAKA-MUTUKULA-24HR'!I66,'28.10 MASAKA-MUTUKULA-24HR'!I66)</f>
        <v>0</v>
      </c>
      <c r="J66" s="49">
        <f>AVERAGE('26.10 MASAKA-MUTUKULA-24HR'!J66,'28.10 MASAKA-MUTUKULA-24HR'!J66)</f>
        <v>0</v>
      </c>
      <c r="K66" s="49">
        <f>AVERAGE('26.10 MASAKA-MUTUKULA-24HR'!K66,'28.10 MASAKA-MUTUKULA-24HR'!K66)</f>
        <v>0</v>
      </c>
      <c r="L66" s="49">
        <f>AVERAGE('26.10 MASAKA-MUTUKULA-24HR'!L66,'28.10 MASAKA-MUTUKULA-24HR'!L66)</f>
        <v>0</v>
      </c>
      <c r="M66" s="49">
        <f>AVERAGE('26.10 MASAKA-MUTUKULA-24HR'!M66,'28.10 MASAKA-MUTUKULA-24HR'!M66)</f>
        <v>5</v>
      </c>
      <c r="N66" s="49">
        <f>AVERAGE('26.10 MASAKA-MUTUKULA-24HR'!N66,'28.10 MASAKA-MUTUKULA-24HR'!N66)</f>
        <v>0</v>
      </c>
      <c r="O66" s="15">
        <f t="shared" si="0"/>
        <v>2</v>
      </c>
      <c r="P66" s="15">
        <f t="shared" si="1"/>
        <v>7</v>
      </c>
      <c r="R66" s="8"/>
      <c r="T66"/>
    </row>
    <row r="67" spans="2:20" ht="23.1" customHeight="1" x14ac:dyDescent="0.25">
      <c r="B67" s="23" t="s">
        <v>104</v>
      </c>
      <c r="C67" s="49">
        <f>AVERAGE('26.10 MASAKA-MUTUKULA-24HR'!C67,'28.10 MASAKA-MUTUKULA-24HR'!C67)</f>
        <v>2</v>
      </c>
      <c r="D67" s="49">
        <f>AVERAGE('26.10 MASAKA-MUTUKULA-24HR'!D67,'28.10 MASAKA-MUTUKULA-24HR'!D67)</f>
        <v>0</v>
      </c>
      <c r="E67" s="49">
        <f>AVERAGE('26.10 MASAKA-MUTUKULA-24HR'!E67,'28.10 MASAKA-MUTUKULA-24HR'!E67)</f>
        <v>0</v>
      </c>
      <c r="F67" s="49">
        <f>AVERAGE('26.10 MASAKA-MUTUKULA-24HR'!F67,'28.10 MASAKA-MUTUKULA-24HR'!F67)</f>
        <v>1.5</v>
      </c>
      <c r="G67" s="49">
        <f>AVERAGE('26.10 MASAKA-MUTUKULA-24HR'!G67,'28.10 MASAKA-MUTUKULA-24HR'!G67)</f>
        <v>0</v>
      </c>
      <c r="H67" s="49">
        <f>AVERAGE('26.10 MASAKA-MUTUKULA-24HR'!H67,'28.10 MASAKA-MUTUKULA-24HR'!H67)</f>
        <v>0</v>
      </c>
      <c r="I67" s="49">
        <f>AVERAGE('26.10 MASAKA-MUTUKULA-24HR'!I67,'28.10 MASAKA-MUTUKULA-24HR'!I67)</f>
        <v>0.5</v>
      </c>
      <c r="J67" s="49">
        <f>AVERAGE('26.10 MASAKA-MUTUKULA-24HR'!J67,'28.10 MASAKA-MUTUKULA-24HR'!J67)</f>
        <v>0</v>
      </c>
      <c r="K67" s="49">
        <f>AVERAGE('26.10 MASAKA-MUTUKULA-24HR'!K67,'28.10 MASAKA-MUTUKULA-24HR'!K67)</f>
        <v>0</v>
      </c>
      <c r="L67" s="49">
        <f>AVERAGE('26.10 MASAKA-MUTUKULA-24HR'!L67,'28.10 MASAKA-MUTUKULA-24HR'!L67)</f>
        <v>0</v>
      </c>
      <c r="M67" s="49">
        <f>AVERAGE('26.10 MASAKA-MUTUKULA-24HR'!M67,'28.10 MASAKA-MUTUKULA-24HR'!M67)</f>
        <v>7.5</v>
      </c>
      <c r="N67" s="49">
        <f>AVERAGE('26.10 MASAKA-MUTUKULA-24HR'!N67,'28.10 MASAKA-MUTUKULA-24HR'!N67)</f>
        <v>0</v>
      </c>
      <c r="O67" s="15">
        <f t="shared" si="0"/>
        <v>4</v>
      </c>
      <c r="P67" s="15">
        <f t="shared" si="1"/>
        <v>11.5</v>
      </c>
      <c r="R67" s="8"/>
      <c r="T67"/>
    </row>
    <row r="68" spans="2:20" ht="23.1" customHeight="1" x14ac:dyDescent="0.25">
      <c r="B68" s="23" t="s">
        <v>105</v>
      </c>
      <c r="C68" s="49">
        <f>AVERAGE('26.10 MASAKA-MUTUKULA-24HR'!C68,'28.10 MASAKA-MUTUKULA-24HR'!C68)</f>
        <v>4</v>
      </c>
      <c r="D68" s="49">
        <f>AVERAGE('26.10 MASAKA-MUTUKULA-24HR'!D68,'28.10 MASAKA-MUTUKULA-24HR'!D68)</f>
        <v>0</v>
      </c>
      <c r="E68" s="49">
        <f>AVERAGE('26.10 MASAKA-MUTUKULA-24HR'!E68,'28.10 MASAKA-MUTUKULA-24HR'!E68)</f>
        <v>0</v>
      </c>
      <c r="F68" s="49">
        <f>AVERAGE('26.10 MASAKA-MUTUKULA-24HR'!F68,'28.10 MASAKA-MUTUKULA-24HR'!F68)</f>
        <v>0</v>
      </c>
      <c r="G68" s="49">
        <f>AVERAGE('26.10 MASAKA-MUTUKULA-24HR'!G68,'28.10 MASAKA-MUTUKULA-24HR'!G68)</f>
        <v>0</v>
      </c>
      <c r="H68" s="49">
        <f>AVERAGE('26.10 MASAKA-MUTUKULA-24HR'!H68,'28.10 MASAKA-MUTUKULA-24HR'!H68)</f>
        <v>0</v>
      </c>
      <c r="I68" s="49">
        <f>AVERAGE('26.10 MASAKA-MUTUKULA-24HR'!I68,'28.10 MASAKA-MUTUKULA-24HR'!I68)</f>
        <v>0</v>
      </c>
      <c r="J68" s="49">
        <f>AVERAGE('26.10 MASAKA-MUTUKULA-24HR'!J68,'28.10 MASAKA-MUTUKULA-24HR'!J68)</f>
        <v>1</v>
      </c>
      <c r="K68" s="49">
        <f>AVERAGE('26.10 MASAKA-MUTUKULA-24HR'!K68,'28.10 MASAKA-MUTUKULA-24HR'!K68)</f>
        <v>0.5</v>
      </c>
      <c r="L68" s="49">
        <f>AVERAGE('26.10 MASAKA-MUTUKULA-24HR'!L68,'28.10 MASAKA-MUTUKULA-24HR'!L68)</f>
        <v>0</v>
      </c>
      <c r="M68" s="49">
        <f>AVERAGE('26.10 MASAKA-MUTUKULA-24HR'!M68,'28.10 MASAKA-MUTUKULA-24HR'!M68)</f>
        <v>10</v>
      </c>
      <c r="N68" s="49">
        <f>AVERAGE('26.10 MASAKA-MUTUKULA-24HR'!N68,'28.10 MASAKA-MUTUKULA-24HR'!N68)</f>
        <v>0</v>
      </c>
      <c r="O68" s="15">
        <f t="shared" si="0"/>
        <v>5.5</v>
      </c>
      <c r="P68" s="15">
        <f t="shared" si="1"/>
        <v>15.5</v>
      </c>
      <c r="R68" s="8"/>
      <c r="T68"/>
    </row>
    <row r="69" spans="2:20" ht="23.1" customHeight="1" x14ac:dyDescent="0.25">
      <c r="B69" s="23" t="s">
        <v>106</v>
      </c>
      <c r="C69" s="49">
        <f>AVERAGE('26.10 MASAKA-MUTUKULA-24HR'!C69,'28.10 MASAKA-MUTUKULA-24HR'!C69)</f>
        <v>1.5</v>
      </c>
      <c r="D69" s="49">
        <f>AVERAGE('26.10 MASAKA-MUTUKULA-24HR'!D69,'28.10 MASAKA-MUTUKULA-24HR'!D69)</f>
        <v>0.5</v>
      </c>
      <c r="E69" s="49">
        <f>AVERAGE('26.10 MASAKA-MUTUKULA-24HR'!E69,'28.10 MASAKA-MUTUKULA-24HR'!E69)</f>
        <v>0</v>
      </c>
      <c r="F69" s="49">
        <f>AVERAGE('26.10 MASAKA-MUTUKULA-24HR'!F69,'28.10 MASAKA-MUTUKULA-24HR'!F69)</f>
        <v>0.5</v>
      </c>
      <c r="G69" s="49">
        <f>AVERAGE('26.10 MASAKA-MUTUKULA-24HR'!G69,'28.10 MASAKA-MUTUKULA-24HR'!G69)</f>
        <v>1</v>
      </c>
      <c r="H69" s="49">
        <f>AVERAGE('26.10 MASAKA-MUTUKULA-24HR'!H69,'28.10 MASAKA-MUTUKULA-24HR'!H69)</f>
        <v>0</v>
      </c>
      <c r="I69" s="49">
        <f>AVERAGE('26.10 MASAKA-MUTUKULA-24HR'!I69,'28.10 MASAKA-MUTUKULA-24HR'!I69)</f>
        <v>0</v>
      </c>
      <c r="J69" s="49">
        <f>AVERAGE('26.10 MASAKA-MUTUKULA-24HR'!J69,'28.10 MASAKA-MUTUKULA-24HR'!J69)</f>
        <v>0.5</v>
      </c>
      <c r="K69" s="49">
        <f>AVERAGE('26.10 MASAKA-MUTUKULA-24HR'!K69,'28.10 MASAKA-MUTUKULA-24HR'!K69)</f>
        <v>0.5</v>
      </c>
      <c r="L69" s="49">
        <f>AVERAGE('26.10 MASAKA-MUTUKULA-24HR'!L69,'28.10 MASAKA-MUTUKULA-24HR'!L69)</f>
        <v>0</v>
      </c>
      <c r="M69" s="49">
        <f>AVERAGE('26.10 MASAKA-MUTUKULA-24HR'!M69,'28.10 MASAKA-MUTUKULA-24HR'!M69)</f>
        <v>5.5</v>
      </c>
      <c r="N69" s="49">
        <f>AVERAGE('26.10 MASAKA-MUTUKULA-24HR'!N69,'28.10 MASAKA-MUTUKULA-24HR'!N69)</f>
        <v>0</v>
      </c>
      <c r="O69" s="15">
        <f t="shared" si="0"/>
        <v>4.5</v>
      </c>
      <c r="P69" s="15">
        <f t="shared" si="1"/>
        <v>10</v>
      </c>
      <c r="R69" s="8"/>
      <c r="T69"/>
    </row>
    <row r="70" spans="2:20" ht="23.1" customHeight="1" x14ac:dyDescent="0.25">
      <c r="B70" s="23" t="s">
        <v>110</v>
      </c>
      <c r="C70" s="49">
        <f>AVERAGE('26.10 MASAKA-MUTUKULA-24HR'!C70,'28.10 MASAKA-MUTUKULA-24HR'!C70)</f>
        <v>3.5</v>
      </c>
      <c r="D70" s="49">
        <f>AVERAGE('26.10 MASAKA-MUTUKULA-24HR'!D70,'28.10 MASAKA-MUTUKULA-24HR'!D70)</f>
        <v>0</v>
      </c>
      <c r="E70" s="49">
        <f>AVERAGE('26.10 MASAKA-MUTUKULA-24HR'!E70,'28.10 MASAKA-MUTUKULA-24HR'!E70)</f>
        <v>0</v>
      </c>
      <c r="F70" s="49">
        <f>AVERAGE('26.10 MASAKA-MUTUKULA-24HR'!F70,'28.10 MASAKA-MUTUKULA-24HR'!F70)</f>
        <v>0.5</v>
      </c>
      <c r="G70" s="49">
        <f>AVERAGE('26.10 MASAKA-MUTUKULA-24HR'!G70,'28.10 MASAKA-MUTUKULA-24HR'!G70)</f>
        <v>0.5</v>
      </c>
      <c r="H70" s="49">
        <f>AVERAGE('26.10 MASAKA-MUTUKULA-24HR'!H70,'28.10 MASAKA-MUTUKULA-24HR'!H70)</f>
        <v>0</v>
      </c>
      <c r="I70" s="49">
        <f>AVERAGE('26.10 MASAKA-MUTUKULA-24HR'!I70,'28.10 MASAKA-MUTUKULA-24HR'!I70)</f>
        <v>0</v>
      </c>
      <c r="J70" s="49">
        <f>AVERAGE('26.10 MASAKA-MUTUKULA-24HR'!J70,'28.10 MASAKA-MUTUKULA-24HR'!J70)</f>
        <v>0.5</v>
      </c>
      <c r="K70" s="49">
        <f>AVERAGE('26.10 MASAKA-MUTUKULA-24HR'!K70,'28.10 MASAKA-MUTUKULA-24HR'!K70)</f>
        <v>0.5</v>
      </c>
      <c r="L70" s="49">
        <f>AVERAGE('26.10 MASAKA-MUTUKULA-24HR'!L70,'28.10 MASAKA-MUTUKULA-24HR'!L70)</f>
        <v>0</v>
      </c>
      <c r="M70" s="49">
        <f>AVERAGE('26.10 MASAKA-MUTUKULA-24HR'!M70,'28.10 MASAKA-MUTUKULA-24HR'!M70)</f>
        <v>5.5</v>
      </c>
      <c r="N70" s="49">
        <f>AVERAGE('26.10 MASAKA-MUTUKULA-24HR'!N70,'28.10 MASAKA-MUTUKULA-24HR'!N70)</f>
        <v>0</v>
      </c>
      <c r="O70" s="15">
        <f t="shared" si="0"/>
        <v>5.5</v>
      </c>
      <c r="P70" s="15">
        <f t="shared" si="1"/>
        <v>11</v>
      </c>
      <c r="R70" s="8"/>
      <c r="T70"/>
    </row>
    <row r="71" spans="2:20" ht="23.1" customHeight="1" x14ac:dyDescent="0.25">
      <c r="B71" s="23" t="s">
        <v>111</v>
      </c>
      <c r="C71" s="49">
        <f>AVERAGE('26.10 MASAKA-MUTUKULA-24HR'!C71,'28.10 MASAKA-MUTUKULA-24HR'!C71)</f>
        <v>1.5</v>
      </c>
      <c r="D71" s="49">
        <f>AVERAGE('26.10 MASAKA-MUTUKULA-24HR'!D71,'28.10 MASAKA-MUTUKULA-24HR'!D71)</f>
        <v>0</v>
      </c>
      <c r="E71" s="49">
        <f>AVERAGE('26.10 MASAKA-MUTUKULA-24HR'!E71,'28.10 MASAKA-MUTUKULA-24HR'!E71)</f>
        <v>0</v>
      </c>
      <c r="F71" s="49">
        <f>AVERAGE('26.10 MASAKA-MUTUKULA-24HR'!F71,'28.10 MASAKA-MUTUKULA-24HR'!F71)</f>
        <v>0.5</v>
      </c>
      <c r="G71" s="49">
        <f>AVERAGE('26.10 MASAKA-MUTUKULA-24HR'!G71,'28.10 MASAKA-MUTUKULA-24HR'!G71)</f>
        <v>0</v>
      </c>
      <c r="H71" s="49">
        <f>AVERAGE('26.10 MASAKA-MUTUKULA-24HR'!H71,'28.10 MASAKA-MUTUKULA-24HR'!H71)</f>
        <v>0</v>
      </c>
      <c r="I71" s="49">
        <f>AVERAGE('26.10 MASAKA-MUTUKULA-24HR'!I71,'28.10 MASAKA-MUTUKULA-24HR'!I71)</f>
        <v>0</v>
      </c>
      <c r="J71" s="49">
        <f>AVERAGE('26.10 MASAKA-MUTUKULA-24HR'!J71,'28.10 MASAKA-MUTUKULA-24HR'!J71)</f>
        <v>0</v>
      </c>
      <c r="K71" s="49">
        <f>AVERAGE('26.10 MASAKA-MUTUKULA-24HR'!K71,'28.10 MASAKA-MUTUKULA-24HR'!K71)</f>
        <v>2.5</v>
      </c>
      <c r="L71" s="49">
        <f>AVERAGE('26.10 MASAKA-MUTUKULA-24HR'!L71,'28.10 MASAKA-MUTUKULA-24HR'!L71)</f>
        <v>0</v>
      </c>
      <c r="M71" s="49">
        <f>AVERAGE('26.10 MASAKA-MUTUKULA-24HR'!M71,'28.10 MASAKA-MUTUKULA-24HR'!M71)</f>
        <v>3.5</v>
      </c>
      <c r="N71" s="49">
        <f>AVERAGE('26.10 MASAKA-MUTUKULA-24HR'!N71,'28.10 MASAKA-MUTUKULA-24HR'!N71)</f>
        <v>0</v>
      </c>
      <c r="O71" s="15">
        <f t="shared" si="0"/>
        <v>4.5</v>
      </c>
      <c r="P71" s="15">
        <f t="shared" si="1"/>
        <v>8</v>
      </c>
      <c r="R71" s="8"/>
      <c r="T71"/>
    </row>
    <row r="72" spans="2:20" ht="23.1" customHeight="1" x14ac:dyDescent="0.25">
      <c r="B72" s="23" t="s">
        <v>112</v>
      </c>
      <c r="C72" s="49">
        <f>AVERAGE('26.10 MASAKA-MUTUKULA-24HR'!C72,'28.10 MASAKA-MUTUKULA-24HR'!C72)</f>
        <v>1.5</v>
      </c>
      <c r="D72" s="49">
        <f>AVERAGE('26.10 MASAKA-MUTUKULA-24HR'!D72,'28.10 MASAKA-MUTUKULA-24HR'!D72)</f>
        <v>0.5</v>
      </c>
      <c r="E72" s="49">
        <f>AVERAGE('26.10 MASAKA-MUTUKULA-24HR'!E72,'28.10 MASAKA-MUTUKULA-24HR'!E72)</f>
        <v>0.5</v>
      </c>
      <c r="F72" s="49">
        <f>AVERAGE('26.10 MASAKA-MUTUKULA-24HR'!F72,'28.10 MASAKA-MUTUKULA-24HR'!F72)</f>
        <v>1</v>
      </c>
      <c r="G72" s="49">
        <f>AVERAGE('26.10 MASAKA-MUTUKULA-24HR'!G72,'28.10 MASAKA-MUTUKULA-24HR'!G72)</f>
        <v>0.5</v>
      </c>
      <c r="H72" s="49">
        <f>AVERAGE('26.10 MASAKA-MUTUKULA-24HR'!H72,'28.10 MASAKA-MUTUKULA-24HR'!H72)</f>
        <v>0</v>
      </c>
      <c r="I72" s="49">
        <f>AVERAGE('26.10 MASAKA-MUTUKULA-24HR'!I72,'28.10 MASAKA-MUTUKULA-24HR'!I72)</f>
        <v>0.5</v>
      </c>
      <c r="J72" s="49">
        <f>AVERAGE('26.10 MASAKA-MUTUKULA-24HR'!J72,'28.10 MASAKA-MUTUKULA-24HR'!J72)</f>
        <v>0</v>
      </c>
      <c r="K72" s="49">
        <f>AVERAGE('26.10 MASAKA-MUTUKULA-24HR'!K72,'28.10 MASAKA-MUTUKULA-24HR'!K72)</f>
        <v>0.5</v>
      </c>
      <c r="L72" s="49">
        <f>AVERAGE('26.10 MASAKA-MUTUKULA-24HR'!L72,'28.10 MASAKA-MUTUKULA-24HR'!L72)</f>
        <v>0</v>
      </c>
      <c r="M72" s="49">
        <f>AVERAGE('26.10 MASAKA-MUTUKULA-24HR'!M72,'28.10 MASAKA-MUTUKULA-24HR'!M72)</f>
        <v>2.5</v>
      </c>
      <c r="N72" s="49">
        <f>AVERAGE('26.10 MASAKA-MUTUKULA-24HR'!N72,'28.10 MASAKA-MUTUKULA-24HR'!N72)</f>
        <v>0</v>
      </c>
      <c r="O72" s="15">
        <f t="shared" si="0"/>
        <v>5</v>
      </c>
      <c r="P72" s="15">
        <f t="shared" si="1"/>
        <v>7.5</v>
      </c>
      <c r="R72" s="8"/>
      <c r="T72"/>
    </row>
    <row r="73" spans="2:20" ht="23.1" customHeight="1" x14ac:dyDescent="0.25">
      <c r="B73" s="23" t="s">
        <v>113</v>
      </c>
      <c r="C73" s="49">
        <f>AVERAGE('26.10 MASAKA-MUTUKULA-24HR'!C73,'28.10 MASAKA-MUTUKULA-24HR'!C73)</f>
        <v>2</v>
      </c>
      <c r="D73" s="49">
        <f>AVERAGE('26.10 MASAKA-MUTUKULA-24HR'!D73,'28.10 MASAKA-MUTUKULA-24HR'!D73)</f>
        <v>0</v>
      </c>
      <c r="E73" s="49">
        <f>AVERAGE('26.10 MASAKA-MUTUKULA-24HR'!E73,'28.10 MASAKA-MUTUKULA-24HR'!E73)</f>
        <v>0</v>
      </c>
      <c r="F73" s="49">
        <f>AVERAGE('26.10 MASAKA-MUTUKULA-24HR'!F73,'28.10 MASAKA-MUTUKULA-24HR'!F73)</f>
        <v>0</v>
      </c>
      <c r="G73" s="49">
        <f>AVERAGE('26.10 MASAKA-MUTUKULA-24HR'!G73,'28.10 MASAKA-MUTUKULA-24HR'!G73)</f>
        <v>0</v>
      </c>
      <c r="H73" s="49">
        <f>AVERAGE('26.10 MASAKA-MUTUKULA-24HR'!H73,'28.10 MASAKA-MUTUKULA-24HR'!H73)</f>
        <v>0</v>
      </c>
      <c r="I73" s="49">
        <f>AVERAGE('26.10 MASAKA-MUTUKULA-24HR'!I73,'28.10 MASAKA-MUTUKULA-24HR'!I73)</f>
        <v>1.5</v>
      </c>
      <c r="J73" s="49">
        <f>AVERAGE('26.10 MASAKA-MUTUKULA-24HR'!J73,'28.10 MASAKA-MUTUKULA-24HR'!J73)</f>
        <v>0.5</v>
      </c>
      <c r="K73" s="49">
        <f>AVERAGE('26.10 MASAKA-MUTUKULA-24HR'!K73,'28.10 MASAKA-MUTUKULA-24HR'!K73)</f>
        <v>1</v>
      </c>
      <c r="L73" s="49">
        <f>AVERAGE('26.10 MASAKA-MUTUKULA-24HR'!L73,'28.10 MASAKA-MUTUKULA-24HR'!L73)</f>
        <v>0</v>
      </c>
      <c r="M73" s="49">
        <f>AVERAGE('26.10 MASAKA-MUTUKULA-24HR'!M73,'28.10 MASAKA-MUTUKULA-24HR'!M73)</f>
        <v>4.5</v>
      </c>
      <c r="N73" s="49">
        <f>AVERAGE('26.10 MASAKA-MUTUKULA-24HR'!N73,'28.10 MASAKA-MUTUKULA-24HR'!N73)</f>
        <v>0</v>
      </c>
      <c r="O73" s="15">
        <f t="shared" si="0"/>
        <v>5</v>
      </c>
      <c r="P73" s="15">
        <f t="shared" si="1"/>
        <v>9.5</v>
      </c>
      <c r="R73" s="8"/>
      <c r="T73"/>
    </row>
    <row r="74" spans="2:20" ht="23.1" customHeight="1" x14ac:dyDescent="0.25">
      <c r="B74" s="23" t="s">
        <v>114</v>
      </c>
      <c r="C74" s="49">
        <f>AVERAGE('26.10 MASAKA-MUTUKULA-24HR'!C74,'28.10 MASAKA-MUTUKULA-24HR'!C74)</f>
        <v>0.5</v>
      </c>
      <c r="D74" s="49">
        <f>AVERAGE('26.10 MASAKA-MUTUKULA-24HR'!D74,'28.10 MASAKA-MUTUKULA-24HR'!D74)</f>
        <v>0</v>
      </c>
      <c r="E74" s="49">
        <f>AVERAGE('26.10 MASAKA-MUTUKULA-24HR'!E74,'28.10 MASAKA-MUTUKULA-24HR'!E74)</f>
        <v>0</v>
      </c>
      <c r="F74" s="49">
        <f>AVERAGE('26.10 MASAKA-MUTUKULA-24HR'!F74,'28.10 MASAKA-MUTUKULA-24HR'!F74)</f>
        <v>0.5</v>
      </c>
      <c r="G74" s="49">
        <f>AVERAGE('26.10 MASAKA-MUTUKULA-24HR'!G74,'28.10 MASAKA-MUTUKULA-24HR'!G74)</f>
        <v>0</v>
      </c>
      <c r="H74" s="49">
        <f>AVERAGE('26.10 MASAKA-MUTUKULA-24HR'!H74,'28.10 MASAKA-MUTUKULA-24HR'!H74)</f>
        <v>0</v>
      </c>
      <c r="I74" s="49">
        <f>AVERAGE('26.10 MASAKA-MUTUKULA-24HR'!I74,'28.10 MASAKA-MUTUKULA-24HR'!I74)</f>
        <v>0</v>
      </c>
      <c r="J74" s="49">
        <f>AVERAGE('26.10 MASAKA-MUTUKULA-24HR'!J74,'28.10 MASAKA-MUTUKULA-24HR'!J74)</f>
        <v>0.5</v>
      </c>
      <c r="K74" s="49">
        <f>AVERAGE('26.10 MASAKA-MUTUKULA-24HR'!K74,'28.10 MASAKA-MUTUKULA-24HR'!K74)</f>
        <v>1</v>
      </c>
      <c r="L74" s="49">
        <f>AVERAGE('26.10 MASAKA-MUTUKULA-24HR'!L74,'28.10 MASAKA-MUTUKULA-24HR'!L74)</f>
        <v>0</v>
      </c>
      <c r="M74" s="49">
        <f>AVERAGE('26.10 MASAKA-MUTUKULA-24HR'!M74,'28.10 MASAKA-MUTUKULA-24HR'!M74)</f>
        <v>2</v>
      </c>
      <c r="N74" s="49">
        <f>AVERAGE('26.10 MASAKA-MUTUKULA-24HR'!N74,'28.10 MASAKA-MUTUKULA-24HR'!N74)</f>
        <v>0</v>
      </c>
      <c r="O74" s="15">
        <f t="shared" ref="O74:O105" si="35">SUM(C74:L74,N74)</f>
        <v>2.5</v>
      </c>
      <c r="P74" s="15">
        <f t="shared" ref="P74:P105" si="36">SUM(C74:N74)</f>
        <v>4.5</v>
      </c>
      <c r="R74" s="8"/>
      <c r="T74"/>
    </row>
    <row r="75" spans="2:20" ht="23.1" customHeight="1" x14ac:dyDescent="0.25">
      <c r="B75" s="23" t="s">
        <v>115</v>
      </c>
      <c r="C75" s="49">
        <f>AVERAGE('26.10 MASAKA-MUTUKULA-24HR'!C75,'28.10 MASAKA-MUTUKULA-24HR'!C75)</f>
        <v>0.5</v>
      </c>
      <c r="D75" s="49">
        <f>AVERAGE('26.10 MASAKA-MUTUKULA-24HR'!D75,'28.10 MASAKA-MUTUKULA-24HR'!D75)</f>
        <v>0.5</v>
      </c>
      <c r="E75" s="49">
        <f>AVERAGE('26.10 MASAKA-MUTUKULA-24HR'!E75,'28.10 MASAKA-MUTUKULA-24HR'!E75)</f>
        <v>0</v>
      </c>
      <c r="F75" s="49">
        <f>AVERAGE('26.10 MASAKA-MUTUKULA-24HR'!F75,'28.10 MASAKA-MUTUKULA-24HR'!F75)</f>
        <v>0.5</v>
      </c>
      <c r="G75" s="49">
        <f>AVERAGE('26.10 MASAKA-MUTUKULA-24HR'!G75,'28.10 MASAKA-MUTUKULA-24HR'!G75)</f>
        <v>0.5</v>
      </c>
      <c r="H75" s="49">
        <f>AVERAGE('26.10 MASAKA-MUTUKULA-24HR'!H75,'28.10 MASAKA-MUTUKULA-24HR'!H75)</f>
        <v>0</v>
      </c>
      <c r="I75" s="49">
        <f>AVERAGE('26.10 MASAKA-MUTUKULA-24HR'!I75,'28.10 MASAKA-MUTUKULA-24HR'!I75)</f>
        <v>0</v>
      </c>
      <c r="J75" s="49">
        <f>AVERAGE('26.10 MASAKA-MUTUKULA-24HR'!J75,'28.10 MASAKA-MUTUKULA-24HR'!J75)</f>
        <v>0.5</v>
      </c>
      <c r="K75" s="49">
        <f>AVERAGE('26.10 MASAKA-MUTUKULA-24HR'!K75,'28.10 MASAKA-MUTUKULA-24HR'!K75)</f>
        <v>0.5</v>
      </c>
      <c r="L75" s="49">
        <f>AVERAGE('26.10 MASAKA-MUTUKULA-24HR'!L75,'28.10 MASAKA-MUTUKULA-24HR'!L75)</f>
        <v>0</v>
      </c>
      <c r="M75" s="49">
        <f>AVERAGE('26.10 MASAKA-MUTUKULA-24HR'!M75,'28.10 MASAKA-MUTUKULA-24HR'!M75)</f>
        <v>1</v>
      </c>
      <c r="N75" s="49">
        <f>AVERAGE('26.10 MASAKA-MUTUKULA-24HR'!N75,'28.10 MASAKA-MUTUKULA-24HR'!N75)</f>
        <v>0</v>
      </c>
      <c r="O75" s="15">
        <f t="shared" si="35"/>
        <v>3</v>
      </c>
      <c r="P75" s="15">
        <f t="shared" si="36"/>
        <v>4</v>
      </c>
      <c r="R75" s="8"/>
      <c r="T75"/>
    </row>
    <row r="76" spans="2:20" ht="23.1" customHeight="1" x14ac:dyDescent="0.25">
      <c r="B76" s="23" t="s">
        <v>116</v>
      </c>
      <c r="C76" s="49">
        <f>AVERAGE('26.10 MASAKA-MUTUKULA-24HR'!C76,'28.10 MASAKA-MUTUKULA-24HR'!C76)</f>
        <v>0.5</v>
      </c>
      <c r="D76" s="49">
        <f>AVERAGE('26.10 MASAKA-MUTUKULA-24HR'!D76,'28.10 MASAKA-MUTUKULA-24HR'!D76)</f>
        <v>0</v>
      </c>
      <c r="E76" s="49">
        <f>AVERAGE('26.10 MASAKA-MUTUKULA-24HR'!E76,'28.10 MASAKA-MUTUKULA-24HR'!E76)</f>
        <v>0</v>
      </c>
      <c r="F76" s="49">
        <f>AVERAGE('26.10 MASAKA-MUTUKULA-24HR'!F76,'28.10 MASAKA-MUTUKULA-24HR'!F76)</f>
        <v>0</v>
      </c>
      <c r="G76" s="49">
        <f>AVERAGE('26.10 MASAKA-MUTUKULA-24HR'!G76,'28.10 MASAKA-MUTUKULA-24HR'!G76)</f>
        <v>0</v>
      </c>
      <c r="H76" s="49">
        <f>AVERAGE('26.10 MASAKA-MUTUKULA-24HR'!H76,'28.10 MASAKA-MUTUKULA-24HR'!H76)</f>
        <v>0</v>
      </c>
      <c r="I76" s="49">
        <f>AVERAGE('26.10 MASAKA-MUTUKULA-24HR'!I76,'28.10 MASAKA-MUTUKULA-24HR'!I76)</f>
        <v>0</v>
      </c>
      <c r="J76" s="49">
        <f>AVERAGE('26.10 MASAKA-MUTUKULA-24HR'!J76,'28.10 MASAKA-MUTUKULA-24HR'!J76)</f>
        <v>1</v>
      </c>
      <c r="K76" s="49">
        <f>AVERAGE('26.10 MASAKA-MUTUKULA-24HR'!K76,'28.10 MASAKA-MUTUKULA-24HR'!K76)</f>
        <v>0.5</v>
      </c>
      <c r="L76" s="49">
        <f>AVERAGE('26.10 MASAKA-MUTUKULA-24HR'!L76,'28.10 MASAKA-MUTUKULA-24HR'!L76)</f>
        <v>1</v>
      </c>
      <c r="M76" s="49">
        <f>AVERAGE('26.10 MASAKA-MUTUKULA-24HR'!M76,'28.10 MASAKA-MUTUKULA-24HR'!M76)</f>
        <v>0</v>
      </c>
      <c r="N76" s="49">
        <f>AVERAGE('26.10 MASAKA-MUTUKULA-24HR'!N76,'28.10 MASAKA-MUTUKULA-24HR'!N76)</f>
        <v>0</v>
      </c>
      <c r="O76" s="15">
        <f t="shared" si="35"/>
        <v>3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AVERAGE('26.10 MASAKA-MUTUKULA-24HR'!C77,'28.10 MASAKA-MUTUKULA-24HR'!C77)</f>
        <v>0</v>
      </c>
      <c r="D77" s="49">
        <f>AVERAGE('26.10 MASAKA-MUTUKULA-24HR'!D77,'28.10 MASAKA-MUTUKULA-24HR'!D77)</f>
        <v>0.5</v>
      </c>
      <c r="E77" s="49">
        <f>AVERAGE('26.10 MASAKA-MUTUKULA-24HR'!E77,'28.10 MASAKA-MUTUKULA-24HR'!E77)</f>
        <v>0</v>
      </c>
      <c r="F77" s="49">
        <f>AVERAGE('26.10 MASAKA-MUTUKULA-24HR'!F77,'28.10 MASAKA-MUTUKULA-24HR'!F77)</f>
        <v>0</v>
      </c>
      <c r="G77" s="49">
        <f>AVERAGE('26.10 MASAKA-MUTUKULA-24HR'!G77,'28.10 MASAKA-MUTUKULA-24HR'!G77)</f>
        <v>0</v>
      </c>
      <c r="H77" s="49">
        <f>AVERAGE('26.10 MASAKA-MUTUKULA-24HR'!H77,'28.10 MASAKA-MUTUKULA-24HR'!H77)</f>
        <v>0</v>
      </c>
      <c r="I77" s="49">
        <f>AVERAGE('26.10 MASAKA-MUTUKULA-24HR'!I77,'28.10 MASAKA-MUTUKULA-24HR'!I77)</f>
        <v>0</v>
      </c>
      <c r="J77" s="49">
        <f>AVERAGE('26.10 MASAKA-MUTUKULA-24HR'!J77,'28.10 MASAKA-MUTUKULA-24HR'!J77)</f>
        <v>0.5</v>
      </c>
      <c r="K77" s="49">
        <f>AVERAGE('26.10 MASAKA-MUTUKULA-24HR'!K77,'28.10 MASAKA-MUTUKULA-24HR'!K77)</f>
        <v>0.5</v>
      </c>
      <c r="L77" s="49">
        <f>AVERAGE('26.10 MASAKA-MUTUKULA-24HR'!L77,'28.10 MASAKA-MUTUKULA-24HR'!L77)</f>
        <v>0.5</v>
      </c>
      <c r="M77" s="49">
        <f>AVERAGE('26.10 MASAKA-MUTUKULA-24HR'!M77,'28.10 MASAKA-MUTUKULA-24HR'!M77)</f>
        <v>0.5</v>
      </c>
      <c r="N77" s="49">
        <f>AVERAGE('26.10 MASAKA-MUTUKULA-24HR'!N77,'28.10 MASAKA-MUTUKULA-24HR'!N77)</f>
        <v>0</v>
      </c>
      <c r="O77" s="15">
        <f t="shared" si="35"/>
        <v>2</v>
      </c>
      <c r="P77" s="15">
        <f t="shared" si="36"/>
        <v>2.5</v>
      </c>
      <c r="R77" s="8"/>
      <c r="T77"/>
    </row>
    <row r="78" spans="2:20" ht="23.1" customHeight="1" x14ac:dyDescent="0.25">
      <c r="B78" s="24" t="s">
        <v>118</v>
      </c>
      <c r="C78" s="49">
        <f>AVERAGE('26.10 MASAKA-MUTUKULA-24HR'!C78,'28.10 MASAKA-MUTUKULA-24HR'!C78)</f>
        <v>0</v>
      </c>
      <c r="D78" s="49">
        <f>AVERAGE('26.10 MASAKA-MUTUKULA-24HR'!D78,'28.10 MASAKA-MUTUKULA-24HR'!D78)</f>
        <v>0.5</v>
      </c>
      <c r="E78" s="49">
        <f>AVERAGE('26.10 MASAKA-MUTUKULA-24HR'!E78,'28.10 MASAKA-MUTUKULA-24HR'!E78)</f>
        <v>0</v>
      </c>
      <c r="F78" s="49">
        <f>AVERAGE('26.10 MASAKA-MUTUKULA-24HR'!F78,'28.10 MASAKA-MUTUKULA-24HR'!F78)</f>
        <v>0</v>
      </c>
      <c r="G78" s="49">
        <f>AVERAGE('26.10 MASAKA-MUTUKULA-24HR'!G78,'28.10 MASAKA-MUTUKULA-24HR'!G78)</f>
        <v>0</v>
      </c>
      <c r="H78" s="49">
        <f>AVERAGE('26.10 MASAKA-MUTUKULA-24HR'!H78,'28.10 MASAKA-MUTUKULA-24HR'!H78)</f>
        <v>0</v>
      </c>
      <c r="I78" s="49">
        <f>AVERAGE('26.10 MASAKA-MUTUKULA-24HR'!I78,'28.10 MASAKA-MUTUKULA-24HR'!I78)</f>
        <v>0</v>
      </c>
      <c r="J78" s="49">
        <f>AVERAGE('26.10 MASAKA-MUTUKULA-24HR'!J78,'28.10 MASAKA-MUTUKULA-24HR'!J78)</f>
        <v>0</v>
      </c>
      <c r="K78" s="49">
        <f>AVERAGE('26.10 MASAKA-MUTUKULA-24HR'!K78,'28.10 MASAKA-MUTUKULA-24HR'!K78)</f>
        <v>0</v>
      </c>
      <c r="L78" s="49">
        <f>AVERAGE('26.10 MASAKA-MUTUKULA-24HR'!L78,'28.10 MASAKA-MUTUKULA-24HR'!L78)</f>
        <v>0</v>
      </c>
      <c r="M78" s="49">
        <f>AVERAGE('26.10 MASAKA-MUTUKULA-24HR'!M78,'28.10 MASAKA-MUTUKULA-24HR'!M78)</f>
        <v>0</v>
      </c>
      <c r="N78" s="49">
        <f>AVERAGE('26.10 MASAKA-MUTUKULA-24HR'!N78,'28.10 MASAKA-MUTUKULA-24HR'!N78)</f>
        <v>0</v>
      </c>
      <c r="O78" s="15">
        <f t="shared" si="35"/>
        <v>0.5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AVERAGE('26.10 MASAKA-MUTUKULA-24HR'!C79,'28.10 MASAKA-MUTUKULA-24HR'!C79)</f>
        <v>1</v>
      </c>
      <c r="D79" s="49">
        <f>AVERAGE('26.10 MASAKA-MUTUKULA-24HR'!D79,'28.10 MASAKA-MUTUKULA-24HR'!D79)</f>
        <v>0.5</v>
      </c>
      <c r="E79" s="49">
        <f>AVERAGE('26.10 MASAKA-MUTUKULA-24HR'!E79,'28.10 MASAKA-MUTUKULA-24HR'!E79)</f>
        <v>0</v>
      </c>
      <c r="F79" s="49">
        <f>AVERAGE('26.10 MASAKA-MUTUKULA-24HR'!F79,'28.10 MASAKA-MUTUKULA-24HR'!F79)</f>
        <v>0.5</v>
      </c>
      <c r="G79" s="49">
        <f>AVERAGE('26.10 MASAKA-MUTUKULA-24HR'!G79,'28.10 MASAKA-MUTUKULA-24HR'!G79)</f>
        <v>0</v>
      </c>
      <c r="H79" s="49">
        <f>AVERAGE('26.10 MASAKA-MUTUKULA-24HR'!H79,'28.10 MASAKA-MUTUKULA-24HR'!H79)</f>
        <v>0</v>
      </c>
      <c r="I79" s="49">
        <f>AVERAGE('26.10 MASAKA-MUTUKULA-24HR'!I79,'28.10 MASAKA-MUTUKULA-24HR'!I79)</f>
        <v>0</v>
      </c>
      <c r="J79" s="49">
        <f>AVERAGE('26.10 MASAKA-MUTUKULA-24HR'!J79,'28.10 MASAKA-MUTUKULA-24HR'!J79)</f>
        <v>0</v>
      </c>
      <c r="K79" s="49">
        <f>AVERAGE('26.10 MASAKA-MUTUKULA-24HR'!K79,'28.10 MASAKA-MUTUKULA-24HR'!K79)</f>
        <v>0</v>
      </c>
      <c r="L79" s="49">
        <f>AVERAGE('26.10 MASAKA-MUTUKULA-24HR'!L79,'28.10 MASAKA-MUTUKULA-24HR'!L79)</f>
        <v>0</v>
      </c>
      <c r="M79" s="49">
        <f>AVERAGE('26.10 MASAKA-MUTUKULA-24HR'!M79,'28.10 MASAKA-MUTUKULA-24HR'!M79)</f>
        <v>0.5</v>
      </c>
      <c r="N79" s="49">
        <f>AVERAGE('26.10 MASAKA-MUTUKULA-24HR'!N79,'28.10 MASAKA-MUTUKULA-24HR'!N79)</f>
        <v>0</v>
      </c>
      <c r="O79" s="15">
        <f t="shared" si="35"/>
        <v>2</v>
      </c>
      <c r="P79" s="15">
        <f t="shared" si="36"/>
        <v>2.5</v>
      </c>
      <c r="R79" s="8"/>
      <c r="T79"/>
    </row>
    <row r="80" spans="2:20" ht="23.1" customHeight="1" x14ac:dyDescent="0.25">
      <c r="B80" s="25" t="s">
        <v>120</v>
      </c>
      <c r="C80" s="49">
        <f>AVERAGE('26.10 MASAKA-MUTUKULA-24HR'!C80,'28.10 MASAKA-MUTUKULA-24HR'!C80)</f>
        <v>0</v>
      </c>
      <c r="D80" s="49">
        <f>AVERAGE('26.10 MASAKA-MUTUKULA-24HR'!D80,'28.10 MASAKA-MUTUKULA-24HR'!D80)</f>
        <v>0.5</v>
      </c>
      <c r="E80" s="49">
        <f>AVERAGE('26.10 MASAKA-MUTUKULA-24HR'!E80,'28.10 MASAKA-MUTUKULA-24HR'!E80)</f>
        <v>0</v>
      </c>
      <c r="F80" s="49">
        <f>AVERAGE('26.10 MASAKA-MUTUKULA-24HR'!F80,'28.10 MASAKA-MUTUKULA-24HR'!F80)</f>
        <v>0.5</v>
      </c>
      <c r="G80" s="49">
        <f>AVERAGE('26.10 MASAKA-MUTUKULA-24HR'!G80,'28.10 MASAKA-MUTUKULA-24HR'!G80)</f>
        <v>0</v>
      </c>
      <c r="H80" s="49">
        <f>AVERAGE('26.10 MASAKA-MUTUKULA-24HR'!H80,'28.10 MASAKA-MUTUKULA-24HR'!H80)</f>
        <v>0</v>
      </c>
      <c r="I80" s="49">
        <f>AVERAGE('26.10 MASAKA-MUTUKULA-24HR'!I80,'28.10 MASAKA-MUTUKULA-24HR'!I80)</f>
        <v>0.5</v>
      </c>
      <c r="J80" s="49">
        <f>AVERAGE('26.10 MASAKA-MUTUKULA-24HR'!J80,'28.10 MASAKA-MUTUKULA-24HR'!J80)</f>
        <v>0</v>
      </c>
      <c r="K80" s="49">
        <f>AVERAGE('26.10 MASAKA-MUTUKULA-24HR'!K80,'28.10 MASAKA-MUTUKULA-24HR'!K80)</f>
        <v>1.5</v>
      </c>
      <c r="L80" s="49">
        <f>AVERAGE('26.10 MASAKA-MUTUKULA-24HR'!L80,'28.10 MASAKA-MUTUKULA-24HR'!L80)</f>
        <v>0</v>
      </c>
      <c r="M80" s="49">
        <f>AVERAGE('26.10 MASAKA-MUTUKULA-24HR'!M80,'28.10 MASAKA-MUTUKULA-24HR'!M80)</f>
        <v>1.5</v>
      </c>
      <c r="N80" s="49">
        <f>AVERAGE('26.10 MASAKA-MUTUKULA-24HR'!N80,'28.10 MASAKA-MUTUKULA-24HR'!N80)</f>
        <v>0</v>
      </c>
      <c r="O80" s="15">
        <f t="shared" si="35"/>
        <v>3</v>
      </c>
      <c r="P80" s="15">
        <f t="shared" si="36"/>
        <v>4.5</v>
      </c>
      <c r="R80" s="8"/>
      <c r="T80"/>
    </row>
    <row r="81" spans="2:20" ht="23.1" customHeight="1" x14ac:dyDescent="0.25">
      <c r="B81" s="23" t="s">
        <v>121</v>
      </c>
      <c r="C81" s="49">
        <f>AVERAGE('26.10 MASAKA-MUTUKULA-24HR'!C81,'28.10 MASAKA-MUTUKULA-24HR'!C81)</f>
        <v>1</v>
      </c>
      <c r="D81" s="49">
        <f>AVERAGE('26.10 MASAKA-MUTUKULA-24HR'!D81,'28.10 MASAKA-MUTUKULA-24HR'!D81)</f>
        <v>0</v>
      </c>
      <c r="E81" s="49">
        <f>AVERAGE('26.10 MASAKA-MUTUKULA-24HR'!E81,'28.10 MASAKA-MUTUKULA-24HR'!E81)</f>
        <v>0</v>
      </c>
      <c r="F81" s="49">
        <f>AVERAGE('26.10 MASAKA-MUTUKULA-24HR'!F81,'28.10 MASAKA-MUTUKULA-24HR'!F81)</f>
        <v>0</v>
      </c>
      <c r="G81" s="49">
        <f>AVERAGE('26.10 MASAKA-MUTUKULA-24HR'!G81,'28.10 MASAKA-MUTUKULA-24HR'!G81)</f>
        <v>1</v>
      </c>
      <c r="H81" s="49">
        <f>AVERAGE('26.10 MASAKA-MUTUKULA-24HR'!H81,'28.10 MASAKA-MUTUKULA-24HR'!H81)</f>
        <v>0</v>
      </c>
      <c r="I81" s="49">
        <f>AVERAGE('26.10 MASAKA-MUTUKULA-24HR'!I81,'28.10 MASAKA-MUTUKULA-24HR'!I81)</f>
        <v>0</v>
      </c>
      <c r="J81" s="49">
        <f>AVERAGE('26.10 MASAKA-MUTUKULA-24HR'!J81,'28.10 MASAKA-MUTUKULA-24HR'!J81)</f>
        <v>0</v>
      </c>
      <c r="K81" s="49">
        <f>AVERAGE('26.10 MASAKA-MUTUKULA-24HR'!K81,'28.10 MASAKA-MUTUKULA-24HR'!K81)</f>
        <v>1</v>
      </c>
      <c r="L81" s="49">
        <f>AVERAGE('26.10 MASAKA-MUTUKULA-24HR'!L81,'28.10 MASAKA-MUTUKULA-24HR'!L81)</f>
        <v>0</v>
      </c>
      <c r="M81" s="49">
        <f>AVERAGE('26.10 MASAKA-MUTUKULA-24HR'!M81,'28.10 MASAKA-MUTUKULA-24HR'!M81)</f>
        <v>0.5</v>
      </c>
      <c r="N81" s="49">
        <f>AVERAGE('26.10 MASAKA-MUTUKULA-24HR'!N81,'28.10 MASAKA-MUTUKULA-24HR'!N81)</f>
        <v>0</v>
      </c>
      <c r="O81" s="15">
        <f t="shared" si="35"/>
        <v>3</v>
      </c>
      <c r="P81" s="15">
        <f t="shared" si="36"/>
        <v>3.5</v>
      </c>
      <c r="R81" s="8"/>
      <c r="T81"/>
    </row>
    <row r="82" spans="2:20" ht="23.1" customHeight="1" x14ac:dyDescent="0.25">
      <c r="B82" s="24" t="s">
        <v>122</v>
      </c>
      <c r="C82" s="49">
        <f>AVERAGE('26.10 MASAKA-MUTUKULA-24HR'!C82,'28.10 MASAKA-MUTUKULA-24HR'!C82)</f>
        <v>0.5</v>
      </c>
      <c r="D82" s="49">
        <f>AVERAGE('26.10 MASAKA-MUTUKULA-24HR'!D82,'28.10 MASAKA-MUTUKULA-24HR'!D82)</f>
        <v>0</v>
      </c>
      <c r="E82" s="49">
        <f>AVERAGE('26.10 MASAKA-MUTUKULA-24HR'!E82,'28.10 MASAKA-MUTUKULA-24HR'!E82)</f>
        <v>0</v>
      </c>
      <c r="F82" s="49">
        <f>AVERAGE('26.10 MASAKA-MUTUKULA-24HR'!F82,'28.10 MASAKA-MUTUKULA-24HR'!F82)</f>
        <v>0</v>
      </c>
      <c r="G82" s="49">
        <f>AVERAGE('26.10 MASAKA-MUTUKULA-24HR'!G82,'28.10 MASAKA-MUTUKULA-24HR'!G82)</f>
        <v>0</v>
      </c>
      <c r="H82" s="49">
        <f>AVERAGE('26.10 MASAKA-MUTUKULA-24HR'!H82,'28.10 MASAKA-MUTUKULA-24HR'!H82)</f>
        <v>0</v>
      </c>
      <c r="I82" s="49">
        <f>AVERAGE('26.10 MASAKA-MUTUKULA-24HR'!I82,'28.10 MASAKA-MUTUKULA-24HR'!I82)</f>
        <v>0</v>
      </c>
      <c r="J82" s="49">
        <f>AVERAGE('26.10 MASAKA-MUTUKULA-24HR'!J82,'28.10 MASAKA-MUTUKULA-24HR'!J82)</f>
        <v>0</v>
      </c>
      <c r="K82" s="49">
        <f>AVERAGE('26.10 MASAKA-MUTUKULA-24HR'!K82,'28.10 MASAKA-MUTUKULA-24HR'!K82)</f>
        <v>0.5</v>
      </c>
      <c r="L82" s="49">
        <f>AVERAGE('26.10 MASAKA-MUTUKULA-24HR'!L82,'28.10 MASAKA-MUTUKULA-24HR'!L82)</f>
        <v>0</v>
      </c>
      <c r="M82" s="49">
        <f>AVERAGE('26.10 MASAKA-MUTUKULA-24HR'!M82,'28.10 MASAKA-MUTUKULA-24HR'!M82)</f>
        <v>0</v>
      </c>
      <c r="N82" s="49">
        <f>AVERAGE('26.10 MASAKA-MUTUKULA-24HR'!N82,'28.10 MASAKA-MUTUKULA-24HR'!N82)</f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AVERAGE('26.10 MASAKA-MUTUKULA-24HR'!C83,'28.10 MASAKA-MUTUKULA-24HR'!C83)</f>
        <v>0</v>
      </c>
      <c r="D83" s="49">
        <f>AVERAGE('26.10 MASAKA-MUTUKULA-24HR'!D83,'28.10 MASAKA-MUTUKULA-24HR'!D83)</f>
        <v>0</v>
      </c>
      <c r="E83" s="49">
        <f>AVERAGE('26.10 MASAKA-MUTUKULA-24HR'!E83,'28.10 MASAKA-MUTUKULA-24HR'!E83)</f>
        <v>0</v>
      </c>
      <c r="F83" s="49">
        <f>AVERAGE('26.10 MASAKA-MUTUKULA-24HR'!F83,'28.10 MASAKA-MUTUKULA-24HR'!F83)</f>
        <v>0.5</v>
      </c>
      <c r="G83" s="49">
        <f>AVERAGE('26.10 MASAKA-MUTUKULA-24HR'!G83,'28.10 MASAKA-MUTUKULA-24HR'!G83)</f>
        <v>0</v>
      </c>
      <c r="H83" s="49">
        <f>AVERAGE('26.10 MASAKA-MUTUKULA-24HR'!H83,'28.10 MASAKA-MUTUKULA-24HR'!H83)</f>
        <v>0</v>
      </c>
      <c r="I83" s="49">
        <f>AVERAGE('26.10 MASAKA-MUTUKULA-24HR'!I83,'28.10 MASAKA-MUTUKULA-24HR'!I83)</f>
        <v>0.5</v>
      </c>
      <c r="J83" s="49">
        <f>AVERAGE('26.10 MASAKA-MUTUKULA-24HR'!J83,'28.10 MASAKA-MUTUKULA-24HR'!J83)</f>
        <v>0.5</v>
      </c>
      <c r="K83" s="49">
        <f>AVERAGE('26.10 MASAKA-MUTUKULA-24HR'!K83,'28.10 MASAKA-MUTUKULA-24HR'!K83)</f>
        <v>0</v>
      </c>
      <c r="L83" s="49">
        <f>AVERAGE('26.10 MASAKA-MUTUKULA-24HR'!L83,'28.10 MASAKA-MUTUKULA-24HR'!L83)</f>
        <v>0</v>
      </c>
      <c r="M83" s="49">
        <f>AVERAGE('26.10 MASAKA-MUTUKULA-24HR'!M83,'28.10 MASAKA-MUTUKULA-24HR'!M83)</f>
        <v>0.5</v>
      </c>
      <c r="N83" s="49">
        <f>AVERAGE('26.10 MASAKA-MUTUKULA-24HR'!N83,'28.10 MASAKA-MUTUKULA-24HR'!N83)</f>
        <v>0</v>
      </c>
      <c r="O83" s="15">
        <f t="shared" si="35"/>
        <v>1.5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AVERAGE('26.10 MASAKA-MUTUKULA-24HR'!C84,'28.10 MASAKA-MUTUKULA-24HR'!C84)</f>
        <v>1</v>
      </c>
      <c r="D84" s="49">
        <f>AVERAGE('26.10 MASAKA-MUTUKULA-24HR'!D84,'28.10 MASAKA-MUTUKULA-24HR'!D84)</f>
        <v>0</v>
      </c>
      <c r="E84" s="49">
        <f>AVERAGE('26.10 MASAKA-MUTUKULA-24HR'!E84,'28.10 MASAKA-MUTUKULA-24HR'!E84)</f>
        <v>0</v>
      </c>
      <c r="F84" s="49">
        <f>AVERAGE('26.10 MASAKA-MUTUKULA-24HR'!F84,'28.10 MASAKA-MUTUKULA-24HR'!F84)</f>
        <v>0</v>
      </c>
      <c r="G84" s="49">
        <f>AVERAGE('26.10 MASAKA-MUTUKULA-24HR'!G84,'28.10 MASAKA-MUTUKULA-24HR'!G84)</f>
        <v>0</v>
      </c>
      <c r="H84" s="49">
        <f>AVERAGE('26.10 MASAKA-MUTUKULA-24HR'!H84,'28.10 MASAKA-MUTUKULA-24HR'!H84)</f>
        <v>0</v>
      </c>
      <c r="I84" s="49">
        <f>AVERAGE('26.10 MASAKA-MUTUKULA-24HR'!I84,'28.10 MASAKA-MUTUKULA-24HR'!I84)</f>
        <v>0</v>
      </c>
      <c r="J84" s="49">
        <f>AVERAGE('26.10 MASAKA-MUTUKULA-24HR'!J84,'28.10 MASAKA-MUTUKULA-24HR'!J84)</f>
        <v>1</v>
      </c>
      <c r="K84" s="49">
        <f>AVERAGE('26.10 MASAKA-MUTUKULA-24HR'!K84,'28.10 MASAKA-MUTUKULA-24HR'!K84)</f>
        <v>0</v>
      </c>
      <c r="L84" s="49">
        <f>AVERAGE('26.10 MASAKA-MUTUKULA-24HR'!L84,'28.10 MASAKA-MUTUKULA-24HR'!L84)</f>
        <v>0</v>
      </c>
      <c r="M84" s="49">
        <f>AVERAGE('26.10 MASAKA-MUTUKULA-24HR'!M84,'28.10 MASAKA-MUTUKULA-24HR'!M84)</f>
        <v>0</v>
      </c>
      <c r="N84" s="49">
        <f>AVERAGE('26.10 MASAKA-MUTUKULA-24HR'!N84,'28.10 MASAKA-MUTUKULA-24HR'!N84)</f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AVERAGE('26.10 MASAKA-MUTUKULA-24HR'!C85,'28.10 MASAKA-MUTUKULA-24HR'!C85)</f>
        <v>0</v>
      </c>
      <c r="D85" s="49">
        <f>AVERAGE('26.10 MASAKA-MUTUKULA-24HR'!D85,'28.10 MASAKA-MUTUKULA-24HR'!D85)</f>
        <v>0</v>
      </c>
      <c r="E85" s="49">
        <f>AVERAGE('26.10 MASAKA-MUTUKULA-24HR'!E85,'28.10 MASAKA-MUTUKULA-24HR'!E85)</f>
        <v>0</v>
      </c>
      <c r="F85" s="49">
        <f>AVERAGE('26.10 MASAKA-MUTUKULA-24HR'!F85,'28.10 MASAKA-MUTUKULA-24HR'!F85)</f>
        <v>0</v>
      </c>
      <c r="G85" s="49">
        <f>AVERAGE('26.10 MASAKA-MUTUKULA-24HR'!G85,'28.10 MASAKA-MUTUKULA-24HR'!G85)</f>
        <v>0</v>
      </c>
      <c r="H85" s="49">
        <f>AVERAGE('26.10 MASAKA-MUTUKULA-24HR'!H85,'28.10 MASAKA-MUTUKULA-24HR'!H85)</f>
        <v>0</v>
      </c>
      <c r="I85" s="49">
        <f>AVERAGE('26.10 MASAKA-MUTUKULA-24HR'!I85,'28.10 MASAKA-MUTUKULA-24HR'!I85)</f>
        <v>0</v>
      </c>
      <c r="J85" s="49">
        <f>AVERAGE('26.10 MASAKA-MUTUKULA-24HR'!J85,'28.10 MASAKA-MUTUKULA-24HR'!J85)</f>
        <v>0.5</v>
      </c>
      <c r="K85" s="49">
        <f>AVERAGE('26.10 MASAKA-MUTUKULA-24HR'!K85,'28.10 MASAKA-MUTUKULA-24HR'!K85)</f>
        <v>0</v>
      </c>
      <c r="L85" s="49">
        <f>AVERAGE('26.10 MASAKA-MUTUKULA-24HR'!L85,'28.10 MASAKA-MUTUKULA-24HR'!L85)</f>
        <v>0</v>
      </c>
      <c r="M85" s="49">
        <f>AVERAGE('26.10 MASAKA-MUTUKULA-24HR'!M85,'28.10 MASAKA-MUTUKULA-24HR'!M85)</f>
        <v>0</v>
      </c>
      <c r="N85" s="49">
        <f>AVERAGE('26.10 MASAKA-MUTUKULA-24HR'!N85,'28.10 MASAKA-MUTUKULA-24HR'!N85)</f>
        <v>0</v>
      </c>
      <c r="O85" s="15">
        <f t="shared" si="35"/>
        <v>0.5</v>
      </c>
      <c r="P85" s="15">
        <f t="shared" si="36"/>
        <v>0.5</v>
      </c>
      <c r="R85" s="8"/>
      <c r="T85"/>
    </row>
    <row r="86" spans="2:20" ht="23.1" customHeight="1" x14ac:dyDescent="0.25">
      <c r="B86" s="24" t="s">
        <v>126</v>
      </c>
      <c r="C86" s="49">
        <f>AVERAGE('26.10 MASAKA-MUTUKULA-24HR'!C86,'28.10 MASAKA-MUTUKULA-24HR'!C86)</f>
        <v>0</v>
      </c>
      <c r="D86" s="49">
        <f>AVERAGE('26.10 MASAKA-MUTUKULA-24HR'!D86,'28.10 MASAKA-MUTUKULA-24HR'!D86)</f>
        <v>0</v>
      </c>
      <c r="E86" s="49">
        <f>AVERAGE('26.10 MASAKA-MUTUKULA-24HR'!E86,'28.10 MASAKA-MUTUKULA-24HR'!E86)</f>
        <v>0</v>
      </c>
      <c r="F86" s="49">
        <f>AVERAGE('26.10 MASAKA-MUTUKULA-24HR'!F86,'28.10 MASAKA-MUTUKULA-24HR'!F86)</f>
        <v>0</v>
      </c>
      <c r="G86" s="49">
        <f>AVERAGE('26.10 MASAKA-MUTUKULA-24HR'!G86,'28.10 MASAKA-MUTUKULA-24HR'!G86)</f>
        <v>0</v>
      </c>
      <c r="H86" s="49">
        <f>AVERAGE('26.10 MASAKA-MUTUKULA-24HR'!H86,'28.10 MASAKA-MUTUKULA-24HR'!H86)</f>
        <v>0</v>
      </c>
      <c r="I86" s="49">
        <f>AVERAGE('26.10 MASAKA-MUTUKULA-24HR'!I86,'28.10 MASAKA-MUTUKULA-24HR'!I86)</f>
        <v>0</v>
      </c>
      <c r="J86" s="49">
        <f>AVERAGE('26.10 MASAKA-MUTUKULA-24HR'!J86,'28.10 MASAKA-MUTUKULA-24HR'!J86)</f>
        <v>0.5</v>
      </c>
      <c r="K86" s="49">
        <f>AVERAGE('26.10 MASAKA-MUTUKULA-24HR'!K86,'28.10 MASAKA-MUTUKULA-24HR'!K86)</f>
        <v>0.5</v>
      </c>
      <c r="L86" s="49">
        <f>AVERAGE('26.10 MASAKA-MUTUKULA-24HR'!L86,'28.10 MASAKA-MUTUKULA-24HR'!L86)</f>
        <v>0</v>
      </c>
      <c r="M86" s="49">
        <f>AVERAGE('26.10 MASAKA-MUTUKULA-24HR'!M86,'28.10 MASAKA-MUTUKULA-24HR'!M86)</f>
        <v>0.5</v>
      </c>
      <c r="N86" s="49">
        <f>AVERAGE('26.10 MASAKA-MUTUKULA-24HR'!N86,'28.10 MASAKA-MUTUKULA-24HR'!N86)</f>
        <v>0</v>
      </c>
      <c r="O86" s="15">
        <f t="shared" si="35"/>
        <v>1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AVERAGE('26.10 MASAKA-MUTUKULA-24HR'!C87,'28.10 MASAKA-MUTUKULA-24HR'!C87)</f>
        <v>0</v>
      </c>
      <c r="D87" s="49">
        <f>AVERAGE('26.10 MASAKA-MUTUKULA-24HR'!D87,'28.10 MASAKA-MUTUKULA-24HR'!D87)</f>
        <v>0</v>
      </c>
      <c r="E87" s="49">
        <f>AVERAGE('26.10 MASAKA-MUTUKULA-24HR'!E87,'28.10 MASAKA-MUTUKULA-24HR'!E87)</f>
        <v>0</v>
      </c>
      <c r="F87" s="49">
        <f>AVERAGE('26.10 MASAKA-MUTUKULA-24HR'!F87,'28.10 MASAKA-MUTUKULA-24HR'!F87)</f>
        <v>0</v>
      </c>
      <c r="G87" s="49">
        <f>AVERAGE('26.10 MASAKA-MUTUKULA-24HR'!G87,'28.10 MASAKA-MUTUKULA-24HR'!G87)</f>
        <v>0</v>
      </c>
      <c r="H87" s="49">
        <f>AVERAGE('26.10 MASAKA-MUTUKULA-24HR'!H87,'28.10 MASAKA-MUTUKULA-24HR'!H87)</f>
        <v>0</v>
      </c>
      <c r="I87" s="49">
        <f>AVERAGE('26.10 MASAKA-MUTUKULA-24HR'!I87,'28.10 MASAKA-MUTUKULA-24HR'!I87)</f>
        <v>0</v>
      </c>
      <c r="J87" s="49">
        <f>AVERAGE('26.10 MASAKA-MUTUKULA-24HR'!J87,'28.10 MASAKA-MUTUKULA-24HR'!J87)</f>
        <v>0</v>
      </c>
      <c r="K87" s="49">
        <f>AVERAGE('26.10 MASAKA-MUTUKULA-24HR'!K87,'28.10 MASAKA-MUTUKULA-24HR'!K87)</f>
        <v>1</v>
      </c>
      <c r="L87" s="49">
        <f>AVERAGE('26.10 MASAKA-MUTUKULA-24HR'!L87,'28.10 MASAKA-MUTUKULA-24HR'!L87)</f>
        <v>0.5</v>
      </c>
      <c r="M87" s="49">
        <f>AVERAGE('26.10 MASAKA-MUTUKULA-24HR'!M87,'28.10 MASAKA-MUTUKULA-24HR'!M87)</f>
        <v>0.5</v>
      </c>
      <c r="N87" s="49">
        <f>AVERAGE('26.10 MASAKA-MUTUKULA-24HR'!N87,'28.10 MASAKA-MUTUKULA-24HR'!N87)</f>
        <v>0</v>
      </c>
      <c r="O87" s="15">
        <f t="shared" si="35"/>
        <v>1.5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AVERAGE('26.10 MASAKA-MUTUKULA-24HR'!C88,'28.10 MASAKA-MUTUKULA-24HR'!C88)</f>
        <v>0.5</v>
      </c>
      <c r="D88" s="49">
        <f>AVERAGE('26.10 MASAKA-MUTUKULA-24HR'!D88,'28.10 MASAKA-MUTUKULA-24HR'!D88)</f>
        <v>0</v>
      </c>
      <c r="E88" s="49">
        <f>AVERAGE('26.10 MASAKA-MUTUKULA-24HR'!E88,'28.10 MASAKA-MUTUKULA-24HR'!E88)</f>
        <v>0</v>
      </c>
      <c r="F88" s="49">
        <f>AVERAGE('26.10 MASAKA-MUTUKULA-24HR'!F88,'28.10 MASAKA-MUTUKULA-24HR'!F88)</f>
        <v>0</v>
      </c>
      <c r="G88" s="49">
        <f>AVERAGE('26.10 MASAKA-MUTUKULA-24HR'!G88,'28.10 MASAKA-MUTUKULA-24HR'!G88)</f>
        <v>0</v>
      </c>
      <c r="H88" s="49">
        <f>AVERAGE('26.10 MASAKA-MUTUKULA-24HR'!H88,'28.10 MASAKA-MUTUKULA-24HR'!H88)</f>
        <v>0</v>
      </c>
      <c r="I88" s="49">
        <f>AVERAGE('26.10 MASAKA-MUTUKULA-24HR'!I88,'28.10 MASAKA-MUTUKULA-24HR'!I88)</f>
        <v>0</v>
      </c>
      <c r="J88" s="49">
        <f>AVERAGE('26.10 MASAKA-MUTUKULA-24HR'!J88,'28.10 MASAKA-MUTUKULA-24HR'!J88)</f>
        <v>0</v>
      </c>
      <c r="K88" s="49">
        <f>AVERAGE('26.10 MASAKA-MUTUKULA-24HR'!K88,'28.10 MASAKA-MUTUKULA-24HR'!K88)</f>
        <v>0</v>
      </c>
      <c r="L88" s="49">
        <f>AVERAGE('26.10 MASAKA-MUTUKULA-24HR'!L88,'28.10 MASAKA-MUTUKULA-24HR'!L88)</f>
        <v>0</v>
      </c>
      <c r="M88" s="49">
        <f>AVERAGE('26.10 MASAKA-MUTUKULA-24HR'!M88,'28.10 MASAKA-MUTUKULA-24HR'!M88)</f>
        <v>0.5</v>
      </c>
      <c r="N88" s="49">
        <f>AVERAGE('26.10 MASAKA-MUTUKULA-24HR'!N88,'28.10 MASAKA-MUTUKULA-24HR'!N88)</f>
        <v>0</v>
      </c>
      <c r="O88" s="15">
        <f t="shared" si="35"/>
        <v>0.5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AVERAGE('26.10 MASAKA-MUTUKULA-24HR'!C89,'28.10 MASAKA-MUTUKULA-24HR'!C89)</f>
        <v>0</v>
      </c>
      <c r="D89" s="49">
        <f>AVERAGE('26.10 MASAKA-MUTUKULA-24HR'!D89,'28.10 MASAKA-MUTUKULA-24HR'!D89)</f>
        <v>0</v>
      </c>
      <c r="E89" s="49">
        <f>AVERAGE('26.10 MASAKA-MUTUKULA-24HR'!E89,'28.10 MASAKA-MUTUKULA-24HR'!E89)</f>
        <v>0</v>
      </c>
      <c r="F89" s="49">
        <f>AVERAGE('26.10 MASAKA-MUTUKULA-24HR'!F89,'28.10 MASAKA-MUTUKULA-24HR'!F89)</f>
        <v>0.5</v>
      </c>
      <c r="G89" s="49">
        <f>AVERAGE('26.10 MASAKA-MUTUKULA-24HR'!G89,'28.10 MASAKA-MUTUKULA-24HR'!G89)</f>
        <v>0</v>
      </c>
      <c r="H89" s="49">
        <f>AVERAGE('26.10 MASAKA-MUTUKULA-24HR'!H89,'28.10 MASAKA-MUTUKULA-24HR'!H89)</f>
        <v>0.5</v>
      </c>
      <c r="I89" s="49">
        <f>AVERAGE('26.10 MASAKA-MUTUKULA-24HR'!I89,'28.10 MASAKA-MUTUKULA-24HR'!I89)</f>
        <v>0</v>
      </c>
      <c r="J89" s="49">
        <f>AVERAGE('26.10 MASAKA-MUTUKULA-24HR'!J89,'28.10 MASAKA-MUTUKULA-24HR'!J89)</f>
        <v>0</v>
      </c>
      <c r="K89" s="49">
        <f>AVERAGE('26.10 MASAKA-MUTUKULA-24HR'!K89,'28.10 MASAKA-MUTUKULA-24HR'!K89)</f>
        <v>0.5</v>
      </c>
      <c r="L89" s="49">
        <f>AVERAGE('26.10 MASAKA-MUTUKULA-24HR'!L89,'28.10 MASAKA-MUTUKULA-24HR'!L89)</f>
        <v>0</v>
      </c>
      <c r="M89" s="49">
        <f>AVERAGE('26.10 MASAKA-MUTUKULA-24HR'!M89,'28.10 MASAKA-MUTUKULA-24HR'!M89)</f>
        <v>0</v>
      </c>
      <c r="N89" s="49">
        <f>AVERAGE('26.10 MASAKA-MUTUKULA-24HR'!N89,'28.10 MASAKA-MUTUKULA-24HR'!N89)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AVERAGE('26.10 MASAKA-MUTUKULA-24HR'!C90,'28.10 MASAKA-MUTUKULA-24HR'!C90)</f>
        <v>0</v>
      </c>
      <c r="D90" s="49">
        <f>AVERAGE('26.10 MASAKA-MUTUKULA-24HR'!D90,'28.10 MASAKA-MUTUKULA-24HR'!D90)</f>
        <v>0</v>
      </c>
      <c r="E90" s="49">
        <f>AVERAGE('26.10 MASAKA-MUTUKULA-24HR'!E90,'28.10 MASAKA-MUTUKULA-24HR'!E90)</f>
        <v>0</v>
      </c>
      <c r="F90" s="49">
        <f>AVERAGE('26.10 MASAKA-MUTUKULA-24HR'!F90,'28.10 MASAKA-MUTUKULA-24HR'!F90)</f>
        <v>0</v>
      </c>
      <c r="G90" s="49">
        <f>AVERAGE('26.10 MASAKA-MUTUKULA-24HR'!G90,'28.10 MASAKA-MUTUKULA-24HR'!G90)</f>
        <v>0</v>
      </c>
      <c r="H90" s="49">
        <f>AVERAGE('26.10 MASAKA-MUTUKULA-24HR'!H90,'28.10 MASAKA-MUTUKULA-24HR'!H90)</f>
        <v>0.5</v>
      </c>
      <c r="I90" s="49">
        <f>AVERAGE('26.10 MASAKA-MUTUKULA-24HR'!I90,'28.10 MASAKA-MUTUKULA-24HR'!I90)</f>
        <v>0</v>
      </c>
      <c r="J90" s="49">
        <f>AVERAGE('26.10 MASAKA-MUTUKULA-24HR'!J90,'28.10 MASAKA-MUTUKULA-24HR'!J90)</f>
        <v>0</v>
      </c>
      <c r="K90" s="49">
        <f>AVERAGE('26.10 MASAKA-MUTUKULA-24HR'!K90,'28.10 MASAKA-MUTUKULA-24HR'!K90)</f>
        <v>0.5</v>
      </c>
      <c r="L90" s="49">
        <f>AVERAGE('26.10 MASAKA-MUTUKULA-24HR'!L90,'28.10 MASAKA-MUTUKULA-24HR'!L90)</f>
        <v>0</v>
      </c>
      <c r="M90" s="49">
        <f>AVERAGE('26.10 MASAKA-MUTUKULA-24HR'!M90,'28.10 MASAKA-MUTUKULA-24HR'!M90)</f>
        <v>0.5</v>
      </c>
      <c r="N90" s="49">
        <f>AVERAGE('26.10 MASAKA-MUTUKULA-24HR'!N90,'28.10 MASAKA-MUTUKULA-24HR'!N90)</f>
        <v>0</v>
      </c>
      <c r="O90" s="15">
        <f t="shared" si="35"/>
        <v>1</v>
      </c>
      <c r="P90" s="15">
        <f t="shared" si="36"/>
        <v>1.5</v>
      </c>
      <c r="R90" s="8"/>
      <c r="T90"/>
    </row>
    <row r="91" spans="2:20" ht="23.1" customHeight="1" x14ac:dyDescent="0.25">
      <c r="B91" s="23" t="s">
        <v>131</v>
      </c>
      <c r="C91" s="49">
        <f>AVERAGE('26.10 MASAKA-MUTUKULA-24HR'!C91,'28.10 MASAKA-MUTUKULA-24HR'!C91)</f>
        <v>0</v>
      </c>
      <c r="D91" s="49">
        <f>AVERAGE('26.10 MASAKA-MUTUKULA-24HR'!D91,'28.10 MASAKA-MUTUKULA-24HR'!D91)</f>
        <v>0</v>
      </c>
      <c r="E91" s="49">
        <f>AVERAGE('26.10 MASAKA-MUTUKULA-24HR'!E91,'28.10 MASAKA-MUTUKULA-24HR'!E91)</f>
        <v>0</v>
      </c>
      <c r="F91" s="49">
        <f>AVERAGE('26.10 MASAKA-MUTUKULA-24HR'!F91,'28.10 MASAKA-MUTUKULA-24HR'!F91)</f>
        <v>0</v>
      </c>
      <c r="G91" s="49">
        <f>AVERAGE('26.10 MASAKA-MUTUKULA-24HR'!G91,'28.10 MASAKA-MUTUKULA-24HR'!G91)</f>
        <v>0</v>
      </c>
      <c r="H91" s="49">
        <f>AVERAGE('26.10 MASAKA-MUTUKULA-24HR'!H91,'28.10 MASAKA-MUTUKULA-24HR'!H91)</f>
        <v>0.5</v>
      </c>
      <c r="I91" s="49">
        <f>AVERAGE('26.10 MASAKA-MUTUKULA-24HR'!I91,'28.10 MASAKA-MUTUKULA-24HR'!I91)</f>
        <v>0</v>
      </c>
      <c r="J91" s="49">
        <f>AVERAGE('26.10 MASAKA-MUTUKULA-24HR'!J91,'28.10 MASAKA-MUTUKULA-24HR'!J91)</f>
        <v>0</v>
      </c>
      <c r="K91" s="49">
        <f>AVERAGE('26.10 MASAKA-MUTUKULA-24HR'!K91,'28.10 MASAKA-MUTUKULA-24HR'!K91)</f>
        <v>0.5</v>
      </c>
      <c r="L91" s="49">
        <f>AVERAGE('26.10 MASAKA-MUTUKULA-24HR'!L91,'28.10 MASAKA-MUTUKULA-24HR'!L91)</f>
        <v>0</v>
      </c>
      <c r="M91" s="49">
        <f>AVERAGE('26.10 MASAKA-MUTUKULA-24HR'!M91,'28.10 MASAKA-MUTUKULA-24HR'!M91)</f>
        <v>0.5</v>
      </c>
      <c r="N91" s="49">
        <f>AVERAGE('26.10 MASAKA-MUTUKULA-24HR'!N91,'28.10 MASAKA-MUTUKULA-24HR'!N91)</f>
        <v>0</v>
      </c>
      <c r="O91" s="15">
        <f t="shared" si="35"/>
        <v>1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AVERAGE('26.10 MASAKA-MUTUKULA-24HR'!C92,'28.10 MASAKA-MUTUKULA-24HR'!C92)</f>
        <v>0</v>
      </c>
      <c r="D92" s="49">
        <f>AVERAGE('26.10 MASAKA-MUTUKULA-24HR'!D92,'28.10 MASAKA-MUTUKULA-24HR'!D92)</f>
        <v>0.5</v>
      </c>
      <c r="E92" s="49">
        <f>AVERAGE('26.10 MASAKA-MUTUKULA-24HR'!E92,'28.10 MASAKA-MUTUKULA-24HR'!E92)</f>
        <v>0</v>
      </c>
      <c r="F92" s="49">
        <f>AVERAGE('26.10 MASAKA-MUTUKULA-24HR'!F92,'28.10 MASAKA-MUTUKULA-24HR'!F92)</f>
        <v>0</v>
      </c>
      <c r="G92" s="49">
        <f>AVERAGE('26.10 MASAKA-MUTUKULA-24HR'!G92,'28.10 MASAKA-MUTUKULA-24HR'!G92)</f>
        <v>0</v>
      </c>
      <c r="H92" s="49">
        <f>AVERAGE('26.10 MASAKA-MUTUKULA-24HR'!H92,'28.10 MASAKA-MUTUKULA-24HR'!H92)</f>
        <v>0</v>
      </c>
      <c r="I92" s="49">
        <f>AVERAGE('26.10 MASAKA-MUTUKULA-24HR'!I92,'28.10 MASAKA-MUTUKULA-24HR'!I92)</f>
        <v>0</v>
      </c>
      <c r="J92" s="49">
        <f>AVERAGE('26.10 MASAKA-MUTUKULA-24HR'!J92,'28.10 MASAKA-MUTUKULA-24HR'!J92)</f>
        <v>0</v>
      </c>
      <c r="K92" s="49">
        <f>AVERAGE('26.10 MASAKA-MUTUKULA-24HR'!K92,'28.10 MASAKA-MUTUKULA-24HR'!K92)</f>
        <v>0.5</v>
      </c>
      <c r="L92" s="49">
        <f>AVERAGE('26.10 MASAKA-MUTUKULA-24HR'!L92,'28.10 MASAKA-MUTUKULA-24HR'!L92)</f>
        <v>0</v>
      </c>
      <c r="M92" s="49">
        <f>AVERAGE('26.10 MASAKA-MUTUKULA-24HR'!M92,'28.10 MASAKA-MUTUKULA-24HR'!M92)</f>
        <v>0</v>
      </c>
      <c r="N92" s="49">
        <f>AVERAGE('26.10 MASAKA-MUTUKULA-24HR'!N92,'28.10 MASAKA-MUTUKULA-24HR'!N92)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AVERAGE('26.10 MASAKA-MUTUKULA-24HR'!C93,'28.10 MASAKA-MUTUKULA-24HR'!C93)</f>
        <v>0</v>
      </c>
      <c r="D93" s="49">
        <f>AVERAGE('26.10 MASAKA-MUTUKULA-24HR'!D93,'28.10 MASAKA-MUTUKULA-24HR'!D93)</f>
        <v>0</v>
      </c>
      <c r="E93" s="49">
        <f>AVERAGE('26.10 MASAKA-MUTUKULA-24HR'!E93,'28.10 MASAKA-MUTUKULA-24HR'!E93)</f>
        <v>0</v>
      </c>
      <c r="F93" s="49">
        <f>AVERAGE('26.10 MASAKA-MUTUKULA-24HR'!F93,'28.10 MASAKA-MUTUKULA-24HR'!F93)</f>
        <v>0</v>
      </c>
      <c r="G93" s="49">
        <f>AVERAGE('26.10 MASAKA-MUTUKULA-24HR'!G93,'28.10 MASAKA-MUTUKULA-24HR'!G93)</f>
        <v>0</v>
      </c>
      <c r="H93" s="49">
        <f>AVERAGE('26.10 MASAKA-MUTUKULA-24HR'!H93,'28.10 MASAKA-MUTUKULA-24HR'!H93)</f>
        <v>0.5</v>
      </c>
      <c r="I93" s="49">
        <f>AVERAGE('26.10 MASAKA-MUTUKULA-24HR'!I93,'28.10 MASAKA-MUTUKULA-24HR'!I93)</f>
        <v>0</v>
      </c>
      <c r="J93" s="49">
        <f>AVERAGE('26.10 MASAKA-MUTUKULA-24HR'!J93,'28.10 MASAKA-MUTUKULA-24HR'!J93)</f>
        <v>1.5</v>
      </c>
      <c r="K93" s="49">
        <f>AVERAGE('26.10 MASAKA-MUTUKULA-24HR'!K93,'28.10 MASAKA-MUTUKULA-24HR'!K93)</f>
        <v>0</v>
      </c>
      <c r="L93" s="49">
        <f>AVERAGE('26.10 MASAKA-MUTUKULA-24HR'!L93,'28.10 MASAKA-MUTUKULA-24HR'!L93)</f>
        <v>0</v>
      </c>
      <c r="M93" s="49">
        <f>AVERAGE('26.10 MASAKA-MUTUKULA-24HR'!M93,'28.10 MASAKA-MUTUKULA-24HR'!M93)</f>
        <v>0.5</v>
      </c>
      <c r="N93" s="49">
        <f>AVERAGE('26.10 MASAKA-MUTUKULA-24HR'!N93,'28.10 MASAKA-MUTUKULA-24HR'!N93)</f>
        <v>0</v>
      </c>
      <c r="O93" s="15">
        <f t="shared" si="35"/>
        <v>2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AVERAGE('26.10 MASAKA-MUTUKULA-24HR'!C94,'28.10 MASAKA-MUTUKULA-24HR'!C94)</f>
        <v>0</v>
      </c>
      <c r="D94" s="49">
        <f>AVERAGE('26.10 MASAKA-MUTUKULA-24HR'!D94,'28.10 MASAKA-MUTUKULA-24HR'!D94)</f>
        <v>0</v>
      </c>
      <c r="E94" s="49">
        <f>AVERAGE('26.10 MASAKA-MUTUKULA-24HR'!E94,'28.10 MASAKA-MUTUKULA-24HR'!E94)</f>
        <v>0</v>
      </c>
      <c r="F94" s="49">
        <f>AVERAGE('26.10 MASAKA-MUTUKULA-24HR'!F94,'28.10 MASAKA-MUTUKULA-24HR'!F94)</f>
        <v>0</v>
      </c>
      <c r="G94" s="49">
        <f>AVERAGE('26.10 MASAKA-MUTUKULA-24HR'!G94,'28.10 MASAKA-MUTUKULA-24HR'!G94)</f>
        <v>0</v>
      </c>
      <c r="H94" s="49">
        <f>AVERAGE('26.10 MASAKA-MUTUKULA-24HR'!H94,'28.10 MASAKA-MUTUKULA-24HR'!H94)</f>
        <v>0</v>
      </c>
      <c r="I94" s="49">
        <f>AVERAGE('26.10 MASAKA-MUTUKULA-24HR'!I94,'28.10 MASAKA-MUTUKULA-24HR'!I94)</f>
        <v>0</v>
      </c>
      <c r="J94" s="49">
        <f>AVERAGE('26.10 MASAKA-MUTUKULA-24HR'!J94,'28.10 MASAKA-MUTUKULA-24HR'!J94)</f>
        <v>1</v>
      </c>
      <c r="K94" s="49">
        <f>AVERAGE('26.10 MASAKA-MUTUKULA-24HR'!K94,'28.10 MASAKA-MUTUKULA-24HR'!K94)</f>
        <v>1.5</v>
      </c>
      <c r="L94" s="49">
        <f>AVERAGE('26.10 MASAKA-MUTUKULA-24HR'!L94,'28.10 MASAKA-MUTUKULA-24HR'!L94)</f>
        <v>0</v>
      </c>
      <c r="M94" s="49">
        <f>AVERAGE('26.10 MASAKA-MUTUKULA-24HR'!M94,'28.10 MASAKA-MUTUKULA-24HR'!M94)</f>
        <v>0</v>
      </c>
      <c r="N94" s="49">
        <f>AVERAGE('26.10 MASAKA-MUTUKULA-24HR'!N94,'28.10 MASAKA-MUTUKULA-24HR'!N94)</f>
        <v>0</v>
      </c>
      <c r="O94" s="15">
        <f t="shared" si="35"/>
        <v>2.5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AVERAGE('26.10 MASAKA-MUTUKULA-24HR'!C95,'28.10 MASAKA-MUTUKULA-24HR'!C95)</f>
        <v>0</v>
      </c>
      <c r="D95" s="49">
        <f>AVERAGE('26.10 MASAKA-MUTUKULA-24HR'!D95,'28.10 MASAKA-MUTUKULA-24HR'!D95)</f>
        <v>0</v>
      </c>
      <c r="E95" s="49">
        <f>AVERAGE('26.10 MASAKA-MUTUKULA-24HR'!E95,'28.10 MASAKA-MUTUKULA-24HR'!E95)</f>
        <v>0</v>
      </c>
      <c r="F95" s="49">
        <f>AVERAGE('26.10 MASAKA-MUTUKULA-24HR'!F95,'28.10 MASAKA-MUTUKULA-24HR'!F95)</f>
        <v>0</v>
      </c>
      <c r="G95" s="49">
        <f>AVERAGE('26.10 MASAKA-MUTUKULA-24HR'!G95,'28.10 MASAKA-MUTUKULA-24HR'!G95)</f>
        <v>0</v>
      </c>
      <c r="H95" s="49">
        <f>AVERAGE('26.10 MASAKA-MUTUKULA-24HR'!H95,'28.10 MASAKA-MUTUKULA-24HR'!H95)</f>
        <v>0</v>
      </c>
      <c r="I95" s="49">
        <f>AVERAGE('26.10 MASAKA-MUTUKULA-24HR'!I95,'28.10 MASAKA-MUTUKULA-24HR'!I95)</f>
        <v>0</v>
      </c>
      <c r="J95" s="49">
        <f>AVERAGE('26.10 MASAKA-MUTUKULA-24HR'!J95,'28.10 MASAKA-MUTUKULA-24HR'!J95)</f>
        <v>0</v>
      </c>
      <c r="K95" s="49">
        <f>AVERAGE('26.10 MASAKA-MUTUKULA-24HR'!K95,'28.10 MASAKA-MUTUKULA-24HR'!K95)</f>
        <v>0</v>
      </c>
      <c r="L95" s="49">
        <f>AVERAGE('26.10 MASAKA-MUTUKULA-24HR'!L95,'28.10 MASAKA-MUTUKULA-24HR'!L95)</f>
        <v>0</v>
      </c>
      <c r="M95" s="49">
        <f>AVERAGE('26.10 MASAKA-MUTUKULA-24HR'!M95,'28.10 MASAKA-MUTUKULA-24HR'!M95)</f>
        <v>0</v>
      </c>
      <c r="N95" s="49">
        <f>AVERAGE('26.10 MASAKA-MUTUKULA-24HR'!N95,'28.10 MASAKA-MUTUKULA-24HR'!N95)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AVERAGE('26.10 MASAKA-MUTUKULA-24HR'!C96,'28.10 MASAKA-MUTUKULA-24HR'!C96)</f>
        <v>0</v>
      </c>
      <c r="D96" s="49">
        <f>AVERAGE('26.10 MASAKA-MUTUKULA-24HR'!D96,'28.10 MASAKA-MUTUKULA-24HR'!D96)</f>
        <v>0</v>
      </c>
      <c r="E96" s="49">
        <f>AVERAGE('26.10 MASAKA-MUTUKULA-24HR'!E96,'28.10 MASAKA-MUTUKULA-24HR'!E96)</f>
        <v>0</v>
      </c>
      <c r="F96" s="49">
        <f>AVERAGE('26.10 MASAKA-MUTUKULA-24HR'!F96,'28.10 MASAKA-MUTUKULA-24HR'!F96)</f>
        <v>0</v>
      </c>
      <c r="G96" s="49">
        <f>AVERAGE('26.10 MASAKA-MUTUKULA-24HR'!G96,'28.10 MASAKA-MUTUKULA-24HR'!G96)</f>
        <v>0</v>
      </c>
      <c r="H96" s="49">
        <f>AVERAGE('26.10 MASAKA-MUTUKULA-24HR'!H96,'28.10 MASAKA-MUTUKULA-24HR'!H96)</f>
        <v>0</v>
      </c>
      <c r="I96" s="49">
        <f>AVERAGE('26.10 MASAKA-MUTUKULA-24HR'!I96,'28.10 MASAKA-MUTUKULA-24HR'!I96)</f>
        <v>0</v>
      </c>
      <c r="J96" s="49">
        <f>AVERAGE('26.10 MASAKA-MUTUKULA-24HR'!J96,'28.10 MASAKA-MUTUKULA-24HR'!J96)</f>
        <v>0.5</v>
      </c>
      <c r="K96" s="49">
        <f>AVERAGE('26.10 MASAKA-MUTUKULA-24HR'!K96,'28.10 MASAKA-MUTUKULA-24HR'!K96)</f>
        <v>0</v>
      </c>
      <c r="L96" s="49">
        <f>AVERAGE('26.10 MASAKA-MUTUKULA-24HR'!L96,'28.10 MASAKA-MUTUKULA-24HR'!L96)</f>
        <v>0</v>
      </c>
      <c r="M96" s="49">
        <f>AVERAGE('26.10 MASAKA-MUTUKULA-24HR'!M96,'28.10 MASAKA-MUTUKULA-24HR'!M96)</f>
        <v>0</v>
      </c>
      <c r="N96" s="49">
        <f>AVERAGE('26.10 MASAKA-MUTUKULA-24HR'!N96,'28.10 MASAKA-MUTUKULA-24HR'!N96)</f>
        <v>0</v>
      </c>
      <c r="O96" s="15">
        <f t="shared" si="35"/>
        <v>0.5</v>
      </c>
      <c r="P96" s="15">
        <f t="shared" si="36"/>
        <v>0.5</v>
      </c>
      <c r="R96" s="8"/>
      <c r="T96"/>
    </row>
    <row r="97" spans="2:20" ht="23.1" customHeight="1" x14ac:dyDescent="0.25">
      <c r="B97" s="23" t="s">
        <v>137</v>
      </c>
      <c r="C97" s="49">
        <f>AVERAGE('26.10 MASAKA-MUTUKULA-24HR'!C97,'28.10 MASAKA-MUTUKULA-24HR'!C97)</f>
        <v>0.5</v>
      </c>
      <c r="D97" s="49">
        <f>AVERAGE('26.10 MASAKA-MUTUKULA-24HR'!D97,'28.10 MASAKA-MUTUKULA-24HR'!D97)</f>
        <v>0</v>
      </c>
      <c r="E97" s="49">
        <f>AVERAGE('26.10 MASAKA-MUTUKULA-24HR'!E97,'28.10 MASAKA-MUTUKULA-24HR'!E97)</f>
        <v>0</v>
      </c>
      <c r="F97" s="49">
        <f>AVERAGE('26.10 MASAKA-MUTUKULA-24HR'!F97,'28.10 MASAKA-MUTUKULA-24HR'!F97)</f>
        <v>0</v>
      </c>
      <c r="G97" s="49">
        <f>AVERAGE('26.10 MASAKA-MUTUKULA-24HR'!G97,'28.10 MASAKA-MUTUKULA-24HR'!G97)</f>
        <v>0</v>
      </c>
      <c r="H97" s="49">
        <f>AVERAGE('26.10 MASAKA-MUTUKULA-24HR'!H97,'28.10 MASAKA-MUTUKULA-24HR'!H97)</f>
        <v>0</v>
      </c>
      <c r="I97" s="49">
        <f>AVERAGE('26.10 MASAKA-MUTUKULA-24HR'!I97,'28.10 MASAKA-MUTUKULA-24HR'!I97)</f>
        <v>0</v>
      </c>
      <c r="J97" s="49">
        <f>AVERAGE('26.10 MASAKA-MUTUKULA-24HR'!J97,'28.10 MASAKA-MUTUKULA-24HR'!J97)</f>
        <v>1</v>
      </c>
      <c r="K97" s="49">
        <f>AVERAGE('26.10 MASAKA-MUTUKULA-24HR'!K97,'28.10 MASAKA-MUTUKULA-24HR'!K97)</f>
        <v>1</v>
      </c>
      <c r="L97" s="49">
        <f>AVERAGE('26.10 MASAKA-MUTUKULA-24HR'!L97,'28.10 MASAKA-MUTUKULA-24HR'!L97)</f>
        <v>0</v>
      </c>
      <c r="M97" s="49">
        <f>AVERAGE('26.10 MASAKA-MUTUKULA-24HR'!M97,'28.10 MASAKA-MUTUKULA-24HR'!M97)</f>
        <v>0.5</v>
      </c>
      <c r="N97" s="49">
        <f>AVERAGE('26.10 MASAKA-MUTUKULA-24HR'!N97,'28.10 MASAKA-MUTUKULA-24HR'!N97)</f>
        <v>0</v>
      </c>
      <c r="O97" s="15">
        <f t="shared" si="35"/>
        <v>2.5</v>
      </c>
      <c r="P97" s="15">
        <f t="shared" si="36"/>
        <v>3</v>
      </c>
      <c r="R97" s="8"/>
      <c r="T97"/>
    </row>
    <row r="98" spans="2:20" ht="23.1" customHeight="1" x14ac:dyDescent="0.25">
      <c r="B98" s="24" t="s">
        <v>138</v>
      </c>
      <c r="C98" s="49">
        <f>AVERAGE('26.10 MASAKA-MUTUKULA-24HR'!C98,'28.10 MASAKA-MUTUKULA-24HR'!C98)</f>
        <v>0</v>
      </c>
      <c r="D98" s="49">
        <f>AVERAGE('26.10 MASAKA-MUTUKULA-24HR'!D98,'28.10 MASAKA-MUTUKULA-24HR'!D98)</f>
        <v>0</v>
      </c>
      <c r="E98" s="49">
        <f>AVERAGE('26.10 MASAKA-MUTUKULA-24HR'!E98,'28.10 MASAKA-MUTUKULA-24HR'!E98)</f>
        <v>0</v>
      </c>
      <c r="F98" s="49">
        <f>AVERAGE('26.10 MASAKA-MUTUKULA-24HR'!F98,'28.10 MASAKA-MUTUKULA-24HR'!F98)</f>
        <v>0</v>
      </c>
      <c r="G98" s="49">
        <f>AVERAGE('26.10 MASAKA-MUTUKULA-24HR'!G98,'28.10 MASAKA-MUTUKULA-24HR'!G98)</f>
        <v>0</v>
      </c>
      <c r="H98" s="49">
        <f>AVERAGE('26.10 MASAKA-MUTUKULA-24HR'!H98,'28.10 MASAKA-MUTUKULA-24HR'!H98)</f>
        <v>0</v>
      </c>
      <c r="I98" s="49">
        <f>AVERAGE('26.10 MASAKA-MUTUKULA-24HR'!I98,'28.10 MASAKA-MUTUKULA-24HR'!I98)</f>
        <v>0.5</v>
      </c>
      <c r="J98" s="49">
        <f>AVERAGE('26.10 MASAKA-MUTUKULA-24HR'!J98,'28.10 MASAKA-MUTUKULA-24HR'!J98)</f>
        <v>0</v>
      </c>
      <c r="K98" s="49">
        <f>AVERAGE('26.10 MASAKA-MUTUKULA-24HR'!K98,'28.10 MASAKA-MUTUKULA-24HR'!K98)</f>
        <v>1.5</v>
      </c>
      <c r="L98" s="49">
        <f>AVERAGE('26.10 MASAKA-MUTUKULA-24HR'!L98,'28.10 MASAKA-MUTUKULA-24HR'!L98)</f>
        <v>0</v>
      </c>
      <c r="M98" s="49">
        <f>AVERAGE('26.10 MASAKA-MUTUKULA-24HR'!M98,'28.10 MASAKA-MUTUKULA-24HR'!M98)</f>
        <v>0.5</v>
      </c>
      <c r="N98" s="49">
        <f>AVERAGE('26.10 MASAKA-MUTUKULA-24HR'!N98,'28.10 MASAKA-MUTUKULA-24HR'!N98)</f>
        <v>0</v>
      </c>
      <c r="O98" s="15">
        <f t="shared" si="35"/>
        <v>2</v>
      </c>
      <c r="P98" s="15">
        <f t="shared" si="36"/>
        <v>2.5</v>
      </c>
      <c r="R98" s="8"/>
      <c r="T98"/>
    </row>
    <row r="99" spans="2:20" ht="23.1" customHeight="1" x14ac:dyDescent="0.25">
      <c r="B99" s="23" t="s">
        <v>139</v>
      </c>
      <c r="C99" s="49">
        <f>AVERAGE('26.10 MASAKA-MUTUKULA-24HR'!C99,'28.10 MASAKA-MUTUKULA-24HR'!C99)</f>
        <v>1</v>
      </c>
      <c r="D99" s="49">
        <f>AVERAGE('26.10 MASAKA-MUTUKULA-24HR'!D99,'28.10 MASAKA-MUTUKULA-24HR'!D99)</f>
        <v>0</v>
      </c>
      <c r="E99" s="49">
        <f>AVERAGE('26.10 MASAKA-MUTUKULA-24HR'!E99,'28.10 MASAKA-MUTUKULA-24HR'!E99)</f>
        <v>0</v>
      </c>
      <c r="F99" s="49">
        <f>AVERAGE('26.10 MASAKA-MUTUKULA-24HR'!F99,'28.10 MASAKA-MUTUKULA-24HR'!F99)</f>
        <v>0</v>
      </c>
      <c r="G99" s="49">
        <f>AVERAGE('26.10 MASAKA-MUTUKULA-24HR'!G99,'28.10 MASAKA-MUTUKULA-24HR'!G99)</f>
        <v>0</v>
      </c>
      <c r="H99" s="49">
        <f>AVERAGE('26.10 MASAKA-MUTUKULA-24HR'!H99,'28.10 MASAKA-MUTUKULA-24HR'!H99)</f>
        <v>0</v>
      </c>
      <c r="I99" s="49">
        <f>AVERAGE('26.10 MASAKA-MUTUKULA-24HR'!I99,'28.10 MASAKA-MUTUKULA-24HR'!I99)</f>
        <v>0</v>
      </c>
      <c r="J99" s="49">
        <f>AVERAGE('26.10 MASAKA-MUTUKULA-24HR'!J99,'28.10 MASAKA-MUTUKULA-24HR'!J99)</f>
        <v>1</v>
      </c>
      <c r="K99" s="49">
        <f>AVERAGE('26.10 MASAKA-MUTUKULA-24HR'!K99,'28.10 MASAKA-MUTUKULA-24HR'!K99)</f>
        <v>1</v>
      </c>
      <c r="L99" s="49">
        <f>AVERAGE('26.10 MASAKA-MUTUKULA-24HR'!L99,'28.10 MASAKA-MUTUKULA-24HR'!L99)</f>
        <v>0</v>
      </c>
      <c r="M99" s="49">
        <f>AVERAGE('26.10 MASAKA-MUTUKULA-24HR'!M99,'28.10 MASAKA-MUTUKULA-24HR'!M99)</f>
        <v>0</v>
      </c>
      <c r="N99" s="49">
        <f>AVERAGE('26.10 MASAKA-MUTUKULA-24HR'!N99,'28.10 MASAKA-MUTUKULA-24HR'!N99)</f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25" t="s">
        <v>140</v>
      </c>
      <c r="C100" s="49">
        <f>AVERAGE('26.10 MASAKA-MUTUKULA-24HR'!C100,'28.10 MASAKA-MUTUKULA-24HR'!C100)</f>
        <v>0.5</v>
      </c>
      <c r="D100" s="49">
        <f>AVERAGE('26.10 MASAKA-MUTUKULA-24HR'!D100,'28.10 MASAKA-MUTUKULA-24HR'!D100)</f>
        <v>0</v>
      </c>
      <c r="E100" s="49">
        <f>AVERAGE('26.10 MASAKA-MUTUKULA-24HR'!E100,'28.10 MASAKA-MUTUKULA-24HR'!E100)</f>
        <v>0</v>
      </c>
      <c r="F100" s="49">
        <f>AVERAGE('26.10 MASAKA-MUTUKULA-24HR'!F100,'28.10 MASAKA-MUTUKULA-24HR'!F100)</f>
        <v>0</v>
      </c>
      <c r="G100" s="49">
        <f>AVERAGE('26.10 MASAKA-MUTUKULA-24HR'!G100,'28.10 MASAKA-MUTUKULA-24HR'!G100)</f>
        <v>0</v>
      </c>
      <c r="H100" s="49">
        <f>AVERAGE('26.10 MASAKA-MUTUKULA-24HR'!H100,'28.10 MASAKA-MUTUKULA-24HR'!H100)</f>
        <v>0</v>
      </c>
      <c r="I100" s="49">
        <f>AVERAGE('26.10 MASAKA-MUTUKULA-24HR'!I100,'28.10 MASAKA-MUTUKULA-24HR'!I100)</f>
        <v>0.5</v>
      </c>
      <c r="J100" s="49">
        <f>AVERAGE('26.10 MASAKA-MUTUKULA-24HR'!J100,'28.10 MASAKA-MUTUKULA-24HR'!J100)</f>
        <v>0</v>
      </c>
      <c r="K100" s="49">
        <f>AVERAGE('26.10 MASAKA-MUTUKULA-24HR'!K100,'28.10 MASAKA-MUTUKULA-24HR'!K100)</f>
        <v>0</v>
      </c>
      <c r="L100" s="49">
        <f>AVERAGE('26.10 MASAKA-MUTUKULA-24HR'!L100,'28.10 MASAKA-MUTUKULA-24HR'!L100)</f>
        <v>0</v>
      </c>
      <c r="M100" s="49">
        <f>AVERAGE('26.10 MASAKA-MUTUKULA-24HR'!M100,'28.10 MASAKA-MUTUKULA-24HR'!M100)</f>
        <v>0</v>
      </c>
      <c r="N100" s="49">
        <f>AVERAGE('26.10 MASAKA-MUTUKULA-24HR'!N100,'28.10 MASAKA-MUTUKULA-24HR'!N100)</f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AVERAGE('26.10 MASAKA-MUTUKULA-24HR'!C101,'28.10 MASAKA-MUTUKULA-24HR'!C101)</f>
        <v>0</v>
      </c>
      <c r="D101" s="49">
        <f>AVERAGE('26.10 MASAKA-MUTUKULA-24HR'!D101,'28.10 MASAKA-MUTUKULA-24HR'!D101)</f>
        <v>0</v>
      </c>
      <c r="E101" s="49">
        <f>AVERAGE('26.10 MASAKA-MUTUKULA-24HR'!E101,'28.10 MASAKA-MUTUKULA-24HR'!E101)</f>
        <v>0</v>
      </c>
      <c r="F101" s="49">
        <f>AVERAGE('26.10 MASAKA-MUTUKULA-24HR'!F101,'28.10 MASAKA-MUTUKULA-24HR'!F101)</f>
        <v>0.5</v>
      </c>
      <c r="G101" s="49">
        <f>AVERAGE('26.10 MASAKA-MUTUKULA-24HR'!G101,'28.10 MASAKA-MUTUKULA-24HR'!G101)</f>
        <v>0</v>
      </c>
      <c r="H101" s="49">
        <f>AVERAGE('26.10 MASAKA-MUTUKULA-24HR'!H101,'28.10 MASAKA-MUTUKULA-24HR'!H101)</f>
        <v>0</v>
      </c>
      <c r="I101" s="49">
        <f>AVERAGE('26.10 MASAKA-MUTUKULA-24HR'!I101,'28.10 MASAKA-MUTUKULA-24HR'!I101)</f>
        <v>0</v>
      </c>
      <c r="J101" s="49">
        <f>AVERAGE('26.10 MASAKA-MUTUKULA-24HR'!J101,'28.10 MASAKA-MUTUKULA-24HR'!J101)</f>
        <v>1</v>
      </c>
      <c r="K101" s="49">
        <f>AVERAGE('26.10 MASAKA-MUTUKULA-24HR'!K101,'28.10 MASAKA-MUTUKULA-24HR'!K101)</f>
        <v>1</v>
      </c>
      <c r="L101" s="49">
        <f>AVERAGE('26.10 MASAKA-MUTUKULA-24HR'!L101,'28.10 MASAKA-MUTUKULA-24HR'!L101)</f>
        <v>0</v>
      </c>
      <c r="M101" s="49">
        <f>AVERAGE('26.10 MASAKA-MUTUKULA-24HR'!M101,'28.10 MASAKA-MUTUKULA-24HR'!M101)</f>
        <v>0</v>
      </c>
      <c r="N101" s="49">
        <f>AVERAGE('26.10 MASAKA-MUTUKULA-24HR'!N101,'28.10 MASAKA-MUTUKULA-24HR'!N101)</f>
        <v>0</v>
      </c>
      <c r="O101" s="15">
        <f t="shared" si="35"/>
        <v>2.5</v>
      </c>
      <c r="P101" s="15">
        <f t="shared" si="36"/>
        <v>2.5</v>
      </c>
      <c r="R101" s="8"/>
      <c r="T101"/>
    </row>
    <row r="102" spans="2:20" ht="23.1" customHeight="1" x14ac:dyDescent="0.25">
      <c r="B102" s="24" t="s">
        <v>142</v>
      </c>
      <c r="C102" s="49">
        <f>AVERAGE('26.10 MASAKA-MUTUKULA-24HR'!C102,'28.10 MASAKA-MUTUKULA-24HR'!C102)</f>
        <v>0.5</v>
      </c>
      <c r="D102" s="49">
        <f>AVERAGE('26.10 MASAKA-MUTUKULA-24HR'!D102,'28.10 MASAKA-MUTUKULA-24HR'!D102)</f>
        <v>0</v>
      </c>
      <c r="E102" s="49">
        <f>AVERAGE('26.10 MASAKA-MUTUKULA-24HR'!E102,'28.10 MASAKA-MUTUKULA-24HR'!E102)</f>
        <v>0</v>
      </c>
      <c r="F102" s="49">
        <f>AVERAGE('26.10 MASAKA-MUTUKULA-24HR'!F102,'28.10 MASAKA-MUTUKULA-24HR'!F102)</f>
        <v>0</v>
      </c>
      <c r="G102" s="49">
        <f>AVERAGE('26.10 MASAKA-MUTUKULA-24HR'!G102,'28.10 MASAKA-MUTUKULA-24HR'!G102)</f>
        <v>0</v>
      </c>
      <c r="H102" s="49">
        <f>AVERAGE('26.10 MASAKA-MUTUKULA-24HR'!H102,'28.10 MASAKA-MUTUKULA-24HR'!H102)</f>
        <v>0</v>
      </c>
      <c r="I102" s="49">
        <f>AVERAGE('26.10 MASAKA-MUTUKULA-24HR'!I102,'28.10 MASAKA-MUTUKULA-24HR'!I102)</f>
        <v>0.5</v>
      </c>
      <c r="J102" s="49">
        <f>AVERAGE('26.10 MASAKA-MUTUKULA-24HR'!J102,'28.10 MASAKA-MUTUKULA-24HR'!J102)</f>
        <v>1</v>
      </c>
      <c r="K102" s="49">
        <f>AVERAGE('26.10 MASAKA-MUTUKULA-24HR'!K102,'28.10 MASAKA-MUTUKULA-24HR'!K102)</f>
        <v>1</v>
      </c>
      <c r="L102" s="49">
        <f>AVERAGE('26.10 MASAKA-MUTUKULA-24HR'!L102,'28.10 MASAKA-MUTUKULA-24HR'!L102)</f>
        <v>0</v>
      </c>
      <c r="M102" s="49">
        <f>AVERAGE('26.10 MASAKA-MUTUKULA-24HR'!M102,'28.10 MASAKA-MUTUKULA-24HR'!M102)</f>
        <v>1</v>
      </c>
      <c r="N102" s="49">
        <f>AVERAGE('26.10 MASAKA-MUTUKULA-24HR'!N102,'28.10 MASAKA-MUTUKULA-24HR'!N102)</f>
        <v>0</v>
      </c>
      <c r="O102" s="15">
        <f t="shared" si="35"/>
        <v>3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AVERAGE('26.10 MASAKA-MUTUKULA-24HR'!C103,'28.10 MASAKA-MUTUKULA-24HR'!C103)</f>
        <v>1</v>
      </c>
      <c r="D103" s="49">
        <f>AVERAGE('26.10 MASAKA-MUTUKULA-24HR'!D103,'28.10 MASAKA-MUTUKULA-24HR'!D103)</f>
        <v>0</v>
      </c>
      <c r="E103" s="49">
        <f>AVERAGE('26.10 MASAKA-MUTUKULA-24HR'!E103,'28.10 MASAKA-MUTUKULA-24HR'!E103)</f>
        <v>0</v>
      </c>
      <c r="F103" s="49">
        <f>AVERAGE('26.10 MASAKA-MUTUKULA-24HR'!F103,'28.10 MASAKA-MUTUKULA-24HR'!F103)</f>
        <v>0</v>
      </c>
      <c r="G103" s="49">
        <f>AVERAGE('26.10 MASAKA-MUTUKULA-24HR'!G103,'28.10 MASAKA-MUTUKULA-24HR'!G103)</f>
        <v>0</v>
      </c>
      <c r="H103" s="49">
        <f>AVERAGE('26.10 MASAKA-MUTUKULA-24HR'!H103,'28.10 MASAKA-MUTUKULA-24HR'!H103)</f>
        <v>0</v>
      </c>
      <c r="I103" s="49">
        <f>AVERAGE('26.10 MASAKA-MUTUKULA-24HR'!I103,'28.10 MASAKA-MUTUKULA-24HR'!I103)</f>
        <v>1</v>
      </c>
      <c r="J103" s="49">
        <f>AVERAGE('26.10 MASAKA-MUTUKULA-24HR'!J103,'28.10 MASAKA-MUTUKULA-24HR'!J103)</f>
        <v>0</v>
      </c>
      <c r="K103" s="49">
        <f>AVERAGE('26.10 MASAKA-MUTUKULA-24HR'!K103,'28.10 MASAKA-MUTUKULA-24HR'!K103)</f>
        <v>0.5</v>
      </c>
      <c r="L103" s="49">
        <f>AVERAGE('26.10 MASAKA-MUTUKULA-24HR'!L103,'28.10 MASAKA-MUTUKULA-24HR'!L103)</f>
        <v>0</v>
      </c>
      <c r="M103" s="49">
        <f>AVERAGE('26.10 MASAKA-MUTUKULA-24HR'!M103,'28.10 MASAKA-MUTUKULA-24HR'!M103)</f>
        <v>1</v>
      </c>
      <c r="N103" s="49">
        <f>AVERAGE('26.10 MASAKA-MUTUKULA-24HR'!N103,'28.10 MASAKA-MUTUKULA-24HR'!N103)</f>
        <v>0</v>
      </c>
      <c r="O103" s="15">
        <f t="shared" si="35"/>
        <v>2.5</v>
      </c>
      <c r="P103" s="15">
        <f t="shared" si="36"/>
        <v>3.5</v>
      </c>
      <c r="R103" s="8"/>
      <c r="T103"/>
    </row>
    <row r="104" spans="2:20" ht="23.1" customHeight="1" x14ac:dyDescent="0.25">
      <c r="B104" s="25" t="s">
        <v>144</v>
      </c>
      <c r="C104" s="49">
        <f>AVERAGE('26.10 MASAKA-MUTUKULA-24HR'!C104,'28.10 MASAKA-MUTUKULA-24HR'!C104)</f>
        <v>1</v>
      </c>
      <c r="D104" s="49">
        <f>AVERAGE('26.10 MASAKA-MUTUKULA-24HR'!D104,'28.10 MASAKA-MUTUKULA-24HR'!D104)</f>
        <v>0.5</v>
      </c>
      <c r="E104" s="49">
        <f>AVERAGE('26.10 MASAKA-MUTUKULA-24HR'!E104,'28.10 MASAKA-MUTUKULA-24HR'!E104)</f>
        <v>0</v>
      </c>
      <c r="F104" s="49">
        <f>AVERAGE('26.10 MASAKA-MUTUKULA-24HR'!F104,'28.10 MASAKA-MUTUKULA-24HR'!F104)</f>
        <v>0</v>
      </c>
      <c r="G104" s="49">
        <f>AVERAGE('26.10 MASAKA-MUTUKULA-24HR'!G104,'28.10 MASAKA-MUTUKULA-24HR'!G104)</f>
        <v>0</v>
      </c>
      <c r="H104" s="49">
        <f>AVERAGE('26.10 MASAKA-MUTUKULA-24HR'!H104,'28.10 MASAKA-MUTUKULA-24HR'!H104)</f>
        <v>0</v>
      </c>
      <c r="I104" s="49">
        <f>AVERAGE('26.10 MASAKA-MUTUKULA-24HR'!I104,'28.10 MASAKA-MUTUKULA-24HR'!I104)</f>
        <v>0.5</v>
      </c>
      <c r="J104" s="49">
        <f>AVERAGE('26.10 MASAKA-MUTUKULA-24HR'!J104,'28.10 MASAKA-MUTUKULA-24HR'!J104)</f>
        <v>0</v>
      </c>
      <c r="K104" s="49">
        <f>AVERAGE('26.10 MASAKA-MUTUKULA-24HR'!K104,'28.10 MASAKA-MUTUKULA-24HR'!K104)</f>
        <v>1</v>
      </c>
      <c r="L104" s="49">
        <f>AVERAGE('26.10 MASAKA-MUTUKULA-24HR'!L104,'28.10 MASAKA-MUTUKULA-24HR'!L104)</f>
        <v>0</v>
      </c>
      <c r="M104" s="49">
        <f>AVERAGE('26.10 MASAKA-MUTUKULA-24HR'!M104,'28.10 MASAKA-MUTUKULA-24HR'!M104)</f>
        <v>6</v>
      </c>
      <c r="N104" s="49">
        <f>AVERAGE('26.10 MASAKA-MUTUKULA-24HR'!N104,'28.10 MASAKA-MUTUKULA-24HR'!N104)</f>
        <v>0</v>
      </c>
      <c r="O104" s="15">
        <f t="shared" si="35"/>
        <v>3</v>
      </c>
      <c r="P104" s="15">
        <f t="shared" si="36"/>
        <v>9</v>
      </c>
      <c r="R104" s="8"/>
      <c r="T104"/>
    </row>
    <row r="105" spans="2:20" ht="23.1" customHeight="1" x14ac:dyDescent="0.25">
      <c r="B105" s="23" t="s">
        <v>145</v>
      </c>
      <c r="C105" s="49">
        <f>AVERAGE('26.10 MASAKA-MUTUKULA-24HR'!C105,'28.10 MASAKA-MUTUKULA-24HR'!C105)</f>
        <v>2</v>
      </c>
      <c r="D105" s="49">
        <f>AVERAGE('26.10 MASAKA-MUTUKULA-24HR'!D105,'28.10 MASAKA-MUTUKULA-24HR'!D105)</f>
        <v>2</v>
      </c>
      <c r="E105" s="49">
        <f>AVERAGE('26.10 MASAKA-MUTUKULA-24HR'!E105,'28.10 MASAKA-MUTUKULA-24HR'!E105)</f>
        <v>0</v>
      </c>
      <c r="F105" s="49">
        <f>AVERAGE('26.10 MASAKA-MUTUKULA-24HR'!F105,'28.10 MASAKA-MUTUKULA-24HR'!F105)</f>
        <v>13.5</v>
      </c>
      <c r="G105" s="49">
        <f>AVERAGE('26.10 MASAKA-MUTUKULA-24HR'!G105,'28.10 MASAKA-MUTUKULA-24HR'!G105)</f>
        <v>0</v>
      </c>
      <c r="H105" s="49">
        <f>AVERAGE('26.10 MASAKA-MUTUKULA-24HR'!H105,'28.10 MASAKA-MUTUKULA-24HR'!H105)</f>
        <v>0</v>
      </c>
      <c r="I105" s="49">
        <f>AVERAGE('26.10 MASAKA-MUTUKULA-24HR'!I105,'28.10 MASAKA-MUTUKULA-24HR'!I105)</f>
        <v>0</v>
      </c>
      <c r="J105" s="49">
        <f>AVERAGE('26.10 MASAKA-MUTUKULA-24HR'!J105,'28.10 MASAKA-MUTUKULA-24HR'!J105)</f>
        <v>1</v>
      </c>
      <c r="K105" s="49">
        <f>AVERAGE('26.10 MASAKA-MUTUKULA-24HR'!K105,'28.10 MASAKA-MUTUKULA-24HR'!K105)</f>
        <v>1</v>
      </c>
      <c r="L105" s="49">
        <f>AVERAGE('26.10 MASAKA-MUTUKULA-24HR'!L105,'28.10 MASAKA-MUTUKULA-24HR'!L105)</f>
        <v>0</v>
      </c>
      <c r="M105" s="49">
        <f>AVERAGE('26.10 MASAKA-MUTUKULA-24HR'!M105,'28.10 MASAKA-MUTUKULA-24HR'!M105)</f>
        <v>6.5</v>
      </c>
      <c r="N105" s="49">
        <f>AVERAGE('26.10 MASAKA-MUTUKULA-24HR'!N105,'28.10 MASAKA-MUTUKULA-24HR'!N105)</f>
        <v>0</v>
      </c>
      <c r="O105" s="15">
        <f t="shared" si="35"/>
        <v>19.5</v>
      </c>
      <c r="P105" s="15">
        <f t="shared" si="36"/>
        <v>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184.42857142857144</v>
      </c>
      <c r="D106" s="16">
        <f>SUM(D10:D105)</f>
        <v>22.428571428571431</v>
      </c>
      <c r="E106" s="16">
        <f t="shared" ref="E106:P106" si="37">SUM(E10:E105)</f>
        <v>14.595238095238093</v>
      </c>
      <c r="F106" s="16">
        <f t="shared" si="37"/>
        <v>101.64285714285717</v>
      </c>
      <c r="G106" s="16">
        <f t="shared" si="37"/>
        <v>3.5</v>
      </c>
      <c r="H106" s="16">
        <f t="shared" si="37"/>
        <v>3.2142857142857144</v>
      </c>
      <c r="I106" s="16">
        <f t="shared" si="37"/>
        <v>54.428571428571423</v>
      </c>
      <c r="J106" s="16">
        <f t="shared" si="37"/>
        <v>37.357142857142847</v>
      </c>
      <c r="K106" s="16">
        <f t="shared" si="37"/>
        <v>69.571428571428569</v>
      </c>
      <c r="L106" s="16">
        <f t="shared" si="37"/>
        <v>4.8571428571428559</v>
      </c>
      <c r="M106" s="16">
        <f t="shared" si="37"/>
        <v>751.78571428571411</v>
      </c>
      <c r="N106" s="16">
        <f t="shared" si="37"/>
        <v>6.5714285714285712</v>
      </c>
      <c r="O106" s="16">
        <f t="shared" si="37"/>
        <v>502.59523809523813</v>
      </c>
      <c r="P106" s="16">
        <f t="shared" si="37"/>
        <v>1254.3809523809525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0.14702756054969252</v>
      </c>
      <c r="D107" s="43">
        <f t="shared" si="38"/>
        <v>1.7880191329435881E-2</v>
      </c>
      <c r="E107" s="43">
        <f t="shared" si="38"/>
        <v>1.1635411130514006E-2</v>
      </c>
      <c r="F107" s="43">
        <f t="shared" si="38"/>
        <v>8.1030293827347971E-2</v>
      </c>
      <c r="G107" s="43">
        <f t="shared" si="38"/>
        <v>2.7902209399438159E-3</v>
      </c>
      <c r="H107" s="43">
        <f t="shared" si="38"/>
        <v>2.5624478019892183E-3</v>
      </c>
      <c r="I107" s="43">
        <f t="shared" si="38"/>
        <v>4.3390782780350759E-2</v>
      </c>
      <c r="J107" s="43">
        <f t="shared" si="38"/>
        <v>2.9781337787563575E-2</v>
      </c>
      <c r="K107" s="43">
        <f t="shared" si="38"/>
        <v>5.5462759091944418E-2</v>
      </c>
      <c r="L107" s="43">
        <f t="shared" si="38"/>
        <v>3.8721433452281514E-3</v>
      </c>
      <c r="M107" s="43">
        <f t="shared" si="38"/>
        <v>0.59932806924303372</v>
      </c>
      <c r="N107" s="43">
        <f t="shared" si="38"/>
        <v>5.2387821729557357E-3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0.36695248472215641</v>
      </c>
      <c r="D108" s="44">
        <f t="shared" ref="D108:N108" si="39">D106/$O$106</f>
        <v>4.4625515183097257E-2</v>
      </c>
      <c r="E108" s="44">
        <f t="shared" si="39"/>
        <v>2.9039746079871139E-2</v>
      </c>
      <c r="F108" s="44">
        <f t="shared" si="39"/>
        <v>0.20223601307499176</v>
      </c>
      <c r="G108" s="44">
        <f t="shared" si="39"/>
        <v>6.9638542801648577E-3</v>
      </c>
      <c r="H108" s="44">
        <f t="shared" si="39"/>
        <v>6.3953763797432372E-3</v>
      </c>
      <c r="I108" s="44">
        <f t="shared" si="39"/>
        <v>0.1082950400303188</v>
      </c>
      <c r="J108" s="44">
        <f t="shared" si="39"/>
        <v>7.4328485480126938E-2</v>
      </c>
      <c r="K108" s="44">
        <f t="shared" si="39"/>
        <v>0.13842436875266473</v>
      </c>
      <c r="L108" s="44">
        <f t="shared" si="39"/>
        <v>9.6641243071675549E-3</v>
      </c>
      <c r="M108" s="44"/>
      <c r="N108" s="44">
        <f t="shared" si="39"/>
        <v>1.3074991709697285E-2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52" zoomScale="60" workbookViewId="0">
      <selection activeCell="AD51" sqref="AD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'27.10 Masaka-Mutukula'!C3:G3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'27.10 Masaka-Mutukula'!G5:H5</f>
        <v>MUTUKULA</v>
      </c>
      <c r="H5" s="56"/>
      <c r="I5" s="14"/>
      <c r="J5" s="2" t="s">
        <v>5</v>
      </c>
      <c r="K5" s="55" t="s">
        <v>189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170</v>
      </c>
      <c r="E6" s="56"/>
      <c r="F6" s="2" t="s">
        <v>2</v>
      </c>
      <c r="G6" s="55" t="s">
        <v>169</v>
      </c>
      <c r="H6" s="56"/>
      <c r="J6" s="2" t="s">
        <v>21</v>
      </c>
      <c r="K6" s="55" t="str">
        <f>'27.10 Masaka-Mutukula'!K6:L6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MUTUKULA-MASAKA'!C10,'26.10 MUTUKULA-MASAKA-24HR'!C10,'27.10 Mutukula-Masaka'!C10,'28.10 MUTUKULA-MASAKA-24HR'!C10,'29.10 MUTUKULA-MASAKA'!C10,'30.10 MUTUKULA-MASAKA'!C10,'31.10.MUTUKULA-MASAKA'!C10)</f>
        <v>0.8571428571428571</v>
      </c>
      <c r="D10" s="49">
        <f>AVERAGE('25.10 MUTUKULA-MASAKA'!D10,'26.10 MUTUKULA-MASAKA-24HR'!D10,'27.10 Mutukula-Masaka'!D10,'28.10 MUTUKULA-MASAKA-24HR'!D10,'29.10 MUTUKULA-MASAKA'!D10,'30.10 MUTUKULA-MASAKA'!D10,'31.10.MUTUKULA-MASAKA'!D10)</f>
        <v>0.14285714285714285</v>
      </c>
      <c r="E10" s="49">
        <f>AVERAGE('25.10 MUTUKULA-MASAKA'!E10,'26.10 MUTUKULA-MASAKA-24HR'!E10,'27.10 Mutukula-Masaka'!E10,'28.10 MUTUKULA-MASAKA-24HR'!E10,'29.10 MUTUKULA-MASAKA'!E10,'30.10 MUTUKULA-MASAKA'!E10,'31.10.MUTUKULA-MASAKA'!E10)</f>
        <v>0.2857142857142857</v>
      </c>
      <c r="F10" s="49">
        <f>AVERAGE('25.10 MUTUKULA-MASAKA'!F10,'26.10 MUTUKULA-MASAKA-24HR'!F10,'27.10 Mutukula-Masaka'!F10,'28.10 MUTUKULA-MASAKA-24HR'!F10,'29.10 MUTUKULA-MASAKA'!F10,'30.10 MUTUKULA-MASAKA'!F10,'31.10.MUTUKULA-MASAKA'!F10)</f>
        <v>1</v>
      </c>
      <c r="G10" s="49">
        <f>AVERAGE('25.10 MUTUKULA-MASAKA'!G10,'26.10 MUTUKULA-MASAKA-24HR'!G10,'27.10 Mutukula-Masaka'!G10,'28.10 MUTUKULA-MASAKA-24HR'!G10,'29.10 MUTUKULA-MASAKA'!G10,'30.10 MUTUKULA-MASAKA'!G10,'31.10.MUTUKULA-MASAKA'!G10)</f>
        <v>0.14285714285714285</v>
      </c>
      <c r="H10" s="49">
        <f>AVERAGE('25.10 MUTUKULA-MASAKA'!H10,'26.10 MUTUKULA-MASAKA-24HR'!H10,'27.10 Mutukula-Masaka'!H10,'28.10 MUTUKULA-MASAKA-24HR'!H10,'29.10 MUTUKULA-MASAKA'!H10,'30.10 MUTUKULA-MASAKA'!H10,'31.10.MUTUKULA-MASAKA'!H10)</f>
        <v>0</v>
      </c>
      <c r="I10" s="49">
        <f>AVERAGE('25.10 MUTUKULA-MASAKA'!I10,'26.10 MUTUKULA-MASAKA-24HR'!I10,'27.10 Mutukula-Masaka'!I10,'28.10 MUTUKULA-MASAKA-24HR'!I10,'29.10 MUTUKULA-MASAKA'!I10,'30.10 MUTUKULA-MASAKA'!I10,'31.10.MUTUKULA-MASAKA'!I10)</f>
        <v>0.42857142857142855</v>
      </c>
      <c r="J10" s="49">
        <f>AVERAGE('25.10 MUTUKULA-MASAKA'!J10,'26.10 MUTUKULA-MASAKA-24HR'!J10,'27.10 Mutukula-Masaka'!J10,'28.10 MUTUKULA-MASAKA-24HR'!J10,'29.10 MUTUKULA-MASAKA'!J10,'30.10 MUTUKULA-MASAKA'!J10,'31.10.MUTUKULA-MASAKA'!J10)</f>
        <v>0</v>
      </c>
      <c r="K10" s="49">
        <f>AVERAGE('25.10 MUTUKULA-MASAKA'!K10,'26.10 MUTUKULA-MASAKA-24HR'!K10,'27.10 Mutukula-Masaka'!K10,'28.10 MUTUKULA-MASAKA-24HR'!K10,'29.10 MUTUKULA-MASAKA'!K10,'30.10 MUTUKULA-MASAKA'!K10,'31.10.MUTUKULA-MASAKA'!K10)</f>
        <v>0</v>
      </c>
      <c r="L10" s="49">
        <f>AVERAGE('25.10 MUTUKULA-MASAKA'!L10,'26.10 MUTUKULA-MASAKA-24HR'!L10,'27.10 Mutukula-Masaka'!L10,'28.10 MUTUKULA-MASAKA-24HR'!L10,'29.10 MUTUKULA-MASAKA'!L10,'30.10 MUTUKULA-MASAKA'!L10,'31.10.MUTUKULA-MASAKA'!L10)</f>
        <v>0</v>
      </c>
      <c r="M10" s="49">
        <f>AVERAGE('25.10 MUTUKULA-MASAKA'!M10,'26.10 MUTUKULA-MASAKA-24HR'!M10,'27.10 Mutukula-Masaka'!M10,'28.10 MUTUKULA-MASAKA-24HR'!M10,'29.10 MUTUKULA-MASAKA'!M10,'30.10 MUTUKULA-MASAKA'!M10,'31.10.MUTUKULA-MASAKA'!M10)</f>
        <v>5.4285714285714288</v>
      </c>
      <c r="N10" s="49">
        <f>AVERAGE('25.10 MUTUKULA-MASAKA'!N10,'26.10 MUTUKULA-MASAKA-24HR'!N10,'27.10 Mutukula-Masaka'!N10,'28.10 MUTUKULA-MASAKA-24HR'!N10,'29.10 MUTUKULA-MASAKA'!N10,'30.10 MUTUKULA-MASAKA'!N10,'31.10.MUTUKULA-MASAKA'!N10)</f>
        <v>0</v>
      </c>
      <c r="O10" s="15">
        <f t="shared" ref="O10:O73" si="0">SUM(C10:L10,N10)</f>
        <v>2.8571428571428568</v>
      </c>
      <c r="P10" s="15">
        <f t="shared" ref="P10:P73" si="1">SUM(C10:N10)</f>
        <v>8.2857142857142847</v>
      </c>
      <c r="R10" s="1" t="s">
        <v>6</v>
      </c>
      <c r="S10" s="17">
        <f t="shared" ref="S10:AF10" si="2">SUM(C10:C13)</f>
        <v>6.7142857142857135</v>
      </c>
      <c r="T10" s="17">
        <f t="shared" si="2"/>
        <v>0.2857142857142857</v>
      </c>
      <c r="U10" s="17">
        <f t="shared" si="2"/>
        <v>0.5714285714285714</v>
      </c>
      <c r="V10" s="17">
        <f t="shared" si="2"/>
        <v>3.5714285714285716</v>
      </c>
      <c r="W10" s="17">
        <f t="shared" si="2"/>
        <v>0.2857142857142857</v>
      </c>
      <c r="X10" s="17">
        <f t="shared" si="2"/>
        <v>0</v>
      </c>
      <c r="Y10" s="17">
        <f t="shared" si="2"/>
        <v>2.2857142857142856</v>
      </c>
      <c r="Z10" s="17">
        <f t="shared" si="2"/>
        <v>0.2857142857142857</v>
      </c>
      <c r="AA10" s="17">
        <f t="shared" si="2"/>
        <v>0.5714285714285714</v>
      </c>
      <c r="AB10" s="17">
        <f t="shared" si="2"/>
        <v>0</v>
      </c>
      <c r="AC10" s="17">
        <f t="shared" si="2"/>
        <v>27.142857142857146</v>
      </c>
      <c r="AD10" s="17">
        <f t="shared" si="2"/>
        <v>0</v>
      </c>
      <c r="AE10" s="31">
        <f t="shared" si="2"/>
        <v>14.571428571428571</v>
      </c>
      <c r="AF10" s="31">
        <f t="shared" si="2"/>
        <v>41.714285714285715</v>
      </c>
    </row>
    <row r="11" spans="2:32" s="6" customFormat="1" ht="23.1" customHeight="1" x14ac:dyDescent="0.25">
      <c r="B11" s="23" t="s">
        <v>38</v>
      </c>
      <c r="C11" s="49">
        <f>AVERAGE('25.10 MUTUKULA-MASAKA'!C11,'26.10 MUTUKULA-MASAKA-24HR'!C11,'27.10 Mutukula-Masaka'!C11,'28.10 MUTUKULA-MASAKA-24HR'!C11,'29.10 MUTUKULA-MASAKA'!C11,'30.10 MUTUKULA-MASAKA'!C11,'31.10.MUTUKULA-MASAKA'!C11)</f>
        <v>1.7142857142857142</v>
      </c>
      <c r="D11" s="49">
        <f>AVERAGE('25.10 MUTUKULA-MASAKA'!D11,'26.10 MUTUKULA-MASAKA-24HR'!D11,'27.10 Mutukula-Masaka'!D11,'28.10 MUTUKULA-MASAKA-24HR'!D11,'29.10 MUTUKULA-MASAKA'!D11,'30.10 MUTUKULA-MASAKA'!D11,'31.10.MUTUKULA-MASAKA'!D11)</f>
        <v>0</v>
      </c>
      <c r="E11" s="49">
        <f>AVERAGE('25.10 MUTUKULA-MASAKA'!E11,'26.10 MUTUKULA-MASAKA-24HR'!E11,'27.10 Mutukula-Masaka'!E11,'28.10 MUTUKULA-MASAKA-24HR'!E11,'29.10 MUTUKULA-MASAKA'!E11,'30.10 MUTUKULA-MASAKA'!E11,'31.10.MUTUKULA-MASAKA'!E11)</f>
        <v>0.14285714285714285</v>
      </c>
      <c r="F11" s="49">
        <f>AVERAGE('25.10 MUTUKULA-MASAKA'!F11,'26.10 MUTUKULA-MASAKA-24HR'!F11,'27.10 Mutukula-Masaka'!F11,'28.10 MUTUKULA-MASAKA-24HR'!F11,'29.10 MUTUKULA-MASAKA'!F11,'30.10 MUTUKULA-MASAKA'!F11,'31.10.MUTUKULA-MASAKA'!F11)</f>
        <v>0.2857142857142857</v>
      </c>
      <c r="G11" s="49">
        <f>AVERAGE('25.10 MUTUKULA-MASAKA'!G11,'26.10 MUTUKULA-MASAKA-24HR'!G11,'27.10 Mutukula-Masaka'!G11,'28.10 MUTUKULA-MASAKA-24HR'!G11,'29.10 MUTUKULA-MASAKA'!G11,'30.10 MUTUKULA-MASAKA'!G11,'31.10.MUTUKULA-MASAKA'!G11)</f>
        <v>0</v>
      </c>
      <c r="H11" s="49">
        <f>AVERAGE('25.10 MUTUKULA-MASAKA'!H11,'26.10 MUTUKULA-MASAKA-24HR'!H11,'27.10 Mutukula-Masaka'!H11,'28.10 MUTUKULA-MASAKA-24HR'!H11,'29.10 MUTUKULA-MASAKA'!H11,'30.10 MUTUKULA-MASAKA'!H11,'31.10.MUTUKULA-MASAKA'!H11)</f>
        <v>0</v>
      </c>
      <c r="I11" s="49">
        <f>AVERAGE('25.10 MUTUKULA-MASAKA'!I11,'26.10 MUTUKULA-MASAKA-24HR'!I11,'27.10 Mutukula-Masaka'!I11,'28.10 MUTUKULA-MASAKA-24HR'!I11,'29.10 MUTUKULA-MASAKA'!I11,'30.10 MUTUKULA-MASAKA'!I11,'31.10.MUTUKULA-MASAKA'!I11)</f>
        <v>0.5714285714285714</v>
      </c>
      <c r="J11" s="49">
        <f>AVERAGE('25.10 MUTUKULA-MASAKA'!J11,'26.10 MUTUKULA-MASAKA-24HR'!J11,'27.10 Mutukula-Masaka'!J11,'28.10 MUTUKULA-MASAKA-24HR'!J11,'29.10 MUTUKULA-MASAKA'!J11,'30.10 MUTUKULA-MASAKA'!J11,'31.10.MUTUKULA-MASAKA'!J11)</f>
        <v>0</v>
      </c>
      <c r="K11" s="49">
        <f>AVERAGE('25.10 MUTUKULA-MASAKA'!K11,'26.10 MUTUKULA-MASAKA-24HR'!K11,'27.10 Mutukula-Masaka'!K11,'28.10 MUTUKULA-MASAKA-24HR'!K11,'29.10 MUTUKULA-MASAKA'!K11,'30.10 MUTUKULA-MASAKA'!K11,'31.10.MUTUKULA-MASAKA'!K11)</f>
        <v>0</v>
      </c>
      <c r="L11" s="49">
        <f>AVERAGE('25.10 MUTUKULA-MASAKA'!L11,'26.10 MUTUKULA-MASAKA-24HR'!L11,'27.10 Mutukula-Masaka'!L11,'28.10 MUTUKULA-MASAKA-24HR'!L11,'29.10 MUTUKULA-MASAKA'!L11,'30.10 MUTUKULA-MASAKA'!L11,'31.10.MUTUKULA-MASAKA'!L11)</f>
        <v>0</v>
      </c>
      <c r="M11" s="49">
        <f>AVERAGE('25.10 MUTUKULA-MASAKA'!M11,'26.10 MUTUKULA-MASAKA-24HR'!M11,'27.10 Mutukula-Masaka'!M11,'28.10 MUTUKULA-MASAKA-24HR'!M11,'29.10 MUTUKULA-MASAKA'!M11,'30.10 MUTUKULA-MASAKA'!M11,'31.10.MUTUKULA-MASAKA'!M11)</f>
        <v>7.2857142857142856</v>
      </c>
      <c r="N11" s="49">
        <f>AVERAGE('25.10 MUTUKULA-MASAKA'!N11,'26.10 MUTUKULA-MASAKA-24HR'!N11,'27.10 Mutukula-Masaka'!N11,'28.10 MUTUKULA-MASAKA-24HR'!N11,'29.10 MUTUKULA-MASAKA'!N11,'30.10 MUTUKULA-MASAKA'!N11,'31.10.MUTUKULA-MASAKA'!N11)</f>
        <v>0</v>
      </c>
      <c r="O11" s="15">
        <f t="shared" si="0"/>
        <v>2.7142857142857144</v>
      </c>
      <c r="P11" s="15">
        <f t="shared" si="1"/>
        <v>10</v>
      </c>
      <c r="R11" s="1" t="s">
        <v>7</v>
      </c>
      <c r="S11" s="17">
        <f t="shared" ref="S11:AF11" si="3">SUM(C14:C17)</f>
        <v>7.1428571428571423</v>
      </c>
      <c r="T11" s="17">
        <f t="shared" si="3"/>
        <v>0.8571428571428571</v>
      </c>
      <c r="U11" s="17">
        <f t="shared" si="3"/>
        <v>0.14285714285714285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1.5714285714285714</v>
      </c>
      <c r="Z11" s="17">
        <f t="shared" si="3"/>
        <v>0.2857142857142857</v>
      </c>
      <c r="AA11" s="17">
        <f t="shared" si="3"/>
        <v>1.4285714285714284</v>
      </c>
      <c r="AB11" s="17">
        <f t="shared" si="3"/>
        <v>0</v>
      </c>
      <c r="AC11" s="17">
        <f t="shared" si="3"/>
        <v>29.428571428571427</v>
      </c>
      <c r="AD11" s="17">
        <f t="shared" si="3"/>
        <v>0</v>
      </c>
      <c r="AE11" s="31">
        <f t="shared" si="3"/>
        <v>14.428571428571429</v>
      </c>
      <c r="AF11" s="31">
        <f t="shared" si="3"/>
        <v>43.857142857142854</v>
      </c>
    </row>
    <row r="12" spans="2:32" ht="23.1" customHeight="1" x14ac:dyDescent="0.25">
      <c r="B12" s="23" t="s">
        <v>39</v>
      </c>
      <c r="C12" s="49">
        <f>AVERAGE('25.10 MUTUKULA-MASAKA'!C12,'26.10 MUTUKULA-MASAKA-24HR'!C12,'27.10 Mutukula-Masaka'!C12,'28.10 MUTUKULA-MASAKA-24HR'!C12,'29.10 MUTUKULA-MASAKA'!C12,'30.10 MUTUKULA-MASAKA'!C12,'31.10.MUTUKULA-MASAKA'!C12)</f>
        <v>2.2857142857142856</v>
      </c>
      <c r="D12" s="49">
        <f>AVERAGE('25.10 MUTUKULA-MASAKA'!D12,'26.10 MUTUKULA-MASAKA-24HR'!D12,'27.10 Mutukula-Masaka'!D12,'28.10 MUTUKULA-MASAKA-24HR'!D12,'29.10 MUTUKULA-MASAKA'!D12,'30.10 MUTUKULA-MASAKA'!D12,'31.10.MUTUKULA-MASAKA'!D12)</f>
        <v>0</v>
      </c>
      <c r="E12" s="49">
        <f>AVERAGE('25.10 MUTUKULA-MASAKA'!E12,'26.10 MUTUKULA-MASAKA-24HR'!E12,'27.10 Mutukula-Masaka'!E12,'28.10 MUTUKULA-MASAKA-24HR'!E12,'29.10 MUTUKULA-MASAKA'!E12,'30.10 MUTUKULA-MASAKA'!E12,'31.10.MUTUKULA-MASAKA'!E12)</f>
        <v>0.14285714285714285</v>
      </c>
      <c r="F12" s="49">
        <f>AVERAGE('25.10 MUTUKULA-MASAKA'!F12,'26.10 MUTUKULA-MASAKA-24HR'!F12,'27.10 Mutukula-Masaka'!F12,'28.10 MUTUKULA-MASAKA-24HR'!F12,'29.10 MUTUKULA-MASAKA'!F12,'30.10 MUTUKULA-MASAKA'!F12,'31.10.MUTUKULA-MASAKA'!F12)</f>
        <v>1.4285714285714286</v>
      </c>
      <c r="G12" s="49">
        <f>AVERAGE('25.10 MUTUKULA-MASAKA'!G12,'26.10 MUTUKULA-MASAKA-24HR'!G12,'27.10 Mutukula-Masaka'!G12,'28.10 MUTUKULA-MASAKA-24HR'!G12,'29.10 MUTUKULA-MASAKA'!G12,'30.10 MUTUKULA-MASAKA'!G12,'31.10.MUTUKULA-MASAKA'!G12)</f>
        <v>0</v>
      </c>
      <c r="H12" s="49">
        <f>AVERAGE('25.10 MUTUKULA-MASAKA'!H12,'26.10 MUTUKULA-MASAKA-24HR'!H12,'27.10 Mutukula-Masaka'!H12,'28.10 MUTUKULA-MASAKA-24HR'!H12,'29.10 MUTUKULA-MASAKA'!H12,'30.10 MUTUKULA-MASAKA'!H12,'31.10.MUTUKULA-MASAKA'!H12)</f>
        <v>0</v>
      </c>
      <c r="I12" s="49">
        <f>AVERAGE('25.10 MUTUKULA-MASAKA'!I12,'26.10 MUTUKULA-MASAKA-24HR'!I12,'27.10 Mutukula-Masaka'!I12,'28.10 MUTUKULA-MASAKA-24HR'!I12,'29.10 MUTUKULA-MASAKA'!I12,'30.10 MUTUKULA-MASAKA'!I12,'31.10.MUTUKULA-MASAKA'!I12)</f>
        <v>0.42857142857142855</v>
      </c>
      <c r="J12" s="49">
        <f>AVERAGE('25.10 MUTUKULA-MASAKA'!J12,'26.10 MUTUKULA-MASAKA-24HR'!J12,'27.10 Mutukula-Masaka'!J12,'28.10 MUTUKULA-MASAKA-24HR'!J12,'29.10 MUTUKULA-MASAKA'!J12,'30.10 MUTUKULA-MASAKA'!J12,'31.10.MUTUKULA-MASAKA'!J12)</f>
        <v>0.14285714285714285</v>
      </c>
      <c r="K12" s="49">
        <f>AVERAGE('25.10 MUTUKULA-MASAKA'!K12,'26.10 MUTUKULA-MASAKA-24HR'!K12,'27.10 Mutukula-Masaka'!K12,'28.10 MUTUKULA-MASAKA-24HR'!K12,'29.10 MUTUKULA-MASAKA'!K12,'30.10 MUTUKULA-MASAKA'!K12,'31.10.MUTUKULA-MASAKA'!K12)</f>
        <v>0.14285714285714285</v>
      </c>
      <c r="L12" s="49">
        <f>AVERAGE('25.10 MUTUKULA-MASAKA'!L12,'26.10 MUTUKULA-MASAKA-24HR'!L12,'27.10 Mutukula-Masaka'!L12,'28.10 MUTUKULA-MASAKA-24HR'!L12,'29.10 MUTUKULA-MASAKA'!L12,'30.10 MUTUKULA-MASAKA'!L12,'31.10.MUTUKULA-MASAKA'!L12)</f>
        <v>0</v>
      </c>
      <c r="M12" s="49">
        <f>AVERAGE('25.10 MUTUKULA-MASAKA'!M12,'26.10 MUTUKULA-MASAKA-24HR'!M12,'27.10 Mutukula-Masaka'!M12,'28.10 MUTUKULA-MASAKA-24HR'!M12,'29.10 MUTUKULA-MASAKA'!M12,'30.10 MUTUKULA-MASAKA'!M12,'31.10.MUTUKULA-MASAKA'!M12)</f>
        <v>6.1428571428571432</v>
      </c>
      <c r="N12" s="49">
        <f>AVERAGE('25.10 MUTUKULA-MASAKA'!N12,'26.10 MUTUKULA-MASAKA-24HR'!N12,'27.10 Mutukula-Masaka'!N12,'28.10 MUTUKULA-MASAKA-24HR'!N12,'29.10 MUTUKULA-MASAKA'!N12,'30.10 MUTUKULA-MASAKA'!N12,'31.10.MUTUKULA-MASAKA'!N12)</f>
        <v>0</v>
      </c>
      <c r="O12" s="15">
        <f t="shared" si="0"/>
        <v>4.5714285714285721</v>
      </c>
      <c r="P12" s="15">
        <f t="shared" si="1"/>
        <v>10.714285714285715</v>
      </c>
      <c r="R12" s="1" t="s">
        <v>8</v>
      </c>
      <c r="S12" s="17">
        <f t="shared" ref="S12:AF12" si="4">SUM(C18:C21)</f>
        <v>9.2857142857142865</v>
      </c>
      <c r="T12" s="17">
        <f t="shared" si="4"/>
        <v>0.99999999999999978</v>
      </c>
      <c r="U12" s="17">
        <f t="shared" si="4"/>
        <v>0.42857142857142855</v>
      </c>
      <c r="V12" s="17">
        <f t="shared" si="4"/>
        <v>3.8571428571428577</v>
      </c>
      <c r="W12" s="17">
        <f t="shared" si="4"/>
        <v>0.14285714285714285</v>
      </c>
      <c r="X12" s="17">
        <f t="shared" si="4"/>
        <v>0</v>
      </c>
      <c r="Y12" s="17">
        <f t="shared" si="4"/>
        <v>3.1428571428571423</v>
      </c>
      <c r="Z12" s="17">
        <f t="shared" si="4"/>
        <v>0.71428571428571419</v>
      </c>
      <c r="AA12" s="17">
        <f t="shared" si="4"/>
        <v>0.8571428571428571</v>
      </c>
      <c r="AB12" s="17">
        <f t="shared" si="4"/>
        <v>0.2857142857142857</v>
      </c>
      <c r="AC12" s="17">
        <f t="shared" si="4"/>
        <v>42.285714285714285</v>
      </c>
      <c r="AD12" s="17">
        <f t="shared" si="4"/>
        <v>0</v>
      </c>
      <c r="AE12" s="31">
        <f t="shared" si="4"/>
        <v>19.714285714285715</v>
      </c>
      <c r="AF12" s="31">
        <f t="shared" si="4"/>
        <v>62</v>
      </c>
    </row>
    <row r="13" spans="2:32" ht="23.1" customHeight="1" x14ac:dyDescent="0.25">
      <c r="B13" s="23" t="s">
        <v>40</v>
      </c>
      <c r="C13" s="49">
        <f>AVERAGE('25.10 MUTUKULA-MASAKA'!C13,'26.10 MUTUKULA-MASAKA-24HR'!C13,'27.10 Mutukula-Masaka'!C13,'28.10 MUTUKULA-MASAKA-24HR'!C13,'29.10 MUTUKULA-MASAKA'!C13,'30.10 MUTUKULA-MASAKA'!C13,'31.10.MUTUKULA-MASAKA'!C13)</f>
        <v>1.8571428571428572</v>
      </c>
      <c r="D13" s="49">
        <f>AVERAGE('25.10 MUTUKULA-MASAKA'!D13,'26.10 MUTUKULA-MASAKA-24HR'!D13,'27.10 Mutukula-Masaka'!D13,'28.10 MUTUKULA-MASAKA-24HR'!D13,'29.10 MUTUKULA-MASAKA'!D13,'30.10 MUTUKULA-MASAKA'!D13,'31.10.MUTUKULA-MASAKA'!D13)</f>
        <v>0.14285714285714285</v>
      </c>
      <c r="E13" s="49">
        <f>AVERAGE('25.10 MUTUKULA-MASAKA'!E13,'26.10 MUTUKULA-MASAKA-24HR'!E13,'27.10 Mutukula-Masaka'!E13,'28.10 MUTUKULA-MASAKA-24HR'!E13,'29.10 MUTUKULA-MASAKA'!E13,'30.10 MUTUKULA-MASAKA'!E13,'31.10.MUTUKULA-MASAKA'!E13)</f>
        <v>0</v>
      </c>
      <c r="F13" s="49">
        <f>AVERAGE('25.10 MUTUKULA-MASAKA'!F13,'26.10 MUTUKULA-MASAKA-24HR'!F13,'27.10 Mutukula-Masaka'!F13,'28.10 MUTUKULA-MASAKA-24HR'!F13,'29.10 MUTUKULA-MASAKA'!F13,'30.10 MUTUKULA-MASAKA'!F13,'31.10.MUTUKULA-MASAKA'!F13)</f>
        <v>0.8571428571428571</v>
      </c>
      <c r="G13" s="49">
        <f>AVERAGE('25.10 MUTUKULA-MASAKA'!G13,'26.10 MUTUKULA-MASAKA-24HR'!G13,'27.10 Mutukula-Masaka'!G13,'28.10 MUTUKULA-MASAKA-24HR'!G13,'29.10 MUTUKULA-MASAKA'!G13,'30.10 MUTUKULA-MASAKA'!G13,'31.10.MUTUKULA-MASAKA'!G13)</f>
        <v>0.14285714285714285</v>
      </c>
      <c r="H13" s="49">
        <f>AVERAGE('25.10 MUTUKULA-MASAKA'!H13,'26.10 MUTUKULA-MASAKA-24HR'!H13,'27.10 Mutukula-Masaka'!H13,'28.10 MUTUKULA-MASAKA-24HR'!H13,'29.10 MUTUKULA-MASAKA'!H13,'30.10 MUTUKULA-MASAKA'!H13,'31.10.MUTUKULA-MASAKA'!H13)</f>
        <v>0</v>
      </c>
      <c r="I13" s="49">
        <f>AVERAGE('25.10 MUTUKULA-MASAKA'!I13,'26.10 MUTUKULA-MASAKA-24HR'!I13,'27.10 Mutukula-Masaka'!I13,'28.10 MUTUKULA-MASAKA-24HR'!I13,'29.10 MUTUKULA-MASAKA'!I13,'30.10 MUTUKULA-MASAKA'!I13,'31.10.MUTUKULA-MASAKA'!I13)</f>
        <v>0.8571428571428571</v>
      </c>
      <c r="J13" s="49">
        <f>AVERAGE('25.10 MUTUKULA-MASAKA'!J13,'26.10 MUTUKULA-MASAKA-24HR'!J13,'27.10 Mutukula-Masaka'!J13,'28.10 MUTUKULA-MASAKA-24HR'!J13,'29.10 MUTUKULA-MASAKA'!J13,'30.10 MUTUKULA-MASAKA'!J13,'31.10.MUTUKULA-MASAKA'!J13)</f>
        <v>0.14285714285714285</v>
      </c>
      <c r="K13" s="49">
        <f>AVERAGE('25.10 MUTUKULA-MASAKA'!K13,'26.10 MUTUKULA-MASAKA-24HR'!K13,'27.10 Mutukula-Masaka'!K13,'28.10 MUTUKULA-MASAKA-24HR'!K13,'29.10 MUTUKULA-MASAKA'!K13,'30.10 MUTUKULA-MASAKA'!K13,'31.10.MUTUKULA-MASAKA'!K13)</f>
        <v>0.42857142857142855</v>
      </c>
      <c r="L13" s="49">
        <f>AVERAGE('25.10 MUTUKULA-MASAKA'!L13,'26.10 MUTUKULA-MASAKA-24HR'!L13,'27.10 Mutukula-Masaka'!L13,'28.10 MUTUKULA-MASAKA-24HR'!L13,'29.10 MUTUKULA-MASAKA'!L13,'30.10 MUTUKULA-MASAKA'!L13,'31.10.MUTUKULA-MASAKA'!L13)</f>
        <v>0</v>
      </c>
      <c r="M13" s="49">
        <f>AVERAGE('25.10 MUTUKULA-MASAKA'!M13,'26.10 MUTUKULA-MASAKA-24HR'!M13,'27.10 Mutukula-Masaka'!M13,'28.10 MUTUKULA-MASAKA-24HR'!M13,'29.10 MUTUKULA-MASAKA'!M13,'30.10 MUTUKULA-MASAKA'!M13,'31.10.MUTUKULA-MASAKA'!M13)</f>
        <v>8.2857142857142865</v>
      </c>
      <c r="N13" s="49">
        <f>AVERAGE('25.10 MUTUKULA-MASAKA'!N13,'26.10 MUTUKULA-MASAKA-24HR'!N13,'27.10 Mutukula-Masaka'!N13,'28.10 MUTUKULA-MASAKA-24HR'!N13,'29.10 MUTUKULA-MASAKA'!N13,'30.10 MUTUKULA-MASAKA'!N13,'31.10.MUTUKULA-MASAKA'!N13)</f>
        <v>0</v>
      </c>
      <c r="O13" s="15">
        <f t="shared" si="0"/>
        <v>4.4285714285714288</v>
      </c>
      <c r="P13" s="15">
        <f t="shared" si="1"/>
        <v>12.714285714285715</v>
      </c>
      <c r="R13" s="1" t="s">
        <v>9</v>
      </c>
      <c r="S13" s="17">
        <f t="shared" ref="S13:AF13" si="5">SUM(C22:C25)</f>
        <v>7.4285714285714288</v>
      </c>
      <c r="T13" s="17">
        <f t="shared" si="5"/>
        <v>2</v>
      </c>
      <c r="U13" s="17">
        <f t="shared" si="5"/>
        <v>0.5714285714285714</v>
      </c>
      <c r="V13" s="17">
        <f t="shared" si="5"/>
        <v>2.8571428571428572</v>
      </c>
      <c r="W13" s="17">
        <f t="shared" si="5"/>
        <v>0</v>
      </c>
      <c r="X13" s="17">
        <f t="shared" si="5"/>
        <v>0</v>
      </c>
      <c r="Y13" s="17">
        <f t="shared" si="5"/>
        <v>2.4285714285714284</v>
      </c>
      <c r="Z13" s="17">
        <f t="shared" si="5"/>
        <v>1.8571428571428572</v>
      </c>
      <c r="AA13" s="17">
        <f t="shared" si="5"/>
        <v>3</v>
      </c>
      <c r="AB13" s="17">
        <f t="shared" si="5"/>
        <v>0.14285714285714285</v>
      </c>
      <c r="AC13" s="17">
        <f t="shared" si="5"/>
        <v>30.714285714285715</v>
      </c>
      <c r="AD13" s="17">
        <f t="shared" si="5"/>
        <v>0</v>
      </c>
      <c r="AE13" s="31">
        <f t="shared" si="5"/>
        <v>20.285714285714285</v>
      </c>
      <c r="AF13" s="31">
        <f t="shared" si="5"/>
        <v>51</v>
      </c>
    </row>
    <row r="14" spans="2:32" ht="23.1" customHeight="1" x14ac:dyDescent="0.25">
      <c r="B14" s="23" t="s">
        <v>41</v>
      </c>
      <c r="C14" s="49">
        <f>AVERAGE('25.10 MUTUKULA-MASAKA'!C14,'26.10 MUTUKULA-MASAKA-24HR'!C14,'27.10 Mutukula-Masaka'!C14,'28.10 MUTUKULA-MASAKA-24HR'!C14,'29.10 MUTUKULA-MASAKA'!C14,'30.10 MUTUKULA-MASAKA'!C14,'31.10.MUTUKULA-MASAKA'!C14)</f>
        <v>1.5714285714285714</v>
      </c>
      <c r="D14" s="49">
        <f>AVERAGE('25.10 MUTUKULA-MASAKA'!D14,'26.10 MUTUKULA-MASAKA-24HR'!D14,'27.10 Mutukula-Masaka'!D14,'28.10 MUTUKULA-MASAKA-24HR'!D14,'29.10 MUTUKULA-MASAKA'!D14,'30.10 MUTUKULA-MASAKA'!D14,'31.10.MUTUKULA-MASAKA'!D14)</f>
        <v>0.14285714285714285</v>
      </c>
      <c r="E14" s="49">
        <f>AVERAGE('25.10 MUTUKULA-MASAKA'!E14,'26.10 MUTUKULA-MASAKA-24HR'!E14,'27.10 Mutukula-Masaka'!E14,'28.10 MUTUKULA-MASAKA-24HR'!E14,'29.10 MUTUKULA-MASAKA'!E14,'30.10 MUTUKULA-MASAKA'!E14,'31.10.MUTUKULA-MASAKA'!E14)</f>
        <v>0</v>
      </c>
      <c r="F14" s="49">
        <f>AVERAGE('25.10 MUTUKULA-MASAKA'!F14,'26.10 MUTUKULA-MASAKA-24HR'!F14,'27.10 Mutukula-Masaka'!F14,'28.10 MUTUKULA-MASAKA-24HR'!F14,'29.10 MUTUKULA-MASAKA'!F14,'30.10 MUTUKULA-MASAKA'!F14,'31.10.MUTUKULA-MASAKA'!F14)</f>
        <v>0.2857142857142857</v>
      </c>
      <c r="G14" s="49">
        <f>AVERAGE('25.10 MUTUKULA-MASAKA'!G14,'26.10 MUTUKULA-MASAKA-24HR'!G14,'27.10 Mutukula-Masaka'!G14,'28.10 MUTUKULA-MASAKA-24HR'!G14,'29.10 MUTUKULA-MASAKA'!G14,'30.10 MUTUKULA-MASAKA'!G14,'31.10.MUTUKULA-MASAKA'!G14)</f>
        <v>0</v>
      </c>
      <c r="H14" s="49">
        <f>AVERAGE('25.10 MUTUKULA-MASAKA'!H14,'26.10 MUTUKULA-MASAKA-24HR'!H14,'27.10 Mutukula-Masaka'!H14,'28.10 MUTUKULA-MASAKA-24HR'!H14,'29.10 MUTUKULA-MASAKA'!H14,'30.10 MUTUKULA-MASAKA'!H14,'31.10.MUTUKULA-MASAKA'!H14)</f>
        <v>0</v>
      </c>
      <c r="I14" s="49">
        <f>AVERAGE('25.10 MUTUKULA-MASAKA'!I14,'26.10 MUTUKULA-MASAKA-24HR'!I14,'27.10 Mutukula-Masaka'!I14,'28.10 MUTUKULA-MASAKA-24HR'!I14,'29.10 MUTUKULA-MASAKA'!I14,'30.10 MUTUKULA-MASAKA'!I14,'31.10.MUTUKULA-MASAKA'!I14)</f>
        <v>0.5714285714285714</v>
      </c>
      <c r="J14" s="49">
        <f>AVERAGE('25.10 MUTUKULA-MASAKA'!J14,'26.10 MUTUKULA-MASAKA-24HR'!J14,'27.10 Mutukula-Masaka'!J14,'28.10 MUTUKULA-MASAKA-24HR'!J14,'29.10 MUTUKULA-MASAKA'!J14,'30.10 MUTUKULA-MASAKA'!J14,'31.10.MUTUKULA-MASAKA'!J14)</f>
        <v>0</v>
      </c>
      <c r="K14" s="49">
        <f>AVERAGE('25.10 MUTUKULA-MASAKA'!K14,'26.10 MUTUKULA-MASAKA-24HR'!K14,'27.10 Mutukula-Masaka'!K14,'28.10 MUTUKULA-MASAKA-24HR'!K14,'29.10 MUTUKULA-MASAKA'!K14,'30.10 MUTUKULA-MASAKA'!K14,'31.10.MUTUKULA-MASAKA'!K14)</f>
        <v>0.2857142857142857</v>
      </c>
      <c r="L14" s="49">
        <f>AVERAGE('25.10 MUTUKULA-MASAKA'!L14,'26.10 MUTUKULA-MASAKA-24HR'!L14,'27.10 Mutukula-Masaka'!L14,'28.10 MUTUKULA-MASAKA-24HR'!L14,'29.10 MUTUKULA-MASAKA'!L14,'30.10 MUTUKULA-MASAKA'!L14,'31.10.MUTUKULA-MASAKA'!L14)</f>
        <v>0</v>
      </c>
      <c r="M14" s="49">
        <f>AVERAGE('25.10 MUTUKULA-MASAKA'!M14,'26.10 MUTUKULA-MASAKA-24HR'!M14,'27.10 Mutukula-Masaka'!M14,'28.10 MUTUKULA-MASAKA-24HR'!M14,'29.10 MUTUKULA-MASAKA'!M14,'30.10 MUTUKULA-MASAKA'!M14,'31.10.MUTUKULA-MASAKA'!M14)</f>
        <v>8.8571428571428577</v>
      </c>
      <c r="N14" s="49">
        <f>AVERAGE('25.10 MUTUKULA-MASAKA'!N14,'26.10 MUTUKULA-MASAKA-24HR'!N14,'27.10 Mutukula-Masaka'!N14,'28.10 MUTUKULA-MASAKA-24HR'!N14,'29.10 MUTUKULA-MASAKA'!N14,'30.10 MUTUKULA-MASAKA'!N14,'31.10.MUTUKULA-MASAKA'!N14)</f>
        <v>0</v>
      </c>
      <c r="O14" s="15">
        <f t="shared" si="0"/>
        <v>2.8571428571428568</v>
      </c>
      <c r="P14" s="15">
        <f t="shared" si="1"/>
        <v>11.714285714285715</v>
      </c>
      <c r="R14" s="1" t="s">
        <v>10</v>
      </c>
      <c r="S14" s="17">
        <f t="shared" ref="S14:AF14" si="6">SUM(C26:C29)</f>
        <v>6.2857142857142856</v>
      </c>
      <c r="T14" s="17">
        <f t="shared" si="6"/>
        <v>1.5714285714285714</v>
      </c>
      <c r="U14" s="17">
        <f t="shared" si="6"/>
        <v>0.71428571428571419</v>
      </c>
      <c r="V14" s="17">
        <f t="shared" si="6"/>
        <v>5.2857142857142856</v>
      </c>
      <c r="W14" s="17">
        <f t="shared" si="6"/>
        <v>0.2857142857142857</v>
      </c>
      <c r="X14" s="17">
        <f t="shared" si="6"/>
        <v>0</v>
      </c>
      <c r="Y14" s="17">
        <f t="shared" si="6"/>
        <v>3.2857142857142856</v>
      </c>
      <c r="Z14" s="17">
        <f t="shared" si="6"/>
        <v>0.8571428571428571</v>
      </c>
      <c r="AA14" s="17">
        <f t="shared" si="6"/>
        <v>1.8571428571428572</v>
      </c>
      <c r="AB14" s="17">
        <f t="shared" si="6"/>
        <v>0.14285714285714285</v>
      </c>
      <c r="AC14" s="17">
        <f t="shared" si="6"/>
        <v>32.857142857142854</v>
      </c>
      <c r="AD14" s="17">
        <f t="shared" si="6"/>
        <v>0</v>
      </c>
      <c r="AE14" s="31">
        <f t="shared" si="6"/>
        <v>20.285714285714285</v>
      </c>
      <c r="AF14" s="31">
        <f t="shared" si="6"/>
        <v>53.142857142857146</v>
      </c>
    </row>
    <row r="15" spans="2:32" ht="23.1" customHeight="1" x14ac:dyDescent="0.25">
      <c r="B15" s="23" t="s">
        <v>42</v>
      </c>
      <c r="C15" s="49">
        <f>AVERAGE('25.10 MUTUKULA-MASAKA'!C15,'26.10 MUTUKULA-MASAKA-24HR'!C15,'27.10 Mutukula-Masaka'!C15,'28.10 MUTUKULA-MASAKA-24HR'!C15,'29.10 MUTUKULA-MASAKA'!C15,'30.10 MUTUKULA-MASAKA'!C15,'31.10.MUTUKULA-MASAKA'!C15)</f>
        <v>1.7142857142857142</v>
      </c>
      <c r="D15" s="49">
        <f>AVERAGE('25.10 MUTUKULA-MASAKA'!D15,'26.10 MUTUKULA-MASAKA-24HR'!D15,'27.10 Mutukula-Masaka'!D15,'28.10 MUTUKULA-MASAKA-24HR'!D15,'29.10 MUTUKULA-MASAKA'!D15,'30.10 MUTUKULA-MASAKA'!D15,'31.10.MUTUKULA-MASAKA'!D15)</f>
        <v>0.2857142857142857</v>
      </c>
      <c r="E15" s="49">
        <f>AVERAGE('25.10 MUTUKULA-MASAKA'!E15,'26.10 MUTUKULA-MASAKA-24HR'!E15,'27.10 Mutukula-Masaka'!E15,'28.10 MUTUKULA-MASAKA-24HR'!E15,'29.10 MUTUKULA-MASAKA'!E15,'30.10 MUTUKULA-MASAKA'!E15,'31.10.MUTUKULA-MASAKA'!E15)</f>
        <v>0.14285714285714285</v>
      </c>
      <c r="F15" s="49">
        <f>AVERAGE('25.10 MUTUKULA-MASAKA'!F15,'26.10 MUTUKULA-MASAKA-24HR'!F15,'27.10 Mutukula-Masaka'!F15,'28.10 MUTUKULA-MASAKA-24HR'!F15,'29.10 MUTUKULA-MASAKA'!F15,'30.10 MUTUKULA-MASAKA'!F15,'31.10.MUTUKULA-MASAKA'!F15)</f>
        <v>0.5714285714285714</v>
      </c>
      <c r="G15" s="49">
        <f>AVERAGE('25.10 MUTUKULA-MASAKA'!G15,'26.10 MUTUKULA-MASAKA-24HR'!G15,'27.10 Mutukula-Masaka'!G15,'28.10 MUTUKULA-MASAKA-24HR'!G15,'29.10 MUTUKULA-MASAKA'!G15,'30.10 MUTUKULA-MASAKA'!G15,'31.10.MUTUKULA-MASAKA'!G15)</f>
        <v>0</v>
      </c>
      <c r="H15" s="49">
        <f>AVERAGE('25.10 MUTUKULA-MASAKA'!H15,'26.10 MUTUKULA-MASAKA-24HR'!H15,'27.10 Mutukula-Masaka'!H15,'28.10 MUTUKULA-MASAKA-24HR'!H15,'29.10 MUTUKULA-MASAKA'!H15,'30.10 MUTUKULA-MASAKA'!H15,'31.10.MUTUKULA-MASAKA'!H15)</f>
        <v>0</v>
      </c>
      <c r="I15" s="49">
        <f>AVERAGE('25.10 MUTUKULA-MASAKA'!I15,'26.10 MUTUKULA-MASAKA-24HR'!I15,'27.10 Mutukula-Masaka'!I15,'28.10 MUTUKULA-MASAKA-24HR'!I15,'29.10 MUTUKULA-MASAKA'!I15,'30.10 MUTUKULA-MASAKA'!I15,'31.10.MUTUKULA-MASAKA'!I15)</f>
        <v>0</v>
      </c>
      <c r="J15" s="49">
        <f>AVERAGE('25.10 MUTUKULA-MASAKA'!J15,'26.10 MUTUKULA-MASAKA-24HR'!J15,'27.10 Mutukula-Masaka'!J15,'28.10 MUTUKULA-MASAKA-24HR'!J15,'29.10 MUTUKULA-MASAKA'!J15,'30.10 MUTUKULA-MASAKA'!J15,'31.10.MUTUKULA-MASAKA'!J15)</f>
        <v>0</v>
      </c>
      <c r="K15" s="49">
        <f>AVERAGE('25.10 MUTUKULA-MASAKA'!K15,'26.10 MUTUKULA-MASAKA-24HR'!K15,'27.10 Mutukula-Masaka'!K15,'28.10 MUTUKULA-MASAKA-24HR'!K15,'29.10 MUTUKULA-MASAKA'!K15,'30.10 MUTUKULA-MASAKA'!K15,'31.10.MUTUKULA-MASAKA'!K15)</f>
        <v>0.8571428571428571</v>
      </c>
      <c r="L15" s="49">
        <f>AVERAGE('25.10 MUTUKULA-MASAKA'!L15,'26.10 MUTUKULA-MASAKA-24HR'!L15,'27.10 Mutukula-Masaka'!L15,'28.10 MUTUKULA-MASAKA-24HR'!L15,'29.10 MUTUKULA-MASAKA'!L15,'30.10 MUTUKULA-MASAKA'!L15,'31.10.MUTUKULA-MASAKA'!L15)</f>
        <v>0</v>
      </c>
      <c r="M15" s="49">
        <f>AVERAGE('25.10 MUTUKULA-MASAKA'!M15,'26.10 MUTUKULA-MASAKA-24HR'!M15,'27.10 Mutukula-Masaka'!M15,'28.10 MUTUKULA-MASAKA-24HR'!M15,'29.10 MUTUKULA-MASAKA'!M15,'30.10 MUTUKULA-MASAKA'!M15,'31.10.MUTUKULA-MASAKA'!M15)</f>
        <v>7</v>
      </c>
      <c r="N15" s="49">
        <f>AVERAGE('25.10 MUTUKULA-MASAKA'!N15,'26.10 MUTUKULA-MASAKA-24HR'!N15,'27.10 Mutukula-Masaka'!N15,'28.10 MUTUKULA-MASAKA-24HR'!N15,'29.10 MUTUKULA-MASAKA'!N15,'30.10 MUTUKULA-MASAKA'!N15,'31.10.MUTUKULA-MASAKA'!N15)</f>
        <v>0</v>
      </c>
      <c r="O15" s="15">
        <f t="shared" si="0"/>
        <v>3.5714285714285716</v>
      </c>
      <c r="P15" s="15">
        <f t="shared" si="1"/>
        <v>10.571428571428571</v>
      </c>
      <c r="R15" s="1" t="s">
        <v>11</v>
      </c>
      <c r="S15" s="17">
        <f t="shared" ref="S15:AF15" si="7">SUM(C30:C33)</f>
        <v>8.1428571428571423</v>
      </c>
      <c r="T15" s="17">
        <f t="shared" si="7"/>
        <v>2.4285714285714284</v>
      </c>
      <c r="U15" s="17">
        <f t="shared" si="7"/>
        <v>0.2857142857142857</v>
      </c>
      <c r="V15" s="17">
        <f t="shared" si="7"/>
        <v>4.8571428571428568</v>
      </c>
      <c r="W15" s="17">
        <f t="shared" si="7"/>
        <v>0</v>
      </c>
      <c r="X15" s="17">
        <f t="shared" si="7"/>
        <v>0</v>
      </c>
      <c r="Y15" s="17">
        <f t="shared" si="7"/>
        <v>2.8571428571428568</v>
      </c>
      <c r="Z15" s="17">
        <f t="shared" si="7"/>
        <v>2.4285714285714288</v>
      </c>
      <c r="AA15" s="17">
        <f t="shared" si="7"/>
        <v>1.4285714285714286</v>
      </c>
      <c r="AB15" s="17">
        <f t="shared" si="7"/>
        <v>0.42857142857142855</v>
      </c>
      <c r="AC15" s="17">
        <f t="shared" si="7"/>
        <v>34.142857142857146</v>
      </c>
      <c r="AD15" s="17">
        <f t="shared" si="7"/>
        <v>0</v>
      </c>
      <c r="AE15" s="31">
        <f t="shared" si="7"/>
        <v>22.857142857142854</v>
      </c>
      <c r="AF15" s="31">
        <f t="shared" si="7"/>
        <v>57</v>
      </c>
    </row>
    <row r="16" spans="2:32" ht="23.1" customHeight="1" x14ac:dyDescent="0.25">
      <c r="B16" s="23" t="s">
        <v>43</v>
      </c>
      <c r="C16" s="49">
        <f>AVERAGE('25.10 MUTUKULA-MASAKA'!C16,'26.10 MUTUKULA-MASAKA-24HR'!C16,'27.10 Mutukula-Masaka'!C16,'28.10 MUTUKULA-MASAKA-24HR'!C16,'29.10 MUTUKULA-MASAKA'!C16,'30.10 MUTUKULA-MASAKA'!C16,'31.10.MUTUKULA-MASAKA'!C16)</f>
        <v>1.8571428571428572</v>
      </c>
      <c r="D16" s="49">
        <f>AVERAGE('25.10 MUTUKULA-MASAKA'!D16,'26.10 MUTUKULA-MASAKA-24HR'!D16,'27.10 Mutukula-Masaka'!D16,'28.10 MUTUKULA-MASAKA-24HR'!D16,'29.10 MUTUKULA-MASAKA'!D16,'30.10 MUTUKULA-MASAKA'!D16,'31.10.MUTUKULA-MASAKA'!D16)</f>
        <v>0.14285714285714285</v>
      </c>
      <c r="E16" s="49">
        <f>AVERAGE('25.10 MUTUKULA-MASAKA'!E16,'26.10 MUTUKULA-MASAKA-24HR'!E16,'27.10 Mutukula-Masaka'!E16,'28.10 MUTUKULA-MASAKA-24HR'!E16,'29.10 MUTUKULA-MASAKA'!E16,'30.10 MUTUKULA-MASAKA'!E16,'31.10.MUTUKULA-MASAKA'!E16)</f>
        <v>0</v>
      </c>
      <c r="F16" s="49">
        <f>AVERAGE('25.10 MUTUKULA-MASAKA'!F16,'26.10 MUTUKULA-MASAKA-24HR'!F16,'27.10 Mutukula-Masaka'!F16,'28.10 MUTUKULA-MASAKA-24HR'!F16,'29.10 MUTUKULA-MASAKA'!F16,'30.10 MUTUKULA-MASAKA'!F16,'31.10.MUTUKULA-MASAKA'!F16)</f>
        <v>0.8571428571428571</v>
      </c>
      <c r="G16" s="49">
        <f>AVERAGE('25.10 MUTUKULA-MASAKA'!G16,'26.10 MUTUKULA-MASAKA-24HR'!G16,'27.10 Mutukula-Masaka'!G16,'28.10 MUTUKULA-MASAKA-24HR'!G16,'29.10 MUTUKULA-MASAKA'!G16,'30.10 MUTUKULA-MASAKA'!G16,'31.10.MUTUKULA-MASAKA'!G16)</f>
        <v>0</v>
      </c>
      <c r="H16" s="49">
        <f>AVERAGE('25.10 MUTUKULA-MASAKA'!H16,'26.10 MUTUKULA-MASAKA-24HR'!H16,'27.10 Mutukula-Masaka'!H16,'28.10 MUTUKULA-MASAKA-24HR'!H16,'29.10 MUTUKULA-MASAKA'!H16,'30.10 MUTUKULA-MASAKA'!H16,'31.10.MUTUKULA-MASAKA'!H16)</f>
        <v>0</v>
      </c>
      <c r="I16" s="49">
        <f>AVERAGE('25.10 MUTUKULA-MASAKA'!I16,'26.10 MUTUKULA-MASAKA-24HR'!I16,'27.10 Mutukula-Masaka'!I16,'28.10 MUTUKULA-MASAKA-24HR'!I16,'29.10 MUTUKULA-MASAKA'!I16,'30.10 MUTUKULA-MASAKA'!I16,'31.10.MUTUKULA-MASAKA'!I16)</f>
        <v>0.5714285714285714</v>
      </c>
      <c r="J16" s="49">
        <f>AVERAGE('25.10 MUTUKULA-MASAKA'!J16,'26.10 MUTUKULA-MASAKA-24HR'!J16,'27.10 Mutukula-Masaka'!J16,'28.10 MUTUKULA-MASAKA-24HR'!J16,'29.10 MUTUKULA-MASAKA'!J16,'30.10 MUTUKULA-MASAKA'!J16,'31.10.MUTUKULA-MASAKA'!J16)</f>
        <v>0</v>
      </c>
      <c r="K16" s="49">
        <f>AVERAGE('25.10 MUTUKULA-MASAKA'!K16,'26.10 MUTUKULA-MASAKA-24HR'!K16,'27.10 Mutukula-Masaka'!K16,'28.10 MUTUKULA-MASAKA-24HR'!K16,'29.10 MUTUKULA-MASAKA'!K16,'30.10 MUTUKULA-MASAKA'!K16,'31.10.MUTUKULA-MASAKA'!K16)</f>
        <v>0</v>
      </c>
      <c r="L16" s="49">
        <f>AVERAGE('25.10 MUTUKULA-MASAKA'!L16,'26.10 MUTUKULA-MASAKA-24HR'!L16,'27.10 Mutukula-Masaka'!L16,'28.10 MUTUKULA-MASAKA-24HR'!L16,'29.10 MUTUKULA-MASAKA'!L16,'30.10 MUTUKULA-MASAKA'!L16,'31.10.MUTUKULA-MASAKA'!L16)</f>
        <v>0</v>
      </c>
      <c r="M16" s="49">
        <f>AVERAGE('25.10 MUTUKULA-MASAKA'!M16,'26.10 MUTUKULA-MASAKA-24HR'!M16,'27.10 Mutukula-Masaka'!M16,'28.10 MUTUKULA-MASAKA-24HR'!M16,'29.10 MUTUKULA-MASAKA'!M16,'30.10 MUTUKULA-MASAKA'!M16,'31.10.MUTUKULA-MASAKA'!M16)</f>
        <v>6.4285714285714288</v>
      </c>
      <c r="N16" s="49">
        <f>AVERAGE('25.10 MUTUKULA-MASAKA'!N16,'26.10 MUTUKULA-MASAKA-24HR'!N16,'27.10 Mutukula-Masaka'!N16,'28.10 MUTUKULA-MASAKA-24HR'!N16,'29.10 MUTUKULA-MASAKA'!N16,'30.10 MUTUKULA-MASAKA'!N16,'31.10.MUTUKULA-MASAKA'!N16)</f>
        <v>0</v>
      </c>
      <c r="O16" s="15">
        <f t="shared" si="0"/>
        <v>3.4285714285714288</v>
      </c>
      <c r="P16" s="15">
        <f t="shared" si="1"/>
        <v>9.8571428571428577</v>
      </c>
      <c r="R16" s="1" t="s">
        <v>12</v>
      </c>
      <c r="S16" s="17">
        <f t="shared" ref="S16:AF16" si="8">SUM(C34:C37)</f>
        <v>8</v>
      </c>
      <c r="T16" s="17">
        <f t="shared" si="8"/>
        <v>0.5714285714285714</v>
      </c>
      <c r="U16" s="17">
        <f t="shared" si="8"/>
        <v>0.71428571428571419</v>
      </c>
      <c r="V16" s="17">
        <f t="shared" si="8"/>
        <v>4.2857142857142865</v>
      </c>
      <c r="W16" s="17">
        <f t="shared" si="8"/>
        <v>0.2857142857142857</v>
      </c>
      <c r="X16" s="17">
        <f t="shared" si="8"/>
        <v>0</v>
      </c>
      <c r="Y16" s="17">
        <f t="shared" si="8"/>
        <v>2.2857142857142856</v>
      </c>
      <c r="Z16" s="17">
        <f t="shared" si="8"/>
        <v>2.5714285714285712</v>
      </c>
      <c r="AA16" s="17">
        <f t="shared" si="8"/>
        <v>2.8571428571428568</v>
      </c>
      <c r="AB16" s="17">
        <f t="shared" si="8"/>
        <v>1</v>
      </c>
      <c r="AC16" s="17">
        <f t="shared" si="8"/>
        <v>34.428571428571431</v>
      </c>
      <c r="AD16" s="17">
        <f t="shared" si="8"/>
        <v>0</v>
      </c>
      <c r="AE16" s="31">
        <f t="shared" si="8"/>
        <v>22.571428571428569</v>
      </c>
      <c r="AF16" s="31">
        <f t="shared" si="8"/>
        <v>57</v>
      </c>
    </row>
    <row r="17" spans="2:32" ht="23.1" customHeight="1" x14ac:dyDescent="0.25">
      <c r="B17" s="23" t="s">
        <v>44</v>
      </c>
      <c r="C17" s="49">
        <f>AVERAGE('25.10 MUTUKULA-MASAKA'!C17,'26.10 MUTUKULA-MASAKA-24HR'!C17,'27.10 Mutukula-Masaka'!C17,'28.10 MUTUKULA-MASAKA-24HR'!C17,'29.10 MUTUKULA-MASAKA'!C17,'30.10 MUTUKULA-MASAKA'!C17,'31.10.MUTUKULA-MASAKA'!C17)</f>
        <v>2</v>
      </c>
      <c r="D17" s="49">
        <f>AVERAGE('25.10 MUTUKULA-MASAKA'!D17,'26.10 MUTUKULA-MASAKA-24HR'!D17,'27.10 Mutukula-Masaka'!D17,'28.10 MUTUKULA-MASAKA-24HR'!D17,'29.10 MUTUKULA-MASAKA'!D17,'30.10 MUTUKULA-MASAKA'!D17,'31.10.MUTUKULA-MASAKA'!D17)</f>
        <v>0.2857142857142857</v>
      </c>
      <c r="E17" s="49">
        <f>AVERAGE('25.10 MUTUKULA-MASAKA'!E17,'26.10 MUTUKULA-MASAKA-24HR'!E17,'27.10 Mutukula-Masaka'!E17,'28.10 MUTUKULA-MASAKA-24HR'!E17,'29.10 MUTUKULA-MASAKA'!E17,'30.10 MUTUKULA-MASAKA'!E17,'31.10.MUTUKULA-MASAKA'!E17)</f>
        <v>0</v>
      </c>
      <c r="F17" s="49">
        <f>AVERAGE('25.10 MUTUKULA-MASAKA'!F17,'26.10 MUTUKULA-MASAKA-24HR'!F17,'27.10 Mutukula-Masaka'!F17,'28.10 MUTUKULA-MASAKA-24HR'!F17,'29.10 MUTUKULA-MASAKA'!F17,'30.10 MUTUKULA-MASAKA'!F17,'31.10.MUTUKULA-MASAKA'!F17)</f>
        <v>1.2857142857142858</v>
      </c>
      <c r="G17" s="49">
        <f>AVERAGE('25.10 MUTUKULA-MASAKA'!G17,'26.10 MUTUKULA-MASAKA-24HR'!G17,'27.10 Mutukula-Masaka'!G17,'28.10 MUTUKULA-MASAKA-24HR'!G17,'29.10 MUTUKULA-MASAKA'!G17,'30.10 MUTUKULA-MASAKA'!G17,'31.10.MUTUKULA-MASAKA'!G17)</f>
        <v>0</v>
      </c>
      <c r="H17" s="49">
        <f>AVERAGE('25.10 MUTUKULA-MASAKA'!H17,'26.10 MUTUKULA-MASAKA-24HR'!H17,'27.10 Mutukula-Masaka'!H17,'28.10 MUTUKULA-MASAKA-24HR'!H17,'29.10 MUTUKULA-MASAKA'!H17,'30.10 MUTUKULA-MASAKA'!H17,'31.10.MUTUKULA-MASAKA'!H17)</f>
        <v>0</v>
      </c>
      <c r="I17" s="49">
        <f>AVERAGE('25.10 MUTUKULA-MASAKA'!I17,'26.10 MUTUKULA-MASAKA-24HR'!I17,'27.10 Mutukula-Masaka'!I17,'28.10 MUTUKULA-MASAKA-24HR'!I17,'29.10 MUTUKULA-MASAKA'!I17,'30.10 MUTUKULA-MASAKA'!I17,'31.10.MUTUKULA-MASAKA'!I17)</f>
        <v>0.42857142857142855</v>
      </c>
      <c r="J17" s="49">
        <f>AVERAGE('25.10 MUTUKULA-MASAKA'!J17,'26.10 MUTUKULA-MASAKA-24HR'!J17,'27.10 Mutukula-Masaka'!J17,'28.10 MUTUKULA-MASAKA-24HR'!J17,'29.10 MUTUKULA-MASAKA'!J17,'30.10 MUTUKULA-MASAKA'!J17,'31.10.MUTUKULA-MASAKA'!J17)</f>
        <v>0.2857142857142857</v>
      </c>
      <c r="K17" s="49">
        <f>AVERAGE('25.10 MUTUKULA-MASAKA'!K17,'26.10 MUTUKULA-MASAKA-24HR'!K17,'27.10 Mutukula-Masaka'!K17,'28.10 MUTUKULA-MASAKA-24HR'!K17,'29.10 MUTUKULA-MASAKA'!K17,'30.10 MUTUKULA-MASAKA'!K17,'31.10.MUTUKULA-MASAKA'!K17)</f>
        <v>0.2857142857142857</v>
      </c>
      <c r="L17" s="49">
        <f>AVERAGE('25.10 MUTUKULA-MASAKA'!L17,'26.10 MUTUKULA-MASAKA-24HR'!L17,'27.10 Mutukula-Masaka'!L17,'28.10 MUTUKULA-MASAKA-24HR'!L17,'29.10 MUTUKULA-MASAKA'!L17,'30.10 MUTUKULA-MASAKA'!L17,'31.10.MUTUKULA-MASAKA'!L17)</f>
        <v>0</v>
      </c>
      <c r="M17" s="49">
        <f>AVERAGE('25.10 MUTUKULA-MASAKA'!M17,'26.10 MUTUKULA-MASAKA-24HR'!M17,'27.10 Mutukula-Masaka'!M17,'28.10 MUTUKULA-MASAKA-24HR'!M17,'29.10 MUTUKULA-MASAKA'!M17,'30.10 MUTUKULA-MASAKA'!M17,'31.10.MUTUKULA-MASAKA'!M17)</f>
        <v>7.1428571428571432</v>
      </c>
      <c r="N17" s="49">
        <f>AVERAGE('25.10 MUTUKULA-MASAKA'!N17,'26.10 MUTUKULA-MASAKA-24HR'!N17,'27.10 Mutukula-Masaka'!N17,'28.10 MUTUKULA-MASAKA-24HR'!N17,'29.10 MUTUKULA-MASAKA'!N17,'30.10 MUTUKULA-MASAKA'!N17,'31.10.MUTUKULA-MASAKA'!N17)</f>
        <v>0</v>
      </c>
      <c r="O17" s="15">
        <f t="shared" si="0"/>
        <v>4.5714285714285712</v>
      </c>
      <c r="P17" s="15">
        <f t="shared" si="1"/>
        <v>11.714285714285715</v>
      </c>
      <c r="R17" s="1" t="s">
        <v>13</v>
      </c>
      <c r="S17" s="17">
        <f t="shared" ref="S17:AF17" si="9">SUM(C38:C41)</f>
        <v>9.4285714285714288</v>
      </c>
      <c r="T17" s="17">
        <f t="shared" si="9"/>
        <v>1.5714285714285714</v>
      </c>
      <c r="U17" s="17">
        <f t="shared" si="9"/>
        <v>1</v>
      </c>
      <c r="V17" s="17">
        <f t="shared" si="9"/>
        <v>3.7142857142857144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2.7142857142857144</v>
      </c>
      <c r="AB17" s="17">
        <f t="shared" si="9"/>
        <v>0.42857142857142855</v>
      </c>
      <c r="AC17" s="17">
        <f t="shared" si="9"/>
        <v>39</v>
      </c>
      <c r="AD17" s="17">
        <f t="shared" si="9"/>
        <v>0.14285714285714285</v>
      </c>
      <c r="AE17" s="31">
        <f t="shared" si="9"/>
        <v>24.999999999999996</v>
      </c>
      <c r="AF17" s="31">
        <f t="shared" si="9"/>
        <v>64</v>
      </c>
    </row>
    <row r="18" spans="2:32" ht="23.1" customHeight="1" x14ac:dyDescent="0.25">
      <c r="B18" s="23" t="s">
        <v>45</v>
      </c>
      <c r="C18" s="49">
        <f>AVERAGE('25.10 MUTUKULA-MASAKA'!C18,'26.10 MUTUKULA-MASAKA-24HR'!C18,'27.10 Mutukula-Masaka'!C18,'28.10 MUTUKULA-MASAKA-24HR'!C18,'29.10 MUTUKULA-MASAKA'!C18,'30.10 MUTUKULA-MASAKA'!C18,'31.10.MUTUKULA-MASAKA'!C18)</f>
        <v>1.7142857142857142</v>
      </c>
      <c r="D18" s="49">
        <f>AVERAGE('25.10 MUTUKULA-MASAKA'!D18,'26.10 MUTUKULA-MASAKA-24HR'!D18,'27.10 Mutukula-Masaka'!D18,'28.10 MUTUKULA-MASAKA-24HR'!D18,'29.10 MUTUKULA-MASAKA'!D18,'30.10 MUTUKULA-MASAKA'!D18,'31.10.MUTUKULA-MASAKA'!D18)</f>
        <v>0.42857142857142855</v>
      </c>
      <c r="E18" s="49">
        <f>AVERAGE('25.10 MUTUKULA-MASAKA'!E18,'26.10 MUTUKULA-MASAKA-24HR'!E18,'27.10 Mutukula-Masaka'!E18,'28.10 MUTUKULA-MASAKA-24HR'!E18,'29.10 MUTUKULA-MASAKA'!E18,'30.10 MUTUKULA-MASAKA'!E18,'31.10.MUTUKULA-MASAKA'!E18)</f>
        <v>0.14285714285714285</v>
      </c>
      <c r="F18" s="49">
        <f>AVERAGE('25.10 MUTUKULA-MASAKA'!F18,'26.10 MUTUKULA-MASAKA-24HR'!F18,'27.10 Mutukula-Masaka'!F18,'28.10 MUTUKULA-MASAKA-24HR'!F18,'29.10 MUTUKULA-MASAKA'!F18,'30.10 MUTUKULA-MASAKA'!F18,'31.10.MUTUKULA-MASAKA'!F18)</f>
        <v>1.2857142857142858</v>
      </c>
      <c r="G18" s="49">
        <f>AVERAGE('25.10 MUTUKULA-MASAKA'!G18,'26.10 MUTUKULA-MASAKA-24HR'!G18,'27.10 Mutukula-Masaka'!G18,'28.10 MUTUKULA-MASAKA-24HR'!G18,'29.10 MUTUKULA-MASAKA'!G18,'30.10 MUTUKULA-MASAKA'!G18,'31.10.MUTUKULA-MASAKA'!G18)</f>
        <v>0</v>
      </c>
      <c r="H18" s="49">
        <f>AVERAGE('25.10 MUTUKULA-MASAKA'!H18,'26.10 MUTUKULA-MASAKA-24HR'!H18,'27.10 Mutukula-Masaka'!H18,'28.10 MUTUKULA-MASAKA-24HR'!H18,'29.10 MUTUKULA-MASAKA'!H18,'30.10 MUTUKULA-MASAKA'!H18,'31.10.MUTUKULA-MASAKA'!H18)</f>
        <v>0</v>
      </c>
      <c r="I18" s="49">
        <f>AVERAGE('25.10 MUTUKULA-MASAKA'!I18,'26.10 MUTUKULA-MASAKA-24HR'!I18,'27.10 Mutukula-Masaka'!I18,'28.10 MUTUKULA-MASAKA-24HR'!I18,'29.10 MUTUKULA-MASAKA'!I18,'30.10 MUTUKULA-MASAKA'!I18,'31.10.MUTUKULA-MASAKA'!I18)</f>
        <v>0.8571428571428571</v>
      </c>
      <c r="J18" s="49">
        <f>AVERAGE('25.10 MUTUKULA-MASAKA'!J18,'26.10 MUTUKULA-MASAKA-24HR'!J18,'27.10 Mutukula-Masaka'!J18,'28.10 MUTUKULA-MASAKA-24HR'!J18,'29.10 MUTUKULA-MASAKA'!J18,'30.10 MUTUKULA-MASAKA'!J18,'31.10.MUTUKULA-MASAKA'!J18)</f>
        <v>0.14285714285714285</v>
      </c>
      <c r="K18" s="49">
        <f>AVERAGE('25.10 MUTUKULA-MASAKA'!K18,'26.10 MUTUKULA-MASAKA-24HR'!K18,'27.10 Mutukula-Masaka'!K18,'28.10 MUTUKULA-MASAKA-24HR'!K18,'29.10 MUTUKULA-MASAKA'!K18,'30.10 MUTUKULA-MASAKA'!K18,'31.10.MUTUKULA-MASAKA'!K18)</f>
        <v>0.14285714285714285</v>
      </c>
      <c r="L18" s="49">
        <f>AVERAGE('25.10 MUTUKULA-MASAKA'!L18,'26.10 MUTUKULA-MASAKA-24HR'!L18,'27.10 Mutukula-Masaka'!L18,'28.10 MUTUKULA-MASAKA-24HR'!L18,'29.10 MUTUKULA-MASAKA'!L18,'30.10 MUTUKULA-MASAKA'!L18,'31.10.MUTUKULA-MASAKA'!L18)</f>
        <v>0</v>
      </c>
      <c r="M18" s="49">
        <f>AVERAGE('25.10 MUTUKULA-MASAKA'!M18,'26.10 MUTUKULA-MASAKA-24HR'!M18,'27.10 Mutukula-Masaka'!M18,'28.10 MUTUKULA-MASAKA-24HR'!M18,'29.10 MUTUKULA-MASAKA'!M18,'30.10 MUTUKULA-MASAKA'!M18,'31.10.MUTUKULA-MASAKA'!M18)</f>
        <v>8.8571428571428577</v>
      </c>
      <c r="N18" s="49">
        <f>AVERAGE('25.10 MUTUKULA-MASAKA'!N18,'26.10 MUTUKULA-MASAKA-24HR'!N18,'27.10 Mutukula-Masaka'!N18,'28.10 MUTUKULA-MASAKA-24HR'!N18,'29.10 MUTUKULA-MASAKA'!N18,'30.10 MUTUKULA-MASAKA'!N18,'31.10.MUTUKULA-MASAKA'!N18)</f>
        <v>0</v>
      </c>
      <c r="O18" s="15">
        <f t="shared" si="0"/>
        <v>4.7142857142857144</v>
      </c>
      <c r="P18" s="15">
        <f t="shared" si="1"/>
        <v>13.571428571428573</v>
      </c>
      <c r="R18" s="1" t="s">
        <v>14</v>
      </c>
      <c r="S18" s="17">
        <f t="shared" ref="S18:AF18" si="10">SUM(C42:C45)</f>
        <v>9.8571428571428577</v>
      </c>
      <c r="T18" s="17">
        <f t="shared" si="10"/>
        <v>2.1428571428571428</v>
      </c>
      <c r="U18" s="17">
        <f t="shared" si="10"/>
        <v>0.71428571428571419</v>
      </c>
      <c r="V18" s="17">
        <f t="shared" si="10"/>
        <v>5.5714285714285712</v>
      </c>
      <c r="W18" s="17">
        <f t="shared" si="10"/>
        <v>0</v>
      </c>
      <c r="X18" s="17">
        <f t="shared" si="10"/>
        <v>0</v>
      </c>
      <c r="Y18" s="17">
        <f t="shared" si="10"/>
        <v>3.4285714285714284</v>
      </c>
      <c r="Z18" s="17">
        <f t="shared" si="10"/>
        <v>3.7142857142857144</v>
      </c>
      <c r="AA18" s="17">
        <f t="shared" si="10"/>
        <v>2.2857142857142856</v>
      </c>
      <c r="AB18" s="17">
        <f t="shared" si="10"/>
        <v>0.14285714285714285</v>
      </c>
      <c r="AC18" s="17">
        <f t="shared" si="10"/>
        <v>42.571428571428577</v>
      </c>
      <c r="AD18" s="17">
        <f t="shared" si="10"/>
        <v>0</v>
      </c>
      <c r="AE18" s="31">
        <f t="shared" si="10"/>
        <v>27.857142857142854</v>
      </c>
      <c r="AF18" s="31">
        <f t="shared" si="10"/>
        <v>70.428571428571431</v>
      </c>
    </row>
    <row r="19" spans="2:32" ht="23.1" customHeight="1" x14ac:dyDescent="0.25">
      <c r="B19" s="23" t="s">
        <v>46</v>
      </c>
      <c r="C19" s="49">
        <f>AVERAGE('25.10 MUTUKULA-MASAKA'!C19,'26.10 MUTUKULA-MASAKA-24HR'!C19,'27.10 Mutukula-Masaka'!C19,'28.10 MUTUKULA-MASAKA-24HR'!C19,'29.10 MUTUKULA-MASAKA'!C19,'30.10 MUTUKULA-MASAKA'!C19,'31.10.MUTUKULA-MASAKA'!C19)</f>
        <v>2.2857142857142856</v>
      </c>
      <c r="D19" s="49">
        <f>AVERAGE('25.10 MUTUKULA-MASAKA'!D19,'26.10 MUTUKULA-MASAKA-24HR'!D19,'27.10 Mutukula-Masaka'!D19,'28.10 MUTUKULA-MASAKA-24HR'!D19,'29.10 MUTUKULA-MASAKA'!D19,'30.10 MUTUKULA-MASAKA'!D19,'31.10.MUTUKULA-MASAKA'!D19)</f>
        <v>0.2857142857142857</v>
      </c>
      <c r="E19" s="49">
        <f>AVERAGE('25.10 MUTUKULA-MASAKA'!E19,'26.10 MUTUKULA-MASAKA-24HR'!E19,'27.10 Mutukula-Masaka'!E19,'28.10 MUTUKULA-MASAKA-24HR'!E19,'29.10 MUTUKULA-MASAKA'!E19,'30.10 MUTUKULA-MASAKA'!E19,'31.10.MUTUKULA-MASAKA'!E19)</f>
        <v>0</v>
      </c>
      <c r="F19" s="49">
        <f>AVERAGE('25.10 MUTUKULA-MASAKA'!F19,'26.10 MUTUKULA-MASAKA-24HR'!F19,'27.10 Mutukula-Masaka'!F19,'28.10 MUTUKULA-MASAKA-24HR'!F19,'29.10 MUTUKULA-MASAKA'!F19,'30.10 MUTUKULA-MASAKA'!F19,'31.10.MUTUKULA-MASAKA'!F19)</f>
        <v>1.1428571428571428</v>
      </c>
      <c r="G19" s="49">
        <f>AVERAGE('25.10 MUTUKULA-MASAKA'!G19,'26.10 MUTUKULA-MASAKA-24HR'!G19,'27.10 Mutukula-Masaka'!G19,'28.10 MUTUKULA-MASAKA-24HR'!G19,'29.10 MUTUKULA-MASAKA'!G19,'30.10 MUTUKULA-MASAKA'!G19,'31.10.MUTUKULA-MASAKA'!G19)</f>
        <v>0.14285714285714285</v>
      </c>
      <c r="H19" s="49">
        <f>AVERAGE('25.10 MUTUKULA-MASAKA'!H19,'26.10 MUTUKULA-MASAKA-24HR'!H19,'27.10 Mutukula-Masaka'!H19,'28.10 MUTUKULA-MASAKA-24HR'!H19,'29.10 MUTUKULA-MASAKA'!H19,'30.10 MUTUKULA-MASAKA'!H19,'31.10.MUTUKULA-MASAKA'!H19)</f>
        <v>0</v>
      </c>
      <c r="I19" s="49">
        <f>AVERAGE('25.10 MUTUKULA-MASAKA'!I19,'26.10 MUTUKULA-MASAKA-24HR'!I19,'27.10 Mutukula-Masaka'!I19,'28.10 MUTUKULA-MASAKA-24HR'!I19,'29.10 MUTUKULA-MASAKA'!I19,'30.10 MUTUKULA-MASAKA'!I19,'31.10.MUTUKULA-MASAKA'!I19)</f>
        <v>0.42857142857142855</v>
      </c>
      <c r="J19" s="49">
        <f>AVERAGE('25.10 MUTUKULA-MASAKA'!J19,'26.10 MUTUKULA-MASAKA-24HR'!J19,'27.10 Mutukula-Masaka'!J19,'28.10 MUTUKULA-MASAKA-24HR'!J19,'29.10 MUTUKULA-MASAKA'!J19,'30.10 MUTUKULA-MASAKA'!J19,'31.10.MUTUKULA-MASAKA'!J19)</f>
        <v>0.14285714285714285</v>
      </c>
      <c r="K19" s="49">
        <f>AVERAGE('25.10 MUTUKULA-MASAKA'!K19,'26.10 MUTUKULA-MASAKA-24HR'!K19,'27.10 Mutukula-Masaka'!K19,'28.10 MUTUKULA-MASAKA-24HR'!K19,'29.10 MUTUKULA-MASAKA'!K19,'30.10 MUTUKULA-MASAKA'!K19,'31.10.MUTUKULA-MASAKA'!K19)</f>
        <v>0.14285714285714285</v>
      </c>
      <c r="L19" s="49">
        <f>AVERAGE('25.10 MUTUKULA-MASAKA'!L19,'26.10 MUTUKULA-MASAKA-24HR'!L19,'27.10 Mutukula-Masaka'!L19,'28.10 MUTUKULA-MASAKA-24HR'!L19,'29.10 MUTUKULA-MASAKA'!L19,'30.10 MUTUKULA-MASAKA'!L19,'31.10.MUTUKULA-MASAKA'!L19)</f>
        <v>0.14285714285714285</v>
      </c>
      <c r="M19" s="49">
        <f>AVERAGE('25.10 MUTUKULA-MASAKA'!M19,'26.10 MUTUKULA-MASAKA-24HR'!M19,'27.10 Mutukula-Masaka'!M19,'28.10 MUTUKULA-MASAKA-24HR'!M19,'29.10 MUTUKULA-MASAKA'!M19,'30.10 MUTUKULA-MASAKA'!M19,'31.10.MUTUKULA-MASAKA'!M19)</f>
        <v>10</v>
      </c>
      <c r="N19" s="49">
        <f>AVERAGE('25.10 MUTUKULA-MASAKA'!N19,'26.10 MUTUKULA-MASAKA-24HR'!N19,'27.10 Mutukula-Masaka'!N19,'28.10 MUTUKULA-MASAKA-24HR'!N19,'29.10 MUTUKULA-MASAKA'!N19,'30.10 MUTUKULA-MASAKA'!N19,'31.10.MUTUKULA-MASAKA'!N19)</f>
        <v>0</v>
      </c>
      <c r="O19" s="15">
        <f t="shared" si="0"/>
        <v>4.7142857142857153</v>
      </c>
      <c r="P19" s="15">
        <f t="shared" si="1"/>
        <v>14.714285714285715</v>
      </c>
      <c r="R19" s="1" t="s">
        <v>15</v>
      </c>
      <c r="S19" s="17">
        <f t="shared" ref="S19:AF19" si="11">SUM(C46:C49)</f>
        <v>10.428571428571427</v>
      </c>
      <c r="T19" s="17">
        <f t="shared" si="11"/>
        <v>2.1428571428571428</v>
      </c>
      <c r="U19" s="17">
        <f t="shared" si="11"/>
        <v>0.71428571428571419</v>
      </c>
      <c r="V19" s="17">
        <f t="shared" si="11"/>
        <v>5.2857142857142856</v>
      </c>
      <c r="W19" s="17">
        <f t="shared" si="11"/>
        <v>0.14285714285714285</v>
      </c>
      <c r="X19" s="17">
        <f t="shared" si="11"/>
        <v>1.2857142857142856</v>
      </c>
      <c r="Y19" s="17">
        <f t="shared" si="11"/>
        <v>2.8571428571428568</v>
      </c>
      <c r="Z19" s="17">
        <f t="shared" si="11"/>
        <v>4.9999999999999991</v>
      </c>
      <c r="AA19" s="17">
        <f t="shared" si="11"/>
        <v>4.7142857142857144</v>
      </c>
      <c r="AB19" s="17">
        <f t="shared" si="11"/>
        <v>0.42857142857142855</v>
      </c>
      <c r="AC19" s="17">
        <f t="shared" si="11"/>
        <v>40</v>
      </c>
      <c r="AD19" s="17">
        <f t="shared" si="11"/>
        <v>0</v>
      </c>
      <c r="AE19" s="31">
        <f t="shared" si="11"/>
        <v>33</v>
      </c>
      <c r="AF19" s="31">
        <f t="shared" si="11"/>
        <v>73</v>
      </c>
    </row>
    <row r="20" spans="2:32" ht="23.1" customHeight="1" x14ac:dyDescent="0.25">
      <c r="B20" s="23" t="s">
        <v>47</v>
      </c>
      <c r="C20" s="49">
        <f>AVERAGE('25.10 MUTUKULA-MASAKA'!C20,'26.10 MUTUKULA-MASAKA-24HR'!C20,'27.10 Mutukula-Masaka'!C20,'28.10 MUTUKULA-MASAKA-24HR'!C20,'29.10 MUTUKULA-MASAKA'!C20,'30.10 MUTUKULA-MASAKA'!C20,'31.10.MUTUKULA-MASAKA'!C20)</f>
        <v>2.4285714285714284</v>
      </c>
      <c r="D20" s="49">
        <f>AVERAGE('25.10 MUTUKULA-MASAKA'!D20,'26.10 MUTUKULA-MASAKA-24HR'!D20,'27.10 Mutukula-Masaka'!D20,'28.10 MUTUKULA-MASAKA-24HR'!D20,'29.10 MUTUKULA-MASAKA'!D20,'30.10 MUTUKULA-MASAKA'!D20,'31.10.MUTUKULA-MASAKA'!D20)</f>
        <v>0.14285714285714285</v>
      </c>
      <c r="E20" s="49">
        <f>AVERAGE('25.10 MUTUKULA-MASAKA'!E20,'26.10 MUTUKULA-MASAKA-24HR'!E20,'27.10 Mutukula-Masaka'!E20,'28.10 MUTUKULA-MASAKA-24HR'!E20,'29.10 MUTUKULA-MASAKA'!E20,'30.10 MUTUKULA-MASAKA'!E20,'31.10.MUTUKULA-MASAKA'!E20)</f>
        <v>0.2857142857142857</v>
      </c>
      <c r="F20" s="49">
        <f>AVERAGE('25.10 MUTUKULA-MASAKA'!F20,'26.10 MUTUKULA-MASAKA-24HR'!F20,'27.10 Mutukula-Masaka'!F20,'28.10 MUTUKULA-MASAKA-24HR'!F20,'29.10 MUTUKULA-MASAKA'!F20,'30.10 MUTUKULA-MASAKA'!F20,'31.10.MUTUKULA-MASAKA'!F20)</f>
        <v>0.8571428571428571</v>
      </c>
      <c r="G20" s="49">
        <f>AVERAGE('25.10 MUTUKULA-MASAKA'!G20,'26.10 MUTUKULA-MASAKA-24HR'!G20,'27.10 Mutukula-Masaka'!G20,'28.10 MUTUKULA-MASAKA-24HR'!G20,'29.10 MUTUKULA-MASAKA'!G20,'30.10 MUTUKULA-MASAKA'!G20,'31.10.MUTUKULA-MASAKA'!G20)</f>
        <v>0</v>
      </c>
      <c r="H20" s="49">
        <f>AVERAGE('25.10 MUTUKULA-MASAKA'!H20,'26.10 MUTUKULA-MASAKA-24HR'!H20,'27.10 Mutukula-Masaka'!H20,'28.10 MUTUKULA-MASAKA-24HR'!H20,'29.10 MUTUKULA-MASAKA'!H20,'30.10 MUTUKULA-MASAKA'!H20,'31.10.MUTUKULA-MASAKA'!H20)</f>
        <v>0</v>
      </c>
      <c r="I20" s="49">
        <f>AVERAGE('25.10 MUTUKULA-MASAKA'!I20,'26.10 MUTUKULA-MASAKA-24HR'!I20,'27.10 Mutukula-Masaka'!I20,'28.10 MUTUKULA-MASAKA-24HR'!I20,'29.10 MUTUKULA-MASAKA'!I20,'30.10 MUTUKULA-MASAKA'!I20,'31.10.MUTUKULA-MASAKA'!I20)</f>
        <v>1.2857142857142858</v>
      </c>
      <c r="J20" s="49">
        <f>AVERAGE('25.10 MUTUKULA-MASAKA'!J20,'26.10 MUTUKULA-MASAKA-24HR'!J20,'27.10 Mutukula-Masaka'!J20,'28.10 MUTUKULA-MASAKA-24HR'!J20,'29.10 MUTUKULA-MASAKA'!J20,'30.10 MUTUKULA-MASAKA'!J20,'31.10.MUTUKULA-MASAKA'!J20)</f>
        <v>0.2857142857142857</v>
      </c>
      <c r="K20" s="49">
        <f>AVERAGE('25.10 MUTUKULA-MASAKA'!K20,'26.10 MUTUKULA-MASAKA-24HR'!K20,'27.10 Mutukula-Masaka'!K20,'28.10 MUTUKULA-MASAKA-24HR'!K20,'29.10 MUTUKULA-MASAKA'!K20,'30.10 MUTUKULA-MASAKA'!K20,'31.10.MUTUKULA-MASAKA'!K20)</f>
        <v>0.2857142857142857</v>
      </c>
      <c r="L20" s="49">
        <f>AVERAGE('25.10 MUTUKULA-MASAKA'!L20,'26.10 MUTUKULA-MASAKA-24HR'!L20,'27.10 Mutukula-Masaka'!L20,'28.10 MUTUKULA-MASAKA-24HR'!L20,'29.10 MUTUKULA-MASAKA'!L20,'30.10 MUTUKULA-MASAKA'!L20,'31.10.MUTUKULA-MASAKA'!L20)</f>
        <v>0.14285714285714285</v>
      </c>
      <c r="M20" s="49">
        <f>AVERAGE('25.10 MUTUKULA-MASAKA'!M20,'26.10 MUTUKULA-MASAKA-24HR'!M20,'27.10 Mutukula-Masaka'!M20,'28.10 MUTUKULA-MASAKA-24HR'!M20,'29.10 MUTUKULA-MASAKA'!M20,'30.10 MUTUKULA-MASAKA'!M20,'31.10.MUTUKULA-MASAKA'!M20)</f>
        <v>12</v>
      </c>
      <c r="N20" s="49">
        <f>AVERAGE('25.10 MUTUKULA-MASAKA'!N20,'26.10 MUTUKULA-MASAKA-24HR'!N20,'27.10 Mutukula-Masaka'!N20,'28.10 MUTUKULA-MASAKA-24HR'!N20,'29.10 MUTUKULA-MASAKA'!N20,'30.10 MUTUKULA-MASAKA'!N20,'31.10.MUTUKULA-MASAKA'!N20)</f>
        <v>0</v>
      </c>
      <c r="O20" s="15">
        <f t="shared" si="0"/>
        <v>5.7142857142857144</v>
      </c>
      <c r="P20" s="15">
        <f t="shared" si="1"/>
        <v>17.714285714285715</v>
      </c>
      <c r="R20" s="1" t="s">
        <v>16</v>
      </c>
      <c r="S20" s="17">
        <f t="shared" ref="S20:AF20" si="12">SUM(C50:C53)</f>
        <v>10.428571428571427</v>
      </c>
      <c r="T20" s="17">
        <f t="shared" si="12"/>
        <v>2.1428571428571428</v>
      </c>
      <c r="U20" s="17">
        <f t="shared" si="12"/>
        <v>0.71428571428571419</v>
      </c>
      <c r="V20" s="17">
        <f t="shared" si="12"/>
        <v>4.7142857142857144</v>
      </c>
      <c r="W20" s="17">
        <f t="shared" si="12"/>
        <v>0</v>
      </c>
      <c r="X20" s="17">
        <f t="shared" si="12"/>
        <v>0.5714285714285714</v>
      </c>
      <c r="Y20" s="17">
        <f t="shared" si="12"/>
        <v>4.2857142857142856</v>
      </c>
      <c r="Z20" s="17">
        <f t="shared" si="12"/>
        <v>6.5714285714285721</v>
      </c>
      <c r="AA20" s="17">
        <f t="shared" si="12"/>
        <v>4.1428571428571432</v>
      </c>
      <c r="AB20" s="17">
        <f t="shared" si="12"/>
        <v>0.71428571428571419</v>
      </c>
      <c r="AC20" s="17">
        <f t="shared" si="12"/>
        <v>49</v>
      </c>
      <c r="AD20" s="17">
        <f t="shared" si="12"/>
        <v>0.14285714285714285</v>
      </c>
      <c r="AE20" s="31">
        <f t="shared" si="12"/>
        <v>34.428571428571431</v>
      </c>
      <c r="AF20" s="31">
        <f t="shared" si="12"/>
        <v>83.428571428571416</v>
      </c>
    </row>
    <row r="21" spans="2:32" ht="23.1" customHeight="1" x14ac:dyDescent="0.25">
      <c r="B21" s="23" t="s">
        <v>48</v>
      </c>
      <c r="C21" s="49">
        <f>AVERAGE('25.10 MUTUKULA-MASAKA'!C21,'26.10 MUTUKULA-MASAKA-24HR'!C21,'27.10 Mutukula-Masaka'!C21,'28.10 MUTUKULA-MASAKA-24HR'!C21,'29.10 MUTUKULA-MASAKA'!C21,'30.10 MUTUKULA-MASAKA'!C21,'31.10.MUTUKULA-MASAKA'!C21)</f>
        <v>2.8571428571428572</v>
      </c>
      <c r="D21" s="49">
        <f>AVERAGE('25.10 MUTUKULA-MASAKA'!D21,'26.10 MUTUKULA-MASAKA-24HR'!D21,'27.10 Mutukula-Masaka'!D21,'28.10 MUTUKULA-MASAKA-24HR'!D21,'29.10 MUTUKULA-MASAKA'!D21,'30.10 MUTUKULA-MASAKA'!D21,'31.10.MUTUKULA-MASAKA'!D21)</f>
        <v>0.14285714285714285</v>
      </c>
      <c r="E21" s="49">
        <f>AVERAGE('25.10 MUTUKULA-MASAKA'!E21,'26.10 MUTUKULA-MASAKA-24HR'!E21,'27.10 Mutukula-Masaka'!E21,'28.10 MUTUKULA-MASAKA-24HR'!E21,'29.10 MUTUKULA-MASAKA'!E21,'30.10 MUTUKULA-MASAKA'!E21,'31.10.MUTUKULA-MASAKA'!E21)</f>
        <v>0</v>
      </c>
      <c r="F21" s="49">
        <f>AVERAGE('25.10 MUTUKULA-MASAKA'!F21,'26.10 MUTUKULA-MASAKA-24HR'!F21,'27.10 Mutukula-Masaka'!F21,'28.10 MUTUKULA-MASAKA-24HR'!F21,'29.10 MUTUKULA-MASAKA'!F21,'30.10 MUTUKULA-MASAKA'!F21,'31.10.MUTUKULA-MASAKA'!F21)</f>
        <v>0.5714285714285714</v>
      </c>
      <c r="G21" s="49">
        <f>AVERAGE('25.10 MUTUKULA-MASAKA'!G21,'26.10 MUTUKULA-MASAKA-24HR'!G21,'27.10 Mutukula-Masaka'!G21,'28.10 MUTUKULA-MASAKA-24HR'!G21,'29.10 MUTUKULA-MASAKA'!G21,'30.10 MUTUKULA-MASAKA'!G21,'31.10.MUTUKULA-MASAKA'!G21)</f>
        <v>0</v>
      </c>
      <c r="H21" s="49">
        <f>AVERAGE('25.10 MUTUKULA-MASAKA'!H21,'26.10 MUTUKULA-MASAKA-24HR'!H21,'27.10 Mutukula-Masaka'!H21,'28.10 MUTUKULA-MASAKA-24HR'!H21,'29.10 MUTUKULA-MASAKA'!H21,'30.10 MUTUKULA-MASAKA'!H21,'31.10.MUTUKULA-MASAKA'!H21)</f>
        <v>0</v>
      </c>
      <c r="I21" s="49">
        <f>AVERAGE('25.10 MUTUKULA-MASAKA'!I21,'26.10 MUTUKULA-MASAKA-24HR'!I21,'27.10 Mutukula-Masaka'!I21,'28.10 MUTUKULA-MASAKA-24HR'!I21,'29.10 MUTUKULA-MASAKA'!I21,'30.10 MUTUKULA-MASAKA'!I21,'31.10.MUTUKULA-MASAKA'!I21)</f>
        <v>0.5714285714285714</v>
      </c>
      <c r="J21" s="49">
        <f>AVERAGE('25.10 MUTUKULA-MASAKA'!J21,'26.10 MUTUKULA-MASAKA-24HR'!J21,'27.10 Mutukula-Masaka'!J21,'28.10 MUTUKULA-MASAKA-24HR'!J21,'29.10 MUTUKULA-MASAKA'!J21,'30.10 MUTUKULA-MASAKA'!J21,'31.10.MUTUKULA-MASAKA'!J21)</f>
        <v>0.14285714285714285</v>
      </c>
      <c r="K21" s="49">
        <f>AVERAGE('25.10 MUTUKULA-MASAKA'!K21,'26.10 MUTUKULA-MASAKA-24HR'!K21,'27.10 Mutukula-Masaka'!K21,'28.10 MUTUKULA-MASAKA-24HR'!K21,'29.10 MUTUKULA-MASAKA'!K21,'30.10 MUTUKULA-MASAKA'!K21,'31.10.MUTUKULA-MASAKA'!K21)</f>
        <v>0.2857142857142857</v>
      </c>
      <c r="L21" s="49">
        <f>AVERAGE('25.10 MUTUKULA-MASAKA'!L21,'26.10 MUTUKULA-MASAKA-24HR'!L21,'27.10 Mutukula-Masaka'!L21,'28.10 MUTUKULA-MASAKA-24HR'!L21,'29.10 MUTUKULA-MASAKA'!L21,'30.10 MUTUKULA-MASAKA'!L21,'31.10.MUTUKULA-MASAKA'!L21)</f>
        <v>0</v>
      </c>
      <c r="M21" s="49">
        <f>AVERAGE('25.10 MUTUKULA-MASAKA'!M21,'26.10 MUTUKULA-MASAKA-24HR'!M21,'27.10 Mutukula-Masaka'!M21,'28.10 MUTUKULA-MASAKA-24HR'!M21,'29.10 MUTUKULA-MASAKA'!M21,'30.10 MUTUKULA-MASAKA'!M21,'31.10.MUTUKULA-MASAKA'!M21)</f>
        <v>11.428571428571429</v>
      </c>
      <c r="N21" s="49">
        <f>AVERAGE('25.10 MUTUKULA-MASAKA'!N21,'26.10 MUTUKULA-MASAKA-24HR'!N21,'27.10 Mutukula-Masaka'!N21,'28.10 MUTUKULA-MASAKA-24HR'!N21,'29.10 MUTUKULA-MASAKA'!N21,'30.10 MUTUKULA-MASAKA'!N21,'31.10.MUTUKULA-MASAKA'!N21)</f>
        <v>0</v>
      </c>
      <c r="O21" s="15">
        <f t="shared" si="0"/>
        <v>4.5714285714285712</v>
      </c>
      <c r="P21" s="15">
        <f t="shared" si="1"/>
        <v>16</v>
      </c>
      <c r="R21" s="36" t="s">
        <v>20</v>
      </c>
      <c r="S21" s="34">
        <f t="shared" ref="S21:AF21" si="13">SUM(C54:C57)</f>
        <v>10.571428571428571</v>
      </c>
      <c r="T21" s="17">
        <f t="shared" si="13"/>
        <v>2.2857142857142856</v>
      </c>
      <c r="U21" s="17">
        <f t="shared" si="13"/>
        <v>0.5714285714285714</v>
      </c>
      <c r="V21" s="17">
        <f t="shared" si="13"/>
        <v>5.2857142857142856</v>
      </c>
      <c r="W21" s="17">
        <f t="shared" si="13"/>
        <v>0</v>
      </c>
      <c r="X21" s="17">
        <f t="shared" si="13"/>
        <v>0</v>
      </c>
      <c r="Y21" s="17">
        <f t="shared" si="13"/>
        <v>2.4285714285714284</v>
      </c>
      <c r="Z21" s="17">
        <f t="shared" si="13"/>
        <v>5.1428571428571432</v>
      </c>
      <c r="AA21" s="17">
        <f t="shared" si="13"/>
        <v>3.5714285714285712</v>
      </c>
      <c r="AB21" s="17">
        <f t="shared" si="13"/>
        <v>1</v>
      </c>
      <c r="AC21" s="17">
        <f t="shared" si="13"/>
        <v>50.285714285714285</v>
      </c>
      <c r="AD21" s="17">
        <f t="shared" si="13"/>
        <v>0</v>
      </c>
      <c r="AE21" s="31">
        <f t="shared" si="13"/>
        <v>30.857142857142858</v>
      </c>
      <c r="AF21" s="31">
        <f t="shared" si="13"/>
        <v>81.142857142857139</v>
      </c>
    </row>
    <row r="22" spans="2:32" ht="23.1" customHeight="1" x14ac:dyDescent="0.25">
      <c r="B22" s="23" t="s">
        <v>49</v>
      </c>
      <c r="C22" s="49">
        <f>AVERAGE('25.10 MUTUKULA-MASAKA'!C22,'26.10 MUTUKULA-MASAKA-24HR'!C22,'27.10 Mutukula-Masaka'!C22,'28.10 MUTUKULA-MASAKA-24HR'!C22,'29.10 MUTUKULA-MASAKA'!C22,'30.10 MUTUKULA-MASAKA'!C22,'31.10.MUTUKULA-MASAKA'!C22)</f>
        <v>1.7142857142857142</v>
      </c>
      <c r="D22" s="49">
        <f>AVERAGE('25.10 MUTUKULA-MASAKA'!D22,'26.10 MUTUKULA-MASAKA-24HR'!D22,'27.10 Mutukula-Masaka'!D22,'28.10 MUTUKULA-MASAKA-24HR'!D22,'29.10 MUTUKULA-MASAKA'!D22,'30.10 MUTUKULA-MASAKA'!D22,'31.10.MUTUKULA-MASAKA'!D22)</f>
        <v>0.2857142857142857</v>
      </c>
      <c r="E22" s="49">
        <f>AVERAGE('25.10 MUTUKULA-MASAKA'!E22,'26.10 MUTUKULA-MASAKA-24HR'!E22,'27.10 Mutukula-Masaka'!E22,'28.10 MUTUKULA-MASAKA-24HR'!E22,'29.10 MUTUKULA-MASAKA'!E22,'30.10 MUTUKULA-MASAKA'!E22,'31.10.MUTUKULA-MASAKA'!E22)</f>
        <v>0.14285714285714285</v>
      </c>
      <c r="F22" s="49">
        <f>AVERAGE('25.10 MUTUKULA-MASAKA'!F22,'26.10 MUTUKULA-MASAKA-24HR'!F22,'27.10 Mutukula-Masaka'!F22,'28.10 MUTUKULA-MASAKA-24HR'!F22,'29.10 MUTUKULA-MASAKA'!F22,'30.10 MUTUKULA-MASAKA'!F22,'31.10.MUTUKULA-MASAKA'!F22)</f>
        <v>0.5714285714285714</v>
      </c>
      <c r="G22" s="49">
        <f>AVERAGE('25.10 MUTUKULA-MASAKA'!G22,'26.10 MUTUKULA-MASAKA-24HR'!G22,'27.10 Mutukula-Masaka'!G22,'28.10 MUTUKULA-MASAKA-24HR'!G22,'29.10 MUTUKULA-MASAKA'!G22,'30.10 MUTUKULA-MASAKA'!G22,'31.10.MUTUKULA-MASAKA'!G22)</f>
        <v>0</v>
      </c>
      <c r="H22" s="49">
        <f>AVERAGE('25.10 MUTUKULA-MASAKA'!H22,'26.10 MUTUKULA-MASAKA-24HR'!H22,'27.10 Mutukula-Masaka'!H22,'28.10 MUTUKULA-MASAKA-24HR'!H22,'29.10 MUTUKULA-MASAKA'!H22,'30.10 MUTUKULA-MASAKA'!H22,'31.10.MUTUKULA-MASAKA'!H22)</f>
        <v>0</v>
      </c>
      <c r="I22" s="49">
        <f>AVERAGE('25.10 MUTUKULA-MASAKA'!I22,'26.10 MUTUKULA-MASAKA-24HR'!I22,'27.10 Mutukula-Masaka'!I22,'28.10 MUTUKULA-MASAKA-24HR'!I22,'29.10 MUTUKULA-MASAKA'!I22,'30.10 MUTUKULA-MASAKA'!I22,'31.10.MUTUKULA-MASAKA'!I22)</f>
        <v>0.8571428571428571</v>
      </c>
      <c r="J22" s="49">
        <f>AVERAGE('25.10 MUTUKULA-MASAKA'!J22,'26.10 MUTUKULA-MASAKA-24HR'!J22,'27.10 Mutukula-Masaka'!J22,'28.10 MUTUKULA-MASAKA-24HR'!J22,'29.10 MUTUKULA-MASAKA'!J22,'30.10 MUTUKULA-MASAKA'!J22,'31.10.MUTUKULA-MASAKA'!J22)</f>
        <v>0.14285714285714285</v>
      </c>
      <c r="K22" s="49">
        <f>AVERAGE('25.10 MUTUKULA-MASAKA'!K22,'26.10 MUTUKULA-MASAKA-24HR'!K22,'27.10 Mutukula-Masaka'!K22,'28.10 MUTUKULA-MASAKA-24HR'!K22,'29.10 MUTUKULA-MASAKA'!K22,'30.10 MUTUKULA-MASAKA'!K22,'31.10.MUTUKULA-MASAKA'!K22)</f>
        <v>0.42857142857142855</v>
      </c>
      <c r="L22" s="49">
        <f>AVERAGE('25.10 MUTUKULA-MASAKA'!L22,'26.10 MUTUKULA-MASAKA-24HR'!L22,'27.10 Mutukula-Masaka'!L22,'28.10 MUTUKULA-MASAKA-24HR'!L22,'29.10 MUTUKULA-MASAKA'!L22,'30.10 MUTUKULA-MASAKA'!L22,'31.10.MUTUKULA-MASAKA'!L22)</f>
        <v>0</v>
      </c>
      <c r="M22" s="49">
        <f>AVERAGE('25.10 MUTUKULA-MASAKA'!M22,'26.10 MUTUKULA-MASAKA-24HR'!M22,'27.10 Mutukula-Masaka'!M22,'28.10 MUTUKULA-MASAKA-24HR'!M22,'29.10 MUTUKULA-MASAKA'!M22,'30.10 MUTUKULA-MASAKA'!M22,'31.10.MUTUKULA-MASAKA'!M22)</f>
        <v>6</v>
      </c>
      <c r="N22" s="49">
        <f>AVERAGE('25.10 MUTUKULA-MASAKA'!N22,'26.10 MUTUKULA-MASAKA-24HR'!N22,'27.10 Mutukula-Masaka'!N22,'28.10 MUTUKULA-MASAKA-24HR'!N22,'29.10 MUTUKULA-MASAKA'!N22,'30.10 MUTUKULA-MASAKA'!N22,'31.10.MUTUKULA-MASAKA'!N22)</f>
        <v>0</v>
      </c>
      <c r="O22" s="15">
        <f t="shared" si="0"/>
        <v>4.1428571428571432</v>
      </c>
      <c r="P22" s="15">
        <f t="shared" si="1"/>
        <v>10.142857142857142</v>
      </c>
      <c r="R22" s="1" t="s">
        <v>146</v>
      </c>
      <c r="S22" s="34">
        <f>SUM(C58:C61)</f>
        <v>10.5</v>
      </c>
      <c r="T22" s="34">
        <f t="shared" ref="T22:AF22" si="14">SUM(D58:D61)</f>
        <v>6</v>
      </c>
      <c r="U22" s="34">
        <f t="shared" si="14"/>
        <v>0</v>
      </c>
      <c r="V22" s="34">
        <f t="shared" si="14"/>
        <v>5</v>
      </c>
      <c r="W22" s="34">
        <f t="shared" si="14"/>
        <v>0</v>
      </c>
      <c r="X22" s="34">
        <f t="shared" si="14"/>
        <v>0</v>
      </c>
      <c r="Y22" s="34">
        <f t="shared" si="14"/>
        <v>4.5</v>
      </c>
      <c r="Z22" s="34">
        <f t="shared" si="14"/>
        <v>4.5</v>
      </c>
      <c r="AA22" s="34">
        <f t="shared" si="14"/>
        <v>5.5</v>
      </c>
      <c r="AB22" s="34">
        <f t="shared" si="14"/>
        <v>0</v>
      </c>
      <c r="AC22" s="34">
        <f t="shared" si="14"/>
        <v>81.5</v>
      </c>
      <c r="AD22" s="34">
        <f t="shared" si="14"/>
        <v>0</v>
      </c>
      <c r="AE22" s="31">
        <f t="shared" si="14"/>
        <v>36</v>
      </c>
      <c r="AF22" s="31">
        <f t="shared" si="14"/>
        <v>117.5</v>
      </c>
    </row>
    <row r="23" spans="2:32" ht="23.1" customHeight="1" x14ac:dyDescent="0.25">
      <c r="B23" s="23" t="s">
        <v>50</v>
      </c>
      <c r="C23" s="49">
        <f>AVERAGE('25.10 MUTUKULA-MASAKA'!C23,'26.10 MUTUKULA-MASAKA-24HR'!C23,'27.10 Mutukula-Masaka'!C23,'28.10 MUTUKULA-MASAKA-24HR'!C23,'29.10 MUTUKULA-MASAKA'!C23,'30.10 MUTUKULA-MASAKA'!C23,'31.10.MUTUKULA-MASAKA'!C23)</f>
        <v>1.5714285714285714</v>
      </c>
      <c r="D23" s="49">
        <f>AVERAGE('25.10 MUTUKULA-MASAKA'!D23,'26.10 MUTUKULA-MASAKA-24HR'!D23,'27.10 Mutukula-Masaka'!D23,'28.10 MUTUKULA-MASAKA-24HR'!D23,'29.10 MUTUKULA-MASAKA'!D23,'30.10 MUTUKULA-MASAKA'!D23,'31.10.MUTUKULA-MASAKA'!D23)</f>
        <v>0.5714285714285714</v>
      </c>
      <c r="E23" s="49">
        <f>AVERAGE('25.10 MUTUKULA-MASAKA'!E23,'26.10 MUTUKULA-MASAKA-24HR'!E23,'27.10 Mutukula-Masaka'!E23,'28.10 MUTUKULA-MASAKA-24HR'!E23,'29.10 MUTUKULA-MASAKA'!E23,'30.10 MUTUKULA-MASAKA'!E23,'31.10.MUTUKULA-MASAKA'!E23)</f>
        <v>0.14285714285714285</v>
      </c>
      <c r="F23" s="49">
        <f>AVERAGE('25.10 MUTUKULA-MASAKA'!F23,'26.10 MUTUKULA-MASAKA-24HR'!F23,'27.10 Mutukula-Masaka'!F23,'28.10 MUTUKULA-MASAKA-24HR'!F23,'29.10 MUTUKULA-MASAKA'!F23,'30.10 MUTUKULA-MASAKA'!F23,'31.10.MUTUKULA-MASAKA'!F23)</f>
        <v>0.42857142857142855</v>
      </c>
      <c r="G23" s="49">
        <f>AVERAGE('25.10 MUTUKULA-MASAKA'!G23,'26.10 MUTUKULA-MASAKA-24HR'!G23,'27.10 Mutukula-Masaka'!G23,'28.10 MUTUKULA-MASAKA-24HR'!G23,'29.10 MUTUKULA-MASAKA'!G23,'30.10 MUTUKULA-MASAKA'!G23,'31.10.MUTUKULA-MASAKA'!G23)</f>
        <v>0</v>
      </c>
      <c r="H23" s="49">
        <f>AVERAGE('25.10 MUTUKULA-MASAKA'!H23,'26.10 MUTUKULA-MASAKA-24HR'!H23,'27.10 Mutukula-Masaka'!H23,'28.10 MUTUKULA-MASAKA-24HR'!H23,'29.10 MUTUKULA-MASAKA'!H23,'30.10 MUTUKULA-MASAKA'!H23,'31.10.MUTUKULA-MASAKA'!H23)</f>
        <v>0</v>
      </c>
      <c r="I23" s="49">
        <f>AVERAGE('25.10 MUTUKULA-MASAKA'!I23,'26.10 MUTUKULA-MASAKA-24HR'!I23,'27.10 Mutukula-Masaka'!I23,'28.10 MUTUKULA-MASAKA-24HR'!I23,'29.10 MUTUKULA-MASAKA'!I23,'30.10 MUTUKULA-MASAKA'!I23,'31.10.MUTUKULA-MASAKA'!I23)</f>
        <v>0.7142857142857143</v>
      </c>
      <c r="J23" s="49">
        <f>AVERAGE('25.10 MUTUKULA-MASAKA'!J23,'26.10 MUTUKULA-MASAKA-24HR'!J23,'27.10 Mutukula-Masaka'!J23,'28.10 MUTUKULA-MASAKA-24HR'!J23,'29.10 MUTUKULA-MASAKA'!J23,'30.10 MUTUKULA-MASAKA'!J23,'31.10.MUTUKULA-MASAKA'!J23)</f>
        <v>0.2857142857142857</v>
      </c>
      <c r="K23" s="49">
        <f>AVERAGE('25.10 MUTUKULA-MASAKA'!K23,'26.10 MUTUKULA-MASAKA-24HR'!K23,'27.10 Mutukula-Masaka'!K23,'28.10 MUTUKULA-MASAKA-24HR'!K23,'29.10 MUTUKULA-MASAKA'!K23,'30.10 MUTUKULA-MASAKA'!K23,'31.10.MUTUKULA-MASAKA'!K23)</f>
        <v>0.2857142857142857</v>
      </c>
      <c r="L23" s="49">
        <f>AVERAGE('25.10 MUTUKULA-MASAKA'!L23,'26.10 MUTUKULA-MASAKA-24HR'!L23,'27.10 Mutukula-Masaka'!L23,'28.10 MUTUKULA-MASAKA-24HR'!L23,'29.10 MUTUKULA-MASAKA'!L23,'30.10 MUTUKULA-MASAKA'!L23,'31.10.MUTUKULA-MASAKA'!L23)</f>
        <v>0</v>
      </c>
      <c r="M23" s="49">
        <f>AVERAGE('25.10 MUTUKULA-MASAKA'!M23,'26.10 MUTUKULA-MASAKA-24HR'!M23,'27.10 Mutukula-Masaka'!M23,'28.10 MUTUKULA-MASAKA-24HR'!M23,'29.10 MUTUKULA-MASAKA'!M23,'30.10 MUTUKULA-MASAKA'!M23,'31.10.MUTUKULA-MASAKA'!M23)</f>
        <v>7.1428571428571432</v>
      </c>
      <c r="N23" s="49">
        <f>AVERAGE('25.10 MUTUKULA-MASAKA'!N23,'26.10 MUTUKULA-MASAKA-24HR'!N23,'27.10 Mutukula-Masaka'!N23,'28.10 MUTUKULA-MASAKA-24HR'!N23,'29.10 MUTUKULA-MASAKA'!N23,'30.10 MUTUKULA-MASAKA'!N23,'31.10.MUTUKULA-MASAKA'!N23)</f>
        <v>0</v>
      </c>
      <c r="O23" s="15">
        <f t="shared" si="0"/>
        <v>3.9999999999999996</v>
      </c>
      <c r="P23" s="15">
        <f t="shared" si="1"/>
        <v>11.142857142857142</v>
      </c>
      <c r="R23" s="1" t="s">
        <v>147</v>
      </c>
      <c r="S23" s="34">
        <f>SUM(C62:C65)</f>
        <v>15</v>
      </c>
      <c r="T23" s="34">
        <f t="shared" ref="T23:AF23" si="15">SUM(D62:D65)</f>
        <v>3.5</v>
      </c>
      <c r="U23" s="34">
        <f t="shared" si="15"/>
        <v>0.5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2.5</v>
      </c>
      <c r="Z23" s="34">
        <f t="shared" si="15"/>
        <v>11</v>
      </c>
      <c r="AA23" s="34">
        <f t="shared" si="15"/>
        <v>5</v>
      </c>
      <c r="AB23" s="34">
        <f t="shared" si="15"/>
        <v>0</v>
      </c>
      <c r="AC23" s="34">
        <f t="shared" si="15"/>
        <v>43.5</v>
      </c>
      <c r="AD23" s="34">
        <f t="shared" si="15"/>
        <v>0</v>
      </c>
      <c r="AE23" s="31">
        <f t="shared" si="15"/>
        <v>39.5</v>
      </c>
      <c r="AF23" s="31">
        <f t="shared" si="15"/>
        <v>83</v>
      </c>
    </row>
    <row r="24" spans="2:32" ht="23.1" customHeight="1" x14ac:dyDescent="0.25">
      <c r="B24" s="23" t="s">
        <v>51</v>
      </c>
      <c r="C24" s="49">
        <f>AVERAGE('25.10 MUTUKULA-MASAKA'!C24,'26.10 MUTUKULA-MASAKA-24HR'!C24,'27.10 Mutukula-Masaka'!C24,'28.10 MUTUKULA-MASAKA-24HR'!C24,'29.10 MUTUKULA-MASAKA'!C24,'30.10 MUTUKULA-MASAKA'!C24,'31.10.MUTUKULA-MASAKA'!C24)</f>
        <v>2.2857142857142856</v>
      </c>
      <c r="D24" s="49">
        <f>AVERAGE('25.10 MUTUKULA-MASAKA'!D24,'26.10 MUTUKULA-MASAKA-24HR'!D24,'27.10 Mutukula-Masaka'!D24,'28.10 MUTUKULA-MASAKA-24HR'!D24,'29.10 MUTUKULA-MASAKA'!D24,'30.10 MUTUKULA-MASAKA'!D24,'31.10.MUTUKULA-MASAKA'!D24)</f>
        <v>0.2857142857142857</v>
      </c>
      <c r="E24" s="49">
        <f>AVERAGE('25.10 MUTUKULA-MASAKA'!E24,'26.10 MUTUKULA-MASAKA-24HR'!E24,'27.10 Mutukula-Masaka'!E24,'28.10 MUTUKULA-MASAKA-24HR'!E24,'29.10 MUTUKULA-MASAKA'!E24,'30.10 MUTUKULA-MASAKA'!E24,'31.10.MUTUKULA-MASAKA'!E24)</f>
        <v>0</v>
      </c>
      <c r="F24" s="49">
        <f>AVERAGE('25.10 MUTUKULA-MASAKA'!F24,'26.10 MUTUKULA-MASAKA-24HR'!F24,'27.10 Mutukula-Masaka'!F24,'28.10 MUTUKULA-MASAKA-24HR'!F24,'29.10 MUTUKULA-MASAKA'!F24,'30.10 MUTUKULA-MASAKA'!F24,'31.10.MUTUKULA-MASAKA'!F24)</f>
        <v>1</v>
      </c>
      <c r="G24" s="49">
        <f>AVERAGE('25.10 MUTUKULA-MASAKA'!G24,'26.10 MUTUKULA-MASAKA-24HR'!G24,'27.10 Mutukula-Masaka'!G24,'28.10 MUTUKULA-MASAKA-24HR'!G24,'29.10 MUTUKULA-MASAKA'!G24,'30.10 MUTUKULA-MASAKA'!G24,'31.10.MUTUKULA-MASAKA'!G24)</f>
        <v>0</v>
      </c>
      <c r="H24" s="49">
        <f>AVERAGE('25.10 MUTUKULA-MASAKA'!H24,'26.10 MUTUKULA-MASAKA-24HR'!H24,'27.10 Mutukula-Masaka'!H24,'28.10 MUTUKULA-MASAKA-24HR'!H24,'29.10 MUTUKULA-MASAKA'!H24,'30.10 MUTUKULA-MASAKA'!H24,'31.10.MUTUKULA-MASAKA'!H24)</f>
        <v>0</v>
      </c>
      <c r="I24" s="49">
        <f>AVERAGE('25.10 MUTUKULA-MASAKA'!I24,'26.10 MUTUKULA-MASAKA-24HR'!I24,'27.10 Mutukula-Masaka'!I24,'28.10 MUTUKULA-MASAKA-24HR'!I24,'29.10 MUTUKULA-MASAKA'!I24,'30.10 MUTUKULA-MASAKA'!I24,'31.10.MUTUKULA-MASAKA'!I24)</f>
        <v>0.14285714285714285</v>
      </c>
      <c r="J24" s="49">
        <f>AVERAGE('25.10 MUTUKULA-MASAKA'!J24,'26.10 MUTUKULA-MASAKA-24HR'!J24,'27.10 Mutukula-Masaka'!J24,'28.10 MUTUKULA-MASAKA-24HR'!J24,'29.10 MUTUKULA-MASAKA'!J24,'30.10 MUTUKULA-MASAKA'!J24,'31.10.MUTUKULA-MASAKA'!J24)</f>
        <v>0.7142857142857143</v>
      </c>
      <c r="K24" s="49">
        <f>AVERAGE('25.10 MUTUKULA-MASAKA'!K24,'26.10 MUTUKULA-MASAKA-24HR'!K24,'27.10 Mutukula-Masaka'!K24,'28.10 MUTUKULA-MASAKA-24HR'!K24,'29.10 MUTUKULA-MASAKA'!K24,'30.10 MUTUKULA-MASAKA'!K24,'31.10.MUTUKULA-MASAKA'!K24)</f>
        <v>0.42857142857142855</v>
      </c>
      <c r="L24" s="49">
        <f>AVERAGE('25.10 MUTUKULA-MASAKA'!L24,'26.10 MUTUKULA-MASAKA-24HR'!L24,'27.10 Mutukula-Masaka'!L24,'28.10 MUTUKULA-MASAKA-24HR'!L24,'29.10 MUTUKULA-MASAKA'!L24,'30.10 MUTUKULA-MASAKA'!L24,'31.10.MUTUKULA-MASAKA'!L24)</f>
        <v>0.14285714285714285</v>
      </c>
      <c r="M24" s="49">
        <f>AVERAGE('25.10 MUTUKULA-MASAKA'!M24,'26.10 MUTUKULA-MASAKA-24HR'!M24,'27.10 Mutukula-Masaka'!M24,'28.10 MUTUKULA-MASAKA-24HR'!M24,'29.10 MUTUKULA-MASAKA'!M24,'30.10 MUTUKULA-MASAKA'!M24,'31.10.MUTUKULA-MASAKA'!M24)</f>
        <v>8.2857142857142865</v>
      </c>
      <c r="N24" s="49">
        <f>AVERAGE('25.10 MUTUKULA-MASAKA'!N24,'26.10 MUTUKULA-MASAKA-24HR'!N24,'27.10 Mutukula-Masaka'!N24,'28.10 MUTUKULA-MASAKA-24HR'!N24,'29.10 MUTUKULA-MASAKA'!N24,'30.10 MUTUKULA-MASAKA'!N24,'31.10.MUTUKULA-MASAKA'!N24)</f>
        <v>0</v>
      </c>
      <c r="O24" s="15">
        <f t="shared" si="0"/>
        <v>5</v>
      </c>
      <c r="P24" s="15">
        <f t="shared" si="1"/>
        <v>13.285714285714286</v>
      </c>
      <c r="R24" s="1" t="s">
        <v>148</v>
      </c>
      <c r="S24" s="34">
        <f>SUM(C66:C69)</f>
        <v>10.5</v>
      </c>
      <c r="T24" s="34">
        <f t="shared" ref="T24:AF24" si="16">SUM(D66:D69)</f>
        <v>2.5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0.5</v>
      </c>
      <c r="Y24" s="34">
        <f t="shared" si="16"/>
        <v>1</v>
      </c>
      <c r="Z24" s="34">
        <f t="shared" si="16"/>
        <v>7.5</v>
      </c>
      <c r="AA24" s="34">
        <f t="shared" si="16"/>
        <v>2</v>
      </c>
      <c r="AB24" s="34">
        <f t="shared" si="16"/>
        <v>0</v>
      </c>
      <c r="AC24" s="34">
        <f t="shared" si="16"/>
        <v>36</v>
      </c>
      <c r="AD24" s="34">
        <f t="shared" si="16"/>
        <v>0</v>
      </c>
      <c r="AE24" s="31">
        <f t="shared" si="16"/>
        <v>25</v>
      </c>
      <c r="AF24" s="31">
        <f t="shared" si="16"/>
        <v>61</v>
      </c>
    </row>
    <row r="25" spans="2:32" ht="23.1" customHeight="1" x14ac:dyDescent="0.25">
      <c r="B25" s="23" t="s">
        <v>52</v>
      </c>
      <c r="C25" s="49">
        <f>AVERAGE('25.10 MUTUKULA-MASAKA'!C25,'26.10 MUTUKULA-MASAKA-24HR'!C25,'27.10 Mutukula-Masaka'!C25,'28.10 MUTUKULA-MASAKA-24HR'!C25,'29.10 MUTUKULA-MASAKA'!C25,'30.10 MUTUKULA-MASAKA'!C25,'31.10.MUTUKULA-MASAKA'!C25)</f>
        <v>1.8571428571428572</v>
      </c>
      <c r="D25" s="49">
        <f>AVERAGE('25.10 MUTUKULA-MASAKA'!D25,'26.10 MUTUKULA-MASAKA-24HR'!D25,'27.10 Mutukula-Masaka'!D25,'28.10 MUTUKULA-MASAKA-24HR'!D25,'29.10 MUTUKULA-MASAKA'!D25,'30.10 MUTUKULA-MASAKA'!D25,'31.10.MUTUKULA-MASAKA'!D25)</f>
        <v>0.8571428571428571</v>
      </c>
      <c r="E25" s="49">
        <f>AVERAGE('25.10 MUTUKULA-MASAKA'!E25,'26.10 MUTUKULA-MASAKA-24HR'!E25,'27.10 Mutukula-Masaka'!E25,'28.10 MUTUKULA-MASAKA-24HR'!E25,'29.10 MUTUKULA-MASAKA'!E25,'30.10 MUTUKULA-MASAKA'!E25,'31.10.MUTUKULA-MASAKA'!E25)</f>
        <v>0.2857142857142857</v>
      </c>
      <c r="F25" s="49">
        <f>AVERAGE('25.10 MUTUKULA-MASAKA'!F25,'26.10 MUTUKULA-MASAKA-24HR'!F25,'27.10 Mutukula-Masaka'!F25,'28.10 MUTUKULA-MASAKA-24HR'!F25,'29.10 MUTUKULA-MASAKA'!F25,'30.10 MUTUKULA-MASAKA'!F25,'31.10.MUTUKULA-MASAKA'!F25)</f>
        <v>0.8571428571428571</v>
      </c>
      <c r="G25" s="49">
        <f>AVERAGE('25.10 MUTUKULA-MASAKA'!G25,'26.10 MUTUKULA-MASAKA-24HR'!G25,'27.10 Mutukula-Masaka'!G25,'28.10 MUTUKULA-MASAKA-24HR'!G25,'29.10 MUTUKULA-MASAKA'!G25,'30.10 MUTUKULA-MASAKA'!G25,'31.10.MUTUKULA-MASAKA'!G25)</f>
        <v>0</v>
      </c>
      <c r="H25" s="49">
        <f>AVERAGE('25.10 MUTUKULA-MASAKA'!H25,'26.10 MUTUKULA-MASAKA-24HR'!H25,'27.10 Mutukula-Masaka'!H25,'28.10 MUTUKULA-MASAKA-24HR'!H25,'29.10 MUTUKULA-MASAKA'!H25,'30.10 MUTUKULA-MASAKA'!H25,'31.10.MUTUKULA-MASAKA'!H25)</f>
        <v>0</v>
      </c>
      <c r="I25" s="49">
        <f>AVERAGE('25.10 MUTUKULA-MASAKA'!I25,'26.10 MUTUKULA-MASAKA-24HR'!I25,'27.10 Mutukula-Masaka'!I25,'28.10 MUTUKULA-MASAKA-24HR'!I25,'29.10 MUTUKULA-MASAKA'!I25,'30.10 MUTUKULA-MASAKA'!I25,'31.10.MUTUKULA-MASAKA'!I25)</f>
        <v>0.7142857142857143</v>
      </c>
      <c r="J25" s="49">
        <f>AVERAGE('25.10 MUTUKULA-MASAKA'!J25,'26.10 MUTUKULA-MASAKA-24HR'!J25,'27.10 Mutukula-Masaka'!J25,'28.10 MUTUKULA-MASAKA-24HR'!J25,'29.10 MUTUKULA-MASAKA'!J25,'30.10 MUTUKULA-MASAKA'!J25,'31.10.MUTUKULA-MASAKA'!J25)</f>
        <v>0.7142857142857143</v>
      </c>
      <c r="K25" s="49">
        <f>AVERAGE('25.10 MUTUKULA-MASAKA'!K25,'26.10 MUTUKULA-MASAKA-24HR'!K25,'27.10 Mutukula-Masaka'!K25,'28.10 MUTUKULA-MASAKA-24HR'!K25,'29.10 MUTUKULA-MASAKA'!K25,'30.10 MUTUKULA-MASAKA'!K25,'31.10.MUTUKULA-MASAKA'!K25)</f>
        <v>1.8571428571428572</v>
      </c>
      <c r="L25" s="49">
        <f>AVERAGE('25.10 MUTUKULA-MASAKA'!L25,'26.10 MUTUKULA-MASAKA-24HR'!L25,'27.10 Mutukula-Masaka'!L25,'28.10 MUTUKULA-MASAKA-24HR'!L25,'29.10 MUTUKULA-MASAKA'!L25,'30.10 MUTUKULA-MASAKA'!L25,'31.10.MUTUKULA-MASAKA'!L25)</f>
        <v>0</v>
      </c>
      <c r="M25" s="49">
        <f>AVERAGE('25.10 MUTUKULA-MASAKA'!M25,'26.10 MUTUKULA-MASAKA-24HR'!M25,'27.10 Mutukula-Masaka'!M25,'28.10 MUTUKULA-MASAKA-24HR'!M25,'29.10 MUTUKULA-MASAKA'!M25,'30.10 MUTUKULA-MASAKA'!M25,'31.10.MUTUKULA-MASAKA'!M25)</f>
        <v>9.2857142857142865</v>
      </c>
      <c r="N25" s="49">
        <f>AVERAGE('25.10 MUTUKULA-MASAKA'!N25,'26.10 MUTUKULA-MASAKA-24HR'!N25,'27.10 Mutukula-Masaka'!N25,'28.10 MUTUKULA-MASAKA-24HR'!N25,'29.10 MUTUKULA-MASAKA'!N25,'30.10 MUTUKULA-MASAKA'!N25,'31.10.MUTUKULA-MASAKA'!N25)</f>
        <v>0</v>
      </c>
      <c r="O25" s="15">
        <f t="shared" si="0"/>
        <v>7.1428571428571423</v>
      </c>
      <c r="P25" s="15">
        <f t="shared" si="1"/>
        <v>16.428571428571431</v>
      </c>
      <c r="R25" s="1" t="s">
        <v>149</v>
      </c>
      <c r="S25" s="34">
        <f>SUM(C70:C73)</f>
        <v>3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3</v>
      </c>
      <c r="AB25" s="34">
        <f t="shared" si="17"/>
        <v>0</v>
      </c>
      <c r="AC25" s="34">
        <f t="shared" si="17"/>
        <v>26</v>
      </c>
      <c r="AD25" s="34">
        <f t="shared" si="17"/>
        <v>0</v>
      </c>
      <c r="AE25" s="31">
        <f t="shared" si="17"/>
        <v>9.5</v>
      </c>
      <c r="AF25" s="31">
        <f t="shared" si="17"/>
        <v>35.5</v>
      </c>
    </row>
    <row r="26" spans="2:32" ht="23.1" customHeight="1" x14ac:dyDescent="0.25">
      <c r="B26" s="23" t="s">
        <v>53</v>
      </c>
      <c r="C26" s="49">
        <f>AVERAGE('25.10 MUTUKULA-MASAKA'!C26,'26.10 MUTUKULA-MASAKA-24HR'!C26,'27.10 Mutukula-Masaka'!C26,'28.10 MUTUKULA-MASAKA-24HR'!C26,'29.10 MUTUKULA-MASAKA'!C26,'30.10 MUTUKULA-MASAKA'!C26,'31.10.MUTUKULA-MASAKA'!C26)</f>
        <v>1.2857142857142858</v>
      </c>
      <c r="D26" s="49">
        <f>AVERAGE('25.10 MUTUKULA-MASAKA'!D26,'26.10 MUTUKULA-MASAKA-24HR'!D26,'27.10 Mutukula-Masaka'!D26,'28.10 MUTUKULA-MASAKA-24HR'!D26,'29.10 MUTUKULA-MASAKA'!D26,'30.10 MUTUKULA-MASAKA'!D26,'31.10.MUTUKULA-MASAKA'!D26)</f>
        <v>0.42857142857142855</v>
      </c>
      <c r="E26" s="49">
        <f>AVERAGE('25.10 MUTUKULA-MASAKA'!E26,'26.10 MUTUKULA-MASAKA-24HR'!E26,'27.10 Mutukula-Masaka'!E26,'28.10 MUTUKULA-MASAKA-24HR'!E26,'29.10 MUTUKULA-MASAKA'!E26,'30.10 MUTUKULA-MASAKA'!E26,'31.10.MUTUKULA-MASAKA'!E26)</f>
        <v>0.14285714285714285</v>
      </c>
      <c r="F26" s="49">
        <f>AVERAGE('25.10 MUTUKULA-MASAKA'!F26,'26.10 MUTUKULA-MASAKA-24HR'!F26,'27.10 Mutukula-Masaka'!F26,'28.10 MUTUKULA-MASAKA-24HR'!F26,'29.10 MUTUKULA-MASAKA'!F26,'30.10 MUTUKULA-MASAKA'!F26,'31.10.MUTUKULA-MASAKA'!F26)</f>
        <v>1.2857142857142858</v>
      </c>
      <c r="G26" s="49">
        <f>AVERAGE('25.10 MUTUKULA-MASAKA'!G26,'26.10 MUTUKULA-MASAKA-24HR'!G26,'27.10 Mutukula-Masaka'!G26,'28.10 MUTUKULA-MASAKA-24HR'!G26,'29.10 MUTUKULA-MASAKA'!G26,'30.10 MUTUKULA-MASAKA'!G26,'31.10.MUTUKULA-MASAKA'!G26)</f>
        <v>0.2857142857142857</v>
      </c>
      <c r="H26" s="49">
        <f>AVERAGE('25.10 MUTUKULA-MASAKA'!H26,'26.10 MUTUKULA-MASAKA-24HR'!H26,'27.10 Mutukula-Masaka'!H26,'28.10 MUTUKULA-MASAKA-24HR'!H26,'29.10 MUTUKULA-MASAKA'!H26,'30.10 MUTUKULA-MASAKA'!H26,'31.10.MUTUKULA-MASAKA'!H26)</f>
        <v>0</v>
      </c>
      <c r="I26" s="49">
        <f>AVERAGE('25.10 MUTUKULA-MASAKA'!I26,'26.10 MUTUKULA-MASAKA-24HR'!I26,'27.10 Mutukula-Masaka'!I26,'28.10 MUTUKULA-MASAKA-24HR'!I26,'29.10 MUTUKULA-MASAKA'!I26,'30.10 MUTUKULA-MASAKA'!I26,'31.10.MUTUKULA-MASAKA'!I26)</f>
        <v>0.7142857142857143</v>
      </c>
      <c r="J26" s="49">
        <f>AVERAGE('25.10 MUTUKULA-MASAKA'!J26,'26.10 MUTUKULA-MASAKA-24HR'!J26,'27.10 Mutukula-Masaka'!J26,'28.10 MUTUKULA-MASAKA-24HR'!J26,'29.10 MUTUKULA-MASAKA'!J26,'30.10 MUTUKULA-MASAKA'!J26,'31.10.MUTUKULA-MASAKA'!J26)</f>
        <v>0.14285714285714285</v>
      </c>
      <c r="K26" s="49">
        <f>AVERAGE('25.10 MUTUKULA-MASAKA'!K26,'26.10 MUTUKULA-MASAKA-24HR'!K26,'27.10 Mutukula-Masaka'!K26,'28.10 MUTUKULA-MASAKA-24HR'!K26,'29.10 MUTUKULA-MASAKA'!K26,'30.10 MUTUKULA-MASAKA'!K26,'31.10.MUTUKULA-MASAKA'!K26)</f>
        <v>0.2857142857142857</v>
      </c>
      <c r="L26" s="49">
        <f>AVERAGE('25.10 MUTUKULA-MASAKA'!L26,'26.10 MUTUKULA-MASAKA-24HR'!L26,'27.10 Mutukula-Masaka'!L26,'28.10 MUTUKULA-MASAKA-24HR'!L26,'29.10 MUTUKULA-MASAKA'!L26,'30.10 MUTUKULA-MASAKA'!L26,'31.10.MUTUKULA-MASAKA'!L26)</f>
        <v>0.14285714285714285</v>
      </c>
      <c r="M26" s="49">
        <f>AVERAGE('25.10 MUTUKULA-MASAKA'!M26,'26.10 MUTUKULA-MASAKA-24HR'!M26,'27.10 Mutukula-Masaka'!M26,'28.10 MUTUKULA-MASAKA-24HR'!M26,'29.10 MUTUKULA-MASAKA'!M26,'30.10 MUTUKULA-MASAKA'!M26,'31.10.MUTUKULA-MASAKA'!M26)</f>
        <v>9</v>
      </c>
      <c r="N26" s="49">
        <f>AVERAGE('25.10 MUTUKULA-MASAKA'!N26,'26.10 MUTUKULA-MASAKA-24HR'!N26,'27.10 Mutukula-Masaka'!N26,'28.10 MUTUKULA-MASAKA-24HR'!N26,'29.10 MUTUKULA-MASAKA'!N26,'30.10 MUTUKULA-MASAKA'!N26,'31.10.MUTUKULA-MASAKA'!N26)</f>
        <v>0</v>
      </c>
      <c r="O26" s="15">
        <f t="shared" si="0"/>
        <v>4.7142857142857153</v>
      </c>
      <c r="P26" s="15">
        <f t="shared" si="1"/>
        <v>13.714285714285715</v>
      </c>
      <c r="R26" s="1" t="s">
        <v>150</v>
      </c>
      <c r="S26" s="34">
        <f>SUM(C74:C77)</f>
        <v>2.5</v>
      </c>
      <c r="T26" s="34">
        <f t="shared" ref="T26:AF26" si="18">SUM(D74:D77)</f>
        <v>0</v>
      </c>
      <c r="U26" s="34">
        <f t="shared" si="18"/>
        <v>0.5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5.5</v>
      </c>
      <c r="AF26" s="31">
        <f t="shared" si="18"/>
        <v>12.5</v>
      </c>
    </row>
    <row r="27" spans="2:32" ht="23.1" customHeight="1" x14ac:dyDescent="0.25">
      <c r="B27" s="23" t="s">
        <v>54</v>
      </c>
      <c r="C27" s="49">
        <f>AVERAGE('25.10 MUTUKULA-MASAKA'!C27,'26.10 MUTUKULA-MASAKA-24HR'!C27,'27.10 Mutukula-Masaka'!C27,'28.10 MUTUKULA-MASAKA-24HR'!C27,'29.10 MUTUKULA-MASAKA'!C27,'30.10 MUTUKULA-MASAKA'!C27,'31.10.MUTUKULA-MASAKA'!C27)</f>
        <v>1.2857142857142858</v>
      </c>
      <c r="D27" s="49">
        <f>AVERAGE('25.10 MUTUKULA-MASAKA'!D27,'26.10 MUTUKULA-MASAKA-24HR'!D27,'27.10 Mutukula-Masaka'!D27,'28.10 MUTUKULA-MASAKA-24HR'!D27,'29.10 MUTUKULA-MASAKA'!D27,'30.10 MUTUKULA-MASAKA'!D27,'31.10.MUTUKULA-MASAKA'!D27)</f>
        <v>0.14285714285714285</v>
      </c>
      <c r="E27" s="49">
        <f>AVERAGE('25.10 MUTUKULA-MASAKA'!E27,'26.10 MUTUKULA-MASAKA-24HR'!E27,'27.10 Mutukula-Masaka'!E27,'28.10 MUTUKULA-MASAKA-24HR'!E27,'29.10 MUTUKULA-MASAKA'!E27,'30.10 MUTUKULA-MASAKA'!E27,'31.10.MUTUKULA-MASAKA'!E27)</f>
        <v>0</v>
      </c>
      <c r="F27" s="49">
        <f>AVERAGE('25.10 MUTUKULA-MASAKA'!F27,'26.10 MUTUKULA-MASAKA-24HR'!F27,'27.10 Mutukula-Masaka'!F27,'28.10 MUTUKULA-MASAKA-24HR'!F27,'29.10 MUTUKULA-MASAKA'!F27,'30.10 MUTUKULA-MASAKA'!F27,'31.10.MUTUKULA-MASAKA'!F27)</f>
        <v>1</v>
      </c>
      <c r="G27" s="49">
        <f>AVERAGE('25.10 MUTUKULA-MASAKA'!G27,'26.10 MUTUKULA-MASAKA-24HR'!G27,'27.10 Mutukula-Masaka'!G27,'28.10 MUTUKULA-MASAKA-24HR'!G27,'29.10 MUTUKULA-MASAKA'!G27,'30.10 MUTUKULA-MASAKA'!G27,'31.10.MUTUKULA-MASAKA'!G27)</f>
        <v>0</v>
      </c>
      <c r="H27" s="49">
        <f>AVERAGE('25.10 MUTUKULA-MASAKA'!H27,'26.10 MUTUKULA-MASAKA-24HR'!H27,'27.10 Mutukula-Masaka'!H27,'28.10 MUTUKULA-MASAKA-24HR'!H27,'29.10 MUTUKULA-MASAKA'!H27,'30.10 MUTUKULA-MASAKA'!H27,'31.10.MUTUKULA-MASAKA'!H27)</f>
        <v>0</v>
      </c>
      <c r="I27" s="49">
        <f>AVERAGE('25.10 MUTUKULA-MASAKA'!I27,'26.10 MUTUKULA-MASAKA-24HR'!I27,'27.10 Mutukula-Masaka'!I27,'28.10 MUTUKULA-MASAKA-24HR'!I27,'29.10 MUTUKULA-MASAKA'!I27,'30.10 MUTUKULA-MASAKA'!I27,'31.10.MUTUKULA-MASAKA'!I27)</f>
        <v>0.7142857142857143</v>
      </c>
      <c r="J27" s="49">
        <f>AVERAGE('25.10 MUTUKULA-MASAKA'!J27,'26.10 MUTUKULA-MASAKA-24HR'!J27,'27.10 Mutukula-Masaka'!J27,'28.10 MUTUKULA-MASAKA-24HR'!J27,'29.10 MUTUKULA-MASAKA'!J27,'30.10 MUTUKULA-MASAKA'!J27,'31.10.MUTUKULA-MASAKA'!J27)</f>
        <v>0.14285714285714285</v>
      </c>
      <c r="K27" s="49">
        <f>AVERAGE('25.10 MUTUKULA-MASAKA'!K27,'26.10 MUTUKULA-MASAKA-24HR'!K27,'27.10 Mutukula-Masaka'!K27,'28.10 MUTUKULA-MASAKA-24HR'!K27,'29.10 MUTUKULA-MASAKA'!K27,'30.10 MUTUKULA-MASAKA'!K27,'31.10.MUTUKULA-MASAKA'!K27)</f>
        <v>0.5714285714285714</v>
      </c>
      <c r="L27" s="49">
        <f>AVERAGE('25.10 MUTUKULA-MASAKA'!L27,'26.10 MUTUKULA-MASAKA-24HR'!L27,'27.10 Mutukula-Masaka'!L27,'28.10 MUTUKULA-MASAKA-24HR'!L27,'29.10 MUTUKULA-MASAKA'!L27,'30.10 MUTUKULA-MASAKA'!L27,'31.10.MUTUKULA-MASAKA'!L27)</f>
        <v>0</v>
      </c>
      <c r="M27" s="49">
        <f>AVERAGE('25.10 MUTUKULA-MASAKA'!M27,'26.10 MUTUKULA-MASAKA-24HR'!M27,'27.10 Mutukula-Masaka'!M27,'28.10 MUTUKULA-MASAKA-24HR'!M27,'29.10 MUTUKULA-MASAKA'!M27,'30.10 MUTUKULA-MASAKA'!M27,'31.10.MUTUKULA-MASAKA'!M27)</f>
        <v>8.2857142857142865</v>
      </c>
      <c r="N27" s="49">
        <f>AVERAGE('25.10 MUTUKULA-MASAKA'!N27,'26.10 MUTUKULA-MASAKA-24HR'!N27,'27.10 Mutukula-Masaka'!N27,'28.10 MUTUKULA-MASAKA-24HR'!N27,'29.10 MUTUKULA-MASAKA'!N27,'30.10 MUTUKULA-MASAKA'!N27,'31.10.MUTUKULA-MASAKA'!N27)</f>
        <v>0</v>
      </c>
      <c r="O27" s="15">
        <f t="shared" si="0"/>
        <v>3.8571428571428577</v>
      </c>
      <c r="P27" s="15">
        <f t="shared" si="1"/>
        <v>12.142857142857144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1</v>
      </c>
      <c r="AF27" s="31">
        <f t="shared" si="19"/>
        <v>3</v>
      </c>
    </row>
    <row r="28" spans="2:32" ht="23.1" customHeight="1" x14ac:dyDescent="0.25">
      <c r="B28" s="23" t="s">
        <v>55</v>
      </c>
      <c r="C28" s="49">
        <f>AVERAGE('25.10 MUTUKULA-MASAKA'!C28,'26.10 MUTUKULA-MASAKA-24HR'!C28,'27.10 Mutukula-Masaka'!C28,'28.10 MUTUKULA-MASAKA-24HR'!C28,'29.10 MUTUKULA-MASAKA'!C28,'30.10 MUTUKULA-MASAKA'!C28,'31.10.MUTUKULA-MASAKA'!C28)</f>
        <v>2</v>
      </c>
      <c r="D28" s="49">
        <f>AVERAGE('25.10 MUTUKULA-MASAKA'!D28,'26.10 MUTUKULA-MASAKA-24HR'!D28,'27.10 Mutukula-Masaka'!D28,'28.10 MUTUKULA-MASAKA-24HR'!D28,'29.10 MUTUKULA-MASAKA'!D28,'30.10 MUTUKULA-MASAKA'!D28,'31.10.MUTUKULA-MASAKA'!D28)</f>
        <v>0.5714285714285714</v>
      </c>
      <c r="E28" s="49">
        <f>AVERAGE('25.10 MUTUKULA-MASAKA'!E28,'26.10 MUTUKULA-MASAKA-24HR'!E28,'27.10 Mutukula-Masaka'!E28,'28.10 MUTUKULA-MASAKA-24HR'!E28,'29.10 MUTUKULA-MASAKA'!E28,'30.10 MUTUKULA-MASAKA'!E28,'31.10.MUTUKULA-MASAKA'!E28)</f>
        <v>0.2857142857142857</v>
      </c>
      <c r="F28" s="49">
        <f>AVERAGE('25.10 MUTUKULA-MASAKA'!F28,'26.10 MUTUKULA-MASAKA-24HR'!F28,'27.10 Mutukula-Masaka'!F28,'28.10 MUTUKULA-MASAKA-24HR'!F28,'29.10 MUTUKULA-MASAKA'!F28,'30.10 MUTUKULA-MASAKA'!F28,'31.10.MUTUKULA-MASAKA'!F28)</f>
        <v>1.7142857142857142</v>
      </c>
      <c r="G28" s="49">
        <f>AVERAGE('25.10 MUTUKULA-MASAKA'!G28,'26.10 MUTUKULA-MASAKA-24HR'!G28,'27.10 Mutukula-Masaka'!G28,'28.10 MUTUKULA-MASAKA-24HR'!G28,'29.10 MUTUKULA-MASAKA'!G28,'30.10 MUTUKULA-MASAKA'!G28,'31.10.MUTUKULA-MASAKA'!G28)</f>
        <v>0</v>
      </c>
      <c r="H28" s="49">
        <f>AVERAGE('25.10 MUTUKULA-MASAKA'!H28,'26.10 MUTUKULA-MASAKA-24HR'!H28,'27.10 Mutukula-Masaka'!H28,'28.10 MUTUKULA-MASAKA-24HR'!H28,'29.10 MUTUKULA-MASAKA'!H28,'30.10 MUTUKULA-MASAKA'!H28,'31.10.MUTUKULA-MASAKA'!H28)</f>
        <v>0</v>
      </c>
      <c r="I28" s="49">
        <f>AVERAGE('25.10 MUTUKULA-MASAKA'!I28,'26.10 MUTUKULA-MASAKA-24HR'!I28,'27.10 Mutukula-Masaka'!I28,'28.10 MUTUKULA-MASAKA-24HR'!I28,'29.10 MUTUKULA-MASAKA'!I28,'30.10 MUTUKULA-MASAKA'!I28,'31.10.MUTUKULA-MASAKA'!I28)</f>
        <v>0.2857142857142857</v>
      </c>
      <c r="J28" s="49">
        <f>AVERAGE('25.10 MUTUKULA-MASAKA'!J28,'26.10 MUTUKULA-MASAKA-24HR'!J28,'27.10 Mutukula-Masaka'!J28,'28.10 MUTUKULA-MASAKA-24HR'!J28,'29.10 MUTUKULA-MASAKA'!J28,'30.10 MUTUKULA-MASAKA'!J28,'31.10.MUTUKULA-MASAKA'!J28)</f>
        <v>0.2857142857142857</v>
      </c>
      <c r="K28" s="49">
        <f>AVERAGE('25.10 MUTUKULA-MASAKA'!K28,'26.10 MUTUKULA-MASAKA-24HR'!K28,'27.10 Mutukula-Masaka'!K28,'28.10 MUTUKULA-MASAKA-24HR'!K28,'29.10 MUTUKULA-MASAKA'!K28,'30.10 MUTUKULA-MASAKA'!K28,'31.10.MUTUKULA-MASAKA'!K28)</f>
        <v>0.14285714285714285</v>
      </c>
      <c r="L28" s="49">
        <f>AVERAGE('25.10 MUTUKULA-MASAKA'!L28,'26.10 MUTUKULA-MASAKA-24HR'!L28,'27.10 Mutukula-Masaka'!L28,'28.10 MUTUKULA-MASAKA-24HR'!L28,'29.10 MUTUKULA-MASAKA'!L28,'30.10 MUTUKULA-MASAKA'!L28,'31.10.MUTUKULA-MASAKA'!L28)</f>
        <v>0</v>
      </c>
      <c r="M28" s="49">
        <f>AVERAGE('25.10 MUTUKULA-MASAKA'!M28,'26.10 MUTUKULA-MASAKA-24HR'!M28,'27.10 Mutukula-Masaka'!M28,'28.10 MUTUKULA-MASAKA-24HR'!M28,'29.10 MUTUKULA-MASAKA'!M28,'30.10 MUTUKULA-MASAKA'!M28,'31.10.MUTUKULA-MASAKA'!M28)</f>
        <v>8</v>
      </c>
      <c r="N28" s="49">
        <f>AVERAGE('25.10 MUTUKULA-MASAKA'!N28,'26.10 MUTUKULA-MASAKA-24HR'!N28,'27.10 Mutukula-Masaka'!N28,'28.10 MUTUKULA-MASAKA-24HR'!N28,'29.10 MUTUKULA-MASAKA'!N28,'30.10 MUTUKULA-MASAKA'!N28,'31.10.MUTUKULA-MASAKA'!N28)</f>
        <v>0</v>
      </c>
      <c r="O28" s="15">
        <f t="shared" si="0"/>
        <v>5.2857142857142856</v>
      </c>
      <c r="P28" s="15">
        <f t="shared" si="1"/>
        <v>13.285714285714285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2.5</v>
      </c>
      <c r="AD28" s="34">
        <f t="shared" si="20"/>
        <v>0</v>
      </c>
      <c r="AE28" s="31">
        <f t="shared" si="20"/>
        <v>0.5</v>
      </c>
      <c r="AF28" s="31">
        <f t="shared" si="20"/>
        <v>3</v>
      </c>
    </row>
    <row r="29" spans="2:32" ht="23.1" customHeight="1" x14ac:dyDescent="0.25">
      <c r="B29" s="23" t="s">
        <v>56</v>
      </c>
      <c r="C29" s="49">
        <f>AVERAGE('25.10 MUTUKULA-MASAKA'!C29,'26.10 MUTUKULA-MASAKA-24HR'!C29,'27.10 Mutukula-Masaka'!C29,'28.10 MUTUKULA-MASAKA-24HR'!C29,'29.10 MUTUKULA-MASAKA'!C29,'30.10 MUTUKULA-MASAKA'!C29,'31.10.MUTUKULA-MASAKA'!C29)</f>
        <v>1.7142857142857142</v>
      </c>
      <c r="D29" s="49">
        <f>AVERAGE('25.10 MUTUKULA-MASAKA'!D29,'26.10 MUTUKULA-MASAKA-24HR'!D29,'27.10 Mutukula-Masaka'!D29,'28.10 MUTUKULA-MASAKA-24HR'!D29,'29.10 MUTUKULA-MASAKA'!D29,'30.10 MUTUKULA-MASAKA'!D29,'31.10.MUTUKULA-MASAKA'!D29)</f>
        <v>0.42857142857142855</v>
      </c>
      <c r="E29" s="49">
        <f>AVERAGE('25.10 MUTUKULA-MASAKA'!E29,'26.10 MUTUKULA-MASAKA-24HR'!E29,'27.10 Mutukula-Masaka'!E29,'28.10 MUTUKULA-MASAKA-24HR'!E29,'29.10 MUTUKULA-MASAKA'!E29,'30.10 MUTUKULA-MASAKA'!E29,'31.10.MUTUKULA-MASAKA'!E29)</f>
        <v>0.2857142857142857</v>
      </c>
      <c r="F29" s="49">
        <f>AVERAGE('25.10 MUTUKULA-MASAKA'!F29,'26.10 MUTUKULA-MASAKA-24HR'!F29,'27.10 Mutukula-Masaka'!F29,'28.10 MUTUKULA-MASAKA-24HR'!F29,'29.10 MUTUKULA-MASAKA'!F29,'30.10 MUTUKULA-MASAKA'!F29,'31.10.MUTUKULA-MASAKA'!F29)</f>
        <v>1.2857142857142858</v>
      </c>
      <c r="G29" s="49">
        <f>AVERAGE('25.10 MUTUKULA-MASAKA'!G29,'26.10 MUTUKULA-MASAKA-24HR'!G29,'27.10 Mutukula-Masaka'!G29,'28.10 MUTUKULA-MASAKA-24HR'!G29,'29.10 MUTUKULA-MASAKA'!G29,'30.10 MUTUKULA-MASAKA'!G29,'31.10.MUTUKULA-MASAKA'!G29)</f>
        <v>0</v>
      </c>
      <c r="H29" s="49">
        <f>AVERAGE('25.10 MUTUKULA-MASAKA'!H29,'26.10 MUTUKULA-MASAKA-24HR'!H29,'27.10 Mutukula-Masaka'!H29,'28.10 MUTUKULA-MASAKA-24HR'!H29,'29.10 MUTUKULA-MASAKA'!H29,'30.10 MUTUKULA-MASAKA'!H29,'31.10.MUTUKULA-MASAKA'!H29)</f>
        <v>0</v>
      </c>
      <c r="I29" s="49">
        <f>AVERAGE('25.10 MUTUKULA-MASAKA'!I29,'26.10 MUTUKULA-MASAKA-24HR'!I29,'27.10 Mutukula-Masaka'!I29,'28.10 MUTUKULA-MASAKA-24HR'!I29,'29.10 MUTUKULA-MASAKA'!I29,'30.10 MUTUKULA-MASAKA'!I29,'31.10.MUTUKULA-MASAKA'!I29)</f>
        <v>1.5714285714285714</v>
      </c>
      <c r="J29" s="49">
        <f>AVERAGE('25.10 MUTUKULA-MASAKA'!J29,'26.10 MUTUKULA-MASAKA-24HR'!J29,'27.10 Mutukula-Masaka'!J29,'28.10 MUTUKULA-MASAKA-24HR'!J29,'29.10 MUTUKULA-MASAKA'!J29,'30.10 MUTUKULA-MASAKA'!J29,'31.10.MUTUKULA-MASAKA'!J29)</f>
        <v>0.2857142857142857</v>
      </c>
      <c r="K29" s="49">
        <f>AVERAGE('25.10 MUTUKULA-MASAKA'!K29,'26.10 MUTUKULA-MASAKA-24HR'!K29,'27.10 Mutukula-Masaka'!K29,'28.10 MUTUKULA-MASAKA-24HR'!K29,'29.10 MUTUKULA-MASAKA'!K29,'30.10 MUTUKULA-MASAKA'!K29,'31.10.MUTUKULA-MASAKA'!K29)</f>
        <v>0.8571428571428571</v>
      </c>
      <c r="L29" s="49">
        <f>AVERAGE('25.10 MUTUKULA-MASAKA'!L29,'26.10 MUTUKULA-MASAKA-24HR'!L29,'27.10 Mutukula-Masaka'!L29,'28.10 MUTUKULA-MASAKA-24HR'!L29,'29.10 MUTUKULA-MASAKA'!L29,'30.10 MUTUKULA-MASAKA'!L29,'31.10.MUTUKULA-MASAKA'!L29)</f>
        <v>0</v>
      </c>
      <c r="M29" s="49">
        <f>AVERAGE('25.10 MUTUKULA-MASAKA'!M29,'26.10 MUTUKULA-MASAKA-24HR'!M29,'27.10 Mutukula-Masaka'!M29,'28.10 MUTUKULA-MASAKA-24HR'!M29,'29.10 MUTUKULA-MASAKA'!M29,'30.10 MUTUKULA-MASAKA'!M29,'31.10.MUTUKULA-MASAKA'!M29)</f>
        <v>7.5714285714285712</v>
      </c>
      <c r="N29" s="49">
        <f>AVERAGE('25.10 MUTUKULA-MASAKA'!N29,'26.10 MUTUKULA-MASAKA-24HR'!N29,'27.10 Mutukula-Masaka'!N29,'28.10 MUTUKULA-MASAKA-24HR'!N29,'29.10 MUTUKULA-MASAKA'!N29,'30.10 MUTUKULA-MASAKA'!N29,'31.10.MUTUKULA-MASAKA'!N29)</f>
        <v>0</v>
      </c>
      <c r="O29" s="15">
        <f t="shared" si="0"/>
        <v>6.4285714285714279</v>
      </c>
      <c r="P29" s="15">
        <f t="shared" si="1"/>
        <v>14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AVERAGE('25.10 MUTUKULA-MASAKA'!C30,'26.10 MUTUKULA-MASAKA-24HR'!C30,'27.10 Mutukula-Masaka'!C30,'28.10 MUTUKULA-MASAKA-24HR'!C30,'29.10 MUTUKULA-MASAKA'!C30,'30.10 MUTUKULA-MASAKA'!C30,'31.10.MUTUKULA-MASAKA'!C30)</f>
        <v>1.4285714285714286</v>
      </c>
      <c r="D30" s="49">
        <f>AVERAGE('25.10 MUTUKULA-MASAKA'!D30,'26.10 MUTUKULA-MASAKA-24HR'!D30,'27.10 Mutukula-Masaka'!D30,'28.10 MUTUKULA-MASAKA-24HR'!D30,'29.10 MUTUKULA-MASAKA'!D30,'30.10 MUTUKULA-MASAKA'!D30,'31.10.MUTUKULA-MASAKA'!D30)</f>
        <v>0.8571428571428571</v>
      </c>
      <c r="E30" s="49">
        <f>AVERAGE('25.10 MUTUKULA-MASAKA'!E30,'26.10 MUTUKULA-MASAKA-24HR'!E30,'27.10 Mutukula-Masaka'!E30,'28.10 MUTUKULA-MASAKA-24HR'!E30,'29.10 MUTUKULA-MASAKA'!E30,'30.10 MUTUKULA-MASAKA'!E30,'31.10.MUTUKULA-MASAKA'!E30)</f>
        <v>0</v>
      </c>
      <c r="F30" s="49">
        <f>AVERAGE('25.10 MUTUKULA-MASAKA'!F30,'26.10 MUTUKULA-MASAKA-24HR'!F30,'27.10 Mutukula-Masaka'!F30,'28.10 MUTUKULA-MASAKA-24HR'!F30,'29.10 MUTUKULA-MASAKA'!F30,'30.10 MUTUKULA-MASAKA'!F30,'31.10.MUTUKULA-MASAKA'!F30)</f>
        <v>1.5714285714285714</v>
      </c>
      <c r="G30" s="49">
        <f>AVERAGE('25.10 MUTUKULA-MASAKA'!G30,'26.10 MUTUKULA-MASAKA-24HR'!G30,'27.10 Mutukula-Masaka'!G30,'28.10 MUTUKULA-MASAKA-24HR'!G30,'29.10 MUTUKULA-MASAKA'!G30,'30.10 MUTUKULA-MASAKA'!G30,'31.10.MUTUKULA-MASAKA'!G30)</f>
        <v>0</v>
      </c>
      <c r="H30" s="49">
        <f>AVERAGE('25.10 MUTUKULA-MASAKA'!H30,'26.10 MUTUKULA-MASAKA-24HR'!H30,'27.10 Mutukula-Masaka'!H30,'28.10 MUTUKULA-MASAKA-24HR'!H30,'29.10 MUTUKULA-MASAKA'!H30,'30.10 MUTUKULA-MASAKA'!H30,'31.10.MUTUKULA-MASAKA'!H30)</f>
        <v>0</v>
      </c>
      <c r="I30" s="49">
        <f>AVERAGE('25.10 MUTUKULA-MASAKA'!I30,'26.10 MUTUKULA-MASAKA-24HR'!I30,'27.10 Mutukula-Masaka'!I30,'28.10 MUTUKULA-MASAKA-24HR'!I30,'29.10 MUTUKULA-MASAKA'!I30,'30.10 MUTUKULA-MASAKA'!I30,'31.10.MUTUKULA-MASAKA'!I30)</f>
        <v>0.8571428571428571</v>
      </c>
      <c r="J30" s="49">
        <f>AVERAGE('25.10 MUTUKULA-MASAKA'!J30,'26.10 MUTUKULA-MASAKA-24HR'!J30,'27.10 Mutukula-Masaka'!J30,'28.10 MUTUKULA-MASAKA-24HR'!J30,'29.10 MUTUKULA-MASAKA'!J30,'30.10 MUTUKULA-MASAKA'!J30,'31.10.MUTUKULA-MASAKA'!J30)</f>
        <v>1</v>
      </c>
      <c r="K30" s="49">
        <f>AVERAGE('25.10 MUTUKULA-MASAKA'!K30,'26.10 MUTUKULA-MASAKA-24HR'!K30,'27.10 Mutukula-Masaka'!K30,'28.10 MUTUKULA-MASAKA-24HR'!K30,'29.10 MUTUKULA-MASAKA'!K30,'30.10 MUTUKULA-MASAKA'!K30,'31.10.MUTUKULA-MASAKA'!K30)</f>
        <v>0.5714285714285714</v>
      </c>
      <c r="L30" s="49">
        <f>AVERAGE('25.10 MUTUKULA-MASAKA'!L30,'26.10 MUTUKULA-MASAKA-24HR'!L30,'27.10 Mutukula-Masaka'!L30,'28.10 MUTUKULA-MASAKA-24HR'!L30,'29.10 MUTUKULA-MASAKA'!L30,'30.10 MUTUKULA-MASAKA'!L30,'31.10.MUTUKULA-MASAKA'!L30)</f>
        <v>0.14285714285714285</v>
      </c>
      <c r="M30" s="49">
        <f>AVERAGE('25.10 MUTUKULA-MASAKA'!M30,'26.10 MUTUKULA-MASAKA-24HR'!M30,'27.10 Mutukula-Masaka'!M30,'28.10 MUTUKULA-MASAKA-24HR'!M30,'29.10 MUTUKULA-MASAKA'!M30,'30.10 MUTUKULA-MASAKA'!M30,'31.10.MUTUKULA-MASAKA'!M30)</f>
        <v>9.4285714285714288</v>
      </c>
      <c r="N30" s="49">
        <f>AVERAGE('25.10 MUTUKULA-MASAKA'!N30,'26.10 MUTUKULA-MASAKA-24HR'!N30,'27.10 Mutukula-Masaka'!N30,'28.10 MUTUKULA-MASAKA-24HR'!N30,'29.10 MUTUKULA-MASAKA'!N30,'30.10 MUTUKULA-MASAKA'!N30,'31.10.MUTUKULA-MASAKA'!N30)</f>
        <v>0</v>
      </c>
      <c r="O30" s="15">
        <f t="shared" si="0"/>
        <v>6.4285714285714279</v>
      </c>
      <c r="P30" s="15">
        <f t="shared" si="1"/>
        <v>15.857142857142858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0</v>
      </c>
      <c r="AF30" s="31">
        <f t="shared" si="22"/>
        <v>0.5</v>
      </c>
    </row>
    <row r="31" spans="2:32" ht="23.1" customHeight="1" x14ac:dyDescent="0.25">
      <c r="B31" s="24" t="s">
        <v>58</v>
      </c>
      <c r="C31" s="49">
        <f>AVERAGE('25.10 MUTUKULA-MASAKA'!C31,'26.10 MUTUKULA-MASAKA-24HR'!C31,'27.10 Mutukula-Masaka'!C31,'28.10 MUTUKULA-MASAKA-24HR'!C31,'29.10 MUTUKULA-MASAKA'!C31,'30.10 MUTUKULA-MASAKA'!C31,'31.10.MUTUKULA-MASAKA'!C31)</f>
        <v>1.8571428571428572</v>
      </c>
      <c r="D31" s="49">
        <f>AVERAGE('25.10 MUTUKULA-MASAKA'!D31,'26.10 MUTUKULA-MASAKA-24HR'!D31,'27.10 Mutukula-Masaka'!D31,'28.10 MUTUKULA-MASAKA-24HR'!D31,'29.10 MUTUKULA-MASAKA'!D31,'30.10 MUTUKULA-MASAKA'!D31,'31.10.MUTUKULA-MASAKA'!D31)</f>
        <v>0.8571428571428571</v>
      </c>
      <c r="E31" s="49">
        <f>AVERAGE('25.10 MUTUKULA-MASAKA'!E31,'26.10 MUTUKULA-MASAKA-24HR'!E31,'27.10 Mutukula-Masaka'!E31,'28.10 MUTUKULA-MASAKA-24HR'!E31,'29.10 MUTUKULA-MASAKA'!E31,'30.10 MUTUKULA-MASAKA'!E31,'31.10.MUTUKULA-MASAKA'!E31)</f>
        <v>0</v>
      </c>
      <c r="F31" s="49">
        <f>AVERAGE('25.10 MUTUKULA-MASAKA'!F31,'26.10 MUTUKULA-MASAKA-24HR'!F31,'27.10 Mutukula-Masaka'!F31,'28.10 MUTUKULA-MASAKA-24HR'!F31,'29.10 MUTUKULA-MASAKA'!F31,'30.10 MUTUKULA-MASAKA'!F31,'31.10.MUTUKULA-MASAKA'!F31)</f>
        <v>1.7142857142857142</v>
      </c>
      <c r="G31" s="49">
        <f>AVERAGE('25.10 MUTUKULA-MASAKA'!G31,'26.10 MUTUKULA-MASAKA-24HR'!G31,'27.10 Mutukula-Masaka'!G31,'28.10 MUTUKULA-MASAKA-24HR'!G31,'29.10 MUTUKULA-MASAKA'!G31,'30.10 MUTUKULA-MASAKA'!G31,'31.10.MUTUKULA-MASAKA'!G31)</f>
        <v>0</v>
      </c>
      <c r="H31" s="49">
        <f>AVERAGE('25.10 MUTUKULA-MASAKA'!H31,'26.10 MUTUKULA-MASAKA-24HR'!H31,'27.10 Mutukula-Masaka'!H31,'28.10 MUTUKULA-MASAKA-24HR'!H31,'29.10 MUTUKULA-MASAKA'!H31,'30.10 MUTUKULA-MASAKA'!H31,'31.10.MUTUKULA-MASAKA'!H31)</f>
        <v>0</v>
      </c>
      <c r="I31" s="49">
        <f>AVERAGE('25.10 MUTUKULA-MASAKA'!I31,'26.10 MUTUKULA-MASAKA-24HR'!I31,'27.10 Mutukula-Masaka'!I31,'28.10 MUTUKULA-MASAKA-24HR'!I31,'29.10 MUTUKULA-MASAKA'!I31,'30.10 MUTUKULA-MASAKA'!I31,'31.10.MUTUKULA-MASAKA'!I31)</f>
        <v>0.5714285714285714</v>
      </c>
      <c r="J31" s="49">
        <f>AVERAGE('25.10 MUTUKULA-MASAKA'!J31,'26.10 MUTUKULA-MASAKA-24HR'!J31,'27.10 Mutukula-Masaka'!J31,'28.10 MUTUKULA-MASAKA-24HR'!J31,'29.10 MUTUKULA-MASAKA'!J31,'30.10 MUTUKULA-MASAKA'!J31,'31.10.MUTUKULA-MASAKA'!J31)</f>
        <v>0.5714285714285714</v>
      </c>
      <c r="K31" s="49">
        <f>AVERAGE('25.10 MUTUKULA-MASAKA'!K31,'26.10 MUTUKULA-MASAKA-24HR'!K31,'27.10 Mutukula-Masaka'!K31,'28.10 MUTUKULA-MASAKA-24HR'!K31,'29.10 MUTUKULA-MASAKA'!K31,'30.10 MUTUKULA-MASAKA'!K31,'31.10.MUTUKULA-MASAKA'!K31)</f>
        <v>0.2857142857142857</v>
      </c>
      <c r="L31" s="49">
        <f>AVERAGE('25.10 MUTUKULA-MASAKA'!L31,'26.10 MUTUKULA-MASAKA-24HR'!L31,'27.10 Mutukula-Masaka'!L31,'28.10 MUTUKULA-MASAKA-24HR'!L31,'29.10 MUTUKULA-MASAKA'!L31,'30.10 MUTUKULA-MASAKA'!L31,'31.10.MUTUKULA-MASAKA'!L31)</f>
        <v>0.2857142857142857</v>
      </c>
      <c r="M31" s="49">
        <f>AVERAGE('25.10 MUTUKULA-MASAKA'!M31,'26.10 MUTUKULA-MASAKA-24HR'!M31,'27.10 Mutukula-Masaka'!M31,'28.10 MUTUKULA-MASAKA-24HR'!M31,'29.10 MUTUKULA-MASAKA'!M31,'30.10 MUTUKULA-MASAKA'!M31,'31.10.MUTUKULA-MASAKA'!M31)</f>
        <v>7.4285714285714288</v>
      </c>
      <c r="N31" s="49">
        <f>AVERAGE('25.10 MUTUKULA-MASAKA'!N31,'26.10 MUTUKULA-MASAKA-24HR'!N31,'27.10 Mutukula-Masaka'!N31,'28.10 MUTUKULA-MASAKA-24HR'!N31,'29.10 MUTUKULA-MASAKA'!N31,'30.10 MUTUKULA-MASAKA'!N31,'31.10.MUTUKULA-MASAKA'!N31)</f>
        <v>0</v>
      </c>
      <c r="O31" s="15">
        <f t="shared" si="0"/>
        <v>6.1428571428571423</v>
      </c>
      <c r="P31" s="15">
        <f t="shared" si="1"/>
        <v>13.571428571428571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2.5</v>
      </c>
      <c r="AF31" s="31">
        <f t="shared" si="23"/>
        <v>3</v>
      </c>
    </row>
    <row r="32" spans="2:32" ht="23.1" customHeight="1" x14ac:dyDescent="0.25">
      <c r="B32" s="24" t="s">
        <v>59</v>
      </c>
      <c r="C32" s="49">
        <f>AVERAGE('25.10 MUTUKULA-MASAKA'!C32,'26.10 MUTUKULA-MASAKA-24HR'!C32,'27.10 Mutukula-Masaka'!C32,'28.10 MUTUKULA-MASAKA-24HR'!C32,'29.10 MUTUKULA-MASAKA'!C32,'30.10 MUTUKULA-MASAKA'!C32,'31.10.MUTUKULA-MASAKA'!C32)</f>
        <v>2.4285714285714284</v>
      </c>
      <c r="D32" s="49">
        <f>AVERAGE('25.10 MUTUKULA-MASAKA'!D32,'26.10 MUTUKULA-MASAKA-24HR'!D32,'27.10 Mutukula-Masaka'!D32,'28.10 MUTUKULA-MASAKA-24HR'!D32,'29.10 MUTUKULA-MASAKA'!D32,'30.10 MUTUKULA-MASAKA'!D32,'31.10.MUTUKULA-MASAKA'!D32)</f>
        <v>0.2857142857142857</v>
      </c>
      <c r="E32" s="49">
        <f>AVERAGE('25.10 MUTUKULA-MASAKA'!E32,'26.10 MUTUKULA-MASAKA-24HR'!E32,'27.10 Mutukula-Masaka'!E32,'28.10 MUTUKULA-MASAKA-24HR'!E32,'29.10 MUTUKULA-MASAKA'!E32,'30.10 MUTUKULA-MASAKA'!E32,'31.10.MUTUKULA-MASAKA'!E32)</f>
        <v>0.14285714285714285</v>
      </c>
      <c r="F32" s="49">
        <f>AVERAGE('25.10 MUTUKULA-MASAKA'!F32,'26.10 MUTUKULA-MASAKA-24HR'!F32,'27.10 Mutukula-Masaka'!F32,'28.10 MUTUKULA-MASAKA-24HR'!F32,'29.10 MUTUKULA-MASAKA'!F32,'30.10 MUTUKULA-MASAKA'!F32,'31.10.MUTUKULA-MASAKA'!F32)</f>
        <v>1.2857142857142858</v>
      </c>
      <c r="G32" s="49">
        <f>AVERAGE('25.10 MUTUKULA-MASAKA'!G32,'26.10 MUTUKULA-MASAKA-24HR'!G32,'27.10 Mutukula-Masaka'!G32,'28.10 MUTUKULA-MASAKA-24HR'!G32,'29.10 MUTUKULA-MASAKA'!G32,'30.10 MUTUKULA-MASAKA'!G32,'31.10.MUTUKULA-MASAKA'!G32)</f>
        <v>0</v>
      </c>
      <c r="H32" s="49">
        <f>AVERAGE('25.10 MUTUKULA-MASAKA'!H32,'26.10 MUTUKULA-MASAKA-24HR'!H32,'27.10 Mutukula-Masaka'!H32,'28.10 MUTUKULA-MASAKA-24HR'!H32,'29.10 MUTUKULA-MASAKA'!H32,'30.10 MUTUKULA-MASAKA'!H32,'31.10.MUTUKULA-MASAKA'!H32)</f>
        <v>0</v>
      </c>
      <c r="I32" s="49">
        <f>AVERAGE('25.10 MUTUKULA-MASAKA'!I32,'26.10 MUTUKULA-MASAKA-24HR'!I32,'27.10 Mutukula-Masaka'!I32,'28.10 MUTUKULA-MASAKA-24HR'!I32,'29.10 MUTUKULA-MASAKA'!I32,'30.10 MUTUKULA-MASAKA'!I32,'31.10.MUTUKULA-MASAKA'!I32)</f>
        <v>0.8571428571428571</v>
      </c>
      <c r="J32" s="49">
        <f>AVERAGE('25.10 MUTUKULA-MASAKA'!J32,'26.10 MUTUKULA-MASAKA-24HR'!J32,'27.10 Mutukula-Masaka'!J32,'28.10 MUTUKULA-MASAKA-24HR'!J32,'29.10 MUTUKULA-MASAKA'!J32,'30.10 MUTUKULA-MASAKA'!J32,'31.10.MUTUKULA-MASAKA'!J32)</f>
        <v>0.2857142857142857</v>
      </c>
      <c r="K32" s="49">
        <f>AVERAGE('25.10 MUTUKULA-MASAKA'!K32,'26.10 MUTUKULA-MASAKA-24HR'!K32,'27.10 Mutukula-Masaka'!K32,'28.10 MUTUKULA-MASAKA-24HR'!K32,'29.10 MUTUKULA-MASAKA'!K32,'30.10 MUTUKULA-MASAKA'!K32,'31.10.MUTUKULA-MASAKA'!K32)</f>
        <v>0.14285714285714285</v>
      </c>
      <c r="L32" s="49">
        <f>AVERAGE('25.10 MUTUKULA-MASAKA'!L32,'26.10 MUTUKULA-MASAKA-24HR'!L32,'27.10 Mutukula-Masaka'!L32,'28.10 MUTUKULA-MASAKA-24HR'!L32,'29.10 MUTUKULA-MASAKA'!L32,'30.10 MUTUKULA-MASAKA'!L32,'31.10.MUTUKULA-MASAKA'!L32)</f>
        <v>0</v>
      </c>
      <c r="M32" s="49">
        <f>AVERAGE('25.10 MUTUKULA-MASAKA'!M32,'26.10 MUTUKULA-MASAKA-24HR'!M32,'27.10 Mutukula-Masaka'!M32,'28.10 MUTUKULA-MASAKA-24HR'!M32,'29.10 MUTUKULA-MASAKA'!M32,'30.10 MUTUKULA-MASAKA'!M32,'31.10.MUTUKULA-MASAKA'!M32)</f>
        <v>8.2857142857142865</v>
      </c>
      <c r="N32" s="49">
        <f>AVERAGE('25.10 MUTUKULA-MASAKA'!N32,'26.10 MUTUKULA-MASAKA-24HR'!N32,'27.10 Mutukula-Masaka'!N32,'28.10 MUTUKULA-MASAKA-24HR'!N32,'29.10 MUTUKULA-MASAKA'!N32,'30.10 MUTUKULA-MASAKA'!N32,'31.10.MUTUKULA-MASAKA'!N32)</f>
        <v>0</v>
      </c>
      <c r="O32" s="15">
        <f t="shared" si="0"/>
        <v>5.4285714285714279</v>
      </c>
      <c r="P32" s="15">
        <f t="shared" si="1"/>
        <v>13.714285714285715</v>
      </c>
      <c r="R32" s="1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1.5</v>
      </c>
      <c r="W32" s="34">
        <f t="shared" si="24"/>
        <v>1</v>
      </c>
      <c r="X32" s="34">
        <f t="shared" si="24"/>
        <v>0.5</v>
      </c>
      <c r="Y32" s="34">
        <f t="shared" si="24"/>
        <v>0</v>
      </c>
      <c r="Z32" s="34">
        <f t="shared" si="24"/>
        <v>0</v>
      </c>
      <c r="AA32" s="34">
        <f t="shared" si="24"/>
        <v>0.5</v>
      </c>
      <c r="AB32" s="34">
        <f t="shared" si="24"/>
        <v>0</v>
      </c>
      <c r="AC32" s="34">
        <f t="shared" si="24"/>
        <v>1.5</v>
      </c>
      <c r="AD32" s="34">
        <f t="shared" si="24"/>
        <v>0</v>
      </c>
      <c r="AE32" s="31">
        <f t="shared" si="24"/>
        <v>4.5</v>
      </c>
      <c r="AF32" s="31">
        <f t="shared" si="24"/>
        <v>6</v>
      </c>
    </row>
    <row r="33" spans="2:32" ht="23.1" customHeight="1" x14ac:dyDescent="0.25">
      <c r="B33" s="23" t="s">
        <v>60</v>
      </c>
      <c r="C33" s="49">
        <f>AVERAGE('25.10 MUTUKULA-MASAKA'!C33,'26.10 MUTUKULA-MASAKA-24HR'!C33,'27.10 Mutukula-Masaka'!C33,'28.10 MUTUKULA-MASAKA-24HR'!C33,'29.10 MUTUKULA-MASAKA'!C33,'30.10 MUTUKULA-MASAKA'!C33,'31.10.MUTUKULA-MASAKA'!C33)</f>
        <v>2.4285714285714284</v>
      </c>
      <c r="D33" s="49">
        <f>AVERAGE('25.10 MUTUKULA-MASAKA'!D33,'26.10 MUTUKULA-MASAKA-24HR'!D33,'27.10 Mutukula-Masaka'!D33,'28.10 MUTUKULA-MASAKA-24HR'!D33,'29.10 MUTUKULA-MASAKA'!D33,'30.10 MUTUKULA-MASAKA'!D33,'31.10.MUTUKULA-MASAKA'!D33)</f>
        <v>0.42857142857142855</v>
      </c>
      <c r="E33" s="49">
        <f>AVERAGE('25.10 MUTUKULA-MASAKA'!E33,'26.10 MUTUKULA-MASAKA-24HR'!E33,'27.10 Mutukula-Masaka'!E33,'28.10 MUTUKULA-MASAKA-24HR'!E33,'29.10 MUTUKULA-MASAKA'!E33,'30.10 MUTUKULA-MASAKA'!E33,'31.10.MUTUKULA-MASAKA'!E33)</f>
        <v>0.14285714285714285</v>
      </c>
      <c r="F33" s="49">
        <f>AVERAGE('25.10 MUTUKULA-MASAKA'!F33,'26.10 MUTUKULA-MASAKA-24HR'!F33,'27.10 Mutukula-Masaka'!F33,'28.10 MUTUKULA-MASAKA-24HR'!F33,'29.10 MUTUKULA-MASAKA'!F33,'30.10 MUTUKULA-MASAKA'!F33,'31.10.MUTUKULA-MASAKA'!F33)</f>
        <v>0.2857142857142857</v>
      </c>
      <c r="G33" s="49">
        <f>AVERAGE('25.10 MUTUKULA-MASAKA'!G33,'26.10 MUTUKULA-MASAKA-24HR'!G33,'27.10 Mutukula-Masaka'!G33,'28.10 MUTUKULA-MASAKA-24HR'!G33,'29.10 MUTUKULA-MASAKA'!G33,'30.10 MUTUKULA-MASAKA'!G33,'31.10.MUTUKULA-MASAKA'!G33)</f>
        <v>0</v>
      </c>
      <c r="H33" s="49">
        <f>AVERAGE('25.10 MUTUKULA-MASAKA'!H33,'26.10 MUTUKULA-MASAKA-24HR'!H33,'27.10 Mutukula-Masaka'!H33,'28.10 MUTUKULA-MASAKA-24HR'!H33,'29.10 MUTUKULA-MASAKA'!H33,'30.10 MUTUKULA-MASAKA'!H33,'31.10.MUTUKULA-MASAKA'!H33)</f>
        <v>0</v>
      </c>
      <c r="I33" s="49">
        <f>AVERAGE('25.10 MUTUKULA-MASAKA'!I33,'26.10 MUTUKULA-MASAKA-24HR'!I33,'27.10 Mutukula-Masaka'!I33,'28.10 MUTUKULA-MASAKA-24HR'!I33,'29.10 MUTUKULA-MASAKA'!I33,'30.10 MUTUKULA-MASAKA'!I33,'31.10.MUTUKULA-MASAKA'!I33)</f>
        <v>0.5714285714285714</v>
      </c>
      <c r="J33" s="49">
        <f>AVERAGE('25.10 MUTUKULA-MASAKA'!J33,'26.10 MUTUKULA-MASAKA-24HR'!J33,'27.10 Mutukula-Masaka'!J33,'28.10 MUTUKULA-MASAKA-24HR'!J33,'29.10 MUTUKULA-MASAKA'!J33,'30.10 MUTUKULA-MASAKA'!J33,'31.10.MUTUKULA-MASAKA'!J33)</f>
        <v>0.5714285714285714</v>
      </c>
      <c r="K33" s="49">
        <f>AVERAGE('25.10 MUTUKULA-MASAKA'!K33,'26.10 MUTUKULA-MASAKA-24HR'!K33,'27.10 Mutukula-Masaka'!K33,'28.10 MUTUKULA-MASAKA-24HR'!K33,'29.10 MUTUKULA-MASAKA'!K33,'30.10 MUTUKULA-MASAKA'!K33,'31.10.MUTUKULA-MASAKA'!K33)</f>
        <v>0.42857142857142855</v>
      </c>
      <c r="L33" s="49">
        <f>AVERAGE('25.10 MUTUKULA-MASAKA'!L33,'26.10 MUTUKULA-MASAKA-24HR'!L33,'27.10 Mutukula-Masaka'!L33,'28.10 MUTUKULA-MASAKA-24HR'!L33,'29.10 MUTUKULA-MASAKA'!L33,'30.10 MUTUKULA-MASAKA'!L33,'31.10.MUTUKULA-MASAKA'!L33)</f>
        <v>0</v>
      </c>
      <c r="M33" s="49">
        <f>AVERAGE('25.10 MUTUKULA-MASAKA'!M33,'26.10 MUTUKULA-MASAKA-24HR'!M33,'27.10 Mutukula-Masaka'!M33,'28.10 MUTUKULA-MASAKA-24HR'!M33,'29.10 MUTUKULA-MASAKA'!M33,'30.10 MUTUKULA-MASAKA'!M33,'31.10.MUTUKULA-MASAKA'!M33)</f>
        <v>9</v>
      </c>
      <c r="N33" s="49">
        <f>AVERAGE('25.10 MUTUKULA-MASAKA'!N33,'26.10 MUTUKULA-MASAKA-24HR'!N33,'27.10 Mutukula-Masaka'!N33,'28.10 MUTUKULA-MASAKA-24HR'!N33,'29.10 MUTUKULA-MASAKA'!N33,'30.10 MUTUKULA-MASAKA'!N33,'31.10.MUTUKULA-MASAKA'!N33)</f>
        <v>0</v>
      </c>
      <c r="O33" s="15">
        <f t="shared" si="0"/>
        <v>4.8571428571428568</v>
      </c>
      <c r="P33" s="15">
        <f t="shared" si="1"/>
        <v>13.857142857142858</v>
      </c>
      <c r="R33" s="38" t="s">
        <v>90</v>
      </c>
      <c r="S33" s="39">
        <f t="shared" ref="S33:AF33" si="25">MAX(S10:S12)</f>
        <v>9.2857142857142865</v>
      </c>
      <c r="T33" s="39">
        <f t="shared" si="25"/>
        <v>0.99999999999999978</v>
      </c>
      <c r="U33" s="39">
        <f t="shared" si="25"/>
        <v>0.5714285714285714</v>
      </c>
      <c r="V33" s="39">
        <f t="shared" si="25"/>
        <v>3.8571428571428577</v>
      </c>
      <c r="W33" s="39">
        <f t="shared" si="25"/>
        <v>0.2857142857142857</v>
      </c>
      <c r="X33" s="39">
        <f t="shared" si="25"/>
        <v>0</v>
      </c>
      <c r="Y33" s="39">
        <f t="shared" si="25"/>
        <v>3.1428571428571423</v>
      </c>
      <c r="Z33" s="39">
        <f t="shared" si="25"/>
        <v>0.71428571428571419</v>
      </c>
      <c r="AA33" s="39">
        <f t="shared" si="25"/>
        <v>1.4285714285714284</v>
      </c>
      <c r="AB33" s="39">
        <f t="shared" si="25"/>
        <v>0.2857142857142857</v>
      </c>
      <c r="AC33" s="39">
        <f t="shared" si="25"/>
        <v>42.285714285714285</v>
      </c>
      <c r="AD33" s="39">
        <f t="shared" si="25"/>
        <v>0</v>
      </c>
      <c r="AE33" s="40">
        <f t="shared" si="25"/>
        <v>19.714285714285715</v>
      </c>
      <c r="AF33" s="40">
        <f t="shared" si="25"/>
        <v>62</v>
      </c>
    </row>
    <row r="34" spans="2:32" ht="23.1" customHeight="1" x14ac:dyDescent="0.25">
      <c r="B34" s="24" t="s">
        <v>61</v>
      </c>
      <c r="C34" s="49">
        <f>AVERAGE('25.10 MUTUKULA-MASAKA'!C34,'26.10 MUTUKULA-MASAKA-24HR'!C34,'27.10 Mutukula-Masaka'!C34,'28.10 MUTUKULA-MASAKA-24HR'!C34,'29.10 MUTUKULA-MASAKA'!C34,'30.10 MUTUKULA-MASAKA'!C34,'31.10.MUTUKULA-MASAKA'!C34)</f>
        <v>2.4285714285714284</v>
      </c>
      <c r="D34" s="49">
        <f>AVERAGE('25.10 MUTUKULA-MASAKA'!D34,'26.10 MUTUKULA-MASAKA-24HR'!D34,'27.10 Mutukula-Masaka'!D34,'28.10 MUTUKULA-MASAKA-24HR'!D34,'29.10 MUTUKULA-MASAKA'!D34,'30.10 MUTUKULA-MASAKA'!D34,'31.10.MUTUKULA-MASAKA'!D34)</f>
        <v>0.14285714285714285</v>
      </c>
      <c r="E34" s="49">
        <f>AVERAGE('25.10 MUTUKULA-MASAKA'!E34,'26.10 MUTUKULA-MASAKA-24HR'!E34,'27.10 Mutukula-Masaka'!E34,'28.10 MUTUKULA-MASAKA-24HR'!E34,'29.10 MUTUKULA-MASAKA'!E34,'30.10 MUTUKULA-MASAKA'!E34,'31.10.MUTUKULA-MASAKA'!E34)</f>
        <v>0.14285714285714285</v>
      </c>
      <c r="F34" s="49">
        <f>AVERAGE('25.10 MUTUKULA-MASAKA'!F34,'26.10 MUTUKULA-MASAKA-24HR'!F34,'27.10 Mutukula-Masaka'!F34,'28.10 MUTUKULA-MASAKA-24HR'!F34,'29.10 MUTUKULA-MASAKA'!F34,'30.10 MUTUKULA-MASAKA'!F34,'31.10.MUTUKULA-MASAKA'!F34)</f>
        <v>1.4285714285714286</v>
      </c>
      <c r="G34" s="49">
        <f>AVERAGE('25.10 MUTUKULA-MASAKA'!G34,'26.10 MUTUKULA-MASAKA-24HR'!G34,'27.10 Mutukula-Masaka'!G34,'28.10 MUTUKULA-MASAKA-24HR'!G34,'29.10 MUTUKULA-MASAKA'!G34,'30.10 MUTUKULA-MASAKA'!G34,'31.10.MUTUKULA-MASAKA'!G34)</f>
        <v>0</v>
      </c>
      <c r="H34" s="49">
        <f>AVERAGE('25.10 MUTUKULA-MASAKA'!H34,'26.10 MUTUKULA-MASAKA-24HR'!H34,'27.10 Mutukula-Masaka'!H34,'28.10 MUTUKULA-MASAKA-24HR'!H34,'29.10 MUTUKULA-MASAKA'!H34,'30.10 MUTUKULA-MASAKA'!H34,'31.10.MUTUKULA-MASAKA'!H34)</f>
        <v>0</v>
      </c>
      <c r="I34" s="49">
        <f>AVERAGE('25.10 MUTUKULA-MASAKA'!I34,'26.10 MUTUKULA-MASAKA-24HR'!I34,'27.10 Mutukula-Masaka'!I34,'28.10 MUTUKULA-MASAKA-24HR'!I34,'29.10 MUTUKULA-MASAKA'!I34,'30.10 MUTUKULA-MASAKA'!I34,'31.10.MUTUKULA-MASAKA'!I34)</f>
        <v>1</v>
      </c>
      <c r="J34" s="49">
        <f>AVERAGE('25.10 MUTUKULA-MASAKA'!J34,'26.10 MUTUKULA-MASAKA-24HR'!J34,'27.10 Mutukula-Masaka'!J34,'28.10 MUTUKULA-MASAKA-24HR'!J34,'29.10 MUTUKULA-MASAKA'!J34,'30.10 MUTUKULA-MASAKA'!J34,'31.10.MUTUKULA-MASAKA'!J34)</f>
        <v>0.42857142857142855</v>
      </c>
      <c r="K34" s="49">
        <f>AVERAGE('25.10 MUTUKULA-MASAKA'!K34,'26.10 MUTUKULA-MASAKA-24HR'!K34,'27.10 Mutukula-Masaka'!K34,'28.10 MUTUKULA-MASAKA-24HR'!K34,'29.10 MUTUKULA-MASAKA'!K34,'30.10 MUTUKULA-MASAKA'!K34,'31.10.MUTUKULA-MASAKA'!K34)</f>
        <v>1</v>
      </c>
      <c r="L34" s="49">
        <f>AVERAGE('25.10 MUTUKULA-MASAKA'!L34,'26.10 MUTUKULA-MASAKA-24HR'!L34,'27.10 Mutukula-Masaka'!L34,'28.10 MUTUKULA-MASAKA-24HR'!L34,'29.10 MUTUKULA-MASAKA'!L34,'30.10 MUTUKULA-MASAKA'!L34,'31.10.MUTUKULA-MASAKA'!L34)</f>
        <v>0</v>
      </c>
      <c r="M34" s="49">
        <f>AVERAGE('25.10 MUTUKULA-MASAKA'!M34,'26.10 MUTUKULA-MASAKA-24HR'!M34,'27.10 Mutukula-Masaka'!M34,'28.10 MUTUKULA-MASAKA-24HR'!M34,'29.10 MUTUKULA-MASAKA'!M34,'30.10 MUTUKULA-MASAKA'!M34,'31.10.MUTUKULA-MASAKA'!M34)</f>
        <v>9.2857142857142865</v>
      </c>
      <c r="N34" s="49">
        <f>AVERAGE('25.10 MUTUKULA-MASAKA'!N34,'26.10 MUTUKULA-MASAKA-24HR'!N34,'27.10 Mutukula-Masaka'!N34,'28.10 MUTUKULA-MASAKA-24HR'!N34,'29.10 MUTUKULA-MASAKA'!N34,'30.10 MUTUKULA-MASAKA'!N34,'31.10.MUTUKULA-MASAKA'!N34)</f>
        <v>0</v>
      </c>
      <c r="O34" s="15">
        <f t="shared" si="0"/>
        <v>6.5714285714285712</v>
      </c>
      <c r="P34" s="15">
        <f t="shared" si="1"/>
        <v>15.857142857142858</v>
      </c>
      <c r="R34" s="38" t="s">
        <v>91</v>
      </c>
      <c r="S34" s="39">
        <f t="shared" ref="S34:AF34" si="26">MAX(S13:S18)</f>
        <v>9.8571428571428577</v>
      </c>
      <c r="T34" s="39">
        <f t="shared" si="26"/>
        <v>2.4285714285714284</v>
      </c>
      <c r="U34" s="39">
        <f t="shared" si="26"/>
        <v>1</v>
      </c>
      <c r="V34" s="39">
        <f t="shared" si="26"/>
        <v>5.5714285714285712</v>
      </c>
      <c r="W34" s="39">
        <f t="shared" si="26"/>
        <v>0.2857142857142857</v>
      </c>
      <c r="X34" s="39">
        <f t="shared" si="26"/>
        <v>0</v>
      </c>
      <c r="Y34" s="39">
        <f t="shared" si="26"/>
        <v>4</v>
      </c>
      <c r="Z34" s="39">
        <f t="shared" si="26"/>
        <v>3.7142857142857144</v>
      </c>
      <c r="AA34" s="39">
        <f t="shared" si="26"/>
        <v>3</v>
      </c>
      <c r="AB34" s="39">
        <f t="shared" si="26"/>
        <v>1</v>
      </c>
      <c r="AC34" s="39">
        <f t="shared" si="26"/>
        <v>42.571428571428577</v>
      </c>
      <c r="AD34" s="39">
        <f t="shared" si="26"/>
        <v>0.14285714285714285</v>
      </c>
      <c r="AE34" s="40">
        <f t="shared" si="26"/>
        <v>27.857142857142854</v>
      </c>
      <c r="AF34" s="40">
        <f t="shared" si="26"/>
        <v>70.428571428571431</v>
      </c>
    </row>
    <row r="35" spans="2:32" ht="23.1" customHeight="1" x14ac:dyDescent="0.25">
      <c r="B35" s="24" t="s">
        <v>62</v>
      </c>
      <c r="C35" s="49">
        <f>AVERAGE('25.10 MUTUKULA-MASAKA'!C35,'26.10 MUTUKULA-MASAKA-24HR'!C35,'27.10 Mutukula-Masaka'!C35,'28.10 MUTUKULA-MASAKA-24HR'!C35,'29.10 MUTUKULA-MASAKA'!C35,'30.10 MUTUKULA-MASAKA'!C35,'31.10.MUTUKULA-MASAKA'!C35)</f>
        <v>2.1428571428571428</v>
      </c>
      <c r="D35" s="49">
        <f>AVERAGE('25.10 MUTUKULA-MASAKA'!D35,'26.10 MUTUKULA-MASAKA-24HR'!D35,'27.10 Mutukula-Masaka'!D35,'28.10 MUTUKULA-MASAKA-24HR'!D35,'29.10 MUTUKULA-MASAKA'!D35,'30.10 MUTUKULA-MASAKA'!D35,'31.10.MUTUKULA-MASAKA'!D35)</f>
        <v>0.14285714285714285</v>
      </c>
      <c r="E35" s="49">
        <f>AVERAGE('25.10 MUTUKULA-MASAKA'!E35,'26.10 MUTUKULA-MASAKA-24HR'!E35,'27.10 Mutukula-Masaka'!E35,'28.10 MUTUKULA-MASAKA-24HR'!E35,'29.10 MUTUKULA-MASAKA'!E35,'30.10 MUTUKULA-MASAKA'!E35,'31.10.MUTUKULA-MASAKA'!E35)</f>
        <v>0</v>
      </c>
      <c r="F35" s="49">
        <f>AVERAGE('25.10 MUTUKULA-MASAKA'!F35,'26.10 MUTUKULA-MASAKA-24HR'!F35,'27.10 Mutukula-Masaka'!F35,'28.10 MUTUKULA-MASAKA-24HR'!F35,'29.10 MUTUKULA-MASAKA'!F35,'30.10 MUTUKULA-MASAKA'!F35,'31.10.MUTUKULA-MASAKA'!F35)</f>
        <v>1</v>
      </c>
      <c r="G35" s="49">
        <f>AVERAGE('25.10 MUTUKULA-MASAKA'!G35,'26.10 MUTUKULA-MASAKA-24HR'!G35,'27.10 Mutukula-Masaka'!G35,'28.10 MUTUKULA-MASAKA-24HR'!G35,'29.10 MUTUKULA-MASAKA'!G35,'30.10 MUTUKULA-MASAKA'!G35,'31.10.MUTUKULA-MASAKA'!G35)</f>
        <v>0</v>
      </c>
      <c r="H35" s="49">
        <f>AVERAGE('25.10 MUTUKULA-MASAKA'!H35,'26.10 MUTUKULA-MASAKA-24HR'!H35,'27.10 Mutukula-Masaka'!H35,'28.10 MUTUKULA-MASAKA-24HR'!H35,'29.10 MUTUKULA-MASAKA'!H35,'30.10 MUTUKULA-MASAKA'!H35,'31.10.MUTUKULA-MASAKA'!H35)</f>
        <v>0</v>
      </c>
      <c r="I35" s="49">
        <f>AVERAGE('25.10 MUTUKULA-MASAKA'!I35,'26.10 MUTUKULA-MASAKA-24HR'!I35,'27.10 Mutukula-Masaka'!I35,'28.10 MUTUKULA-MASAKA-24HR'!I35,'29.10 MUTUKULA-MASAKA'!I35,'30.10 MUTUKULA-MASAKA'!I35,'31.10.MUTUKULA-MASAKA'!I35)</f>
        <v>0.8571428571428571</v>
      </c>
      <c r="J35" s="49">
        <f>AVERAGE('25.10 MUTUKULA-MASAKA'!J35,'26.10 MUTUKULA-MASAKA-24HR'!J35,'27.10 Mutukula-Masaka'!J35,'28.10 MUTUKULA-MASAKA-24HR'!J35,'29.10 MUTUKULA-MASAKA'!J35,'30.10 MUTUKULA-MASAKA'!J35,'31.10.MUTUKULA-MASAKA'!J35)</f>
        <v>0.8571428571428571</v>
      </c>
      <c r="K35" s="49">
        <f>AVERAGE('25.10 MUTUKULA-MASAKA'!K35,'26.10 MUTUKULA-MASAKA-24HR'!K35,'27.10 Mutukula-Masaka'!K35,'28.10 MUTUKULA-MASAKA-24HR'!K35,'29.10 MUTUKULA-MASAKA'!K35,'30.10 MUTUKULA-MASAKA'!K35,'31.10.MUTUKULA-MASAKA'!K35)</f>
        <v>0.2857142857142857</v>
      </c>
      <c r="L35" s="49">
        <f>AVERAGE('25.10 MUTUKULA-MASAKA'!L35,'26.10 MUTUKULA-MASAKA-24HR'!L35,'27.10 Mutukula-Masaka'!L35,'28.10 MUTUKULA-MASAKA-24HR'!L35,'29.10 MUTUKULA-MASAKA'!L35,'30.10 MUTUKULA-MASAKA'!L35,'31.10.MUTUKULA-MASAKA'!L35)</f>
        <v>0.2857142857142857</v>
      </c>
      <c r="M35" s="49">
        <f>AVERAGE('25.10 MUTUKULA-MASAKA'!M35,'26.10 MUTUKULA-MASAKA-24HR'!M35,'27.10 Mutukula-Masaka'!M35,'28.10 MUTUKULA-MASAKA-24HR'!M35,'29.10 MUTUKULA-MASAKA'!M35,'30.10 MUTUKULA-MASAKA'!M35,'31.10.MUTUKULA-MASAKA'!M35)</f>
        <v>9</v>
      </c>
      <c r="N35" s="49">
        <f>AVERAGE('25.10 MUTUKULA-MASAKA'!N35,'26.10 MUTUKULA-MASAKA-24HR'!N35,'27.10 Mutukula-Masaka'!N35,'28.10 MUTUKULA-MASAKA-24HR'!N35,'29.10 MUTUKULA-MASAKA'!N35,'30.10 MUTUKULA-MASAKA'!N35,'31.10.MUTUKULA-MASAKA'!N35)</f>
        <v>0</v>
      </c>
      <c r="O35" s="15">
        <f t="shared" si="0"/>
        <v>5.5714285714285703</v>
      </c>
      <c r="P35" s="15">
        <f t="shared" si="1"/>
        <v>14.571428571428569</v>
      </c>
      <c r="R35" s="38" t="s">
        <v>92</v>
      </c>
      <c r="S35" s="39">
        <f t="shared" ref="S35:AF35" si="27">MAX(S19:S21)</f>
        <v>10.571428571428571</v>
      </c>
      <c r="T35" s="39">
        <f t="shared" si="27"/>
        <v>2.2857142857142856</v>
      </c>
      <c r="U35" s="39">
        <f t="shared" si="27"/>
        <v>0.71428571428571419</v>
      </c>
      <c r="V35" s="39">
        <f t="shared" si="27"/>
        <v>5.2857142857142856</v>
      </c>
      <c r="W35" s="39">
        <f t="shared" si="27"/>
        <v>0.14285714285714285</v>
      </c>
      <c r="X35" s="39">
        <f t="shared" si="27"/>
        <v>1.2857142857142856</v>
      </c>
      <c r="Y35" s="39">
        <f t="shared" si="27"/>
        <v>4.2857142857142856</v>
      </c>
      <c r="Z35" s="39">
        <f t="shared" si="27"/>
        <v>6.5714285714285721</v>
      </c>
      <c r="AA35" s="39">
        <f t="shared" si="27"/>
        <v>4.7142857142857144</v>
      </c>
      <c r="AB35" s="39">
        <f t="shared" si="27"/>
        <v>1</v>
      </c>
      <c r="AC35" s="39">
        <f t="shared" si="27"/>
        <v>50.285714285714285</v>
      </c>
      <c r="AD35" s="39">
        <f t="shared" si="27"/>
        <v>0.14285714285714285</v>
      </c>
      <c r="AE35" s="40">
        <f t="shared" si="27"/>
        <v>34.428571428571431</v>
      </c>
      <c r="AF35" s="40">
        <f t="shared" si="27"/>
        <v>83.428571428571416</v>
      </c>
    </row>
    <row r="36" spans="2:32" ht="23.1" customHeight="1" x14ac:dyDescent="0.25">
      <c r="B36" s="24" t="s">
        <v>63</v>
      </c>
      <c r="C36" s="49">
        <f>AVERAGE('25.10 MUTUKULA-MASAKA'!C36,'26.10 MUTUKULA-MASAKA-24HR'!C36,'27.10 Mutukula-Masaka'!C36,'28.10 MUTUKULA-MASAKA-24HR'!C36,'29.10 MUTUKULA-MASAKA'!C36,'30.10 MUTUKULA-MASAKA'!C36,'31.10.MUTUKULA-MASAKA'!C36)</f>
        <v>1</v>
      </c>
      <c r="D36" s="49">
        <f>AVERAGE('25.10 MUTUKULA-MASAKA'!D36,'26.10 MUTUKULA-MASAKA-24HR'!D36,'27.10 Mutukula-Masaka'!D36,'28.10 MUTUKULA-MASAKA-24HR'!D36,'29.10 MUTUKULA-MASAKA'!D36,'30.10 MUTUKULA-MASAKA'!D36,'31.10.MUTUKULA-MASAKA'!D36)</f>
        <v>0</v>
      </c>
      <c r="E36" s="49">
        <f>AVERAGE('25.10 MUTUKULA-MASAKA'!E36,'26.10 MUTUKULA-MASAKA-24HR'!E36,'27.10 Mutukula-Masaka'!E36,'28.10 MUTUKULA-MASAKA-24HR'!E36,'29.10 MUTUKULA-MASAKA'!E36,'30.10 MUTUKULA-MASAKA'!E36,'31.10.MUTUKULA-MASAKA'!E36)</f>
        <v>0.14285714285714285</v>
      </c>
      <c r="F36" s="49">
        <f>AVERAGE('25.10 MUTUKULA-MASAKA'!F36,'26.10 MUTUKULA-MASAKA-24HR'!F36,'27.10 Mutukula-Masaka'!F36,'28.10 MUTUKULA-MASAKA-24HR'!F36,'29.10 MUTUKULA-MASAKA'!F36,'30.10 MUTUKULA-MASAKA'!F36,'31.10.MUTUKULA-MASAKA'!F36)</f>
        <v>0.8571428571428571</v>
      </c>
      <c r="G36" s="49">
        <f>AVERAGE('25.10 MUTUKULA-MASAKA'!G36,'26.10 MUTUKULA-MASAKA-24HR'!G36,'27.10 Mutukula-Masaka'!G36,'28.10 MUTUKULA-MASAKA-24HR'!G36,'29.10 MUTUKULA-MASAKA'!G36,'30.10 MUTUKULA-MASAKA'!G36,'31.10.MUTUKULA-MASAKA'!G36)</f>
        <v>0.14285714285714285</v>
      </c>
      <c r="H36" s="49">
        <f>AVERAGE('25.10 MUTUKULA-MASAKA'!H36,'26.10 MUTUKULA-MASAKA-24HR'!H36,'27.10 Mutukula-Masaka'!H36,'28.10 MUTUKULA-MASAKA-24HR'!H36,'29.10 MUTUKULA-MASAKA'!H36,'30.10 MUTUKULA-MASAKA'!H36,'31.10.MUTUKULA-MASAKA'!H36)</f>
        <v>0</v>
      </c>
      <c r="I36" s="49">
        <f>AVERAGE('25.10 MUTUKULA-MASAKA'!I36,'26.10 MUTUKULA-MASAKA-24HR'!I36,'27.10 Mutukula-Masaka'!I36,'28.10 MUTUKULA-MASAKA-24HR'!I36,'29.10 MUTUKULA-MASAKA'!I36,'30.10 MUTUKULA-MASAKA'!I36,'31.10.MUTUKULA-MASAKA'!I36)</f>
        <v>0.14285714285714285</v>
      </c>
      <c r="J36" s="49">
        <f>AVERAGE('25.10 MUTUKULA-MASAKA'!J36,'26.10 MUTUKULA-MASAKA-24HR'!J36,'27.10 Mutukula-Masaka'!J36,'28.10 MUTUKULA-MASAKA-24HR'!J36,'29.10 MUTUKULA-MASAKA'!J36,'30.10 MUTUKULA-MASAKA'!J36,'31.10.MUTUKULA-MASAKA'!J36)</f>
        <v>0.5714285714285714</v>
      </c>
      <c r="K36" s="49">
        <f>AVERAGE('25.10 MUTUKULA-MASAKA'!K36,'26.10 MUTUKULA-MASAKA-24HR'!K36,'27.10 Mutukula-Masaka'!K36,'28.10 MUTUKULA-MASAKA-24HR'!K36,'29.10 MUTUKULA-MASAKA'!K36,'30.10 MUTUKULA-MASAKA'!K36,'31.10.MUTUKULA-MASAKA'!K36)</f>
        <v>0.2857142857142857</v>
      </c>
      <c r="L36" s="49">
        <f>AVERAGE('25.10 MUTUKULA-MASAKA'!L36,'26.10 MUTUKULA-MASAKA-24HR'!L36,'27.10 Mutukula-Masaka'!L36,'28.10 MUTUKULA-MASAKA-24HR'!L36,'29.10 MUTUKULA-MASAKA'!L36,'30.10 MUTUKULA-MASAKA'!L36,'31.10.MUTUKULA-MASAKA'!L36)</f>
        <v>0.14285714285714285</v>
      </c>
      <c r="M36" s="49">
        <f>AVERAGE('25.10 MUTUKULA-MASAKA'!M36,'26.10 MUTUKULA-MASAKA-24HR'!M36,'27.10 Mutukula-Masaka'!M36,'28.10 MUTUKULA-MASAKA-24HR'!M36,'29.10 MUTUKULA-MASAKA'!M36,'30.10 MUTUKULA-MASAKA'!M36,'31.10.MUTUKULA-MASAKA'!M36)</f>
        <v>7.8571428571428568</v>
      </c>
      <c r="N36" s="49">
        <f>AVERAGE('25.10 MUTUKULA-MASAKA'!N36,'26.10 MUTUKULA-MASAKA-24HR'!N36,'27.10 Mutukula-Masaka'!N36,'28.10 MUTUKULA-MASAKA-24HR'!N36,'29.10 MUTUKULA-MASAKA'!N36,'30.10 MUTUKULA-MASAKA'!N36,'31.10.MUTUKULA-MASAKA'!N36)</f>
        <v>0</v>
      </c>
      <c r="O36" s="15">
        <f t="shared" si="0"/>
        <v>3.2857142857142851</v>
      </c>
      <c r="P36" s="15">
        <f t="shared" si="1"/>
        <v>11.142857142857142</v>
      </c>
      <c r="R36" s="37" t="s">
        <v>85</v>
      </c>
      <c r="S36" s="35">
        <f t="shared" ref="S36:AF36" si="28">SUM(S10:S12)</f>
        <v>23.142857142857142</v>
      </c>
      <c r="T36" s="16">
        <f t="shared" si="28"/>
        <v>2.1428571428571423</v>
      </c>
      <c r="U36" s="16">
        <f t="shared" si="28"/>
        <v>1.1428571428571428</v>
      </c>
      <c r="V36" s="16">
        <f t="shared" si="28"/>
        <v>10.428571428571429</v>
      </c>
      <c r="W36" s="16">
        <f t="shared" si="28"/>
        <v>0.42857142857142855</v>
      </c>
      <c r="X36" s="16">
        <f t="shared" si="28"/>
        <v>0</v>
      </c>
      <c r="Y36" s="16">
        <f t="shared" si="28"/>
        <v>6.9999999999999991</v>
      </c>
      <c r="Z36" s="16">
        <f t="shared" si="28"/>
        <v>1.2857142857142856</v>
      </c>
      <c r="AA36" s="16">
        <f t="shared" si="28"/>
        <v>2.8571428571428568</v>
      </c>
      <c r="AB36" s="16">
        <f t="shared" si="28"/>
        <v>0.2857142857142857</v>
      </c>
      <c r="AC36" s="16">
        <f t="shared" si="28"/>
        <v>98.857142857142861</v>
      </c>
      <c r="AD36" s="16">
        <f t="shared" si="28"/>
        <v>0</v>
      </c>
      <c r="AE36" s="32">
        <f t="shared" si="28"/>
        <v>48.714285714285715</v>
      </c>
      <c r="AF36" s="32">
        <f t="shared" si="28"/>
        <v>147.57142857142856</v>
      </c>
    </row>
    <row r="37" spans="2:32" ht="23.1" customHeight="1" x14ac:dyDescent="0.25">
      <c r="B37" s="23" t="s">
        <v>64</v>
      </c>
      <c r="C37" s="49">
        <f>AVERAGE('25.10 MUTUKULA-MASAKA'!C37,'26.10 MUTUKULA-MASAKA-24HR'!C37,'27.10 Mutukula-Masaka'!C37,'28.10 MUTUKULA-MASAKA-24HR'!C37,'29.10 MUTUKULA-MASAKA'!C37,'30.10 MUTUKULA-MASAKA'!C37,'31.10.MUTUKULA-MASAKA'!C37)</f>
        <v>2.4285714285714284</v>
      </c>
      <c r="D37" s="49">
        <f>AVERAGE('25.10 MUTUKULA-MASAKA'!D37,'26.10 MUTUKULA-MASAKA-24HR'!D37,'27.10 Mutukula-Masaka'!D37,'28.10 MUTUKULA-MASAKA-24HR'!D37,'29.10 MUTUKULA-MASAKA'!D37,'30.10 MUTUKULA-MASAKA'!D37,'31.10.MUTUKULA-MASAKA'!D37)</f>
        <v>0.2857142857142857</v>
      </c>
      <c r="E37" s="49">
        <f>AVERAGE('25.10 MUTUKULA-MASAKA'!E37,'26.10 MUTUKULA-MASAKA-24HR'!E37,'27.10 Mutukula-Masaka'!E37,'28.10 MUTUKULA-MASAKA-24HR'!E37,'29.10 MUTUKULA-MASAKA'!E37,'30.10 MUTUKULA-MASAKA'!E37,'31.10.MUTUKULA-MASAKA'!E37)</f>
        <v>0.42857142857142855</v>
      </c>
      <c r="F37" s="49">
        <f>AVERAGE('25.10 MUTUKULA-MASAKA'!F37,'26.10 MUTUKULA-MASAKA-24HR'!F37,'27.10 Mutukula-Masaka'!F37,'28.10 MUTUKULA-MASAKA-24HR'!F37,'29.10 MUTUKULA-MASAKA'!F37,'30.10 MUTUKULA-MASAKA'!F37,'31.10.MUTUKULA-MASAKA'!F37)</f>
        <v>1</v>
      </c>
      <c r="G37" s="49">
        <f>AVERAGE('25.10 MUTUKULA-MASAKA'!G37,'26.10 MUTUKULA-MASAKA-24HR'!G37,'27.10 Mutukula-Masaka'!G37,'28.10 MUTUKULA-MASAKA-24HR'!G37,'29.10 MUTUKULA-MASAKA'!G37,'30.10 MUTUKULA-MASAKA'!G37,'31.10.MUTUKULA-MASAKA'!G37)</f>
        <v>0.14285714285714285</v>
      </c>
      <c r="H37" s="49">
        <f>AVERAGE('25.10 MUTUKULA-MASAKA'!H37,'26.10 MUTUKULA-MASAKA-24HR'!H37,'27.10 Mutukula-Masaka'!H37,'28.10 MUTUKULA-MASAKA-24HR'!H37,'29.10 MUTUKULA-MASAKA'!H37,'30.10 MUTUKULA-MASAKA'!H37,'31.10.MUTUKULA-MASAKA'!H37)</f>
        <v>0</v>
      </c>
      <c r="I37" s="49">
        <f>AVERAGE('25.10 MUTUKULA-MASAKA'!I37,'26.10 MUTUKULA-MASAKA-24HR'!I37,'27.10 Mutukula-Masaka'!I37,'28.10 MUTUKULA-MASAKA-24HR'!I37,'29.10 MUTUKULA-MASAKA'!I37,'30.10 MUTUKULA-MASAKA'!I37,'31.10.MUTUKULA-MASAKA'!I37)</f>
        <v>0.2857142857142857</v>
      </c>
      <c r="J37" s="49">
        <f>AVERAGE('25.10 MUTUKULA-MASAKA'!J37,'26.10 MUTUKULA-MASAKA-24HR'!J37,'27.10 Mutukula-Masaka'!J37,'28.10 MUTUKULA-MASAKA-24HR'!J37,'29.10 MUTUKULA-MASAKA'!J37,'30.10 MUTUKULA-MASAKA'!J37,'31.10.MUTUKULA-MASAKA'!J37)</f>
        <v>0.7142857142857143</v>
      </c>
      <c r="K37" s="49">
        <f>AVERAGE('25.10 MUTUKULA-MASAKA'!K37,'26.10 MUTUKULA-MASAKA-24HR'!K37,'27.10 Mutukula-Masaka'!K37,'28.10 MUTUKULA-MASAKA-24HR'!K37,'29.10 MUTUKULA-MASAKA'!K37,'30.10 MUTUKULA-MASAKA'!K37,'31.10.MUTUKULA-MASAKA'!K37)</f>
        <v>1.2857142857142858</v>
      </c>
      <c r="L37" s="49">
        <f>AVERAGE('25.10 MUTUKULA-MASAKA'!L37,'26.10 MUTUKULA-MASAKA-24HR'!L37,'27.10 Mutukula-Masaka'!L37,'28.10 MUTUKULA-MASAKA-24HR'!L37,'29.10 MUTUKULA-MASAKA'!L37,'30.10 MUTUKULA-MASAKA'!L37,'31.10.MUTUKULA-MASAKA'!L37)</f>
        <v>0.5714285714285714</v>
      </c>
      <c r="M37" s="49">
        <f>AVERAGE('25.10 MUTUKULA-MASAKA'!M37,'26.10 MUTUKULA-MASAKA-24HR'!M37,'27.10 Mutukula-Masaka'!M37,'28.10 MUTUKULA-MASAKA-24HR'!M37,'29.10 MUTUKULA-MASAKA'!M37,'30.10 MUTUKULA-MASAKA'!M37,'31.10.MUTUKULA-MASAKA'!M37)</f>
        <v>8.2857142857142865</v>
      </c>
      <c r="N37" s="49">
        <f>AVERAGE('25.10 MUTUKULA-MASAKA'!N37,'26.10 MUTUKULA-MASAKA-24HR'!N37,'27.10 Mutukula-Masaka'!N37,'28.10 MUTUKULA-MASAKA-24HR'!N37,'29.10 MUTUKULA-MASAKA'!N37,'30.10 MUTUKULA-MASAKA'!N37,'31.10.MUTUKULA-MASAKA'!N37)</f>
        <v>0</v>
      </c>
      <c r="O37" s="15">
        <f t="shared" si="0"/>
        <v>7.1428571428571423</v>
      </c>
      <c r="P37" s="15">
        <f t="shared" si="1"/>
        <v>15.428571428571429</v>
      </c>
      <c r="R37" s="28" t="s">
        <v>86</v>
      </c>
      <c r="S37" s="16">
        <f t="shared" ref="S37:AF37" si="29">SUM(S13:S18)</f>
        <v>49.142857142857139</v>
      </c>
      <c r="T37" s="16">
        <f t="shared" si="29"/>
        <v>10.285714285714285</v>
      </c>
      <c r="U37" s="16">
        <f t="shared" si="29"/>
        <v>4</v>
      </c>
      <c r="V37" s="16">
        <f t="shared" si="29"/>
        <v>26.571428571428569</v>
      </c>
      <c r="W37" s="16">
        <f t="shared" si="29"/>
        <v>0.5714285714285714</v>
      </c>
      <c r="X37" s="16">
        <f t="shared" si="29"/>
        <v>0</v>
      </c>
      <c r="Y37" s="16">
        <f t="shared" si="29"/>
        <v>18.285714285714281</v>
      </c>
      <c r="Z37" s="16">
        <f t="shared" si="29"/>
        <v>13.428571428571431</v>
      </c>
      <c r="AA37" s="16">
        <f t="shared" si="29"/>
        <v>14.142857142857142</v>
      </c>
      <c r="AB37" s="16">
        <f t="shared" si="29"/>
        <v>2.2857142857142856</v>
      </c>
      <c r="AC37" s="16">
        <f t="shared" si="29"/>
        <v>213.71428571428575</v>
      </c>
      <c r="AD37" s="16">
        <f t="shared" si="29"/>
        <v>0.14285714285714285</v>
      </c>
      <c r="AE37" s="32">
        <f t="shared" si="29"/>
        <v>138.85714285714286</v>
      </c>
      <c r="AF37" s="32">
        <f t="shared" si="29"/>
        <v>352.57142857142856</v>
      </c>
    </row>
    <row r="38" spans="2:32" ht="23.1" customHeight="1" x14ac:dyDescent="0.25">
      <c r="B38" s="24" t="s">
        <v>65</v>
      </c>
      <c r="C38" s="49">
        <f>AVERAGE('25.10 MUTUKULA-MASAKA'!C38,'26.10 MUTUKULA-MASAKA-24HR'!C38,'27.10 Mutukula-Masaka'!C38,'28.10 MUTUKULA-MASAKA-24HR'!C38,'29.10 MUTUKULA-MASAKA'!C38,'30.10 MUTUKULA-MASAKA'!C38,'31.10.MUTUKULA-MASAKA'!C38)</f>
        <v>1.8571428571428572</v>
      </c>
      <c r="D38" s="49">
        <f>AVERAGE('25.10 MUTUKULA-MASAKA'!D38,'26.10 MUTUKULA-MASAKA-24HR'!D38,'27.10 Mutukula-Masaka'!D38,'28.10 MUTUKULA-MASAKA-24HR'!D38,'29.10 MUTUKULA-MASAKA'!D38,'30.10 MUTUKULA-MASAKA'!D38,'31.10.MUTUKULA-MASAKA'!D38)</f>
        <v>0.2857142857142857</v>
      </c>
      <c r="E38" s="49">
        <f>AVERAGE('25.10 MUTUKULA-MASAKA'!E38,'26.10 MUTUKULA-MASAKA-24HR'!E38,'27.10 Mutukula-Masaka'!E38,'28.10 MUTUKULA-MASAKA-24HR'!E38,'29.10 MUTUKULA-MASAKA'!E38,'30.10 MUTUKULA-MASAKA'!E38,'31.10.MUTUKULA-MASAKA'!E38)</f>
        <v>0.5714285714285714</v>
      </c>
      <c r="F38" s="49">
        <f>AVERAGE('25.10 MUTUKULA-MASAKA'!F38,'26.10 MUTUKULA-MASAKA-24HR'!F38,'27.10 Mutukula-Masaka'!F38,'28.10 MUTUKULA-MASAKA-24HR'!F38,'29.10 MUTUKULA-MASAKA'!F38,'30.10 MUTUKULA-MASAKA'!F38,'31.10.MUTUKULA-MASAKA'!F38)</f>
        <v>0.7142857142857143</v>
      </c>
      <c r="G38" s="49">
        <f>AVERAGE('25.10 MUTUKULA-MASAKA'!G38,'26.10 MUTUKULA-MASAKA-24HR'!G38,'27.10 Mutukula-Masaka'!G38,'28.10 MUTUKULA-MASAKA-24HR'!G38,'29.10 MUTUKULA-MASAKA'!G38,'30.10 MUTUKULA-MASAKA'!G38,'31.10.MUTUKULA-MASAKA'!G38)</f>
        <v>0</v>
      </c>
      <c r="H38" s="49">
        <f>AVERAGE('25.10 MUTUKULA-MASAKA'!H38,'26.10 MUTUKULA-MASAKA-24HR'!H38,'27.10 Mutukula-Masaka'!H38,'28.10 MUTUKULA-MASAKA-24HR'!H38,'29.10 MUTUKULA-MASAKA'!H38,'30.10 MUTUKULA-MASAKA'!H38,'31.10.MUTUKULA-MASAKA'!H38)</f>
        <v>0</v>
      </c>
      <c r="I38" s="49">
        <f>AVERAGE('25.10 MUTUKULA-MASAKA'!I38,'26.10 MUTUKULA-MASAKA-24HR'!I38,'27.10 Mutukula-Masaka'!I38,'28.10 MUTUKULA-MASAKA-24HR'!I38,'29.10 MUTUKULA-MASAKA'!I38,'30.10 MUTUKULA-MASAKA'!I38,'31.10.MUTUKULA-MASAKA'!I38)</f>
        <v>1.2857142857142858</v>
      </c>
      <c r="J38" s="49">
        <f>AVERAGE('25.10 MUTUKULA-MASAKA'!J38,'26.10 MUTUKULA-MASAKA-24HR'!J38,'27.10 Mutukula-Masaka'!J38,'28.10 MUTUKULA-MASAKA-24HR'!J38,'29.10 MUTUKULA-MASAKA'!J38,'30.10 MUTUKULA-MASAKA'!J38,'31.10.MUTUKULA-MASAKA'!J38)</f>
        <v>0.14285714285714285</v>
      </c>
      <c r="K38" s="49">
        <f>AVERAGE('25.10 MUTUKULA-MASAKA'!K38,'26.10 MUTUKULA-MASAKA-24HR'!K38,'27.10 Mutukula-Masaka'!K38,'28.10 MUTUKULA-MASAKA-24HR'!K38,'29.10 MUTUKULA-MASAKA'!K38,'30.10 MUTUKULA-MASAKA'!K38,'31.10.MUTUKULA-MASAKA'!K38)</f>
        <v>0.8571428571428571</v>
      </c>
      <c r="L38" s="49">
        <f>AVERAGE('25.10 MUTUKULA-MASAKA'!L38,'26.10 MUTUKULA-MASAKA-24HR'!L38,'27.10 Mutukula-Masaka'!L38,'28.10 MUTUKULA-MASAKA-24HR'!L38,'29.10 MUTUKULA-MASAKA'!L38,'30.10 MUTUKULA-MASAKA'!L38,'31.10.MUTUKULA-MASAKA'!L38)</f>
        <v>0</v>
      </c>
      <c r="M38" s="49">
        <f>AVERAGE('25.10 MUTUKULA-MASAKA'!M38,'26.10 MUTUKULA-MASAKA-24HR'!M38,'27.10 Mutukula-Masaka'!M38,'28.10 MUTUKULA-MASAKA-24HR'!M38,'29.10 MUTUKULA-MASAKA'!M38,'30.10 MUTUKULA-MASAKA'!M38,'31.10.MUTUKULA-MASAKA'!M38)</f>
        <v>9.4285714285714288</v>
      </c>
      <c r="N38" s="49">
        <f>AVERAGE('25.10 MUTUKULA-MASAKA'!N38,'26.10 MUTUKULA-MASAKA-24HR'!N38,'27.10 Mutukula-Masaka'!N38,'28.10 MUTUKULA-MASAKA-24HR'!N38,'29.10 MUTUKULA-MASAKA'!N38,'30.10 MUTUKULA-MASAKA'!N38,'31.10.MUTUKULA-MASAKA'!N38)</f>
        <v>0</v>
      </c>
      <c r="O38" s="15">
        <f t="shared" si="0"/>
        <v>5.7142857142857144</v>
      </c>
      <c r="P38" s="15">
        <f t="shared" si="1"/>
        <v>15.142857142857142</v>
      </c>
      <c r="R38" s="29" t="s">
        <v>87</v>
      </c>
      <c r="S38" s="16">
        <f t="shared" ref="S38:AF38" si="30">SUM(S19:S21)</f>
        <v>31.428571428571423</v>
      </c>
      <c r="T38" s="16">
        <f t="shared" si="30"/>
        <v>6.5714285714285712</v>
      </c>
      <c r="U38" s="16">
        <f t="shared" si="30"/>
        <v>1.9999999999999998</v>
      </c>
      <c r="V38" s="16">
        <f t="shared" si="30"/>
        <v>15.285714285714285</v>
      </c>
      <c r="W38" s="16">
        <f t="shared" si="30"/>
        <v>0.14285714285714285</v>
      </c>
      <c r="X38" s="16">
        <f t="shared" si="30"/>
        <v>1.857142857142857</v>
      </c>
      <c r="Y38" s="16">
        <f t="shared" si="30"/>
        <v>9.5714285714285712</v>
      </c>
      <c r="Z38" s="16">
        <f t="shared" si="30"/>
        <v>16.714285714285715</v>
      </c>
      <c r="AA38" s="16">
        <f t="shared" si="30"/>
        <v>12.428571428571429</v>
      </c>
      <c r="AB38" s="16">
        <f t="shared" si="30"/>
        <v>2.1428571428571428</v>
      </c>
      <c r="AC38" s="16">
        <f t="shared" si="30"/>
        <v>139.28571428571428</v>
      </c>
      <c r="AD38" s="16">
        <f t="shared" si="30"/>
        <v>0.14285714285714285</v>
      </c>
      <c r="AE38" s="32">
        <f t="shared" si="30"/>
        <v>98.285714285714292</v>
      </c>
      <c r="AF38" s="32">
        <f t="shared" si="30"/>
        <v>237.57142857142856</v>
      </c>
    </row>
    <row r="39" spans="2:32" ht="23.1" customHeight="1" x14ac:dyDescent="0.25">
      <c r="B39" s="24" t="s">
        <v>66</v>
      </c>
      <c r="C39" s="49">
        <f>AVERAGE('25.10 MUTUKULA-MASAKA'!C39,'26.10 MUTUKULA-MASAKA-24HR'!C39,'27.10 Mutukula-Masaka'!C39,'28.10 MUTUKULA-MASAKA-24HR'!C39,'29.10 MUTUKULA-MASAKA'!C39,'30.10 MUTUKULA-MASAKA'!C39,'31.10.MUTUKULA-MASAKA'!C39)</f>
        <v>2.7142857142857144</v>
      </c>
      <c r="D39" s="49">
        <f>AVERAGE('25.10 MUTUKULA-MASAKA'!D39,'26.10 MUTUKULA-MASAKA-24HR'!D39,'27.10 Mutukula-Masaka'!D39,'28.10 MUTUKULA-MASAKA-24HR'!D39,'29.10 MUTUKULA-MASAKA'!D39,'30.10 MUTUKULA-MASAKA'!D39,'31.10.MUTUKULA-MASAKA'!D39)</f>
        <v>0.7142857142857143</v>
      </c>
      <c r="E39" s="49">
        <f>AVERAGE('25.10 MUTUKULA-MASAKA'!E39,'26.10 MUTUKULA-MASAKA-24HR'!E39,'27.10 Mutukula-Masaka'!E39,'28.10 MUTUKULA-MASAKA-24HR'!E39,'29.10 MUTUKULA-MASAKA'!E39,'30.10 MUTUKULA-MASAKA'!E39,'31.10.MUTUKULA-MASAKA'!E39)</f>
        <v>0</v>
      </c>
      <c r="F39" s="49">
        <f>AVERAGE('25.10 MUTUKULA-MASAKA'!F39,'26.10 MUTUKULA-MASAKA-24HR'!F39,'27.10 Mutukula-Masaka'!F39,'28.10 MUTUKULA-MASAKA-24HR'!F39,'29.10 MUTUKULA-MASAKA'!F39,'30.10 MUTUKULA-MASAKA'!F39,'31.10.MUTUKULA-MASAKA'!F39)</f>
        <v>0.7142857142857143</v>
      </c>
      <c r="G39" s="49">
        <f>AVERAGE('25.10 MUTUKULA-MASAKA'!G39,'26.10 MUTUKULA-MASAKA-24HR'!G39,'27.10 Mutukula-Masaka'!G39,'28.10 MUTUKULA-MASAKA-24HR'!G39,'29.10 MUTUKULA-MASAKA'!G39,'30.10 MUTUKULA-MASAKA'!G39,'31.10.MUTUKULA-MASAKA'!G39)</f>
        <v>0</v>
      </c>
      <c r="H39" s="49">
        <f>AVERAGE('25.10 MUTUKULA-MASAKA'!H39,'26.10 MUTUKULA-MASAKA-24HR'!H39,'27.10 Mutukula-Masaka'!H39,'28.10 MUTUKULA-MASAKA-24HR'!H39,'29.10 MUTUKULA-MASAKA'!H39,'30.10 MUTUKULA-MASAKA'!H39,'31.10.MUTUKULA-MASAKA'!H39)</f>
        <v>0</v>
      </c>
      <c r="I39" s="49">
        <f>AVERAGE('25.10 MUTUKULA-MASAKA'!I39,'26.10 MUTUKULA-MASAKA-24HR'!I39,'27.10 Mutukula-Masaka'!I39,'28.10 MUTUKULA-MASAKA-24HR'!I39,'29.10 MUTUKULA-MASAKA'!I39,'30.10 MUTUKULA-MASAKA'!I39,'31.10.MUTUKULA-MASAKA'!I39)</f>
        <v>0.5714285714285714</v>
      </c>
      <c r="J39" s="49">
        <f>AVERAGE('25.10 MUTUKULA-MASAKA'!J39,'26.10 MUTUKULA-MASAKA-24HR'!J39,'27.10 Mutukula-Masaka'!J39,'28.10 MUTUKULA-MASAKA-24HR'!J39,'29.10 MUTUKULA-MASAKA'!J39,'30.10 MUTUKULA-MASAKA'!J39,'31.10.MUTUKULA-MASAKA'!J39)</f>
        <v>0.2857142857142857</v>
      </c>
      <c r="K39" s="49">
        <f>AVERAGE('25.10 MUTUKULA-MASAKA'!K39,'26.10 MUTUKULA-MASAKA-24HR'!K39,'27.10 Mutukula-Masaka'!K39,'28.10 MUTUKULA-MASAKA-24HR'!K39,'29.10 MUTUKULA-MASAKA'!K39,'30.10 MUTUKULA-MASAKA'!K39,'31.10.MUTUKULA-MASAKA'!K39)</f>
        <v>0.14285714285714285</v>
      </c>
      <c r="L39" s="49">
        <f>AVERAGE('25.10 MUTUKULA-MASAKA'!L39,'26.10 MUTUKULA-MASAKA-24HR'!L39,'27.10 Mutukula-Masaka'!L39,'28.10 MUTUKULA-MASAKA-24HR'!L39,'29.10 MUTUKULA-MASAKA'!L39,'30.10 MUTUKULA-MASAKA'!L39,'31.10.MUTUKULA-MASAKA'!L39)</f>
        <v>0.2857142857142857</v>
      </c>
      <c r="M39" s="49">
        <f>AVERAGE('25.10 MUTUKULA-MASAKA'!M39,'26.10 MUTUKULA-MASAKA-24HR'!M39,'27.10 Mutukula-Masaka'!M39,'28.10 MUTUKULA-MASAKA-24HR'!M39,'29.10 MUTUKULA-MASAKA'!M39,'30.10 MUTUKULA-MASAKA'!M39,'31.10.MUTUKULA-MASAKA'!M39)</f>
        <v>8.7142857142857135</v>
      </c>
      <c r="N39" s="49">
        <f>AVERAGE('25.10 MUTUKULA-MASAKA'!N39,'26.10 MUTUKULA-MASAKA-24HR'!N39,'27.10 Mutukula-Masaka'!N39,'28.10 MUTUKULA-MASAKA-24HR'!N39,'29.10 MUTUKULA-MASAKA'!N39,'30.10 MUTUKULA-MASAKA'!N39,'31.10.MUTUKULA-MASAKA'!N39)</f>
        <v>0</v>
      </c>
      <c r="O39" s="15">
        <f t="shared" si="0"/>
        <v>5.4285714285714288</v>
      </c>
      <c r="P39" s="15">
        <f t="shared" si="1"/>
        <v>14.142857142857142</v>
      </c>
      <c r="R39" s="5" t="s">
        <v>17</v>
      </c>
      <c r="S39" s="16">
        <f t="shared" ref="S39:AF39" si="31">SUM(S10:S21)</f>
        <v>103.71428571428572</v>
      </c>
      <c r="T39" s="16">
        <f t="shared" si="31"/>
        <v>18.999999999999996</v>
      </c>
      <c r="U39" s="16">
        <f t="shared" si="31"/>
        <v>7.1428571428571423</v>
      </c>
      <c r="V39" s="16">
        <f t="shared" si="31"/>
        <v>52.285714285714285</v>
      </c>
      <c r="W39" s="16">
        <f t="shared" si="31"/>
        <v>1.1428571428571428</v>
      </c>
      <c r="X39" s="16">
        <f t="shared" si="31"/>
        <v>1.857142857142857</v>
      </c>
      <c r="Y39" s="16">
        <f t="shared" si="31"/>
        <v>34.857142857142854</v>
      </c>
      <c r="Z39" s="16">
        <f t="shared" si="31"/>
        <v>31.428571428571431</v>
      </c>
      <c r="AA39" s="16">
        <f t="shared" si="31"/>
        <v>29.428571428571431</v>
      </c>
      <c r="AB39" s="16">
        <f t="shared" si="31"/>
        <v>4.7142857142857135</v>
      </c>
      <c r="AC39" s="16">
        <f t="shared" si="31"/>
        <v>451.85714285714283</v>
      </c>
      <c r="AD39" s="16">
        <f t="shared" si="31"/>
        <v>0.2857142857142857</v>
      </c>
      <c r="AE39" s="32">
        <f t="shared" si="31"/>
        <v>285.85714285714283</v>
      </c>
      <c r="AF39" s="32">
        <f t="shared" si="31"/>
        <v>737.71428571428567</v>
      </c>
    </row>
    <row r="40" spans="2:32" ht="23.1" customHeight="1" x14ac:dyDescent="0.25">
      <c r="B40" s="24" t="s">
        <v>67</v>
      </c>
      <c r="C40" s="49">
        <f>AVERAGE('25.10 MUTUKULA-MASAKA'!C40,'26.10 MUTUKULA-MASAKA-24HR'!C40,'27.10 Mutukula-Masaka'!C40,'28.10 MUTUKULA-MASAKA-24HR'!C40,'29.10 MUTUKULA-MASAKA'!C40,'30.10 MUTUKULA-MASAKA'!C40,'31.10.MUTUKULA-MASAKA'!C40)</f>
        <v>2.4285714285714284</v>
      </c>
      <c r="D40" s="49">
        <f>AVERAGE('25.10 MUTUKULA-MASAKA'!D40,'26.10 MUTUKULA-MASAKA-24HR'!D40,'27.10 Mutukula-Masaka'!D40,'28.10 MUTUKULA-MASAKA-24HR'!D40,'29.10 MUTUKULA-MASAKA'!D40,'30.10 MUTUKULA-MASAKA'!D40,'31.10.MUTUKULA-MASAKA'!D40)</f>
        <v>0.42857142857142855</v>
      </c>
      <c r="E40" s="49">
        <f>AVERAGE('25.10 MUTUKULA-MASAKA'!E40,'26.10 MUTUKULA-MASAKA-24HR'!E40,'27.10 Mutukula-Masaka'!E40,'28.10 MUTUKULA-MASAKA-24HR'!E40,'29.10 MUTUKULA-MASAKA'!E40,'30.10 MUTUKULA-MASAKA'!E40,'31.10.MUTUKULA-MASAKA'!E40)</f>
        <v>0.42857142857142855</v>
      </c>
      <c r="F40" s="49">
        <f>AVERAGE('25.10 MUTUKULA-MASAKA'!F40,'26.10 MUTUKULA-MASAKA-24HR'!F40,'27.10 Mutukula-Masaka'!F40,'28.10 MUTUKULA-MASAKA-24HR'!F40,'29.10 MUTUKULA-MASAKA'!F40,'30.10 MUTUKULA-MASAKA'!F40,'31.10.MUTUKULA-MASAKA'!F40)</f>
        <v>0.8571428571428571</v>
      </c>
      <c r="G40" s="49">
        <f>AVERAGE('25.10 MUTUKULA-MASAKA'!G40,'26.10 MUTUKULA-MASAKA-24HR'!G40,'27.10 Mutukula-Masaka'!G40,'28.10 MUTUKULA-MASAKA-24HR'!G40,'29.10 MUTUKULA-MASAKA'!G40,'30.10 MUTUKULA-MASAKA'!G40,'31.10.MUTUKULA-MASAKA'!G40)</f>
        <v>0</v>
      </c>
      <c r="H40" s="49">
        <f>AVERAGE('25.10 MUTUKULA-MASAKA'!H40,'26.10 MUTUKULA-MASAKA-24HR'!H40,'27.10 Mutukula-Masaka'!H40,'28.10 MUTUKULA-MASAKA-24HR'!H40,'29.10 MUTUKULA-MASAKA'!H40,'30.10 MUTUKULA-MASAKA'!H40,'31.10.MUTUKULA-MASAKA'!H40)</f>
        <v>0</v>
      </c>
      <c r="I40" s="49">
        <f>AVERAGE('25.10 MUTUKULA-MASAKA'!I40,'26.10 MUTUKULA-MASAKA-24HR'!I40,'27.10 Mutukula-Masaka'!I40,'28.10 MUTUKULA-MASAKA-24HR'!I40,'29.10 MUTUKULA-MASAKA'!I40,'30.10 MUTUKULA-MASAKA'!I40,'31.10.MUTUKULA-MASAKA'!I40)</f>
        <v>1.1428571428571428</v>
      </c>
      <c r="J40" s="49">
        <f>AVERAGE('25.10 MUTUKULA-MASAKA'!J40,'26.10 MUTUKULA-MASAKA-24HR'!J40,'27.10 Mutukula-Masaka'!J40,'28.10 MUTUKULA-MASAKA-24HR'!J40,'29.10 MUTUKULA-MASAKA'!J40,'30.10 MUTUKULA-MASAKA'!J40,'31.10.MUTUKULA-MASAKA'!J40)</f>
        <v>0.5714285714285714</v>
      </c>
      <c r="K40" s="49">
        <f>AVERAGE('25.10 MUTUKULA-MASAKA'!K40,'26.10 MUTUKULA-MASAKA-24HR'!K40,'27.10 Mutukula-Masaka'!K40,'28.10 MUTUKULA-MASAKA-24HR'!K40,'29.10 MUTUKULA-MASAKA'!K40,'30.10 MUTUKULA-MASAKA'!K40,'31.10.MUTUKULA-MASAKA'!K40)</f>
        <v>0.7142857142857143</v>
      </c>
      <c r="L40" s="49">
        <f>AVERAGE('25.10 MUTUKULA-MASAKA'!L40,'26.10 MUTUKULA-MASAKA-24HR'!L40,'27.10 Mutukula-Masaka'!L40,'28.10 MUTUKULA-MASAKA-24HR'!L40,'29.10 MUTUKULA-MASAKA'!L40,'30.10 MUTUKULA-MASAKA'!L40,'31.10.MUTUKULA-MASAKA'!L40)</f>
        <v>0.14285714285714285</v>
      </c>
      <c r="M40" s="49">
        <f>AVERAGE('25.10 MUTUKULA-MASAKA'!M40,'26.10 MUTUKULA-MASAKA-24HR'!M40,'27.10 Mutukula-Masaka'!M40,'28.10 MUTUKULA-MASAKA-24HR'!M40,'29.10 MUTUKULA-MASAKA'!M40,'30.10 MUTUKULA-MASAKA'!M40,'31.10.MUTUKULA-MASAKA'!M40)</f>
        <v>10</v>
      </c>
      <c r="N40" s="49">
        <f>AVERAGE('25.10 MUTUKULA-MASAKA'!N40,'26.10 MUTUKULA-MASAKA-24HR'!N40,'27.10 Mutukula-Masaka'!N40,'28.10 MUTUKULA-MASAKA-24HR'!N40,'29.10 MUTUKULA-MASAKA'!N40,'30.10 MUTUKULA-MASAKA'!N40,'31.10.MUTUKULA-MASAKA'!N40)</f>
        <v>0</v>
      </c>
      <c r="O40" s="15">
        <f t="shared" si="0"/>
        <v>6.7142857142857135</v>
      </c>
      <c r="P40" s="15">
        <f t="shared" si="1"/>
        <v>16.714285714285715</v>
      </c>
      <c r="R40" s="5" t="s">
        <v>190</v>
      </c>
      <c r="S40" s="52">
        <f>SUM(S9:S32)</f>
        <v>147.71428571428572</v>
      </c>
      <c r="T40" s="52">
        <f t="shared" ref="T40:AD40" si="32">SUM(T9:T32)</f>
        <v>31.999999999999996</v>
      </c>
      <c r="U40" s="52">
        <f t="shared" si="32"/>
        <v>8.6428571428571423</v>
      </c>
      <c r="V40" s="52">
        <f t="shared" si="32"/>
        <v>64.785714285714278</v>
      </c>
      <c r="W40" s="52">
        <f t="shared" si="32"/>
        <v>2.1428571428571428</v>
      </c>
      <c r="X40" s="52">
        <f t="shared" si="32"/>
        <v>2.8571428571428568</v>
      </c>
      <c r="Y40" s="52">
        <f t="shared" si="32"/>
        <v>44.357142857142854</v>
      </c>
      <c r="Z40" s="52">
        <f t="shared" si="32"/>
        <v>56.928571428571431</v>
      </c>
      <c r="AA40" s="52">
        <f t="shared" si="32"/>
        <v>45.428571428571431</v>
      </c>
      <c r="AB40" s="52">
        <f t="shared" si="32"/>
        <v>4.7142857142857135</v>
      </c>
      <c r="AC40" s="52">
        <f t="shared" si="32"/>
        <v>652.85714285714289</v>
      </c>
      <c r="AD40" s="52">
        <f t="shared" si="32"/>
        <v>0.2857142857142857</v>
      </c>
      <c r="AE40" s="53">
        <f>SUM(AE9:AE32)</f>
        <v>409.85714285714283</v>
      </c>
      <c r="AF40" s="53">
        <f>SUM(AF9:AF32)</f>
        <v>1062.7142857142858</v>
      </c>
    </row>
    <row r="41" spans="2:32" ht="23.1" customHeight="1" x14ac:dyDescent="0.25">
      <c r="B41" s="23" t="s">
        <v>68</v>
      </c>
      <c r="C41" s="49">
        <f>AVERAGE('25.10 MUTUKULA-MASAKA'!C41,'26.10 MUTUKULA-MASAKA-24HR'!C41,'27.10 Mutukula-Masaka'!C41,'28.10 MUTUKULA-MASAKA-24HR'!C41,'29.10 MUTUKULA-MASAKA'!C41,'30.10 MUTUKULA-MASAKA'!C41,'31.10.MUTUKULA-MASAKA'!C41)</f>
        <v>2.4285714285714284</v>
      </c>
      <c r="D41" s="49">
        <f>AVERAGE('25.10 MUTUKULA-MASAKA'!D41,'26.10 MUTUKULA-MASAKA-24HR'!D41,'27.10 Mutukula-Masaka'!D41,'28.10 MUTUKULA-MASAKA-24HR'!D41,'29.10 MUTUKULA-MASAKA'!D41,'30.10 MUTUKULA-MASAKA'!D41,'31.10.MUTUKULA-MASAKA'!D41)</f>
        <v>0.14285714285714285</v>
      </c>
      <c r="E41" s="49">
        <f>AVERAGE('25.10 MUTUKULA-MASAKA'!E41,'26.10 MUTUKULA-MASAKA-24HR'!E41,'27.10 Mutukula-Masaka'!E41,'28.10 MUTUKULA-MASAKA-24HR'!E41,'29.10 MUTUKULA-MASAKA'!E41,'30.10 MUTUKULA-MASAKA'!E41,'31.10.MUTUKULA-MASAKA'!E41)</f>
        <v>0</v>
      </c>
      <c r="F41" s="49">
        <f>AVERAGE('25.10 MUTUKULA-MASAKA'!F41,'26.10 MUTUKULA-MASAKA-24HR'!F41,'27.10 Mutukula-Masaka'!F41,'28.10 MUTUKULA-MASAKA-24HR'!F41,'29.10 MUTUKULA-MASAKA'!F41,'30.10 MUTUKULA-MASAKA'!F41,'31.10.MUTUKULA-MASAKA'!F41)</f>
        <v>1.4285714285714286</v>
      </c>
      <c r="G41" s="49">
        <f>AVERAGE('25.10 MUTUKULA-MASAKA'!G41,'26.10 MUTUKULA-MASAKA-24HR'!G41,'27.10 Mutukula-Masaka'!G41,'28.10 MUTUKULA-MASAKA-24HR'!G41,'29.10 MUTUKULA-MASAKA'!G41,'30.10 MUTUKULA-MASAKA'!G41,'31.10.MUTUKULA-MASAKA'!G41)</f>
        <v>0</v>
      </c>
      <c r="H41" s="49">
        <f>AVERAGE('25.10 MUTUKULA-MASAKA'!H41,'26.10 MUTUKULA-MASAKA-24HR'!H41,'27.10 Mutukula-Masaka'!H41,'28.10 MUTUKULA-MASAKA-24HR'!H41,'29.10 MUTUKULA-MASAKA'!H41,'30.10 MUTUKULA-MASAKA'!H41,'31.10.MUTUKULA-MASAKA'!H41)</f>
        <v>0</v>
      </c>
      <c r="I41" s="49">
        <f>AVERAGE('25.10 MUTUKULA-MASAKA'!I41,'26.10 MUTUKULA-MASAKA-24HR'!I41,'27.10 Mutukula-Masaka'!I41,'28.10 MUTUKULA-MASAKA-24HR'!I41,'29.10 MUTUKULA-MASAKA'!I41,'30.10 MUTUKULA-MASAKA'!I41,'31.10.MUTUKULA-MASAKA'!I41)</f>
        <v>1</v>
      </c>
      <c r="J41" s="49">
        <f>AVERAGE('25.10 MUTUKULA-MASAKA'!J41,'26.10 MUTUKULA-MASAKA-24HR'!J41,'27.10 Mutukula-Masaka'!J41,'28.10 MUTUKULA-MASAKA-24HR'!J41,'29.10 MUTUKULA-MASAKA'!J41,'30.10 MUTUKULA-MASAKA'!J41,'31.10.MUTUKULA-MASAKA'!J41)</f>
        <v>1</v>
      </c>
      <c r="K41" s="49">
        <f>AVERAGE('25.10 MUTUKULA-MASAKA'!K41,'26.10 MUTUKULA-MASAKA-24HR'!K41,'27.10 Mutukula-Masaka'!K41,'28.10 MUTUKULA-MASAKA-24HR'!K41,'29.10 MUTUKULA-MASAKA'!K41,'30.10 MUTUKULA-MASAKA'!K41,'31.10.MUTUKULA-MASAKA'!K41)</f>
        <v>1</v>
      </c>
      <c r="L41" s="49">
        <f>AVERAGE('25.10 MUTUKULA-MASAKA'!L41,'26.10 MUTUKULA-MASAKA-24HR'!L41,'27.10 Mutukula-Masaka'!L41,'28.10 MUTUKULA-MASAKA-24HR'!L41,'29.10 MUTUKULA-MASAKA'!L41,'30.10 MUTUKULA-MASAKA'!L41,'31.10.MUTUKULA-MASAKA'!L41)</f>
        <v>0</v>
      </c>
      <c r="M41" s="49">
        <f>AVERAGE('25.10 MUTUKULA-MASAKA'!M41,'26.10 MUTUKULA-MASAKA-24HR'!M41,'27.10 Mutukula-Masaka'!M41,'28.10 MUTUKULA-MASAKA-24HR'!M41,'29.10 MUTUKULA-MASAKA'!M41,'30.10 MUTUKULA-MASAKA'!M41,'31.10.MUTUKULA-MASAKA'!M41)</f>
        <v>10.857142857142858</v>
      </c>
      <c r="N41" s="49">
        <f>AVERAGE('25.10 MUTUKULA-MASAKA'!N41,'26.10 MUTUKULA-MASAKA-24HR'!N41,'27.10 Mutukula-Masaka'!N41,'28.10 MUTUKULA-MASAKA-24HR'!N41,'29.10 MUTUKULA-MASAKA'!N41,'30.10 MUTUKULA-MASAKA'!N41,'31.10.MUTUKULA-MASAKA'!N41)</f>
        <v>0.14285714285714285</v>
      </c>
      <c r="O41" s="15">
        <f t="shared" si="0"/>
        <v>7.1428571428571432</v>
      </c>
      <c r="P41" s="15">
        <f t="shared" si="1"/>
        <v>18</v>
      </c>
      <c r="R41" s="5" t="s">
        <v>160</v>
      </c>
      <c r="S41" s="48">
        <f>S40/S39</f>
        <v>1.4242424242424243</v>
      </c>
      <c r="T41" s="48">
        <f t="shared" ref="T41:AF41" si="33">T40/T39</f>
        <v>1.6842105263157896</v>
      </c>
      <c r="U41" s="48">
        <f t="shared" si="33"/>
        <v>1.21</v>
      </c>
      <c r="V41" s="48">
        <f t="shared" si="33"/>
        <v>1.2390710382513659</v>
      </c>
      <c r="W41" s="48">
        <f t="shared" si="33"/>
        <v>1.875</v>
      </c>
      <c r="X41" s="48">
        <f t="shared" si="33"/>
        <v>1.5384615384615383</v>
      </c>
      <c r="Y41" s="48">
        <f t="shared" si="33"/>
        <v>1.2725409836065573</v>
      </c>
      <c r="Z41" s="48">
        <f t="shared" si="33"/>
        <v>1.8113636363636363</v>
      </c>
      <c r="AA41" s="48">
        <f t="shared" si="33"/>
        <v>1.5436893203883495</v>
      </c>
      <c r="AB41" s="48">
        <f t="shared" si="33"/>
        <v>1</v>
      </c>
      <c r="AC41" s="48">
        <f t="shared" si="33"/>
        <v>1.4448308567815367</v>
      </c>
      <c r="AD41" s="48">
        <f t="shared" si="33"/>
        <v>1</v>
      </c>
      <c r="AE41" s="51">
        <f t="shared" si="33"/>
        <v>1.4337831084457771</v>
      </c>
      <c r="AF41" s="51">
        <f t="shared" si="33"/>
        <v>1.4405499612703332</v>
      </c>
    </row>
    <row r="42" spans="2:32" ht="23.1" customHeight="1" x14ac:dyDescent="0.25">
      <c r="B42" s="24" t="s">
        <v>69</v>
      </c>
      <c r="C42" s="49">
        <f>AVERAGE('25.10 MUTUKULA-MASAKA'!C42,'26.10 MUTUKULA-MASAKA-24HR'!C42,'27.10 Mutukula-Masaka'!C42,'28.10 MUTUKULA-MASAKA-24HR'!C42,'29.10 MUTUKULA-MASAKA'!C42,'30.10 MUTUKULA-MASAKA'!C42,'31.10.MUTUKULA-MASAKA'!C42)</f>
        <v>1.5714285714285714</v>
      </c>
      <c r="D42" s="49">
        <f>AVERAGE('25.10 MUTUKULA-MASAKA'!D42,'26.10 MUTUKULA-MASAKA-24HR'!D42,'27.10 Mutukula-Masaka'!D42,'28.10 MUTUKULA-MASAKA-24HR'!D42,'29.10 MUTUKULA-MASAKA'!D42,'30.10 MUTUKULA-MASAKA'!D42,'31.10.MUTUKULA-MASAKA'!D42)</f>
        <v>0.5714285714285714</v>
      </c>
      <c r="E42" s="49">
        <f>AVERAGE('25.10 MUTUKULA-MASAKA'!E42,'26.10 MUTUKULA-MASAKA-24HR'!E42,'27.10 Mutukula-Masaka'!E42,'28.10 MUTUKULA-MASAKA-24HR'!E42,'29.10 MUTUKULA-MASAKA'!E42,'30.10 MUTUKULA-MASAKA'!E42,'31.10.MUTUKULA-MASAKA'!E42)</f>
        <v>0.14285714285714285</v>
      </c>
      <c r="F42" s="49">
        <f>AVERAGE('25.10 MUTUKULA-MASAKA'!F42,'26.10 MUTUKULA-MASAKA-24HR'!F42,'27.10 Mutukula-Masaka'!F42,'28.10 MUTUKULA-MASAKA-24HR'!F42,'29.10 MUTUKULA-MASAKA'!F42,'30.10 MUTUKULA-MASAKA'!F42,'31.10.MUTUKULA-MASAKA'!F42)</f>
        <v>1.7142857142857142</v>
      </c>
      <c r="G42" s="49">
        <f>AVERAGE('25.10 MUTUKULA-MASAKA'!G42,'26.10 MUTUKULA-MASAKA-24HR'!G42,'27.10 Mutukula-Masaka'!G42,'28.10 MUTUKULA-MASAKA-24HR'!G42,'29.10 MUTUKULA-MASAKA'!G42,'30.10 MUTUKULA-MASAKA'!G42,'31.10.MUTUKULA-MASAKA'!G42)</f>
        <v>0</v>
      </c>
      <c r="H42" s="49">
        <f>AVERAGE('25.10 MUTUKULA-MASAKA'!H42,'26.10 MUTUKULA-MASAKA-24HR'!H42,'27.10 Mutukula-Masaka'!H42,'28.10 MUTUKULA-MASAKA-24HR'!H42,'29.10 MUTUKULA-MASAKA'!H42,'30.10 MUTUKULA-MASAKA'!H42,'31.10.MUTUKULA-MASAKA'!H42)</f>
        <v>0</v>
      </c>
      <c r="I42" s="49">
        <f>AVERAGE('25.10 MUTUKULA-MASAKA'!I42,'26.10 MUTUKULA-MASAKA-24HR'!I42,'27.10 Mutukula-Masaka'!I42,'28.10 MUTUKULA-MASAKA-24HR'!I42,'29.10 MUTUKULA-MASAKA'!I42,'30.10 MUTUKULA-MASAKA'!I42,'31.10.MUTUKULA-MASAKA'!I42)</f>
        <v>0.5714285714285714</v>
      </c>
      <c r="J42" s="49">
        <f>AVERAGE('25.10 MUTUKULA-MASAKA'!J42,'26.10 MUTUKULA-MASAKA-24HR'!J42,'27.10 Mutukula-Masaka'!J42,'28.10 MUTUKULA-MASAKA-24HR'!J42,'29.10 MUTUKULA-MASAKA'!J42,'30.10 MUTUKULA-MASAKA'!J42,'31.10.MUTUKULA-MASAKA'!J42)</f>
        <v>1</v>
      </c>
      <c r="K42" s="49">
        <f>AVERAGE('25.10 MUTUKULA-MASAKA'!K42,'26.10 MUTUKULA-MASAKA-24HR'!K42,'27.10 Mutukula-Masaka'!K42,'28.10 MUTUKULA-MASAKA-24HR'!K42,'29.10 MUTUKULA-MASAKA'!K42,'30.10 MUTUKULA-MASAKA'!K42,'31.10.MUTUKULA-MASAKA'!K42)</f>
        <v>0.8571428571428571</v>
      </c>
      <c r="L42" s="49">
        <f>AVERAGE('25.10 MUTUKULA-MASAKA'!L42,'26.10 MUTUKULA-MASAKA-24HR'!L42,'27.10 Mutukula-Masaka'!L42,'28.10 MUTUKULA-MASAKA-24HR'!L42,'29.10 MUTUKULA-MASAKA'!L42,'30.10 MUTUKULA-MASAKA'!L42,'31.10.MUTUKULA-MASAKA'!L42)</f>
        <v>0.14285714285714285</v>
      </c>
      <c r="M42" s="49">
        <f>AVERAGE('25.10 MUTUKULA-MASAKA'!M42,'26.10 MUTUKULA-MASAKA-24HR'!M42,'27.10 Mutukula-Masaka'!M42,'28.10 MUTUKULA-MASAKA-24HR'!M42,'29.10 MUTUKULA-MASAKA'!M42,'30.10 MUTUKULA-MASAKA'!M42,'31.10.MUTUKULA-MASAKA'!M42)</f>
        <v>11.142857142857142</v>
      </c>
      <c r="N42" s="49">
        <f>AVERAGE('25.10 MUTUKULA-MASAKA'!N42,'26.10 MUTUKULA-MASAKA-24HR'!N42,'27.10 Mutukula-Masaka'!N42,'28.10 MUTUKULA-MASAKA-24HR'!N42,'29.10 MUTUKULA-MASAKA'!N42,'30.10 MUTUKULA-MASAKA'!N42,'31.10.MUTUKULA-MASAKA'!N42)</f>
        <v>0</v>
      </c>
      <c r="O42" s="15">
        <f t="shared" si="0"/>
        <v>6.5714285714285712</v>
      </c>
      <c r="P42" s="15">
        <f t="shared" si="1"/>
        <v>17.714285714285715</v>
      </c>
    </row>
    <row r="43" spans="2:32" ht="23.1" customHeight="1" x14ac:dyDescent="0.25">
      <c r="B43" s="23" t="s">
        <v>70</v>
      </c>
      <c r="C43" s="49">
        <f>AVERAGE('25.10 MUTUKULA-MASAKA'!C43,'26.10 MUTUKULA-MASAKA-24HR'!C43,'27.10 Mutukula-Masaka'!C43,'28.10 MUTUKULA-MASAKA-24HR'!C43,'29.10 MUTUKULA-MASAKA'!C43,'30.10 MUTUKULA-MASAKA'!C43,'31.10.MUTUKULA-MASAKA'!C43)</f>
        <v>2.2857142857142856</v>
      </c>
      <c r="D43" s="49">
        <f>AVERAGE('25.10 MUTUKULA-MASAKA'!D43,'26.10 MUTUKULA-MASAKA-24HR'!D43,'27.10 Mutukula-Masaka'!D43,'28.10 MUTUKULA-MASAKA-24HR'!D43,'29.10 MUTUKULA-MASAKA'!D43,'30.10 MUTUKULA-MASAKA'!D43,'31.10.MUTUKULA-MASAKA'!D43)</f>
        <v>1.1428571428571428</v>
      </c>
      <c r="E43" s="49">
        <f>AVERAGE('25.10 MUTUKULA-MASAKA'!E43,'26.10 MUTUKULA-MASAKA-24HR'!E43,'27.10 Mutukula-Masaka'!E43,'28.10 MUTUKULA-MASAKA-24HR'!E43,'29.10 MUTUKULA-MASAKA'!E43,'30.10 MUTUKULA-MASAKA'!E43,'31.10.MUTUKULA-MASAKA'!E43)</f>
        <v>0.2857142857142857</v>
      </c>
      <c r="F43" s="49">
        <f>AVERAGE('25.10 MUTUKULA-MASAKA'!F43,'26.10 MUTUKULA-MASAKA-24HR'!F43,'27.10 Mutukula-Masaka'!F43,'28.10 MUTUKULA-MASAKA-24HR'!F43,'29.10 MUTUKULA-MASAKA'!F43,'30.10 MUTUKULA-MASAKA'!F43,'31.10.MUTUKULA-MASAKA'!F43)</f>
        <v>1</v>
      </c>
      <c r="G43" s="49">
        <f>AVERAGE('25.10 MUTUKULA-MASAKA'!G43,'26.10 MUTUKULA-MASAKA-24HR'!G43,'27.10 Mutukula-Masaka'!G43,'28.10 MUTUKULA-MASAKA-24HR'!G43,'29.10 MUTUKULA-MASAKA'!G43,'30.10 MUTUKULA-MASAKA'!G43,'31.10.MUTUKULA-MASAKA'!G43)</f>
        <v>0</v>
      </c>
      <c r="H43" s="49">
        <f>AVERAGE('25.10 MUTUKULA-MASAKA'!H43,'26.10 MUTUKULA-MASAKA-24HR'!H43,'27.10 Mutukula-Masaka'!H43,'28.10 MUTUKULA-MASAKA-24HR'!H43,'29.10 MUTUKULA-MASAKA'!H43,'30.10 MUTUKULA-MASAKA'!H43,'31.10.MUTUKULA-MASAKA'!H43)</f>
        <v>0</v>
      </c>
      <c r="I43" s="49">
        <f>AVERAGE('25.10 MUTUKULA-MASAKA'!I43,'26.10 MUTUKULA-MASAKA-24HR'!I43,'27.10 Mutukula-Masaka'!I43,'28.10 MUTUKULA-MASAKA-24HR'!I43,'29.10 MUTUKULA-MASAKA'!I43,'30.10 MUTUKULA-MASAKA'!I43,'31.10.MUTUKULA-MASAKA'!I43)</f>
        <v>1.7142857142857142</v>
      </c>
      <c r="J43" s="49">
        <f>AVERAGE('25.10 MUTUKULA-MASAKA'!J43,'26.10 MUTUKULA-MASAKA-24HR'!J43,'27.10 Mutukula-Masaka'!J43,'28.10 MUTUKULA-MASAKA-24HR'!J43,'29.10 MUTUKULA-MASAKA'!J43,'30.10 MUTUKULA-MASAKA'!J43,'31.10.MUTUKULA-MASAKA'!J43)</f>
        <v>0.7142857142857143</v>
      </c>
      <c r="K43" s="49">
        <f>AVERAGE('25.10 MUTUKULA-MASAKA'!K43,'26.10 MUTUKULA-MASAKA-24HR'!K43,'27.10 Mutukula-Masaka'!K43,'28.10 MUTUKULA-MASAKA-24HR'!K43,'29.10 MUTUKULA-MASAKA'!K43,'30.10 MUTUKULA-MASAKA'!K43,'31.10.MUTUKULA-MASAKA'!K43)</f>
        <v>0.5714285714285714</v>
      </c>
      <c r="L43" s="49">
        <f>AVERAGE('25.10 MUTUKULA-MASAKA'!L43,'26.10 MUTUKULA-MASAKA-24HR'!L43,'27.10 Mutukula-Masaka'!L43,'28.10 MUTUKULA-MASAKA-24HR'!L43,'29.10 MUTUKULA-MASAKA'!L43,'30.10 MUTUKULA-MASAKA'!L43,'31.10.MUTUKULA-MASAKA'!L43)</f>
        <v>0</v>
      </c>
      <c r="M43" s="49">
        <f>AVERAGE('25.10 MUTUKULA-MASAKA'!M43,'26.10 MUTUKULA-MASAKA-24HR'!M43,'27.10 Mutukula-Masaka'!M43,'28.10 MUTUKULA-MASAKA-24HR'!M43,'29.10 MUTUKULA-MASAKA'!M43,'30.10 MUTUKULA-MASAKA'!M43,'31.10.MUTUKULA-MASAKA'!M43)</f>
        <v>10.857142857142858</v>
      </c>
      <c r="N43" s="49">
        <f>AVERAGE('25.10 MUTUKULA-MASAKA'!N43,'26.10 MUTUKULA-MASAKA-24HR'!N43,'27.10 Mutukula-Masaka'!N43,'28.10 MUTUKULA-MASAKA-24HR'!N43,'29.10 MUTUKULA-MASAKA'!N43,'30.10 MUTUKULA-MASAKA'!N43,'31.10.MUTUKULA-MASAKA'!N43)</f>
        <v>0</v>
      </c>
      <c r="O43" s="15">
        <f t="shared" si="0"/>
        <v>7.7142857142857135</v>
      </c>
      <c r="P43" s="15">
        <f t="shared" si="1"/>
        <v>18.571428571428569</v>
      </c>
    </row>
    <row r="44" spans="2:32" ht="23.1" customHeight="1" x14ac:dyDescent="0.25">
      <c r="B44" s="25" t="s">
        <v>71</v>
      </c>
      <c r="C44" s="49">
        <f>AVERAGE('25.10 MUTUKULA-MASAKA'!C44,'26.10 MUTUKULA-MASAKA-24HR'!C44,'27.10 Mutukula-Masaka'!C44,'28.10 MUTUKULA-MASAKA-24HR'!C44,'29.10 MUTUKULA-MASAKA'!C44,'30.10 MUTUKULA-MASAKA'!C44,'31.10.MUTUKULA-MASAKA'!C44)</f>
        <v>2.2857142857142856</v>
      </c>
      <c r="D44" s="49">
        <f>AVERAGE('25.10 MUTUKULA-MASAKA'!D44,'26.10 MUTUKULA-MASAKA-24HR'!D44,'27.10 Mutukula-Masaka'!D44,'28.10 MUTUKULA-MASAKA-24HR'!D44,'29.10 MUTUKULA-MASAKA'!D44,'30.10 MUTUKULA-MASAKA'!D44,'31.10.MUTUKULA-MASAKA'!D44)</f>
        <v>0.14285714285714285</v>
      </c>
      <c r="E44" s="49">
        <f>AVERAGE('25.10 MUTUKULA-MASAKA'!E44,'26.10 MUTUKULA-MASAKA-24HR'!E44,'27.10 Mutukula-Masaka'!E44,'28.10 MUTUKULA-MASAKA-24HR'!E44,'29.10 MUTUKULA-MASAKA'!E44,'30.10 MUTUKULA-MASAKA'!E44,'31.10.MUTUKULA-MASAKA'!E44)</f>
        <v>0.2857142857142857</v>
      </c>
      <c r="F44" s="49">
        <f>AVERAGE('25.10 MUTUKULA-MASAKA'!F44,'26.10 MUTUKULA-MASAKA-24HR'!F44,'27.10 Mutukula-Masaka'!F44,'28.10 MUTUKULA-MASAKA-24HR'!F44,'29.10 MUTUKULA-MASAKA'!F44,'30.10 MUTUKULA-MASAKA'!F44,'31.10.MUTUKULA-MASAKA'!F44)</f>
        <v>1.2857142857142858</v>
      </c>
      <c r="G44" s="49">
        <f>AVERAGE('25.10 MUTUKULA-MASAKA'!G44,'26.10 MUTUKULA-MASAKA-24HR'!G44,'27.10 Mutukula-Masaka'!G44,'28.10 MUTUKULA-MASAKA-24HR'!G44,'29.10 MUTUKULA-MASAKA'!G44,'30.10 MUTUKULA-MASAKA'!G44,'31.10.MUTUKULA-MASAKA'!G44)</f>
        <v>0</v>
      </c>
      <c r="H44" s="49">
        <f>AVERAGE('25.10 MUTUKULA-MASAKA'!H44,'26.10 MUTUKULA-MASAKA-24HR'!H44,'27.10 Mutukula-Masaka'!H44,'28.10 MUTUKULA-MASAKA-24HR'!H44,'29.10 MUTUKULA-MASAKA'!H44,'30.10 MUTUKULA-MASAKA'!H44,'31.10.MUTUKULA-MASAKA'!H44)</f>
        <v>0</v>
      </c>
      <c r="I44" s="49">
        <f>AVERAGE('25.10 MUTUKULA-MASAKA'!I44,'26.10 MUTUKULA-MASAKA-24HR'!I44,'27.10 Mutukula-Masaka'!I44,'28.10 MUTUKULA-MASAKA-24HR'!I44,'29.10 MUTUKULA-MASAKA'!I44,'30.10 MUTUKULA-MASAKA'!I44,'31.10.MUTUKULA-MASAKA'!I44)</f>
        <v>0.42857142857142855</v>
      </c>
      <c r="J44" s="49">
        <f>AVERAGE('25.10 MUTUKULA-MASAKA'!J44,'26.10 MUTUKULA-MASAKA-24HR'!J44,'27.10 Mutukula-Masaka'!J44,'28.10 MUTUKULA-MASAKA-24HR'!J44,'29.10 MUTUKULA-MASAKA'!J44,'30.10 MUTUKULA-MASAKA'!J44,'31.10.MUTUKULA-MASAKA'!J44)</f>
        <v>1.2857142857142858</v>
      </c>
      <c r="K44" s="49">
        <f>AVERAGE('25.10 MUTUKULA-MASAKA'!K44,'26.10 MUTUKULA-MASAKA-24HR'!K44,'27.10 Mutukula-Masaka'!K44,'28.10 MUTUKULA-MASAKA-24HR'!K44,'29.10 MUTUKULA-MASAKA'!K44,'30.10 MUTUKULA-MASAKA'!K44,'31.10.MUTUKULA-MASAKA'!K44)</f>
        <v>0.5714285714285714</v>
      </c>
      <c r="L44" s="49">
        <f>AVERAGE('25.10 MUTUKULA-MASAKA'!L44,'26.10 MUTUKULA-MASAKA-24HR'!L44,'27.10 Mutukula-Masaka'!L44,'28.10 MUTUKULA-MASAKA-24HR'!L44,'29.10 MUTUKULA-MASAKA'!L44,'30.10 MUTUKULA-MASAKA'!L44,'31.10.MUTUKULA-MASAKA'!L44)</f>
        <v>0</v>
      </c>
      <c r="M44" s="49">
        <f>AVERAGE('25.10 MUTUKULA-MASAKA'!M44,'26.10 MUTUKULA-MASAKA-24HR'!M44,'27.10 Mutukula-Masaka'!M44,'28.10 MUTUKULA-MASAKA-24HR'!M44,'29.10 MUTUKULA-MASAKA'!M44,'30.10 MUTUKULA-MASAKA'!M44,'31.10.MUTUKULA-MASAKA'!M44)</f>
        <v>10.857142857142858</v>
      </c>
      <c r="N44" s="49">
        <f>AVERAGE('25.10 MUTUKULA-MASAKA'!N44,'26.10 MUTUKULA-MASAKA-24HR'!N44,'27.10 Mutukula-Masaka'!N44,'28.10 MUTUKULA-MASAKA-24HR'!N44,'29.10 MUTUKULA-MASAKA'!N44,'30.10 MUTUKULA-MASAKA'!N44,'31.10.MUTUKULA-MASAKA'!N44)</f>
        <v>0</v>
      </c>
      <c r="O44" s="15">
        <f t="shared" si="0"/>
        <v>6.2857142857142856</v>
      </c>
      <c r="P44" s="15">
        <f t="shared" si="1"/>
        <v>17.142857142857142</v>
      </c>
    </row>
    <row r="45" spans="2:32" ht="23.1" customHeight="1" x14ac:dyDescent="0.25">
      <c r="B45" s="23" t="s">
        <v>72</v>
      </c>
      <c r="C45" s="49">
        <f>AVERAGE('25.10 MUTUKULA-MASAKA'!C45,'26.10 MUTUKULA-MASAKA-24HR'!C45,'27.10 Mutukula-Masaka'!C45,'28.10 MUTUKULA-MASAKA-24HR'!C45,'29.10 MUTUKULA-MASAKA'!C45,'30.10 MUTUKULA-MASAKA'!C45,'31.10.MUTUKULA-MASAKA'!C45)</f>
        <v>3.7142857142857144</v>
      </c>
      <c r="D45" s="49">
        <f>AVERAGE('25.10 MUTUKULA-MASAKA'!D45,'26.10 MUTUKULA-MASAKA-24HR'!D45,'27.10 Mutukula-Masaka'!D45,'28.10 MUTUKULA-MASAKA-24HR'!D45,'29.10 MUTUKULA-MASAKA'!D45,'30.10 MUTUKULA-MASAKA'!D45,'31.10.MUTUKULA-MASAKA'!D45)</f>
        <v>0.2857142857142857</v>
      </c>
      <c r="E45" s="49">
        <f>AVERAGE('25.10 MUTUKULA-MASAKA'!E45,'26.10 MUTUKULA-MASAKA-24HR'!E45,'27.10 Mutukula-Masaka'!E45,'28.10 MUTUKULA-MASAKA-24HR'!E45,'29.10 MUTUKULA-MASAKA'!E45,'30.10 MUTUKULA-MASAKA'!E45,'31.10.MUTUKULA-MASAKA'!E45)</f>
        <v>0</v>
      </c>
      <c r="F45" s="49">
        <f>AVERAGE('25.10 MUTUKULA-MASAKA'!F45,'26.10 MUTUKULA-MASAKA-24HR'!F45,'27.10 Mutukula-Masaka'!F45,'28.10 MUTUKULA-MASAKA-24HR'!F45,'29.10 MUTUKULA-MASAKA'!F45,'30.10 MUTUKULA-MASAKA'!F45,'31.10.MUTUKULA-MASAKA'!F45)</f>
        <v>1.5714285714285714</v>
      </c>
      <c r="G45" s="49">
        <f>AVERAGE('25.10 MUTUKULA-MASAKA'!G45,'26.10 MUTUKULA-MASAKA-24HR'!G45,'27.10 Mutukula-Masaka'!G45,'28.10 MUTUKULA-MASAKA-24HR'!G45,'29.10 MUTUKULA-MASAKA'!G45,'30.10 MUTUKULA-MASAKA'!G45,'31.10.MUTUKULA-MASAKA'!G45)</f>
        <v>0</v>
      </c>
      <c r="H45" s="49">
        <f>AVERAGE('25.10 MUTUKULA-MASAKA'!H45,'26.10 MUTUKULA-MASAKA-24HR'!H45,'27.10 Mutukula-Masaka'!H45,'28.10 MUTUKULA-MASAKA-24HR'!H45,'29.10 MUTUKULA-MASAKA'!H45,'30.10 MUTUKULA-MASAKA'!H45,'31.10.MUTUKULA-MASAKA'!H45)</f>
        <v>0</v>
      </c>
      <c r="I45" s="49">
        <f>AVERAGE('25.10 MUTUKULA-MASAKA'!I45,'26.10 MUTUKULA-MASAKA-24HR'!I45,'27.10 Mutukula-Masaka'!I45,'28.10 MUTUKULA-MASAKA-24HR'!I45,'29.10 MUTUKULA-MASAKA'!I45,'30.10 MUTUKULA-MASAKA'!I45,'31.10.MUTUKULA-MASAKA'!I45)</f>
        <v>0.7142857142857143</v>
      </c>
      <c r="J45" s="49">
        <f>AVERAGE('25.10 MUTUKULA-MASAKA'!J45,'26.10 MUTUKULA-MASAKA-24HR'!J45,'27.10 Mutukula-Masaka'!J45,'28.10 MUTUKULA-MASAKA-24HR'!J45,'29.10 MUTUKULA-MASAKA'!J45,'30.10 MUTUKULA-MASAKA'!J45,'31.10.MUTUKULA-MASAKA'!J45)</f>
        <v>0.7142857142857143</v>
      </c>
      <c r="K45" s="49">
        <f>AVERAGE('25.10 MUTUKULA-MASAKA'!K45,'26.10 MUTUKULA-MASAKA-24HR'!K45,'27.10 Mutukula-Masaka'!K45,'28.10 MUTUKULA-MASAKA-24HR'!K45,'29.10 MUTUKULA-MASAKA'!K45,'30.10 MUTUKULA-MASAKA'!K45,'31.10.MUTUKULA-MASAKA'!K45)</f>
        <v>0.2857142857142857</v>
      </c>
      <c r="L45" s="49">
        <f>AVERAGE('25.10 MUTUKULA-MASAKA'!L45,'26.10 MUTUKULA-MASAKA-24HR'!L45,'27.10 Mutukula-Masaka'!L45,'28.10 MUTUKULA-MASAKA-24HR'!L45,'29.10 MUTUKULA-MASAKA'!L45,'30.10 MUTUKULA-MASAKA'!L45,'31.10.MUTUKULA-MASAKA'!L45)</f>
        <v>0</v>
      </c>
      <c r="M45" s="49">
        <f>AVERAGE('25.10 MUTUKULA-MASAKA'!M45,'26.10 MUTUKULA-MASAKA-24HR'!M45,'27.10 Mutukula-Masaka'!M45,'28.10 MUTUKULA-MASAKA-24HR'!M45,'29.10 MUTUKULA-MASAKA'!M45,'30.10 MUTUKULA-MASAKA'!M45,'31.10.MUTUKULA-MASAKA'!M45)</f>
        <v>9.7142857142857135</v>
      </c>
      <c r="N45" s="49">
        <f>AVERAGE('25.10 MUTUKULA-MASAKA'!N45,'26.10 MUTUKULA-MASAKA-24HR'!N45,'27.10 Mutukula-Masaka'!N45,'28.10 MUTUKULA-MASAKA-24HR'!N45,'29.10 MUTUKULA-MASAKA'!N45,'30.10 MUTUKULA-MASAKA'!N45,'31.10.MUTUKULA-MASAKA'!N45)</f>
        <v>0</v>
      </c>
      <c r="O45" s="15">
        <f t="shared" si="0"/>
        <v>7.2857142857142856</v>
      </c>
      <c r="P45" s="15">
        <f t="shared" si="1"/>
        <v>17</v>
      </c>
    </row>
    <row r="46" spans="2:32" ht="23.1" customHeight="1" x14ac:dyDescent="0.25">
      <c r="B46" s="24" t="s">
        <v>73</v>
      </c>
      <c r="C46" s="49">
        <f>AVERAGE('25.10 MUTUKULA-MASAKA'!C46,'26.10 MUTUKULA-MASAKA-24HR'!C46,'27.10 Mutukula-Masaka'!C46,'28.10 MUTUKULA-MASAKA-24HR'!C46,'29.10 MUTUKULA-MASAKA'!C46,'30.10 MUTUKULA-MASAKA'!C46,'31.10.MUTUKULA-MASAKA'!C46)</f>
        <v>2.7142857142857144</v>
      </c>
      <c r="D46" s="49">
        <f>AVERAGE('25.10 MUTUKULA-MASAKA'!D46,'26.10 MUTUKULA-MASAKA-24HR'!D46,'27.10 Mutukula-Masaka'!D46,'28.10 MUTUKULA-MASAKA-24HR'!D46,'29.10 MUTUKULA-MASAKA'!D46,'30.10 MUTUKULA-MASAKA'!D46,'31.10.MUTUKULA-MASAKA'!D46)</f>
        <v>0.42857142857142855</v>
      </c>
      <c r="E46" s="49">
        <f>AVERAGE('25.10 MUTUKULA-MASAKA'!E46,'26.10 MUTUKULA-MASAKA-24HR'!E46,'27.10 Mutukula-Masaka'!E46,'28.10 MUTUKULA-MASAKA-24HR'!E46,'29.10 MUTUKULA-MASAKA'!E46,'30.10 MUTUKULA-MASAKA'!E46,'31.10.MUTUKULA-MASAKA'!E46)</f>
        <v>0</v>
      </c>
      <c r="F46" s="49">
        <f>AVERAGE('25.10 MUTUKULA-MASAKA'!F46,'26.10 MUTUKULA-MASAKA-24HR'!F46,'27.10 Mutukula-Masaka'!F46,'28.10 MUTUKULA-MASAKA-24HR'!F46,'29.10 MUTUKULA-MASAKA'!F46,'30.10 MUTUKULA-MASAKA'!F46,'31.10.MUTUKULA-MASAKA'!F46)</f>
        <v>1.5714285714285714</v>
      </c>
      <c r="G46" s="49">
        <f>AVERAGE('25.10 MUTUKULA-MASAKA'!G46,'26.10 MUTUKULA-MASAKA-24HR'!G46,'27.10 Mutukula-Masaka'!G46,'28.10 MUTUKULA-MASAKA-24HR'!G46,'29.10 MUTUKULA-MASAKA'!G46,'30.10 MUTUKULA-MASAKA'!G46,'31.10.MUTUKULA-MASAKA'!G46)</f>
        <v>0</v>
      </c>
      <c r="H46" s="49">
        <f>AVERAGE('25.10 MUTUKULA-MASAKA'!H46,'26.10 MUTUKULA-MASAKA-24HR'!H46,'27.10 Mutukula-Masaka'!H46,'28.10 MUTUKULA-MASAKA-24HR'!H46,'29.10 MUTUKULA-MASAKA'!H46,'30.10 MUTUKULA-MASAKA'!H46,'31.10.MUTUKULA-MASAKA'!H46)</f>
        <v>0.14285714285714285</v>
      </c>
      <c r="I46" s="49">
        <f>AVERAGE('25.10 MUTUKULA-MASAKA'!I46,'26.10 MUTUKULA-MASAKA-24HR'!I46,'27.10 Mutukula-Masaka'!I46,'28.10 MUTUKULA-MASAKA-24HR'!I46,'29.10 MUTUKULA-MASAKA'!I46,'30.10 MUTUKULA-MASAKA'!I46,'31.10.MUTUKULA-MASAKA'!I46)</f>
        <v>1</v>
      </c>
      <c r="J46" s="49">
        <f>AVERAGE('25.10 MUTUKULA-MASAKA'!J46,'26.10 MUTUKULA-MASAKA-24HR'!J46,'27.10 Mutukula-Masaka'!J46,'28.10 MUTUKULA-MASAKA-24HR'!J46,'29.10 MUTUKULA-MASAKA'!J46,'30.10 MUTUKULA-MASAKA'!J46,'31.10.MUTUKULA-MASAKA'!J46)</f>
        <v>1.7142857142857142</v>
      </c>
      <c r="K46" s="49">
        <f>AVERAGE('25.10 MUTUKULA-MASAKA'!K46,'26.10 MUTUKULA-MASAKA-24HR'!K46,'27.10 Mutukula-Masaka'!K46,'28.10 MUTUKULA-MASAKA-24HR'!K46,'29.10 MUTUKULA-MASAKA'!K46,'30.10 MUTUKULA-MASAKA'!K46,'31.10.MUTUKULA-MASAKA'!K46)</f>
        <v>1.1428571428571428</v>
      </c>
      <c r="L46" s="49">
        <f>AVERAGE('25.10 MUTUKULA-MASAKA'!L46,'26.10 MUTUKULA-MASAKA-24HR'!L46,'27.10 Mutukula-Masaka'!L46,'28.10 MUTUKULA-MASAKA-24HR'!L46,'29.10 MUTUKULA-MASAKA'!L46,'30.10 MUTUKULA-MASAKA'!L46,'31.10.MUTUKULA-MASAKA'!L46)</f>
        <v>0.14285714285714285</v>
      </c>
      <c r="M46" s="49">
        <f>AVERAGE('25.10 MUTUKULA-MASAKA'!M46,'26.10 MUTUKULA-MASAKA-24HR'!M46,'27.10 Mutukula-Masaka'!M46,'28.10 MUTUKULA-MASAKA-24HR'!M46,'29.10 MUTUKULA-MASAKA'!M46,'30.10 MUTUKULA-MASAKA'!M46,'31.10.MUTUKULA-MASAKA'!M46)</f>
        <v>7.8571428571428568</v>
      </c>
      <c r="N46" s="49">
        <f>AVERAGE('25.10 MUTUKULA-MASAKA'!N46,'26.10 MUTUKULA-MASAKA-24HR'!N46,'27.10 Mutukula-Masaka'!N46,'28.10 MUTUKULA-MASAKA-24HR'!N46,'29.10 MUTUKULA-MASAKA'!N46,'30.10 MUTUKULA-MASAKA'!N46,'31.10.MUTUKULA-MASAKA'!N46)</f>
        <v>0</v>
      </c>
      <c r="O46" s="15">
        <f t="shared" si="0"/>
        <v>8.8571428571428577</v>
      </c>
      <c r="P46" s="15">
        <f t="shared" si="1"/>
        <v>16.714285714285715</v>
      </c>
      <c r="R46" s="8"/>
      <c r="T46"/>
    </row>
    <row r="47" spans="2:32" ht="23.1" customHeight="1" x14ac:dyDescent="0.25">
      <c r="B47" s="24" t="s">
        <v>74</v>
      </c>
      <c r="C47" s="49">
        <f>AVERAGE('25.10 MUTUKULA-MASAKA'!C47,'26.10 MUTUKULA-MASAKA-24HR'!C47,'27.10 Mutukula-Masaka'!C47,'28.10 MUTUKULA-MASAKA-24HR'!C47,'29.10 MUTUKULA-MASAKA'!C47,'30.10 MUTUKULA-MASAKA'!C47,'31.10.MUTUKULA-MASAKA'!C47)</f>
        <v>3.4285714285714284</v>
      </c>
      <c r="D47" s="49">
        <f>AVERAGE('25.10 MUTUKULA-MASAKA'!D47,'26.10 MUTUKULA-MASAKA-24HR'!D47,'27.10 Mutukula-Masaka'!D47,'28.10 MUTUKULA-MASAKA-24HR'!D47,'29.10 MUTUKULA-MASAKA'!D47,'30.10 MUTUKULA-MASAKA'!D47,'31.10.MUTUKULA-MASAKA'!D47)</f>
        <v>0.8571428571428571</v>
      </c>
      <c r="E47" s="49">
        <f>AVERAGE('25.10 MUTUKULA-MASAKA'!E47,'26.10 MUTUKULA-MASAKA-24HR'!E47,'27.10 Mutukula-Masaka'!E47,'28.10 MUTUKULA-MASAKA-24HR'!E47,'29.10 MUTUKULA-MASAKA'!E47,'30.10 MUTUKULA-MASAKA'!E47,'31.10.MUTUKULA-MASAKA'!E47)</f>
        <v>0.2857142857142857</v>
      </c>
      <c r="F47" s="49">
        <f>AVERAGE('25.10 MUTUKULA-MASAKA'!F47,'26.10 MUTUKULA-MASAKA-24HR'!F47,'27.10 Mutukula-Masaka'!F47,'28.10 MUTUKULA-MASAKA-24HR'!F47,'29.10 MUTUKULA-MASAKA'!F47,'30.10 MUTUKULA-MASAKA'!F47,'31.10.MUTUKULA-MASAKA'!F47)</f>
        <v>1</v>
      </c>
      <c r="G47" s="49">
        <f>AVERAGE('25.10 MUTUKULA-MASAKA'!G47,'26.10 MUTUKULA-MASAKA-24HR'!G47,'27.10 Mutukula-Masaka'!G47,'28.10 MUTUKULA-MASAKA-24HR'!G47,'29.10 MUTUKULA-MASAKA'!G47,'30.10 MUTUKULA-MASAKA'!G47,'31.10.MUTUKULA-MASAKA'!G47)</f>
        <v>0</v>
      </c>
      <c r="H47" s="49">
        <f>AVERAGE('25.10 MUTUKULA-MASAKA'!H47,'26.10 MUTUKULA-MASAKA-24HR'!H47,'27.10 Mutukula-Masaka'!H47,'28.10 MUTUKULA-MASAKA-24HR'!H47,'29.10 MUTUKULA-MASAKA'!H47,'30.10 MUTUKULA-MASAKA'!H47,'31.10.MUTUKULA-MASAKA'!H47)</f>
        <v>0.14285714285714285</v>
      </c>
      <c r="I47" s="49">
        <f>AVERAGE('25.10 MUTUKULA-MASAKA'!I47,'26.10 MUTUKULA-MASAKA-24HR'!I47,'27.10 Mutukula-Masaka'!I47,'28.10 MUTUKULA-MASAKA-24HR'!I47,'29.10 MUTUKULA-MASAKA'!I47,'30.10 MUTUKULA-MASAKA'!I47,'31.10.MUTUKULA-MASAKA'!I47)</f>
        <v>1</v>
      </c>
      <c r="J47" s="49">
        <f>AVERAGE('25.10 MUTUKULA-MASAKA'!J47,'26.10 MUTUKULA-MASAKA-24HR'!J47,'27.10 Mutukula-Masaka'!J47,'28.10 MUTUKULA-MASAKA-24HR'!J47,'29.10 MUTUKULA-MASAKA'!J47,'30.10 MUTUKULA-MASAKA'!J47,'31.10.MUTUKULA-MASAKA'!J47)</f>
        <v>1.1428571428571428</v>
      </c>
      <c r="K47" s="49">
        <f>AVERAGE('25.10 MUTUKULA-MASAKA'!K47,'26.10 MUTUKULA-MASAKA-24HR'!K47,'27.10 Mutukula-Masaka'!K47,'28.10 MUTUKULA-MASAKA-24HR'!K47,'29.10 MUTUKULA-MASAKA'!K47,'30.10 MUTUKULA-MASAKA'!K47,'31.10.MUTUKULA-MASAKA'!K47)</f>
        <v>0.7142857142857143</v>
      </c>
      <c r="L47" s="49">
        <f>AVERAGE('25.10 MUTUKULA-MASAKA'!L47,'26.10 MUTUKULA-MASAKA-24HR'!L47,'27.10 Mutukula-Masaka'!L47,'28.10 MUTUKULA-MASAKA-24HR'!L47,'29.10 MUTUKULA-MASAKA'!L47,'30.10 MUTUKULA-MASAKA'!L47,'31.10.MUTUKULA-MASAKA'!L47)</f>
        <v>0</v>
      </c>
      <c r="M47" s="49">
        <f>AVERAGE('25.10 MUTUKULA-MASAKA'!M47,'26.10 MUTUKULA-MASAKA-24HR'!M47,'27.10 Mutukula-Masaka'!M47,'28.10 MUTUKULA-MASAKA-24HR'!M47,'29.10 MUTUKULA-MASAKA'!M47,'30.10 MUTUKULA-MASAKA'!M47,'31.10.MUTUKULA-MASAKA'!M47)</f>
        <v>9.1428571428571423</v>
      </c>
      <c r="N47" s="49">
        <f>AVERAGE('25.10 MUTUKULA-MASAKA'!N47,'26.10 MUTUKULA-MASAKA-24HR'!N47,'27.10 Mutukula-Masaka'!N47,'28.10 MUTUKULA-MASAKA-24HR'!N47,'29.10 MUTUKULA-MASAKA'!N47,'30.10 MUTUKULA-MASAKA'!N47,'31.10.MUTUKULA-MASAKA'!N47)</f>
        <v>0</v>
      </c>
      <c r="O47" s="15">
        <f t="shared" si="0"/>
        <v>8.5714285714285712</v>
      </c>
      <c r="P47" s="15">
        <f t="shared" si="1"/>
        <v>17.714285714285715</v>
      </c>
      <c r="R47" s="8"/>
      <c r="T47"/>
    </row>
    <row r="48" spans="2:32" ht="23.1" customHeight="1" x14ac:dyDescent="0.25">
      <c r="B48" s="24" t="s">
        <v>75</v>
      </c>
      <c r="C48" s="49">
        <f>AVERAGE('25.10 MUTUKULA-MASAKA'!C48,'26.10 MUTUKULA-MASAKA-24HR'!C48,'27.10 Mutukula-Masaka'!C48,'28.10 MUTUKULA-MASAKA-24HR'!C48,'29.10 MUTUKULA-MASAKA'!C48,'30.10 MUTUKULA-MASAKA'!C48,'31.10.MUTUKULA-MASAKA'!C48)</f>
        <v>3.2857142857142856</v>
      </c>
      <c r="D48" s="49">
        <f>AVERAGE('25.10 MUTUKULA-MASAKA'!D48,'26.10 MUTUKULA-MASAKA-24HR'!D48,'27.10 Mutukula-Masaka'!D48,'28.10 MUTUKULA-MASAKA-24HR'!D48,'29.10 MUTUKULA-MASAKA'!D48,'30.10 MUTUKULA-MASAKA'!D48,'31.10.MUTUKULA-MASAKA'!D48)</f>
        <v>0.5714285714285714</v>
      </c>
      <c r="E48" s="49">
        <f>AVERAGE('25.10 MUTUKULA-MASAKA'!E48,'26.10 MUTUKULA-MASAKA-24HR'!E48,'27.10 Mutukula-Masaka'!E48,'28.10 MUTUKULA-MASAKA-24HR'!E48,'29.10 MUTUKULA-MASAKA'!E48,'30.10 MUTUKULA-MASAKA'!E48,'31.10.MUTUKULA-MASAKA'!E48)</f>
        <v>0.42857142857142855</v>
      </c>
      <c r="F48" s="49">
        <f>AVERAGE('25.10 MUTUKULA-MASAKA'!F48,'26.10 MUTUKULA-MASAKA-24HR'!F48,'27.10 Mutukula-Masaka'!F48,'28.10 MUTUKULA-MASAKA-24HR'!F48,'29.10 MUTUKULA-MASAKA'!F48,'30.10 MUTUKULA-MASAKA'!F48,'31.10.MUTUKULA-MASAKA'!F48)</f>
        <v>1</v>
      </c>
      <c r="G48" s="49">
        <f>AVERAGE('25.10 MUTUKULA-MASAKA'!G48,'26.10 MUTUKULA-MASAKA-24HR'!G48,'27.10 Mutukula-Masaka'!G48,'28.10 MUTUKULA-MASAKA-24HR'!G48,'29.10 MUTUKULA-MASAKA'!G48,'30.10 MUTUKULA-MASAKA'!G48,'31.10.MUTUKULA-MASAKA'!G48)</f>
        <v>0</v>
      </c>
      <c r="H48" s="49">
        <f>AVERAGE('25.10 MUTUKULA-MASAKA'!H48,'26.10 MUTUKULA-MASAKA-24HR'!H48,'27.10 Mutukula-Masaka'!H48,'28.10 MUTUKULA-MASAKA-24HR'!H48,'29.10 MUTUKULA-MASAKA'!H48,'30.10 MUTUKULA-MASAKA'!H48,'31.10.MUTUKULA-MASAKA'!H48)</f>
        <v>0.5714285714285714</v>
      </c>
      <c r="I48" s="49">
        <f>AVERAGE('25.10 MUTUKULA-MASAKA'!I48,'26.10 MUTUKULA-MASAKA-24HR'!I48,'27.10 Mutukula-Masaka'!I48,'28.10 MUTUKULA-MASAKA-24HR'!I48,'29.10 MUTUKULA-MASAKA'!I48,'30.10 MUTUKULA-MASAKA'!I48,'31.10.MUTUKULA-MASAKA'!I48)</f>
        <v>0.5714285714285714</v>
      </c>
      <c r="J48" s="49">
        <f>AVERAGE('25.10 MUTUKULA-MASAKA'!J48,'26.10 MUTUKULA-MASAKA-24HR'!J48,'27.10 Mutukula-Masaka'!J48,'28.10 MUTUKULA-MASAKA-24HR'!J48,'29.10 MUTUKULA-MASAKA'!J48,'30.10 MUTUKULA-MASAKA'!J48,'31.10.MUTUKULA-MASAKA'!J48)</f>
        <v>1.5714285714285714</v>
      </c>
      <c r="K48" s="49">
        <f>AVERAGE('25.10 MUTUKULA-MASAKA'!K48,'26.10 MUTUKULA-MASAKA-24HR'!K48,'27.10 Mutukula-Masaka'!K48,'28.10 MUTUKULA-MASAKA-24HR'!K48,'29.10 MUTUKULA-MASAKA'!K48,'30.10 MUTUKULA-MASAKA'!K48,'31.10.MUTUKULA-MASAKA'!K48)</f>
        <v>1.8571428571428572</v>
      </c>
      <c r="L48" s="49">
        <f>AVERAGE('25.10 MUTUKULA-MASAKA'!L48,'26.10 MUTUKULA-MASAKA-24HR'!L48,'27.10 Mutukula-Masaka'!L48,'28.10 MUTUKULA-MASAKA-24HR'!L48,'29.10 MUTUKULA-MASAKA'!L48,'30.10 MUTUKULA-MASAKA'!L48,'31.10.MUTUKULA-MASAKA'!L48)</f>
        <v>0.2857142857142857</v>
      </c>
      <c r="M48" s="49">
        <f>AVERAGE('25.10 MUTUKULA-MASAKA'!M48,'26.10 MUTUKULA-MASAKA-24HR'!M48,'27.10 Mutukula-Masaka'!M48,'28.10 MUTUKULA-MASAKA-24HR'!M48,'29.10 MUTUKULA-MASAKA'!M48,'30.10 MUTUKULA-MASAKA'!M48,'31.10.MUTUKULA-MASAKA'!M48)</f>
        <v>9.2857142857142865</v>
      </c>
      <c r="N48" s="49">
        <f>AVERAGE('25.10 MUTUKULA-MASAKA'!N48,'26.10 MUTUKULA-MASAKA-24HR'!N48,'27.10 Mutukula-Masaka'!N48,'28.10 MUTUKULA-MASAKA-24HR'!N48,'29.10 MUTUKULA-MASAKA'!N48,'30.10 MUTUKULA-MASAKA'!N48,'31.10.MUTUKULA-MASAKA'!N48)</f>
        <v>0</v>
      </c>
      <c r="O48" s="15">
        <f t="shared" si="0"/>
        <v>10.142857142857142</v>
      </c>
      <c r="P48" s="15">
        <f t="shared" si="1"/>
        <v>19.428571428571431</v>
      </c>
      <c r="R48" s="8"/>
      <c r="T48"/>
    </row>
    <row r="49" spans="2:20" ht="23.1" customHeight="1" x14ac:dyDescent="0.25">
      <c r="B49" s="23" t="s">
        <v>76</v>
      </c>
      <c r="C49" s="49">
        <f>AVERAGE('25.10 MUTUKULA-MASAKA'!C49,'26.10 MUTUKULA-MASAKA-24HR'!C49,'27.10 Mutukula-Masaka'!C49,'28.10 MUTUKULA-MASAKA-24HR'!C49,'29.10 MUTUKULA-MASAKA'!C49,'30.10 MUTUKULA-MASAKA'!C49,'31.10.MUTUKULA-MASAKA'!C49)</f>
        <v>1</v>
      </c>
      <c r="D49" s="49">
        <f>AVERAGE('25.10 MUTUKULA-MASAKA'!D49,'26.10 MUTUKULA-MASAKA-24HR'!D49,'27.10 Mutukula-Masaka'!D49,'28.10 MUTUKULA-MASAKA-24HR'!D49,'29.10 MUTUKULA-MASAKA'!D49,'30.10 MUTUKULA-MASAKA'!D49,'31.10.MUTUKULA-MASAKA'!D49)</f>
        <v>0.2857142857142857</v>
      </c>
      <c r="E49" s="49">
        <f>AVERAGE('25.10 MUTUKULA-MASAKA'!E49,'26.10 MUTUKULA-MASAKA-24HR'!E49,'27.10 Mutukula-Masaka'!E49,'28.10 MUTUKULA-MASAKA-24HR'!E49,'29.10 MUTUKULA-MASAKA'!E49,'30.10 MUTUKULA-MASAKA'!E49,'31.10.MUTUKULA-MASAKA'!E49)</f>
        <v>0</v>
      </c>
      <c r="F49" s="49">
        <f>AVERAGE('25.10 MUTUKULA-MASAKA'!F49,'26.10 MUTUKULA-MASAKA-24HR'!F49,'27.10 Mutukula-Masaka'!F49,'28.10 MUTUKULA-MASAKA-24HR'!F49,'29.10 MUTUKULA-MASAKA'!F49,'30.10 MUTUKULA-MASAKA'!F49,'31.10.MUTUKULA-MASAKA'!F49)</f>
        <v>1.7142857142857142</v>
      </c>
      <c r="G49" s="49">
        <f>AVERAGE('25.10 MUTUKULA-MASAKA'!G49,'26.10 MUTUKULA-MASAKA-24HR'!G49,'27.10 Mutukula-Masaka'!G49,'28.10 MUTUKULA-MASAKA-24HR'!G49,'29.10 MUTUKULA-MASAKA'!G49,'30.10 MUTUKULA-MASAKA'!G49,'31.10.MUTUKULA-MASAKA'!G49)</f>
        <v>0.14285714285714285</v>
      </c>
      <c r="H49" s="49">
        <f>AVERAGE('25.10 MUTUKULA-MASAKA'!H49,'26.10 MUTUKULA-MASAKA-24HR'!H49,'27.10 Mutukula-Masaka'!H49,'28.10 MUTUKULA-MASAKA-24HR'!H49,'29.10 MUTUKULA-MASAKA'!H49,'30.10 MUTUKULA-MASAKA'!H49,'31.10.MUTUKULA-MASAKA'!H49)</f>
        <v>0.42857142857142855</v>
      </c>
      <c r="I49" s="49">
        <f>AVERAGE('25.10 MUTUKULA-MASAKA'!I49,'26.10 MUTUKULA-MASAKA-24HR'!I49,'27.10 Mutukula-Masaka'!I49,'28.10 MUTUKULA-MASAKA-24HR'!I49,'29.10 MUTUKULA-MASAKA'!I49,'30.10 MUTUKULA-MASAKA'!I49,'31.10.MUTUKULA-MASAKA'!I49)</f>
        <v>0.2857142857142857</v>
      </c>
      <c r="J49" s="49">
        <f>AVERAGE('25.10 MUTUKULA-MASAKA'!J49,'26.10 MUTUKULA-MASAKA-24HR'!J49,'27.10 Mutukula-Masaka'!J49,'28.10 MUTUKULA-MASAKA-24HR'!J49,'29.10 MUTUKULA-MASAKA'!J49,'30.10 MUTUKULA-MASAKA'!J49,'31.10.MUTUKULA-MASAKA'!J49)</f>
        <v>0.5714285714285714</v>
      </c>
      <c r="K49" s="49">
        <f>AVERAGE('25.10 MUTUKULA-MASAKA'!K49,'26.10 MUTUKULA-MASAKA-24HR'!K49,'27.10 Mutukula-Masaka'!K49,'28.10 MUTUKULA-MASAKA-24HR'!K49,'29.10 MUTUKULA-MASAKA'!K49,'30.10 MUTUKULA-MASAKA'!K49,'31.10.MUTUKULA-MASAKA'!K49)</f>
        <v>1</v>
      </c>
      <c r="L49" s="49">
        <f>AVERAGE('25.10 MUTUKULA-MASAKA'!L49,'26.10 MUTUKULA-MASAKA-24HR'!L49,'27.10 Mutukula-Masaka'!L49,'28.10 MUTUKULA-MASAKA-24HR'!L49,'29.10 MUTUKULA-MASAKA'!L49,'30.10 MUTUKULA-MASAKA'!L49,'31.10.MUTUKULA-MASAKA'!L49)</f>
        <v>0</v>
      </c>
      <c r="M49" s="49">
        <f>AVERAGE('25.10 MUTUKULA-MASAKA'!M49,'26.10 MUTUKULA-MASAKA-24HR'!M49,'27.10 Mutukula-Masaka'!M49,'28.10 MUTUKULA-MASAKA-24HR'!M49,'29.10 MUTUKULA-MASAKA'!M49,'30.10 MUTUKULA-MASAKA'!M49,'31.10.MUTUKULA-MASAKA'!M49)</f>
        <v>13.714285714285714</v>
      </c>
      <c r="N49" s="49">
        <f>AVERAGE('25.10 MUTUKULA-MASAKA'!N49,'26.10 MUTUKULA-MASAKA-24HR'!N49,'27.10 Mutukula-Masaka'!N49,'28.10 MUTUKULA-MASAKA-24HR'!N49,'29.10 MUTUKULA-MASAKA'!N49,'30.10 MUTUKULA-MASAKA'!N49,'31.10.MUTUKULA-MASAKA'!N49)</f>
        <v>0</v>
      </c>
      <c r="O49" s="15">
        <f t="shared" si="0"/>
        <v>5.4285714285714279</v>
      </c>
      <c r="P49" s="15">
        <f t="shared" si="1"/>
        <v>19.142857142857142</v>
      </c>
      <c r="R49" s="8"/>
      <c r="T49"/>
    </row>
    <row r="50" spans="2:20" ht="23.1" customHeight="1" x14ac:dyDescent="0.25">
      <c r="B50" s="24" t="s">
        <v>77</v>
      </c>
      <c r="C50" s="49">
        <f>AVERAGE('25.10 MUTUKULA-MASAKA'!C50,'26.10 MUTUKULA-MASAKA-24HR'!C50,'27.10 Mutukula-Masaka'!C50,'28.10 MUTUKULA-MASAKA-24HR'!C50,'29.10 MUTUKULA-MASAKA'!C50,'30.10 MUTUKULA-MASAKA'!C50,'31.10.MUTUKULA-MASAKA'!C50)</f>
        <v>1.7142857142857142</v>
      </c>
      <c r="D50" s="49">
        <f>AVERAGE('25.10 MUTUKULA-MASAKA'!D50,'26.10 MUTUKULA-MASAKA-24HR'!D50,'27.10 Mutukula-Masaka'!D50,'28.10 MUTUKULA-MASAKA-24HR'!D50,'29.10 MUTUKULA-MASAKA'!D50,'30.10 MUTUKULA-MASAKA'!D50,'31.10.MUTUKULA-MASAKA'!D50)</f>
        <v>0.5714285714285714</v>
      </c>
      <c r="E50" s="49">
        <f>AVERAGE('25.10 MUTUKULA-MASAKA'!E50,'26.10 MUTUKULA-MASAKA-24HR'!E50,'27.10 Mutukula-Masaka'!E50,'28.10 MUTUKULA-MASAKA-24HR'!E50,'29.10 MUTUKULA-MASAKA'!E50,'30.10 MUTUKULA-MASAKA'!E50,'31.10.MUTUKULA-MASAKA'!E50)</f>
        <v>0.42857142857142855</v>
      </c>
      <c r="F50" s="49">
        <f>AVERAGE('25.10 MUTUKULA-MASAKA'!F50,'26.10 MUTUKULA-MASAKA-24HR'!F50,'27.10 Mutukula-Masaka'!F50,'28.10 MUTUKULA-MASAKA-24HR'!F50,'29.10 MUTUKULA-MASAKA'!F50,'30.10 MUTUKULA-MASAKA'!F50,'31.10.MUTUKULA-MASAKA'!F50)</f>
        <v>1.2857142857142858</v>
      </c>
      <c r="G50" s="49">
        <f>AVERAGE('25.10 MUTUKULA-MASAKA'!G50,'26.10 MUTUKULA-MASAKA-24HR'!G50,'27.10 Mutukula-Masaka'!G50,'28.10 MUTUKULA-MASAKA-24HR'!G50,'29.10 MUTUKULA-MASAKA'!G50,'30.10 MUTUKULA-MASAKA'!G50,'31.10.MUTUKULA-MASAKA'!G50)</f>
        <v>0</v>
      </c>
      <c r="H50" s="49">
        <f>AVERAGE('25.10 MUTUKULA-MASAKA'!H50,'26.10 MUTUKULA-MASAKA-24HR'!H50,'27.10 Mutukula-Masaka'!H50,'28.10 MUTUKULA-MASAKA-24HR'!H50,'29.10 MUTUKULA-MASAKA'!H50,'30.10 MUTUKULA-MASAKA'!H50,'31.10.MUTUKULA-MASAKA'!H50)</f>
        <v>0.14285714285714285</v>
      </c>
      <c r="I50" s="49">
        <f>AVERAGE('25.10 MUTUKULA-MASAKA'!I50,'26.10 MUTUKULA-MASAKA-24HR'!I50,'27.10 Mutukula-Masaka'!I50,'28.10 MUTUKULA-MASAKA-24HR'!I50,'29.10 MUTUKULA-MASAKA'!I50,'30.10 MUTUKULA-MASAKA'!I50,'31.10.MUTUKULA-MASAKA'!I50)</f>
        <v>1.5714285714285714</v>
      </c>
      <c r="J50" s="49">
        <f>AVERAGE('25.10 MUTUKULA-MASAKA'!J50,'26.10 MUTUKULA-MASAKA-24HR'!J50,'27.10 Mutukula-Masaka'!J50,'28.10 MUTUKULA-MASAKA-24HR'!J50,'29.10 MUTUKULA-MASAKA'!J50,'30.10 MUTUKULA-MASAKA'!J50,'31.10.MUTUKULA-MASAKA'!J50)</f>
        <v>1.1428571428571428</v>
      </c>
      <c r="K50" s="49">
        <f>AVERAGE('25.10 MUTUKULA-MASAKA'!K50,'26.10 MUTUKULA-MASAKA-24HR'!K50,'27.10 Mutukula-Masaka'!K50,'28.10 MUTUKULA-MASAKA-24HR'!K50,'29.10 MUTUKULA-MASAKA'!K50,'30.10 MUTUKULA-MASAKA'!K50,'31.10.MUTUKULA-MASAKA'!K50)</f>
        <v>1.4285714285714286</v>
      </c>
      <c r="L50" s="49">
        <f>AVERAGE('25.10 MUTUKULA-MASAKA'!L50,'26.10 MUTUKULA-MASAKA-24HR'!L50,'27.10 Mutukula-Masaka'!L50,'28.10 MUTUKULA-MASAKA-24HR'!L50,'29.10 MUTUKULA-MASAKA'!L50,'30.10 MUTUKULA-MASAKA'!L50,'31.10.MUTUKULA-MASAKA'!L50)</f>
        <v>0.14285714285714285</v>
      </c>
      <c r="M50" s="49">
        <f>AVERAGE('25.10 MUTUKULA-MASAKA'!M50,'26.10 MUTUKULA-MASAKA-24HR'!M50,'27.10 Mutukula-Masaka'!M50,'28.10 MUTUKULA-MASAKA-24HR'!M50,'29.10 MUTUKULA-MASAKA'!M50,'30.10 MUTUKULA-MASAKA'!M50,'31.10.MUTUKULA-MASAKA'!M50)</f>
        <v>10.571428571428571</v>
      </c>
      <c r="N50" s="49">
        <f>AVERAGE('25.10 MUTUKULA-MASAKA'!N50,'26.10 MUTUKULA-MASAKA-24HR'!N50,'27.10 Mutukula-Masaka'!N50,'28.10 MUTUKULA-MASAKA-24HR'!N50,'29.10 MUTUKULA-MASAKA'!N50,'30.10 MUTUKULA-MASAKA'!N50,'31.10.MUTUKULA-MASAKA'!N50)</f>
        <v>0</v>
      </c>
      <c r="O50" s="15">
        <f t="shared" si="0"/>
        <v>8.4285714285714288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49">
        <f>AVERAGE('25.10 MUTUKULA-MASAKA'!C51,'26.10 MUTUKULA-MASAKA-24HR'!C51,'27.10 Mutukula-Masaka'!C51,'28.10 MUTUKULA-MASAKA-24HR'!C51,'29.10 MUTUKULA-MASAKA'!C51,'30.10 MUTUKULA-MASAKA'!C51,'31.10.MUTUKULA-MASAKA'!C51)</f>
        <v>2.8571428571428572</v>
      </c>
      <c r="D51" s="49">
        <f>AVERAGE('25.10 MUTUKULA-MASAKA'!D51,'26.10 MUTUKULA-MASAKA-24HR'!D51,'27.10 Mutukula-Masaka'!D51,'28.10 MUTUKULA-MASAKA-24HR'!D51,'29.10 MUTUKULA-MASAKA'!D51,'30.10 MUTUKULA-MASAKA'!D51,'31.10.MUTUKULA-MASAKA'!D51)</f>
        <v>0</v>
      </c>
      <c r="E51" s="49">
        <f>AVERAGE('25.10 MUTUKULA-MASAKA'!E51,'26.10 MUTUKULA-MASAKA-24HR'!E51,'27.10 Mutukula-Masaka'!E51,'28.10 MUTUKULA-MASAKA-24HR'!E51,'29.10 MUTUKULA-MASAKA'!E51,'30.10 MUTUKULA-MASAKA'!E51,'31.10.MUTUKULA-MASAKA'!E51)</f>
        <v>0</v>
      </c>
      <c r="F51" s="49">
        <f>AVERAGE('25.10 MUTUKULA-MASAKA'!F51,'26.10 MUTUKULA-MASAKA-24HR'!F51,'27.10 Mutukula-Masaka'!F51,'28.10 MUTUKULA-MASAKA-24HR'!F51,'29.10 MUTUKULA-MASAKA'!F51,'30.10 MUTUKULA-MASAKA'!F51,'31.10.MUTUKULA-MASAKA'!F51)</f>
        <v>1.5714285714285714</v>
      </c>
      <c r="G51" s="49">
        <f>AVERAGE('25.10 MUTUKULA-MASAKA'!G51,'26.10 MUTUKULA-MASAKA-24HR'!G51,'27.10 Mutukula-Masaka'!G51,'28.10 MUTUKULA-MASAKA-24HR'!G51,'29.10 MUTUKULA-MASAKA'!G51,'30.10 MUTUKULA-MASAKA'!G51,'31.10.MUTUKULA-MASAKA'!G51)</f>
        <v>0</v>
      </c>
      <c r="H51" s="49">
        <f>AVERAGE('25.10 MUTUKULA-MASAKA'!H51,'26.10 MUTUKULA-MASAKA-24HR'!H51,'27.10 Mutukula-Masaka'!H51,'28.10 MUTUKULA-MASAKA-24HR'!H51,'29.10 MUTUKULA-MASAKA'!H51,'30.10 MUTUKULA-MASAKA'!H51,'31.10.MUTUKULA-MASAKA'!H51)</f>
        <v>0.2857142857142857</v>
      </c>
      <c r="I51" s="49">
        <f>AVERAGE('25.10 MUTUKULA-MASAKA'!I51,'26.10 MUTUKULA-MASAKA-24HR'!I51,'27.10 Mutukula-Masaka'!I51,'28.10 MUTUKULA-MASAKA-24HR'!I51,'29.10 MUTUKULA-MASAKA'!I51,'30.10 MUTUKULA-MASAKA'!I51,'31.10.MUTUKULA-MASAKA'!I51)</f>
        <v>0.5714285714285714</v>
      </c>
      <c r="J51" s="49">
        <f>AVERAGE('25.10 MUTUKULA-MASAKA'!J51,'26.10 MUTUKULA-MASAKA-24HR'!J51,'27.10 Mutukula-Masaka'!J51,'28.10 MUTUKULA-MASAKA-24HR'!J51,'29.10 MUTUKULA-MASAKA'!J51,'30.10 MUTUKULA-MASAKA'!J51,'31.10.MUTUKULA-MASAKA'!J51)</f>
        <v>1.5714285714285714</v>
      </c>
      <c r="K51" s="49">
        <f>AVERAGE('25.10 MUTUKULA-MASAKA'!K51,'26.10 MUTUKULA-MASAKA-24HR'!K51,'27.10 Mutukula-Masaka'!K51,'28.10 MUTUKULA-MASAKA-24HR'!K51,'29.10 MUTUKULA-MASAKA'!K51,'30.10 MUTUKULA-MASAKA'!K51,'31.10.MUTUKULA-MASAKA'!K51)</f>
        <v>0.5714285714285714</v>
      </c>
      <c r="L51" s="49">
        <f>AVERAGE('25.10 MUTUKULA-MASAKA'!L51,'26.10 MUTUKULA-MASAKA-24HR'!L51,'27.10 Mutukula-Masaka'!L51,'28.10 MUTUKULA-MASAKA-24HR'!L51,'29.10 MUTUKULA-MASAKA'!L51,'30.10 MUTUKULA-MASAKA'!L51,'31.10.MUTUKULA-MASAKA'!L51)</f>
        <v>0.5714285714285714</v>
      </c>
      <c r="M51" s="49">
        <f>AVERAGE('25.10 MUTUKULA-MASAKA'!M51,'26.10 MUTUKULA-MASAKA-24HR'!M51,'27.10 Mutukula-Masaka'!M51,'28.10 MUTUKULA-MASAKA-24HR'!M51,'29.10 MUTUKULA-MASAKA'!M51,'30.10 MUTUKULA-MASAKA'!M51,'31.10.MUTUKULA-MASAKA'!M51)</f>
        <v>12.142857142857142</v>
      </c>
      <c r="N51" s="49">
        <f>AVERAGE('25.10 MUTUKULA-MASAKA'!N51,'26.10 MUTUKULA-MASAKA-24HR'!N51,'27.10 Mutukula-Masaka'!N51,'28.10 MUTUKULA-MASAKA-24HR'!N51,'29.10 MUTUKULA-MASAKA'!N51,'30.10 MUTUKULA-MASAKA'!N51,'31.10.MUTUKULA-MASAKA'!N51)</f>
        <v>0</v>
      </c>
      <c r="O51" s="15">
        <f t="shared" si="0"/>
        <v>7.9999999999999991</v>
      </c>
      <c r="P51" s="15">
        <f t="shared" si="1"/>
        <v>20.142857142857142</v>
      </c>
      <c r="R51" s="8"/>
      <c r="T51"/>
    </row>
    <row r="52" spans="2:20" ht="23.1" customHeight="1" x14ac:dyDescent="0.25">
      <c r="B52" s="24" t="s">
        <v>79</v>
      </c>
      <c r="C52" s="49">
        <f>AVERAGE('25.10 MUTUKULA-MASAKA'!C52,'26.10 MUTUKULA-MASAKA-24HR'!C52,'27.10 Mutukula-Masaka'!C52,'28.10 MUTUKULA-MASAKA-24HR'!C52,'29.10 MUTUKULA-MASAKA'!C52,'30.10 MUTUKULA-MASAKA'!C52,'31.10.MUTUKULA-MASAKA'!C52)</f>
        <v>3.7142857142857144</v>
      </c>
      <c r="D52" s="49">
        <f>AVERAGE('25.10 MUTUKULA-MASAKA'!D52,'26.10 MUTUKULA-MASAKA-24HR'!D52,'27.10 Mutukula-Masaka'!D52,'28.10 MUTUKULA-MASAKA-24HR'!D52,'29.10 MUTUKULA-MASAKA'!D52,'30.10 MUTUKULA-MASAKA'!D52,'31.10.MUTUKULA-MASAKA'!D52)</f>
        <v>0.8571428571428571</v>
      </c>
      <c r="E52" s="49">
        <f>AVERAGE('25.10 MUTUKULA-MASAKA'!E52,'26.10 MUTUKULA-MASAKA-24HR'!E52,'27.10 Mutukula-Masaka'!E52,'28.10 MUTUKULA-MASAKA-24HR'!E52,'29.10 MUTUKULA-MASAKA'!E52,'30.10 MUTUKULA-MASAKA'!E52,'31.10.MUTUKULA-MASAKA'!E52)</f>
        <v>0.14285714285714285</v>
      </c>
      <c r="F52" s="49">
        <f>AVERAGE('25.10 MUTUKULA-MASAKA'!F52,'26.10 MUTUKULA-MASAKA-24HR'!F52,'27.10 Mutukula-Masaka'!F52,'28.10 MUTUKULA-MASAKA-24HR'!F52,'29.10 MUTUKULA-MASAKA'!F52,'30.10 MUTUKULA-MASAKA'!F52,'31.10.MUTUKULA-MASAKA'!F52)</f>
        <v>1.1428571428571428</v>
      </c>
      <c r="G52" s="49">
        <f>AVERAGE('25.10 MUTUKULA-MASAKA'!G52,'26.10 MUTUKULA-MASAKA-24HR'!G52,'27.10 Mutukula-Masaka'!G52,'28.10 MUTUKULA-MASAKA-24HR'!G52,'29.10 MUTUKULA-MASAKA'!G52,'30.10 MUTUKULA-MASAKA'!G52,'31.10.MUTUKULA-MASAKA'!G52)</f>
        <v>0</v>
      </c>
      <c r="H52" s="49">
        <f>AVERAGE('25.10 MUTUKULA-MASAKA'!H52,'26.10 MUTUKULA-MASAKA-24HR'!H52,'27.10 Mutukula-Masaka'!H52,'28.10 MUTUKULA-MASAKA-24HR'!H52,'29.10 MUTUKULA-MASAKA'!H52,'30.10 MUTUKULA-MASAKA'!H52,'31.10.MUTUKULA-MASAKA'!H52)</f>
        <v>0</v>
      </c>
      <c r="I52" s="49">
        <f>AVERAGE('25.10 MUTUKULA-MASAKA'!I52,'26.10 MUTUKULA-MASAKA-24HR'!I52,'27.10 Mutukula-Masaka'!I52,'28.10 MUTUKULA-MASAKA-24HR'!I52,'29.10 MUTUKULA-MASAKA'!I52,'30.10 MUTUKULA-MASAKA'!I52,'31.10.MUTUKULA-MASAKA'!I52)</f>
        <v>0.8571428571428571</v>
      </c>
      <c r="J52" s="49">
        <f>AVERAGE('25.10 MUTUKULA-MASAKA'!J52,'26.10 MUTUKULA-MASAKA-24HR'!J52,'27.10 Mutukula-Masaka'!J52,'28.10 MUTUKULA-MASAKA-24HR'!J52,'29.10 MUTUKULA-MASAKA'!J52,'30.10 MUTUKULA-MASAKA'!J52,'31.10.MUTUKULA-MASAKA'!J52)</f>
        <v>2.5714285714285716</v>
      </c>
      <c r="K52" s="49">
        <f>AVERAGE('25.10 MUTUKULA-MASAKA'!K52,'26.10 MUTUKULA-MASAKA-24HR'!K52,'27.10 Mutukula-Masaka'!K52,'28.10 MUTUKULA-MASAKA-24HR'!K52,'29.10 MUTUKULA-MASAKA'!K52,'30.10 MUTUKULA-MASAKA'!K52,'31.10.MUTUKULA-MASAKA'!K52)</f>
        <v>1.4285714285714286</v>
      </c>
      <c r="L52" s="49">
        <f>AVERAGE('25.10 MUTUKULA-MASAKA'!L52,'26.10 MUTUKULA-MASAKA-24HR'!L52,'27.10 Mutukula-Masaka'!L52,'28.10 MUTUKULA-MASAKA-24HR'!L52,'29.10 MUTUKULA-MASAKA'!L52,'30.10 MUTUKULA-MASAKA'!L52,'31.10.MUTUKULA-MASAKA'!L52)</f>
        <v>0</v>
      </c>
      <c r="M52" s="49">
        <f>AVERAGE('25.10 MUTUKULA-MASAKA'!M52,'26.10 MUTUKULA-MASAKA-24HR'!M52,'27.10 Mutukula-Masaka'!M52,'28.10 MUTUKULA-MASAKA-24HR'!M52,'29.10 MUTUKULA-MASAKA'!M52,'30.10 MUTUKULA-MASAKA'!M52,'31.10.MUTUKULA-MASAKA'!M52)</f>
        <v>13.285714285714286</v>
      </c>
      <c r="N52" s="49">
        <f>AVERAGE('25.10 MUTUKULA-MASAKA'!N52,'26.10 MUTUKULA-MASAKA-24HR'!N52,'27.10 Mutukula-Masaka'!N52,'28.10 MUTUKULA-MASAKA-24HR'!N52,'29.10 MUTUKULA-MASAKA'!N52,'30.10 MUTUKULA-MASAKA'!N52,'31.10.MUTUKULA-MASAKA'!N52)</f>
        <v>0.14285714285714285</v>
      </c>
      <c r="O52" s="15">
        <f t="shared" si="0"/>
        <v>10.857142857142858</v>
      </c>
      <c r="P52" s="15">
        <f t="shared" si="1"/>
        <v>24.142857142857142</v>
      </c>
      <c r="R52" s="8"/>
      <c r="T52"/>
    </row>
    <row r="53" spans="2:20" ht="23.1" customHeight="1" x14ac:dyDescent="0.25">
      <c r="B53" s="23" t="s">
        <v>80</v>
      </c>
      <c r="C53" s="49">
        <f>AVERAGE('25.10 MUTUKULA-MASAKA'!C53,'26.10 MUTUKULA-MASAKA-24HR'!C53,'27.10 Mutukula-Masaka'!C53,'28.10 MUTUKULA-MASAKA-24HR'!C53,'29.10 MUTUKULA-MASAKA'!C53,'30.10 MUTUKULA-MASAKA'!C53,'31.10.MUTUKULA-MASAKA'!C53)</f>
        <v>2.1428571428571428</v>
      </c>
      <c r="D53" s="49">
        <f>AVERAGE('25.10 MUTUKULA-MASAKA'!D53,'26.10 MUTUKULA-MASAKA-24HR'!D53,'27.10 Mutukula-Masaka'!D53,'28.10 MUTUKULA-MASAKA-24HR'!D53,'29.10 MUTUKULA-MASAKA'!D53,'30.10 MUTUKULA-MASAKA'!D53,'31.10.MUTUKULA-MASAKA'!D53)</f>
        <v>0.7142857142857143</v>
      </c>
      <c r="E53" s="49">
        <f>AVERAGE('25.10 MUTUKULA-MASAKA'!E53,'26.10 MUTUKULA-MASAKA-24HR'!E53,'27.10 Mutukula-Masaka'!E53,'28.10 MUTUKULA-MASAKA-24HR'!E53,'29.10 MUTUKULA-MASAKA'!E53,'30.10 MUTUKULA-MASAKA'!E53,'31.10.MUTUKULA-MASAKA'!E53)</f>
        <v>0.14285714285714285</v>
      </c>
      <c r="F53" s="49">
        <f>AVERAGE('25.10 MUTUKULA-MASAKA'!F53,'26.10 MUTUKULA-MASAKA-24HR'!F53,'27.10 Mutukula-Masaka'!F53,'28.10 MUTUKULA-MASAKA-24HR'!F53,'29.10 MUTUKULA-MASAKA'!F53,'30.10 MUTUKULA-MASAKA'!F53,'31.10.MUTUKULA-MASAKA'!F53)</f>
        <v>0.7142857142857143</v>
      </c>
      <c r="G53" s="49">
        <f>AVERAGE('25.10 MUTUKULA-MASAKA'!G53,'26.10 MUTUKULA-MASAKA-24HR'!G53,'27.10 Mutukula-Masaka'!G53,'28.10 MUTUKULA-MASAKA-24HR'!G53,'29.10 MUTUKULA-MASAKA'!G53,'30.10 MUTUKULA-MASAKA'!G53,'31.10.MUTUKULA-MASAKA'!G53)</f>
        <v>0</v>
      </c>
      <c r="H53" s="49">
        <f>AVERAGE('25.10 MUTUKULA-MASAKA'!H53,'26.10 MUTUKULA-MASAKA-24HR'!H53,'27.10 Mutukula-Masaka'!H53,'28.10 MUTUKULA-MASAKA-24HR'!H53,'29.10 MUTUKULA-MASAKA'!H53,'30.10 MUTUKULA-MASAKA'!H53,'31.10.MUTUKULA-MASAKA'!H53)</f>
        <v>0.14285714285714285</v>
      </c>
      <c r="I53" s="49">
        <f>AVERAGE('25.10 MUTUKULA-MASAKA'!I53,'26.10 MUTUKULA-MASAKA-24HR'!I53,'27.10 Mutukula-Masaka'!I53,'28.10 MUTUKULA-MASAKA-24HR'!I53,'29.10 MUTUKULA-MASAKA'!I53,'30.10 MUTUKULA-MASAKA'!I53,'31.10.MUTUKULA-MASAKA'!I53)</f>
        <v>1.2857142857142858</v>
      </c>
      <c r="J53" s="49">
        <f>AVERAGE('25.10 MUTUKULA-MASAKA'!J53,'26.10 MUTUKULA-MASAKA-24HR'!J53,'27.10 Mutukula-Masaka'!J53,'28.10 MUTUKULA-MASAKA-24HR'!J53,'29.10 MUTUKULA-MASAKA'!J53,'30.10 MUTUKULA-MASAKA'!J53,'31.10.MUTUKULA-MASAKA'!J53)</f>
        <v>1.2857142857142858</v>
      </c>
      <c r="K53" s="49">
        <f>AVERAGE('25.10 MUTUKULA-MASAKA'!K53,'26.10 MUTUKULA-MASAKA-24HR'!K53,'27.10 Mutukula-Masaka'!K53,'28.10 MUTUKULA-MASAKA-24HR'!K53,'29.10 MUTUKULA-MASAKA'!K53,'30.10 MUTUKULA-MASAKA'!K53,'31.10.MUTUKULA-MASAKA'!K53)</f>
        <v>0.7142857142857143</v>
      </c>
      <c r="L53" s="49">
        <f>AVERAGE('25.10 MUTUKULA-MASAKA'!L53,'26.10 MUTUKULA-MASAKA-24HR'!L53,'27.10 Mutukula-Masaka'!L53,'28.10 MUTUKULA-MASAKA-24HR'!L53,'29.10 MUTUKULA-MASAKA'!L53,'30.10 MUTUKULA-MASAKA'!L53,'31.10.MUTUKULA-MASAKA'!L53)</f>
        <v>0</v>
      </c>
      <c r="M53" s="49">
        <f>AVERAGE('25.10 MUTUKULA-MASAKA'!M53,'26.10 MUTUKULA-MASAKA-24HR'!M53,'27.10 Mutukula-Masaka'!M53,'28.10 MUTUKULA-MASAKA-24HR'!M53,'29.10 MUTUKULA-MASAKA'!M53,'30.10 MUTUKULA-MASAKA'!M53,'31.10.MUTUKULA-MASAKA'!M53)</f>
        <v>13</v>
      </c>
      <c r="N53" s="49">
        <f>AVERAGE('25.10 MUTUKULA-MASAKA'!N53,'26.10 MUTUKULA-MASAKA-24HR'!N53,'27.10 Mutukula-Masaka'!N53,'28.10 MUTUKULA-MASAKA-24HR'!N53,'29.10 MUTUKULA-MASAKA'!N53,'30.10 MUTUKULA-MASAKA'!N53,'31.10.MUTUKULA-MASAKA'!N53)</f>
        <v>0</v>
      </c>
      <c r="O53" s="15">
        <f t="shared" si="0"/>
        <v>7.1428571428571432</v>
      </c>
      <c r="P53" s="15">
        <f t="shared" si="1"/>
        <v>20.142857142857142</v>
      </c>
      <c r="R53" s="8"/>
      <c r="T53"/>
    </row>
    <row r="54" spans="2:20" ht="23.1" customHeight="1" x14ac:dyDescent="0.25">
      <c r="B54" s="23" t="s">
        <v>81</v>
      </c>
      <c r="C54" s="49">
        <f>AVERAGE('25.10 MUTUKULA-MASAKA'!C54,'26.10 MUTUKULA-MASAKA-24HR'!C54,'27.10 Mutukula-Masaka'!C54,'28.10 MUTUKULA-MASAKA-24HR'!C54,'29.10 MUTUKULA-MASAKA'!C54,'30.10 MUTUKULA-MASAKA'!C54,'31.10.MUTUKULA-MASAKA'!C54)</f>
        <v>2.1428571428571428</v>
      </c>
      <c r="D54" s="49">
        <f>AVERAGE('25.10 MUTUKULA-MASAKA'!D54,'26.10 MUTUKULA-MASAKA-24HR'!D54,'27.10 Mutukula-Masaka'!D54,'28.10 MUTUKULA-MASAKA-24HR'!D54,'29.10 MUTUKULA-MASAKA'!D54,'30.10 MUTUKULA-MASAKA'!D54,'31.10.MUTUKULA-MASAKA'!D54)</f>
        <v>0.7142857142857143</v>
      </c>
      <c r="E54" s="49">
        <f>AVERAGE('25.10 MUTUKULA-MASAKA'!E54,'26.10 MUTUKULA-MASAKA-24HR'!E54,'27.10 Mutukula-Masaka'!E54,'28.10 MUTUKULA-MASAKA-24HR'!E54,'29.10 MUTUKULA-MASAKA'!E54,'30.10 MUTUKULA-MASAKA'!E54,'31.10.MUTUKULA-MASAKA'!E54)</f>
        <v>0</v>
      </c>
      <c r="F54" s="49">
        <f>AVERAGE('25.10 MUTUKULA-MASAKA'!F54,'26.10 MUTUKULA-MASAKA-24HR'!F54,'27.10 Mutukula-Masaka'!F54,'28.10 MUTUKULA-MASAKA-24HR'!F54,'29.10 MUTUKULA-MASAKA'!F54,'30.10 MUTUKULA-MASAKA'!F54,'31.10.MUTUKULA-MASAKA'!F54)</f>
        <v>1.2857142857142858</v>
      </c>
      <c r="G54" s="49">
        <f>AVERAGE('25.10 MUTUKULA-MASAKA'!G54,'26.10 MUTUKULA-MASAKA-24HR'!G54,'27.10 Mutukula-Masaka'!G54,'28.10 MUTUKULA-MASAKA-24HR'!G54,'29.10 MUTUKULA-MASAKA'!G54,'30.10 MUTUKULA-MASAKA'!G54,'31.10.MUTUKULA-MASAKA'!G54)</f>
        <v>0</v>
      </c>
      <c r="H54" s="49">
        <f>AVERAGE('25.10 MUTUKULA-MASAKA'!H54,'26.10 MUTUKULA-MASAKA-24HR'!H54,'27.10 Mutukula-Masaka'!H54,'28.10 MUTUKULA-MASAKA-24HR'!H54,'29.10 MUTUKULA-MASAKA'!H54,'30.10 MUTUKULA-MASAKA'!H54,'31.10.MUTUKULA-MASAKA'!H54)</f>
        <v>0</v>
      </c>
      <c r="I54" s="49">
        <f>AVERAGE('25.10 MUTUKULA-MASAKA'!I54,'26.10 MUTUKULA-MASAKA-24HR'!I54,'27.10 Mutukula-Masaka'!I54,'28.10 MUTUKULA-MASAKA-24HR'!I54,'29.10 MUTUKULA-MASAKA'!I54,'30.10 MUTUKULA-MASAKA'!I54,'31.10.MUTUKULA-MASAKA'!I54)</f>
        <v>0.14285714285714285</v>
      </c>
      <c r="J54" s="49">
        <f>AVERAGE('25.10 MUTUKULA-MASAKA'!J54,'26.10 MUTUKULA-MASAKA-24HR'!J54,'27.10 Mutukula-Masaka'!J54,'28.10 MUTUKULA-MASAKA-24HR'!J54,'29.10 MUTUKULA-MASAKA'!J54,'30.10 MUTUKULA-MASAKA'!J54,'31.10.MUTUKULA-MASAKA'!J54)</f>
        <v>1.2857142857142858</v>
      </c>
      <c r="K54" s="49">
        <f>AVERAGE('25.10 MUTUKULA-MASAKA'!K54,'26.10 MUTUKULA-MASAKA-24HR'!K54,'27.10 Mutukula-Masaka'!K54,'28.10 MUTUKULA-MASAKA-24HR'!K54,'29.10 MUTUKULA-MASAKA'!K54,'30.10 MUTUKULA-MASAKA'!K54,'31.10.MUTUKULA-MASAKA'!K54)</f>
        <v>0.5714285714285714</v>
      </c>
      <c r="L54" s="49">
        <f>AVERAGE('25.10 MUTUKULA-MASAKA'!L54,'26.10 MUTUKULA-MASAKA-24HR'!L54,'27.10 Mutukula-Masaka'!L54,'28.10 MUTUKULA-MASAKA-24HR'!L54,'29.10 MUTUKULA-MASAKA'!L54,'30.10 MUTUKULA-MASAKA'!L54,'31.10.MUTUKULA-MASAKA'!L54)</f>
        <v>0</v>
      </c>
      <c r="M54" s="49">
        <f>AVERAGE('25.10 MUTUKULA-MASAKA'!M54,'26.10 MUTUKULA-MASAKA-24HR'!M54,'27.10 Mutukula-Masaka'!M54,'28.10 MUTUKULA-MASAKA-24HR'!M54,'29.10 MUTUKULA-MASAKA'!M54,'30.10 MUTUKULA-MASAKA'!M54,'31.10.MUTUKULA-MASAKA'!M54)</f>
        <v>11</v>
      </c>
      <c r="N54" s="49">
        <f>AVERAGE('25.10 MUTUKULA-MASAKA'!N54,'26.10 MUTUKULA-MASAKA-24HR'!N54,'27.10 Mutukula-Masaka'!N54,'28.10 MUTUKULA-MASAKA-24HR'!N54,'29.10 MUTUKULA-MASAKA'!N54,'30.10 MUTUKULA-MASAKA'!N54,'31.10.MUTUKULA-MASAKA'!N54)</f>
        <v>0</v>
      </c>
      <c r="O54" s="15">
        <f t="shared" si="0"/>
        <v>6.1428571428571432</v>
      </c>
      <c r="P54" s="15">
        <f t="shared" si="1"/>
        <v>17.142857142857142</v>
      </c>
      <c r="R54" s="8"/>
      <c r="T54"/>
    </row>
    <row r="55" spans="2:20" ht="23.1" customHeight="1" x14ac:dyDescent="0.25">
      <c r="B55" s="23" t="s">
        <v>82</v>
      </c>
      <c r="C55" s="49">
        <f>AVERAGE('25.10 MUTUKULA-MASAKA'!C55,'26.10 MUTUKULA-MASAKA-24HR'!C55,'27.10 Mutukula-Masaka'!C55,'28.10 MUTUKULA-MASAKA-24HR'!C55,'29.10 MUTUKULA-MASAKA'!C55,'30.10 MUTUKULA-MASAKA'!C55,'31.10.MUTUKULA-MASAKA'!C55)</f>
        <v>3.1428571428571428</v>
      </c>
      <c r="D55" s="49">
        <f>AVERAGE('25.10 MUTUKULA-MASAKA'!D55,'26.10 MUTUKULA-MASAKA-24HR'!D55,'27.10 Mutukula-Masaka'!D55,'28.10 MUTUKULA-MASAKA-24HR'!D55,'29.10 MUTUKULA-MASAKA'!D55,'30.10 MUTUKULA-MASAKA'!D55,'31.10.MUTUKULA-MASAKA'!D55)</f>
        <v>0.7142857142857143</v>
      </c>
      <c r="E55" s="49">
        <f>AVERAGE('25.10 MUTUKULA-MASAKA'!E55,'26.10 MUTUKULA-MASAKA-24HR'!E55,'27.10 Mutukula-Masaka'!E55,'28.10 MUTUKULA-MASAKA-24HR'!E55,'29.10 MUTUKULA-MASAKA'!E55,'30.10 MUTUKULA-MASAKA'!E55,'31.10.MUTUKULA-MASAKA'!E55)</f>
        <v>0.14285714285714285</v>
      </c>
      <c r="F55" s="49">
        <f>AVERAGE('25.10 MUTUKULA-MASAKA'!F55,'26.10 MUTUKULA-MASAKA-24HR'!F55,'27.10 Mutukula-Masaka'!F55,'28.10 MUTUKULA-MASAKA-24HR'!F55,'29.10 MUTUKULA-MASAKA'!F55,'30.10 MUTUKULA-MASAKA'!F55,'31.10.MUTUKULA-MASAKA'!F55)</f>
        <v>1.7142857142857142</v>
      </c>
      <c r="G55" s="49">
        <f>AVERAGE('25.10 MUTUKULA-MASAKA'!G55,'26.10 MUTUKULA-MASAKA-24HR'!G55,'27.10 Mutukula-Masaka'!G55,'28.10 MUTUKULA-MASAKA-24HR'!G55,'29.10 MUTUKULA-MASAKA'!G55,'30.10 MUTUKULA-MASAKA'!G55,'31.10.MUTUKULA-MASAKA'!G55)</f>
        <v>0</v>
      </c>
      <c r="H55" s="49">
        <f>AVERAGE('25.10 MUTUKULA-MASAKA'!H55,'26.10 MUTUKULA-MASAKA-24HR'!H55,'27.10 Mutukula-Masaka'!H55,'28.10 MUTUKULA-MASAKA-24HR'!H55,'29.10 MUTUKULA-MASAKA'!H55,'30.10 MUTUKULA-MASAKA'!H55,'31.10.MUTUKULA-MASAKA'!H55)</f>
        <v>0</v>
      </c>
      <c r="I55" s="49">
        <f>AVERAGE('25.10 MUTUKULA-MASAKA'!I55,'26.10 MUTUKULA-MASAKA-24HR'!I55,'27.10 Mutukula-Masaka'!I55,'28.10 MUTUKULA-MASAKA-24HR'!I55,'29.10 MUTUKULA-MASAKA'!I55,'30.10 MUTUKULA-MASAKA'!I55,'31.10.MUTUKULA-MASAKA'!I55)</f>
        <v>1.1428571428571428</v>
      </c>
      <c r="J55" s="49">
        <f>AVERAGE('25.10 MUTUKULA-MASAKA'!J55,'26.10 MUTUKULA-MASAKA-24HR'!J55,'27.10 Mutukula-Masaka'!J55,'28.10 MUTUKULA-MASAKA-24HR'!J55,'29.10 MUTUKULA-MASAKA'!J55,'30.10 MUTUKULA-MASAKA'!J55,'31.10.MUTUKULA-MASAKA'!J55)</f>
        <v>0.7142857142857143</v>
      </c>
      <c r="K55" s="49">
        <f>AVERAGE('25.10 MUTUKULA-MASAKA'!K55,'26.10 MUTUKULA-MASAKA-24HR'!K55,'27.10 Mutukula-Masaka'!K55,'28.10 MUTUKULA-MASAKA-24HR'!K55,'29.10 MUTUKULA-MASAKA'!K55,'30.10 MUTUKULA-MASAKA'!K55,'31.10.MUTUKULA-MASAKA'!K55)</f>
        <v>0.5714285714285714</v>
      </c>
      <c r="L55" s="49">
        <f>AVERAGE('25.10 MUTUKULA-MASAKA'!L55,'26.10 MUTUKULA-MASAKA-24HR'!L55,'27.10 Mutukula-Masaka'!L55,'28.10 MUTUKULA-MASAKA-24HR'!L55,'29.10 MUTUKULA-MASAKA'!L55,'30.10 MUTUKULA-MASAKA'!L55,'31.10.MUTUKULA-MASAKA'!L55)</f>
        <v>0.14285714285714285</v>
      </c>
      <c r="M55" s="49">
        <f>AVERAGE('25.10 MUTUKULA-MASAKA'!M55,'26.10 MUTUKULA-MASAKA-24HR'!M55,'27.10 Mutukula-Masaka'!M55,'28.10 MUTUKULA-MASAKA-24HR'!M55,'29.10 MUTUKULA-MASAKA'!M55,'30.10 MUTUKULA-MASAKA'!M55,'31.10.MUTUKULA-MASAKA'!M55)</f>
        <v>11.285714285714286</v>
      </c>
      <c r="N55" s="49">
        <f>AVERAGE('25.10 MUTUKULA-MASAKA'!N55,'26.10 MUTUKULA-MASAKA-24HR'!N55,'27.10 Mutukula-Masaka'!N55,'28.10 MUTUKULA-MASAKA-24HR'!N55,'29.10 MUTUKULA-MASAKA'!N55,'30.10 MUTUKULA-MASAKA'!N55,'31.10.MUTUKULA-MASAKA'!N55)</f>
        <v>0</v>
      </c>
      <c r="O55" s="15">
        <f t="shared" si="0"/>
        <v>8.2857142857142865</v>
      </c>
      <c r="P55" s="15">
        <f t="shared" si="1"/>
        <v>19.571428571428573</v>
      </c>
      <c r="R55" s="8"/>
      <c r="T55"/>
    </row>
    <row r="56" spans="2:20" ht="23.1" customHeight="1" x14ac:dyDescent="0.25">
      <c r="B56" s="23" t="s">
        <v>83</v>
      </c>
      <c r="C56" s="49">
        <f>AVERAGE('25.10 MUTUKULA-MASAKA'!C56,'26.10 MUTUKULA-MASAKA-24HR'!C56,'27.10 Mutukula-Masaka'!C56,'28.10 MUTUKULA-MASAKA-24HR'!C56,'29.10 MUTUKULA-MASAKA'!C56,'30.10 MUTUKULA-MASAKA'!C56,'31.10.MUTUKULA-MASAKA'!C56)</f>
        <v>3.1428571428571428</v>
      </c>
      <c r="D56" s="49">
        <f>AVERAGE('25.10 MUTUKULA-MASAKA'!D56,'26.10 MUTUKULA-MASAKA-24HR'!D56,'27.10 Mutukula-Masaka'!D56,'28.10 MUTUKULA-MASAKA-24HR'!D56,'29.10 MUTUKULA-MASAKA'!D56,'30.10 MUTUKULA-MASAKA'!D56,'31.10.MUTUKULA-MASAKA'!D56)</f>
        <v>0.2857142857142857</v>
      </c>
      <c r="E56" s="49">
        <f>AVERAGE('25.10 MUTUKULA-MASAKA'!E56,'26.10 MUTUKULA-MASAKA-24HR'!E56,'27.10 Mutukula-Masaka'!E56,'28.10 MUTUKULA-MASAKA-24HR'!E56,'29.10 MUTUKULA-MASAKA'!E56,'30.10 MUTUKULA-MASAKA'!E56,'31.10.MUTUKULA-MASAKA'!E56)</f>
        <v>0.14285714285714285</v>
      </c>
      <c r="F56" s="49">
        <f>AVERAGE('25.10 MUTUKULA-MASAKA'!F56,'26.10 MUTUKULA-MASAKA-24HR'!F56,'27.10 Mutukula-Masaka'!F56,'28.10 MUTUKULA-MASAKA-24HR'!F56,'29.10 MUTUKULA-MASAKA'!F56,'30.10 MUTUKULA-MASAKA'!F56,'31.10.MUTUKULA-MASAKA'!F56)</f>
        <v>1</v>
      </c>
      <c r="G56" s="49">
        <f>AVERAGE('25.10 MUTUKULA-MASAKA'!G56,'26.10 MUTUKULA-MASAKA-24HR'!G56,'27.10 Mutukula-Masaka'!G56,'28.10 MUTUKULA-MASAKA-24HR'!G56,'29.10 MUTUKULA-MASAKA'!G56,'30.10 MUTUKULA-MASAKA'!G56,'31.10.MUTUKULA-MASAKA'!G56)</f>
        <v>0</v>
      </c>
      <c r="H56" s="49">
        <f>AVERAGE('25.10 MUTUKULA-MASAKA'!H56,'26.10 MUTUKULA-MASAKA-24HR'!H56,'27.10 Mutukula-Masaka'!H56,'28.10 MUTUKULA-MASAKA-24HR'!H56,'29.10 MUTUKULA-MASAKA'!H56,'30.10 MUTUKULA-MASAKA'!H56,'31.10.MUTUKULA-MASAKA'!H56)</f>
        <v>0</v>
      </c>
      <c r="I56" s="49">
        <f>AVERAGE('25.10 MUTUKULA-MASAKA'!I56,'26.10 MUTUKULA-MASAKA-24HR'!I56,'27.10 Mutukula-Masaka'!I56,'28.10 MUTUKULA-MASAKA-24HR'!I56,'29.10 MUTUKULA-MASAKA'!I56,'30.10 MUTUKULA-MASAKA'!I56,'31.10.MUTUKULA-MASAKA'!I56)</f>
        <v>0.2857142857142857</v>
      </c>
      <c r="J56" s="49">
        <f>AVERAGE('25.10 MUTUKULA-MASAKA'!J56,'26.10 MUTUKULA-MASAKA-24HR'!J56,'27.10 Mutukula-Masaka'!J56,'28.10 MUTUKULA-MASAKA-24HR'!J56,'29.10 MUTUKULA-MASAKA'!J56,'30.10 MUTUKULA-MASAKA'!J56,'31.10.MUTUKULA-MASAKA'!J56)</f>
        <v>2.4285714285714284</v>
      </c>
      <c r="K56" s="49">
        <f>AVERAGE('25.10 MUTUKULA-MASAKA'!K56,'26.10 MUTUKULA-MASAKA-24HR'!K56,'27.10 Mutukula-Masaka'!K56,'28.10 MUTUKULA-MASAKA-24HR'!K56,'29.10 MUTUKULA-MASAKA'!K56,'30.10 MUTUKULA-MASAKA'!K56,'31.10.MUTUKULA-MASAKA'!K56)</f>
        <v>1</v>
      </c>
      <c r="L56" s="49">
        <f>AVERAGE('25.10 MUTUKULA-MASAKA'!L56,'26.10 MUTUKULA-MASAKA-24HR'!L56,'27.10 Mutukula-Masaka'!L56,'28.10 MUTUKULA-MASAKA-24HR'!L56,'29.10 MUTUKULA-MASAKA'!L56,'30.10 MUTUKULA-MASAKA'!L56,'31.10.MUTUKULA-MASAKA'!L56)</f>
        <v>0.14285714285714285</v>
      </c>
      <c r="M56" s="49">
        <f>AVERAGE('25.10 MUTUKULA-MASAKA'!M56,'26.10 MUTUKULA-MASAKA-24HR'!M56,'27.10 Mutukula-Masaka'!M56,'28.10 MUTUKULA-MASAKA-24HR'!M56,'29.10 MUTUKULA-MASAKA'!M56,'30.10 MUTUKULA-MASAKA'!M56,'31.10.MUTUKULA-MASAKA'!M56)</f>
        <v>12.714285714285714</v>
      </c>
      <c r="N56" s="49">
        <f>AVERAGE('25.10 MUTUKULA-MASAKA'!N56,'26.10 MUTUKULA-MASAKA-24HR'!N56,'27.10 Mutukula-Masaka'!N56,'28.10 MUTUKULA-MASAKA-24HR'!N56,'29.10 MUTUKULA-MASAKA'!N56,'30.10 MUTUKULA-MASAKA'!N56,'31.10.MUTUKULA-MASAKA'!N56)</f>
        <v>0</v>
      </c>
      <c r="O56" s="15">
        <f t="shared" si="0"/>
        <v>8.428571428571427</v>
      </c>
      <c r="P56" s="15">
        <f t="shared" si="1"/>
        <v>21.142857142857139</v>
      </c>
      <c r="R56" s="8"/>
      <c r="T56"/>
    </row>
    <row r="57" spans="2:20" ht="23.1" customHeight="1" x14ac:dyDescent="0.25">
      <c r="B57" s="23" t="s">
        <v>84</v>
      </c>
      <c r="C57" s="49">
        <f>AVERAGE('25.10 MUTUKULA-MASAKA'!C57,'26.10 MUTUKULA-MASAKA-24HR'!C57,'27.10 Mutukula-Masaka'!C57,'28.10 MUTUKULA-MASAKA-24HR'!C57,'29.10 MUTUKULA-MASAKA'!C57,'30.10 MUTUKULA-MASAKA'!C57,'31.10.MUTUKULA-MASAKA'!C57)</f>
        <v>2.1428571428571428</v>
      </c>
      <c r="D57" s="49">
        <f>AVERAGE('25.10 MUTUKULA-MASAKA'!D57,'26.10 MUTUKULA-MASAKA-24HR'!D57,'27.10 Mutukula-Masaka'!D57,'28.10 MUTUKULA-MASAKA-24HR'!D57,'29.10 MUTUKULA-MASAKA'!D57,'30.10 MUTUKULA-MASAKA'!D57,'31.10.MUTUKULA-MASAKA'!D57)</f>
        <v>0.5714285714285714</v>
      </c>
      <c r="E57" s="49">
        <f>AVERAGE('25.10 MUTUKULA-MASAKA'!E57,'26.10 MUTUKULA-MASAKA-24HR'!E57,'27.10 Mutukula-Masaka'!E57,'28.10 MUTUKULA-MASAKA-24HR'!E57,'29.10 MUTUKULA-MASAKA'!E57,'30.10 MUTUKULA-MASAKA'!E57,'31.10.MUTUKULA-MASAKA'!E57)</f>
        <v>0.2857142857142857</v>
      </c>
      <c r="F57" s="49">
        <f>AVERAGE('25.10 MUTUKULA-MASAKA'!F57,'26.10 MUTUKULA-MASAKA-24HR'!F57,'27.10 Mutukula-Masaka'!F57,'28.10 MUTUKULA-MASAKA-24HR'!F57,'29.10 MUTUKULA-MASAKA'!F57,'30.10 MUTUKULA-MASAKA'!F57,'31.10.MUTUKULA-MASAKA'!F57)</f>
        <v>1.2857142857142858</v>
      </c>
      <c r="G57" s="49">
        <f>AVERAGE('25.10 MUTUKULA-MASAKA'!G57,'26.10 MUTUKULA-MASAKA-24HR'!G57,'27.10 Mutukula-Masaka'!G57,'28.10 MUTUKULA-MASAKA-24HR'!G57,'29.10 MUTUKULA-MASAKA'!G57,'30.10 MUTUKULA-MASAKA'!G57,'31.10.MUTUKULA-MASAKA'!G57)</f>
        <v>0</v>
      </c>
      <c r="H57" s="49">
        <f>AVERAGE('25.10 MUTUKULA-MASAKA'!H57,'26.10 MUTUKULA-MASAKA-24HR'!H57,'27.10 Mutukula-Masaka'!H57,'28.10 MUTUKULA-MASAKA-24HR'!H57,'29.10 MUTUKULA-MASAKA'!H57,'30.10 MUTUKULA-MASAKA'!H57,'31.10.MUTUKULA-MASAKA'!H57)</f>
        <v>0</v>
      </c>
      <c r="I57" s="49">
        <f>AVERAGE('25.10 MUTUKULA-MASAKA'!I57,'26.10 MUTUKULA-MASAKA-24HR'!I57,'27.10 Mutukula-Masaka'!I57,'28.10 MUTUKULA-MASAKA-24HR'!I57,'29.10 MUTUKULA-MASAKA'!I57,'30.10 MUTUKULA-MASAKA'!I57,'31.10.MUTUKULA-MASAKA'!I57)</f>
        <v>0.8571428571428571</v>
      </c>
      <c r="J57" s="49">
        <f>AVERAGE('25.10 MUTUKULA-MASAKA'!J57,'26.10 MUTUKULA-MASAKA-24HR'!J57,'27.10 Mutukula-Masaka'!J57,'28.10 MUTUKULA-MASAKA-24HR'!J57,'29.10 MUTUKULA-MASAKA'!J57,'30.10 MUTUKULA-MASAKA'!J57,'31.10.MUTUKULA-MASAKA'!J57)</f>
        <v>0.7142857142857143</v>
      </c>
      <c r="K57" s="49">
        <f>AVERAGE('25.10 MUTUKULA-MASAKA'!K57,'26.10 MUTUKULA-MASAKA-24HR'!K57,'27.10 Mutukula-Masaka'!K57,'28.10 MUTUKULA-MASAKA-24HR'!K57,'29.10 MUTUKULA-MASAKA'!K57,'30.10 MUTUKULA-MASAKA'!K57,'31.10.MUTUKULA-MASAKA'!K57)</f>
        <v>1.4285714285714286</v>
      </c>
      <c r="L57" s="49">
        <f>AVERAGE('25.10 MUTUKULA-MASAKA'!L57,'26.10 MUTUKULA-MASAKA-24HR'!L57,'27.10 Mutukula-Masaka'!L57,'28.10 MUTUKULA-MASAKA-24HR'!L57,'29.10 MUTUKULA-MASAKA'!L57,'30.10 MUTUKULA-MASAKA'!L57,'31.10.MUTUKULA-MASAKA'!L57)</f>
        <v>0.7142857142857143</v>
      </c>
      <c r="M57" s="49">
        <f>AVERAGE('25.10 MUTUKULA-MASAKA'!M57,'26.10 MUTUKULA-MASAKA-24HR'!M57,'27.10 Mutukula-Masaka'!M57,'28.10 MUTUKULA-MASAKA-24HR'!M57,'29.10 MUTUKULA-MASAKA'!M57,'30.10 MUTUKULA-MASAKA'!M57,'31.10.MUTUKULA-MASAKA'!M57)</f>
        <v>15.285714285714286</v>
      </c>
      <c r="N57" s="49">
        <f>AVERAGE('25.10 MUTUKULA-MASAKA'!N57,'26.10 MUTUKULA-MASAKA-24HR'!N57,'27.10 Mutukula-Masaka'!N57,'28.10 MUTUKULA-MASAKA-24HR'!N57,'29.10 MUTUKULA-MASAKA'!N57,'30.10 MUTUKULA-MASAKA'!N57,'31.10.MUTUKULA-MASAKA'!N57)</f>
        <v>0</v>
      </c>
      <c r="O57" s="15">
        <f t="shared" si="0"/>
        <v>8</v>
      </c>
      <c r="P57" s="15">
        <f t="shared" si="1"/>
        <v>23.285714285714285</v>
      </c>
      <c r="R57" s="8"/>
      <c r="T57"/>
    </row>
    <row r="58" spans="2:20" ht="23.1" customHeight="1" x14ac:dyDescent="0.25">
      <c r="B58" s="23" t="s">
        <v>99</v>
      </c>
      <c r="C58" s="49">
        <f>AVERAGE('26.10 MUTUKULA-MASAKA-24HR'!C58,'28.10 MUTUKULA-MASAKA-24HR'!C58)</f>
        <v>2.5</v>
      </c>
      <c r="D58" s="49">
        <f>AVERAGE('26.10 MUTUKULA-MASAKA-24HR'!D58,'28.10 MUTUKULA-MASAKA-24HR'!D58)</f>
        <v>1</v>
      </c>
      <c r="E58" s="49">
        <f>AVERAGE('26.10 MUTUKULA-MASAKA-24HR'!E58,'28.10 MUTUKULA-MASAKA-24HR'!E58)</f>
        <v>0</v>
      </c>
      <c r="F58" s="49">
        <f>AVERAGE('26.10 MUTUKULA-MASAKA-24HR'!F58,'28.10 MUTUKULA-MASAKA-24HR'!F58)</f>
        <v>1.5</v>
      </c>
      <c r="G58" s="49">
        <f>AVERAGE('26.10 MUTUKULA-MASAKA-24HR'!G58,'28.10 MUTUKULA-MASAKA-24HR'!G58)</f>
        <v>0</v>
      </c>
      <c r="H58" s="49">
        <f>AVERAGE('26.10 MUTUKULA-MASAKA-24HR'!H58,'28.10 MUTUKULA-MASAKA-24HR'!H58)</f>
        <v>0</v>
      </c>
      <c r="I58" s="49">
        <f>AVERAGE('26.10 MUTUKULA-MASAKA-24HR'!I58,'28.10 MUTUKULA-MASAKA-24HR'!I58)</f>
        <v>0.5</v>
      </c>
      <c r="J58" s="49">
        <f>AVERAGE('26.10 MUTUKULA-MASAKA-24HR'!J58,'28.10 MUTUKULA-MASAKA-24HR'!J58)</f>
        <v>0</v>
      </c>
      <c r="K58" s="49">
        <f>AVERAGE('26.10 MUTUKULA-MASAKA-24HR'!K58,'28.10 MUTUKULA-MASAKA-24HR'!K58)</f>
        <v>2</v>
      </c>
      <c r="L58" s="49">
        <f>AVERAGE('26.10 MUTUKULA-MASAKA-24HR'!L58,'28.10 MUTUKULA-MASAKA-24HR'!L58)</f>
        <v>0</v>
      </c>
      <c r="M58" s="49">
        <f>AVERAGE('26.10 MUTUKULA-MASAKA-24HR'!M58,'28.10 MUTUKULA-MASAKA-24HR'!M58)</f>
        <v>16.5</v>
      </c>
      <c r="N58" s="49">
        <f>AVERAGE('26.10 MUTUKULA-MASAKA-24HR'!N58,'28.10 MUTUKULA-MASAKA-24HR'!N58)</f>
        <v>0</v>
      </c>
      <c r="O58" s="15">
        <f t="shared" si="0"/>
        <v>7.5</v>
      </c>
      <c r="P58" s="15">
        <f t="shared" si="1"/>
        <v>24</v>
      </c>
      <c r="R58" s="8"/>
      <c r="T58"/>
    </row>
    <row r="59" spans="2:20" ht="23.1" customHeight="1" x14ac:dyDescent="0.25">
      <c r="B59" s="23" t="s">
        <v>100</v>
      </c>
      <c r="C59" s="49">
        <f>AVERAGE('26.10 MUTUKULA-MASAKA-24HR'!C59,'28.10 MUTUKULA-MASAKA-24HR'!C59)</f>
        <v>5.5</v>
      </c>
      <c r="D59" s="49">
        <f>AVERAGE('26.10 MUTUKULA-MASAKA-24HR'!D59,'28.10 MUTUKULA-MASAKA-24HR'!D59)</f>
        <v>0.5</v>
      </c>
      <c r="E59" s="49">
        <f>AVERAGE('26.10 MUTUKULA-MASAKA-24HR'!E59,'28.10 MUTUKULA-MASAKA-24HR'!E59)</f>
        <v>0</v>
      </c>
      <c r="F59" s="49">
        <f>AVERAGE('26.10 MUTUKULA-MASAKA-24HR'!F59,'28.10 MUTUKULA-MASAKA-24HR'!F59)</f>
        <v>0.5</v>
      </c>
      <c r="G59" s="49">
        <f>AVERAGE('26.10 MUTUKULA-MASAKA-24HR'!G59,'28.10 MUTUKULA-MASAKA-24HR'!G59)</f>
        <v>0</v>
      </c>
      <c r="H59" s="49">
        <f>AVERAGE('26.10 MUTUKULA-MASAKA-24HR'!H59,'28.10 MUTUKULA-MASAKA-24HR'!H59)</f>
        <v>0</v>
      </c>
      <c r="I59" s="49">
        <f>AVERAGE('26.10 MUTUKULA-MASAKA-24HR'!I59,'28.10 MUTUKULA-MASAKA-24HR'!I59)</f>
        <v>0.5</v>
      </c>
      <c r="J59" s="49">
        <f>AVERAGE('26.10 MUTUKULA-MASAKA-24HR'!J59,'28.10 MUTUKULA-MASAKA-24HR'!J59)</f>
        <v>0.5</v>
      </c>
      <c r="K59" s="49">
        <f>AVERAGE('26.10 MUTUKULA-MASAKA-24HR'!K59,'28.10 MUTUKULA-MASAKA-24HR'!K59)</f>
        <v>1</v>
      </c>
      <c r="L59" s="49">
        <f>AVERAGE('26.10 MUTUKULA-MASAKA-24HR'!L59,'28.10 MUTUKULA-MASAKA-24HR'!L59)</f>
        <v>0</v>
      </c>
      <c r="M59" s="49">
        <f>AVERAGE('26.10 MUTUKULA-MASAKA-24HR'!M59,'28.10 MUTUKULA-MASAKA-24HR'!M59)</f>
        <v>26.5</v>
      </c>
      <c r="N59" s="49">
        <f>AVERAGE('26.10 MUTUKULA-MASAKA-24HR'!N59,'28.10 MUTUKULA-MASAKA-24HR'!N59)</f>
        <v>0</v>
      </c>
      <c r="O59" s="15">
        <f t="shared" si="0"/>
        <v>8.5</v>
      </c>
      <c r="P59" s="15">
        <f t="shared" si="1"/>
        <v>35</v>
      </c>
      <c r="R59" s="8"/>
      <c r="T59"/>
    </row>
    <row r="60" spans="2:20" ht="23.1" customHeight="1" x14ac:dyDescent="0.25">
      <c r="B60" s="23" t="s">
        <v>101</v>
      </c>
      <c r="C60" s="49">
        <f>AVERAGE('26.10 MUTUKULA-MASAKA-24HR'!C60,'28.10 MUTUKULA-MASAKA-24HR'!C60)</f>
        <v>1.5</v>
      </c>
      <c r="D60" s="49">
        <f>AVERAGE('26.10 MUTUKULA-MASAKA-24HR'!D60,'28.10 MUTUKULA-MASAKA-24HR'!D60)</f>
        <v>2</v>
      </c>
      <c r="E60" s="49">
        <f>AVERAGE('26.10 MUTUKULA-MASAKA-24HR'!E60,'28.10 MUTUKULA-MASAKA-24HR'!E60)</f>
        <v>0</v>
      </c>
      <c r="F60" s="49">
        <f>AVERAGE('26.10 MUTUKULA-MASAKA-24HR'!F60,'28.10 MUTUKULA-MASAKA-24HR'!F60)</f>
        <v>1</v>
      </c>
      <c r="G60" s="49">
        <f>AVERAGE('26.10 MUTUKULA-MASAKA-24HR'!G60,'28.10 MUTUKULA-MASAKA-24HR'!G60)</f>
        <v>0</v>
      </c>
      <c r="H60" s="49">
        <f>AVERAGE('26.10 MUTUKULA-MASAKA-24HR'!H60,'28.10 MUTUKULA-MASAKA-24HR'!H60)</f>
        <v>0</v>
      </c>
      <c r="I60" s="49">
        <f>AVERAGE('26.10 MUTUKULA-MASAKA-24HR'!I60,'28.10 MUTUKULA-MASAKA-24HR'!I60)</f>
        <v>3</v>
      </c>
      <c r="J60" s="49">
        <f>AVERAGE('26.10 MUTUKULA-MASAKA-24HR'!J60,'28.10 MUTUKULA-MASAKA-24HR'!J60)</f>
        <v>1.5</v>
      </c>
      <c r="K60" s="49">
        <f>AVERAGE('26.10 MUTUKULA-MASAKA-24HR'!K60,'28.10 MUTUKULA-MASAKA-24HR'!K60)</f>
        <v>2.5</v>
      </c>
      <c r="L60" s="49">
        <f>AVERAGE('26.10 MUTUKULA-MASAKA-24HR'!L60,'28.10 MUTUKULA-MASAKA-24HR'!L60)</f>
        <v>0</v>
      </c>
      <c r="M60" s="49">
        <f>AVERAGE('26.10 MUTUKULA-MASAKA-24HR'!M60,'28.10 MUTUKULA-MASAKA-24HR'!M60)</f>
        <v>25</v>
      </c>
      <c r="N60" s="49">
        <f>AVERAGE('26.10 MUTUKULA-MASAKA-24HR'!N60,'28.10 MUTUKULA-MASAKA-24HR'!N60)</f>
        <v>0</v>
      </c>
      <c r="O60" s="15">
        <f t="shared" si="0"/>
        <v>11.5</v>
      </c>
      <c r="P60" s="15">
        <f t="shared" si="1"/>
        <v>36.5</v>
      </c>
      <c r="R60" s="8"/>
      <c r="T60"/>
    </row>
    <row r="61" spans="2:20" ht="23.1" customHeight="1" x14ac:dyDescent="0.25">
      <c r="B61" s="23" t="s">
        <v>102</v>
      </c>
      <c r="C61" s="49">
        <f>AVERAGE('26.10 MUTUKULA-MASAKA-24HR'!C61,'28.10 MUTUKULA-MASAKA-24HR'!C61)</f>
        <v>1</v>
      </c>
      <c r="D61" s="49">
        <f>AVERAGE('26.10 MUTUKULA-MASAKA-24HR'!D61,'28.10 MUTUKULA-MASAKA-24HR'!D61)</f>
        <v>2.5</v>
      </c>
      <c r="E61" s="49">
        <f>AVERAGE('26.10 MUTUKULA-MASAKA-24HR'!E61,'28.10 MUTUKULA-MASAKA-24HR'!E61)</f>
        <v>0</v>
      </c>
      <c r="F61" s="49">
        <f>AVERAGE('26.10 MUTUKULA-MASAKA-24HR'!F61,'28.10 MUTUKULA-MASAKA-24HR'!F61)</f>
        <v>2</v>
      </c>
      <c r="G61" s="49">
        <f>AVERAGE('26.10 MUTUKULA-MASAKA-24HR'!G61,'28.10 MUTUKULA-MASAKA-24HR'!G61)</f>
        <v>0</v>
      </c>
      <c r="H61" s="49">
        <f>AVERAGE('26.10 MUTUKULA-MASAKA-24HR'!H61,'28.10 MUTUKULA-MASAKA-24HR'!H61)</f>
        <v>0</v>
      </c>
      <c r="I61" s="49">
        <f>AVERAGE('26.10 MUTUKULA-MASAKA-24HR'!I61,'28.10 MUTUKULA-MASAKA-24HR'!I61)</f>
        <v>0.5</v>
      </c>
      <c r="J61" s="49">
        <f>AVERAGE('26.10 MUTUKULA-MASAKA-24HR'!J61,'28.10 MUTUKULA-MASAKA-24HR'!J61)</f>
        <v>2.5</v>
      </c>
      <c r="K61" s="49">
        <f>AVERAGE('26.10 MUTUKULA-MASAKA-24HR'!K61,'28.10 MUTUKULA-MASAKA-24HR'!K61)</f>
        <v>0</v>
      </c>
      <c r="L61" s="49">
        <f>AVERAGE('26.10 MUTUKULA-MASAKA-24HR'!L61,'28.10 MUTUKULA-MASAKA-24HR'!L61)</f>
        <v>0</v>
      </c>
      <c r="M61" s="49">
        <f>AVERAGE('26.10 MUTUKULA-MASAKA-24HR'!M61,'28.10 MUTUKULA-MASAKA-24HR'!M61)</f>
        <v>13.5</v>
      </c>
      <c r="N61" s="49">
        <f>AVERAGE('26.10 MUTUKULA-MASAKA-24HR'!N61,'28.10 MUTUKULA-MASAKA-24HR'!N61)</f>
        <v>0</v>
      </c>
      <c r="O61" s="15">
        <f t="shared" si="0"/>
        <v>8.5</v>
      </c>
      <c r="P61" s="15">
        <f t="shared" si="1"/>
        <v>22</v>
      </c>
      <c r="R61" s="8"/>
      <c r="T61"/>
    </row>
    <row r="62" spans="2:20" ht="23.1" customHeight="1" x14ac:dyDescent="0.25">
      <c r="B62" s="23" t="s">
        <v>107</v>
      </c>
      <c r="C62" s="49">
        <f>AVERAGE('26.10 MUTUKULA-MASAKA-24HR'!C62,'28.10 MUTUKULA-MASAKA-24HR'!C62)</f>
        <v>3.5</v>
      </c>
      <c r="D62" s="49">
        <f>AVERAGE('26.10 MUTUKULA-MASAKA-24HR'!D62,'28.10 MUTUKULA-MASAKA-24HR'!D62)</f>
        <v>2</v>
      </c>
      <c r="E62" s="49">
        <f>AVERAGE('26.10 MUTUKULA-MASAKA-24HR'!E62,'28.10 MUTUKULA-MASAKA-24HR'!E62)</f>
        <v>0</v>
      </c>
      <c r="F62" s="49">
        <f>AVERAGE('26.10 MUTUKULA-MASAKA-24HR'!F62,'28.10 MUTUKULA-MASAKA-24HR'!F62)</f>
        <v>0.5</v>
      </c>
      <c r="G62" s="49">
        <f>AVERAGE('26.10 MUTUKULA-MASAKA-24HR'!G62,'28.10 MUTUKULA-MASAKA-24HR'!G62)</f>
        <v>0</v>
      </c>
      <c r="H62" s="49">
        <f>AVERAGE('26.10 MUTUKULA-MASAKA-24HR'!H62,'28.10 MUTUKULA-MASAKA-24HR'!H62)</f>
        <v>0</v>
      </c>
      <c r="I62" s="49">
        <f>AVERAGE('26.10 MUTUKULA-MASAKA-24HR'!I62,'28.10 MUTUKULA-MASAKA-24HR'!I62)</f>
        <v>1.5</v>
      </c>
      <c r="J62" s="49">
        <f>AVERAGE('26.10 MUTUKULA-MASAKA-24HR'!J62,'28.10 MUTUKULA-MASAKA-24HR'!J62)</f>
        <v>1.5</v>
      </c>
      <c r="K62" s="49">
        <f>AVERAGE('26.10 MUTUKULA-MASAKA-24HR'!K62,'28.10 MUTUKULA-MASAKA-24HR'!K62)</f>
        <v>2.5</v>
      </c>
      <c r="L62" s="49">
        <f>AVERAGE('26.10 MUTUKULA-MASAKA-24HR'!L62,'28.10 MUTUKULA-MASAKA-24HR'!L62)</f>
        <v>0</v>
      </c>
      <c r="M62" s="49">
        <f>AVERAGE('26.10 MUTUKULA-MASAKA-24HR'!M62,'28.10 MUTUKULA-MASAKA-24HR'!M62)</f>
        <v>11</v>
      </c>
      <c r="N62" s="49">
        <f>AVERAGE('26.10 MUTUKULA-MASAKA-24HR'!N62,'28.10 MUTUKULA-MASAKA-24HR'!N62)</f>
        <v>0</v>
      </c>
      <c r="O62" s="15">
        <f t="shared" si="0"/>
        <v>11.5</v>
      </c>
      <c r="P62" s="15">
        <f t="shared" si="1"/>
        <v>22.5</v>
      </c>
      <c r="R62" s="8"/>
      <c r="T62"/>
    </row>
    <row r="63" spans="2:20" ht="23.1" customHeight="1" x14ac:dyDescent="0.25">
      <c r="B63" s="23" t="s">
        <v>108</v>
      </c>
      <c r="C63" s="49">
        <f>AVERAGE('26.10 MUTUKULA-MASAKA-24HR'!C63,'28.10 MUTUKULA-MASAKA-24HR'!C63)</f>
        <v>5</v>
      </c>
      <c r="D63" s="49">
        <f>AVERAGE('26.10 MUTUKULA-MASAKA-24HR'!D63,'28.10 MUTUKULA-MASAKA-24HR'!D63)</f>
        <v>0.5</v>
      </c>
      <c r="E63" s="49">
        <f>AVERAGE('26.10 MUTUKULA-MASAKA-24HR'!E63,'28.10 MUTUKULA-MASAKA-24HR'!E63)</f>
        <v>0</v>
      </c>
      <c r="F63" s="49">
        <f>AVERAGE('26.10 MUTUKULA-MASAKA-24HR'!F63,'28.10 MUTUKULA-MASAKA-24HR'!F63)</f>
        <v>1</v>
      </c>
      <c r="G63" s="49">
        <f>AVERAGE('26.10 MUTUKULA-MASAKA-24HR'!G63,'28.10 MUTUKULA-MASAKA-24HR'!G63)</f>
        <v>0</v>
      </c>
      <c r="H63" s="49">
        <f>AVERAGE('26.10 MUTUKULA-MASAKA-24HR'!H63,'28.10 MUTUKULA-MASAKA-24HR'!H63)</f>
        <v>0</v>
      </c>
      <c r="I63" s="49">
        <f>AVERAGE('26.10 MUTUKULA-MASAKA-24HR'!I63,'28.10 MUTUKULA-MASAKA-24HR'!I63)</f>
        <v>0</v>
      </c>
      <c r="J63" s="49">
        <f>AVERAGE('26.10 MUTUKULA-MASAKA-24HR'!J63,'28.10 MUTUKULA-MASAKA-24HR'!J63)</f>
        <v>3</v>
      </c>
      <c r="K63" s="49">
        <f>AVERAGE('26.10 MUTUKULA-MASAKA-24HR'!K63,'28.10 MUTUKULA-MASAKA-24HR'!K63)</f>
        <v>0</v>
      </c>
      <c r="L63" s="49">
        <f>AVERAGE('26.10 MUTUKULA-MASAKA-24HR'!L63,'28.10 MUTUKULA-MASAKA-24HR'!L63)</f>
        <v>0</v>
      </c>
      <c r="M63" s="49">
        <f>AVERAGE('26.10 MUTUKULA-MASAKA-24HR'!M63,'28.10 MUTUKULA-MASAKA-24HR'!M63)</f>
        <v>13</v>
      </c>
      <c r="N63" s="49">
        <f>AVERAGE('26.10 MUTUKULA-MASAKA-24HR'!N63,'28.10 MUTUKULA-MASAKA-24HR'!N63)</f>
        <v>0</v>
      </c>
      <c r="O63" s="15">
        <f t="shared" si="0"/>
        <v>9.5</v>
      </c>
      <c r="P63" s="15">
        <f t="shared" si="1"/>
        <v>22.5</v>
      </c>
      <c r="R63" s="8"/>
      <c r="T63"/>
    </row>
    <row r="64" spans="2:20" ht="23.1" customHeight="1" x14ac:dyDescent="0.25">
      <c r="B64" s="23" t="s">
        <v>109</v>
      </c>
      <c r="C64" s="49">
        <f>AVERAGE('26.10 MUTUKULA-MASAKA-24HR'!C64,'28.10 MUTUKULA-MASAKA-24HR'!C64)</f>
        <v>3.5</v>
      </c>
      <c r="D64" s="49">
        <f>AVERAGE('26.10 MUTUKULA-MASAKA-24HR'!D64,'28.10 MUTUKULA-MASAKA-24HR'!D64)</f>
        <v>1</v>
      </c>
      <c r="E64" s="49">
        <f>AVERAGE('26.10 MUTUKULA-MASAKA-24HR'!E64,'28.10 MUTUKULA-MASAKA-24HR'!E64)</f>
        <v>0.5</v>
      </c>
      <c r="F64" s="49">
        <f>AVERAGE('26.10 MUTUKULA-MASAKA-24HR'!F64,'28.10 MUTUKULA-MASAKA-24HR'!F64)</f>
        <v>0</v>
      </c>
      <c r="G64" s="49">
        <f>AVERAGE('26.10 MUTUKULA-MASAKA-24HR'!G64,'28.10 MUTUKULA-MASAKA-24HR'!G64)</f>
        <v>0</v>
      </c>
      <c r="H64" s="49">
        <f>AVERAGE('26.10 MUTUKULA-MASAKA-24HR'!H64,'28.10 MUTUKULA-MASAKA-24HR'!H64)</f>
        <v>0</v>
      </c>
      <c r="I64" s="49">
        <f>AVERAGE('26.10 MUTUKULA-MASAKA-24HR'!I64,'28.10 MUTUKULA-MASAKA-24HR'!I64)</f>
        <v>0.5</v>
      </c>
      <c r="J64" s="49">
        <f>AVERAGE('26.10 MUTUKULA-MASAKA-24HR'!J64,'28.10 MUTUKULA-MASAKA-24HR'!J64)</f>
        <v>4.5</v>
      </c>
      <c r="K64" s="49">
        <f>AVERAGE('26.10 MUTUKULA-MASAKA-24HR'!K64,'28.10 MUTUKULA-MASAKA-24HR'!K64)</f>
        <v>2</v>
      </c>
      <c r="L64" s="49">
        <f>AVERAGE('26.10 MUTUKULA-MASAKA-24HR'!L64,'28.10 MUTUKULA-MASAKA-24HR'!L64)</f>
        <v>0</v>
      </c>
      <c r="M64" s="49">
        <f>AVERAGE('26.10 MUTUKULA-MASAKA-24HR'!M64,'28.10 MUTUKULA-MASAKA-24HR'!M64)</f>
        <v>10.5</v>
      </c>
      <c r="N64" s="49">
        <f>AVERAGE('26.10 MUTUKULA-MASAKA-24HR'!N64,'28.10 MUTUKULA-MASAKA-24HR'!N64)</f>
        <v>0</v>
      </c>
      <c r="O64" s="15">
        <f t="shared" si="0"/>
        <v>12</v>
      </c>
      <c r="P64" s="15">
        <f t="shared" si="1"/>
        <v>22.5</v>
      </c>
      <c r="R64" s="8"/>
      <c r="T64"/>
    </row>
    <row r="65" spans="2:20" ht="23.1" customHeight="1" x14ac:dyDescent="0.25">
      <c r="B65" s="23" t="s">
        <v>158</v>
      </c>
      <c r="C65" s="49">
        <f>AVERAGE('26.10 MUTUKULA-MASAKA-24HR'!C65,'28.10 MUTUKULA-MASAKA-24HR'!C65)</f>
        <v>3</v>
      </c>
      <c r="D65" s="49">
        <f>AVERAGE('26.10 MUTUKULA-MASAKA-24HR'!D65,'28.10 MUTUKULA-MASAKA-24HR'!D65)</f>
        <v>0</v>
      </c>
      <c r="E65" s="49">
        <f>AVERAGE('26.10 MUTUKULA-MASAKA-24HR'!E65,'28.10 MUTUKULA-MASAKA-24HR'!E65)</f>
        <v>0</v>
      </c>
      <c r="F65" s="49">
        <f>AVERAGE('26.10 MUTUKULA-MASAKA-24HR'!F65,'28.10 MUTUKULA-MASAKA-24HR'!F65)</f>
        <v>0.5</v>
      </c>
      <c r="G65" s="49">
        <f>AVERAGE('26.10 MUTUKULA-MASAKA-24HR'!G65,'28.10 MUTUKULA-MASAKA-24HR'!G65)</f>
        <v>0</v>
      </c>
      <c r="H65" s="49">
        <f>AVERAGE('26.10 MUTUKULA-MASAKA-24HR'!H65,'28.10 MUTUKULA-MASAKA-24HR'!H65)</f>
        <v>0</v>
      </c>
      <c r="I65" s="49">
        <f>AVERAGE('26.10 MUTUKULA-MASAKA-24HR'!I65,'28.10 MUTUKULA-MASAKA-24HR'!I65)</f>
        <v>0.5</v>
      </c>
      <c r="J65" s="49">
        <f>AVERAGE('26.10 MUTUKULA-MASAKA-24HR'!J65,'28.10 MUTUKULA-MASAKA-24HR'!J65)</f>
        <v>2</v>
      </c>
      <c r="K65" s="49">
        <f>AVERAGE('26.10 MUTUKULA-MASAKA-24HR'!K65,'28.10 MUTUKULA-MASAKA-24HR'!K65)</f>
        <v>0.5</v>
      </c>
      <c r="L65" s="49">
        <f>AVERAGE('26.10 MUTUKULA-MASAKA-24HR'!L65,'28.10 MUTUKULA-MASAKA-24HR'!L65)</f>
        <v>0</v>
      </c>
      <c r="M65" s="49">
        <f>AVERAGE('26.10 MUTUKULA-MASAKA-24HR'!M65,'28.10 MUTUKULA-MASAKA-24HR'!M65)</f>
        <v>9</v>
      </c>
      <c r="N65" s="49">
        <f>AVERAGE('26.10 MUTUKULA-MASAKA-24HR'!N65,'28.10 MUTUKULA-MASAKA-24HR'!N65)</f>
        <v>0</v>
      </c>
      <c r="O65" s="15">
        <f t="shared" si="0"/>
        <v>6.5</v>
      </c>
      <c r="P65" s="15">
        <f t="shared" si="1"/>
        <v>15.5</v>
      </c>
      <c r="R65" s="8"/>
      <c r="T65"/>
    </row>
    <row r="66" spans="2:20" ht="23.1" customHeight="1" x14ac:dyDescent="0.25">
      <c r="B66" s="23" t="s">
        <v>103</v>
      </c>
      <c r="C66" s="49">
        <f>AVERAGE('26.10 MUTUKULA-MASAKA-24HR'!C66,'28.10 MUTUKULA-MASAKA-24HR'!C66)</f>
        <v>3.5</v>
      </c>
      <c r="D66" s="49">
        <f>AVERAGE('26.10 MUTUKULA-MASAKA-24HR'!D66,'28.10 MUTUKULA-MASAKA-24HR'!D66)</f>
        <v>0.5</v>
      </c>
      <c r="E66" s="49">
        <f>AVERAGE('26.10 MUTUKULA-MASAKA-24HR'!E66,'28.10 MUTUKULA-MASAKA-24HR'!E66)</f>
        <v>0</v>
      </c>
      <c r="F66" s="49">
        <f>AVERAGE('26.10 MUTUKULA-MASAKA-24HR'!F66,'28.10 MUTUKULA-MASAKA-24HR'!F66)</f>
        <v>0</v>
      </c>
      <c r="G66" s="49">
        <f>AVERAGE('26.10 MUTUKULA-MASAKA-24HR'!G66,'28.10 MUTUKULA-MASAKA-24HR'!G66)</f>
        <v>0</v>
      </c>
      <c r="H66" s="49">
        <f>AVERAGE('26.10 MUTUKULA-MASAKA-24HR'!H66,'28.10 MUTUKULA-MASAKA-24HR'!H66)</f>
        <v>0</v>
      </c>
      <c r="I66" s="49">
        <f>AVERAGE('26.10 MUTUKULA-MASAKA-24HR'!I66,'28.10 MUTUKULA-MASAKA-24HR'!I66)</f>
        <v>0.5</v>
      </c>
      <c r="J66" s="49">
        <f>AVERAGE('26.10 MUTUKULA-MASAKA-24HR'!J66,'28.10 MUTUKULA-MASAKA-24HR'!J66)</f>
        <v>2.5</v>
      </c>
      <c r="K66" s="49">
        <f>AVERAGE('26.10 MUTUKULA-MASAKA-24HR'!K66,'28.10 MUTUKULA-MASAKA-24HR'!K66)</f>
        <v>0.5</v>
      </c>
      <c r="L66" s="49">
        <f>AVERAGE('26.10 MUTUKULA-MASAKA-24HR'!L66,'28.10 MUTUKULA-MASAKA-24HR'!L66)</f>
        <v>0</v>
      </c>
      <c r="M66" s="49">
        <f>AVERAGE('26.10 MUTUKULA-MASAKA-24HR'!M66,'28.10 MUTUKULA-MASAKA-24HR'!M66)</f>
        <v>11.5</v>
      </c>
      <c r="N66" s="49">
        <f>AVERAGE('26.10 MUTUKULA-MASAKA-24HR'!N66,'28.10 MUTUKULA-MASAKA-24HR'!N66)</f>
        <v>0</v>
      </c>
      <c r="O66" s="15">
        <f t="shared" si="0"/>
        <v>7.5</v>
      </c>
      <c r="P66" s="15">
        <f t="shared" si="1"/>
        <v>19</v>
      </c>
      <c r="R66" s="8"/>
      <c r="T66"/>
    </row>
    <row r="67" spans="2:20" ht="23.1" customHeight="1" x14ac:dyDescent="0.25">
      <c r="B67" s="23" t="s">
        <v>104</v>
      </c>
      <c r="C67" s="49">
        <f>AVERAGE('26.10 MUTUKULA-MASAKA-24HR'!C67,'28.10 MUTUKULA-MASAKA-24HR'!C67)</f>
        <v>5</v>
      </c>
      <c r="D67" s="49">
        <f>AVERAGE('26.10 MUTUKULA-MASAKA-24HR'!D67,'28.10 MUTUKULA-MASAKA-24HR'!D67)</f>
        <v>0</v>
      </c>
      <c r="E67" s="49">
        <f>AVERAGE('26.10 MUTUKULA-MASAKA-24HR'!E67,'28.10 MUTUKULA-MASAKA-24HR'!E67)</f>
        <v>0</v>
      </c>
      <c r="F67" s="49">
        <f>AVERAGE('26.10 MUTUKULA-MASAKA-24HR'!F67,'28.10 MUTUKULA-MASAKA-24HR'!F67)</f>
        <v>0</v>
      </c>
      <c r="G67" s="49">
        <f>AVERAGE('26.10 MUTUKULA-MASAKA-24HR'!G67,'28.10 MUTUKULA-MASAKA-24HR'!G67)</f>
        <v>0</v>
      </c>
      <c r="H67" s="49">
        <f>AVERAGE('26.10 MUTUKULA-MASAKA-24HR'!H67,'28.10 MUTUKULA-MASAKA-24HR'!H67)</f>
        <v>0</v>
      </c>
      <c r="I67" s="49">
        <f>AVERAGE('26.10 MUTUKULA-MASAKA-24HR'!I67,'28.10 MUTUKULA-MASAKA-24HR'!I67)</f>
        <v>0</v>
      </c>
      <c r="J67" s="49">
        <f>AVERAGE('26.10 MUTUKULA-MASAKA-24HR'!J67,'28.10 MUTUKULA-MASAKA-24HR'!J67)</f>
        <v>0</v>
      </c>
      <c r="K67" s="49">
        <f>AVERAGE('26.10 MUTUKULA-MASAKA-24HR'!K67,'28.10 MUTUKULA-MASAKA-24HR'!K67)</f>
        <v>0.5</v>
      </c>
      <c r="L67" s="49">
        <f>AVERAGE('26.10 MUTUKULA-MASAKA-24HR'!L67,'28.10 MUTUKULA-MASAKA-24HR'!L67)</f>
        <v>0</v>
      </c>
      <c r="M67" s="49">
        <f>AVERAGE('26.10 MUTUKULA-MASAKA-24HR'!M67,'28.10 MUTUKULA-MASAKA-24HR'!M67)</f>
        <v>11</v>
      </c>
      <c r="N67" s="49">
        <f>AVERAGE('26.10 MUTUKULA-MASAKA-24HR'!N67,'28.10 MUTUKULA-MASAKA-24HR'!N67)</f>
        <v>0</v>
      </c>
      <c r="O67" s="15">
        <f t="shared" si="0"/>
        <v>5.5</v>
      </c>
      <c r="P67" s="15">
        <f t="shared" si="1"/>
        <v>16.5</v>
      </c>
      <c r="R67" s="8"/>
      <c r="T67"/>
    </row>
    <row r="68" spans="2:20" ht="23.1" customHeight="1" x14ac:dyDescent="0.25">
      <c r="B68" s="23" t="s">
        <v>105</v>
      </c>
      <c r="C68" s="49">
        <f>AVERAGE('26.10 MUTUKULA-MASAKA-24HR'!C68,'28.10 MUTUKULA-MASAKA-24HR'!C68)</f>
        <v>1.5</v>
      </c>
      <c r="D68" s="49">
        <f>AVERAGE('26.10 MUTUKULA-MASAKA-24HR'!D68,'28.10 MUTUKULA-MASAKA-24HR'!D68)</f>
        <v>1</v>
      </c>
      <c r="E68" s="49">
        <f>AVERAGE('26.10 MUTUKULA-MASAKA-24HR'!E68,'28.10 MUTUKULA-MASAKA-24HR'!E68)</f>
        <v>0</v>
      </c>
      <c r="F68" s="49">
        <f>AVERAGE('26.10 MUTUKULA-MASAKA-24HR'!F68,'28.10 MUTUKULA-MASAKA-24HR'!F68)</f>
        <v>0</v>
      </c>
      <c r="G68" s="49">
        <f>AVERAGE('26.10 MUTUKULA-MASAKA-24HR'!G68,'28.10 MUTUKULA-MASAKA-24HR'!G68)</f>
        <v>0</v>
      </c>
      <c r="H68" s="49">
        <f>AVERAGE('26.10 MUTUKULA-MASAKA-24HR'!H68,'28.10 MUTUKULA-MASAKA-24HR'!H68)</f>
        <v>0</v>
      </c>
      <c r="I68" s="49">
        <f>AVERAGE('26.10 MUTUKULA-MASAKA-24HR'!I68,'28.10 MUTUKULA-MASAKA-24HR'!I68)</f>
        <v>0.5</v>
      </c>
      <c r="J68" s="49">
        <f>AVERAGE('26.10 MUTUKULA-MASAKA-24HR'!J68,'28.10 MUTUKULA-MASAKA-24HR'!J68)</f>
        <v>3</v>
      </c>
      <c r="K68" s="49">
        <f>AVERAGE('26.10 MUTUKULA-MASAKA-24HR'!K68,'28.10 MUTUKULA-MASAKA-24HR'!K68)</f>
        <v>0.5</v>
      </c>
      <c r="L68" s="49">
        <f>AVERAGE('26.10 MUTUKULA-MASAKA-24HR'!L68,'28.10 MUTUKULA-MASAKA-24HR'!L68)</f>
        <v>0</v>
      </c>
      <c r="M68" s="49">
        <f>AVERAGE('26.10 MUTUKULA-MASAKA-24HR'!M68,'28.10 MUTUKULA-MASAKA-24HR'!M68)</f>
        <v>8</v>
      </c>
      <c r="N68" s="49">
        <f>AVERAGE('26.10 MUTUKULA-MASAKA-24HR'!N68,'28.10 MUTUKULA-MASAKA-24HR'!N68)</f>
        <v>0</v>
      </c>
      <c r="O68" s="15">
        <f t="shared" si="0"/>
        <v>6.5</v>
      </c>
      <c r="P68" s="15">
        <f t="shared" si="1"/>
        <v>14.5</v>
      </c>
      <c r="R68" s="8"/>
      <c r="T68"/>
    </row>
    <row r="69" spans="2:20" ht="23.1" customHeight="1" x14ac:dyDescent="0.25">
      <c r="B69" s="23" t="s">
        <v>106</v>
      </c>
      <c r="C69" s="49">
        <f>AVERAGE('26.10 MUTUKULA-MASAKA-24HR'!C69,'28.10 MUTUKULA-MASAKA-24HR'!C69)</f>
        <v>0.5</v>
      </c>
      <c r="D69" s="49">
        <f>AVERAGE('26.10 MUTUKULA-MASAKA-24HR'!D69,'28.10 MUTUKULA-MASAKA-24HR'!D69)</f>
        <v>1</v>
      </c>
      <c r="E69" s="49">
        <f>AVERAGE('26.10 MUTUKULA-MASAKA-24HR'!E69,'28.10 MUTUKULA-MASAKA-24HR'!E69)</f>
        <v>0</v>
      </c>
      <c r="F69" s="49">
        <f>AVERAGE('26.10 MUTUKULA-MASAKA-24HR'!F69,'28.10 MUTUKULA-MASAKA-24HR'!F69)</f>
        <v>1</v>
      </c>
      <c r="G69" s="49">
        <f>AVERAGE('26.10 MUTUKULA-MASAKA-24HR'!G69,'28.10 MUTUKULA-MASAKA-24HR'!G69)</f>
        <v>0</v>
      </c>
      <c r="H69" s="49">
        <f>AVERAGE('26.10 MUTUKULA-MASAKA-24HR'!H69,'28.10 MUTUKULA-MASAKA-24HR'!H69)</f>
        <v>0.5</v>
      </c>
      <c r="I69" s="49">
        <f>AVERAGE('26.10 MUTUKULA-MASAKA-24HR'!I69,'28.10 MUTUKULA-MASAKA-24HR'!I69)</f>
        <v>0</v>
      </c>
      <c r="J69" s="49">
        <f>AVERAGE('26.10 MUTUKULA-MASAKA-24HR'!J69,'28.10 MUTUKULA-MASAKA-24HR'!J69)</f>
        <v>2</v>
      </c>
      <c r="K69" s="49">
        <f>AVERAGE('26.10 MUTUKULA-MASAKA-24HR'!K69,'28.10 MUTUKULA-MASAKA-24HR'!K69)</f>
        <v>0.5</v>
      </c>
      <c r="L69" s="49">
        <f>AVERAGE('26.10 MUTUKULA-MASAKA-24HR'!L69,'28.10 MUTUKULA-MASAKA-24HR'!L69)</f>
        <v>0</v>
      </c>
      <c r="M69" s="49">
        <f>AVERAGE('26.10 MUTUKULA-MASAKA-24HR'!M69,'28.10 MUTUKULA-MASAKA-24HR'!M69)</f>
        <v>5.5</v>
      </c>
      <c r="N69" s="49">
        <f>AVERAGE('26.10 MUTUKULA-MASAKA-24HR'!N69,'28.10 MUTUKULA-MASAKA-24HR'!N69)</f>
        <v>0</v>
      </c>
      <c r="O69" s="15">
        <f t="shared" si="0"/>
        <v>5.5</v>
      </c>
      <c r="P69" s="15">
        <f t="shared" si="1"/>
        <v>11</v>
      </c>
      <c r="R69" s="8"/>
      <c r="T69"/>
    </row>
    <row r="70" spans="2:20" ht="23.1" customHeight="1" x14ac:dyDescent="0.25">
      <c r="B70" s="23" t="s">
        <v>110</v>
      </c>
      <c r="C70" s="49">
        <f>AVERAGE('26.10 MUTUKULA-MASAKA-24HR'!C70,'28.10 MUTUKULA-MASAKA-24HR'!C70)</f>
        <v>0.5</v>
      </c>
      <c r="D70" s="49">
        <f>AVERAGE('26.10 MUTUKULA-MASAKA-24HR'!D70,'28.10 MUTUKULA-MASAKA-24HR'!D70)</f>
        <v>0</v>
      </c>
      <c r="E70" s="49">
        <f>AVERAGE('26.10 MUTUKULA-MASAKA-24HR'!E70,'28.10 MUTUKULA-MASAKA-24HR'!E70)</f>
        <v>0</v>
      </c>
      <c r="F70" s="49">
        <f>AVERAGE('26.10 MUTUKULA-MASAKA-24HR'!F70,'28.10 MUTUKULA-MASAKA-24HR'!F70)</f>
        <v>0</v>
      </c>
      <c r="G70" s="49">
        <f>AVERAGE('26.10 MUTUKULA-MASAKA-24HR'!G70,'28.10 MUTUKULA-MASAKA-24HR'!G70)</f>
        <v>0</v>
      </c>
      <c r="H70" s="49">
        <f>AVERAGE('26.10 MUTUKULA-MASAKA-24HR'!H70,'28.10 MUTUKULA-MASAKA-24HR'!H70)</f>
        <v>0</v>
      </c>
      <c r="I70" s="49">
        <f>AVERAGE('26.10 MUTUKULA-MASAKA-24HR'!I70,'28.10 MUTUKULA-MASAKA-24HR'!I70)</f>
        <v>0.5</v>
      </c>
      <c r="J70" s="49">
        <f>AVERAGE('26.10 MUTUKULA-MASAKA-24HR'!J70,'28.10 MUTUKULA-MASAKA-24HR'!J70)</f>
        <v>0.5</v>
      </c>
      <c r="K70" s="49">
        <f>AVERAGE('26.10 MUTUKULA-MASAKA-24HR'!K70,'28.10 MUTUKULA-MASAKA-24HR'!K70)</f>
        <v>2.5</v>
      </c>
      <c r="L70" s="49">
        <f>AVERAGE('26.10 MUTUKULA-MASAKA-24HR'!L70,'28.10 MUTUKULA-MASAKA-24HR'!L70)</f>
        <v>0</v>
      </c>
      <c r="M70" s="49">
        <f>AVERAGE('26.10 MUTUKULA-MASAKA-24HR'!M70,'28.10 MUTUKULA-MASAKA-24HR'!M70)</f>
        <v>6</v>
      </c>
      <c r="N70" s="49">
        <f>AVERAGE('26.10 MUTUKULA-MASAKA-24HR'!N70,'28.10 MUTUKULA-MASAKA-24HR'!N70)</f>
        <v>0</v>
      </c>
      <c r="O70" s="15">
        <f t="shared" si="0"/>
        <v>4</v>
      </c>
      <c r="P70" s="15">
        <f t="shared" si="1"/>
        <v>10</v>
      </c>
      <c r="R70" s="8"/>
      <c r="T70"/>
    </row>
    <row r="71" spans="2:20" ht="23.1" customHeight="1" x14ac:dyDescent="0.25">
      <c r="B71" s="23" t="s">
        <v>111</v>
      </c>
      <c r="C71" s="49">
        <f>AVERAGE('26.10 MUTUKULA-MASAKA-24HR'!C71,'28.10 MUTUKULA-MASAKA-24HR'!C71)</f>
        <v>1.5</v>
      </c>
      <c r="D71" s="49">
        <f>AVERAGE('26.10 MUTUKULA-MASAKA-24HR'!D71,'28.10 MUTUKULA-MASAKA-24HR'!D71)</f>
        <v>0</v>
      </c>
      <c r="E71" s="49">
        <f>AVERAGE('26.10 MUTUKULA-MASAKA-24HR'!E71,'28.10 MUTUKULA-MASAKA-24HR'!E71)</f>
        <v>0</v>
      </c>
      <c r="F71" s="49">
        <f>AVERAGE('26.10 MUTUKULA-MASAKA-24HR'!F71,'28.10 MUTUKULA-MASAKA-24HR'!F71)</f>
        <v>0.5</v>
      </c>
      <c r="G71" s="49">
        <f>AVERAGE('26.10 MUTUKULA-MASAKA-24HR'!G71,'28.10 MUTUKULA-MASAKA-24HR'!G71)</f>
        <v>0</v>
      </c>
      <c r="H71" s="49">
        <f>AVERAGE('26.10 MUTUKULA-MASAKA-24HR'!H71,'28.10 MUTUKULA-MASAKA-24HR'!H71)</f>
        <v>0</v>
      </c>
      <c r="I71" s="49">
        <f>AVERAGE('26.10 MUTUKULA-MASAKA-24HR'!I71,'28.10 MUTUKULA-MASAKA-24HR'!I71)</f>
        <v>0</v>
      </c>
      <c r="J71" s="49">
        <f>AVERAGE('26.10 MUTUKULA-MASAKA-24HR'!J71,'28.10 MUTUKULA-MASAKA-24HR'!J71)</f>
        <v>0.5</v>
      </c>
      <c r="K71" s="49">
        <f>AVERAGE('26.10 MUTUKULA-MASAKA-24HR'!K71,'28.10 MUTUKULA-MASAKA-24HR'!K71)</f>
        <v>0.5</v>
      </c>
      <c r="L71" s="49">
        <f>AVERAGE('26.10 MUTUKULA-MASAKA-24HR'!L71,'28.10 MUTUKULA-MASAKA-24HR'!L71)</f>
        <v>0</v>
      </c>
      <c r="M71" s="49">
        <f>AVERAGE('26.10 MUTUKULA-MASAKA-24HR'!M71,'28.10 MUTUKULA-MASAKA-24HR'!M71)</f>
        <v>6</v>
      </c>
      <c r="N71" s="49">
        <f>AVERAGE('26.10 MUTUKULA-MASAKA-24HR'!N71,'28.10 MUTUKULA-MASAKA-24HR'!N71)</f>
        <v>0</v>
      </c>
      <c r="O71" s="15">
        <f t="shared" si="0"/>
        <v>3</v>
      </c>
      <c r="P71" s="15">
        <f t="shared" si="1"/>
        <v>9</v>
      </c>
      <c r="R71" s="8"/>
      <c r="T71"/>
    </row>
    <row r="72" spans="2:20" ht="23.1" customHeight="1" x14ac:dyDescent="0.25">
      <c r="B72" s="23" t="s">
        <v>112</v>
      </c>
      <c r="C72" s="49">
        <f>AVERAGE('26.10 MUTUKULA-MASAKA-24HR'!C72,'28.10 MUTUKULA-MASAKA-24HR'!C72)</f>
        <v>1</v>
      </c>
      <c r="D72" s="49">
        <f>AVERAGE('26.10 MUTUKULA-MASAKA-24HR'!D72,'28.10 MUTUKULA-MASAKA-24HR'!D72)</f>
        <v>0.5</v>
      </c>
      <c r="E72" s="49">
        <f>AVERAGE('26.10 MUTUKULA-MASAKA-24HR'!E72,'28.10 MUTUKULA-MASAKA-24HR'!E72)</f>
        <v>0</v>
      </c>
      <c r="F72" s="49">
        <f>AVERAGE('26.10 MUTUKULA-MASAKA-24HR'!F72,'28.10 MUTUKULA-MASAKA-24HR'!F72)</f>
        <v>0</v>
      </c>
      <c r="G72" s="49">
        <f>AVERAGE('26.10 MUTUKULA-MASAKA-24HR'!G72,'28.10 MUTUKULA-MASAKA-24HR'!G72)</f>
        <v>0</v>
      </c>
      <c r="H72" s="49">
        <f>AVERAGE('26.10 MUTUKULA-MASAKA-24HR'!H72,'28.10 MUTUKULA-MASAKA-24HR'!H72)</f>
        <v>0</v>
      </c>
      <c r="I72" s="49">
        <f>AVERAGE('26.10 MUTUKULA-MASAKA-24HR'!I72,'28.10 MUTUKULA-MASAKA-24HR'!I72)</f>
        <v>0</v>
      </c>
      <c r="J72" s="49">
        <f>AVERAGE('26.10 MUTUKULA-MASAKA-24HR'!J72,'28.10 MUTUKULA-MASAKA-24HR'!J72)</f>
        <v>0</v>
      </c>
      <c r="K72" s="49">
        <f>AVERAGE('26.10 MUTUKULA-MASAKA-24HR'!K72,'28.10 MUTUKULA-MASAKA-24HR'!K72)</f>
        <v>0</v>
      </c>
      <c r="L72" s="49">
        <f>AVERAGE('26.10 MUTUKULA-MASAKA-24HR'!L72,'28.10 MUTUKULA-MASAKA-24HR'!L72)</f>
        <v>0</v>
      </c>
      <c r="M72" s="49">
        <f>AVERAGE('26.10 MUTUKULA-MASAKA-24HR'!M72,'28.10 MUTUKULA-MASAKA-24HR'!M72)</f>
        <v>9</v>
      </c>
      <c r="N72" s="49">
        <f>AVERAGE('26.10 MUTUKULA-MASAKA-24HR'!N72,'28.10 MUTUKULA-MASAKA-24HR'!N72)</f>
        <v>0</v>
      </c>
      <c r="O72" s="15">
        <f t="shared" si="0"/>
        <v>1.5</v>
      </c>
      <c r="P72" s="15">
        <f t="shared" si="1"/>
        <v>10.5</v>
      </c>
      <c r="R72" s="8"/>
      <c r="T72"/>
    </row>
    <row r="73" spans="2:20" ht="23.1" customHeight="1" x14ac:dyDescent="0.25">
      <c r="B73" s="23" t="s">
        <v>113</v>
      </c>
      <c r="C73" s="49">
        <f>AVERAGE('26.10 MUTUKULA-MASAKA-24HR'!C73,'28.10 MUTUKULA-MASAKA-24HR'!C73)</f>
        <v>0</v>
      </c>
      <c r="D73" s="49">
        <f>AVERAGE('26.10 MUTUKULA-MASAKA-24HR'!D73,'28.10 MUTUKULA-MASAKA-24HR'!D73)</f>
        <v>0.5</v>
      </c>
      <c r="E73" s="49">
        <f>AVERAGE('26.10 MUTUKULA-MASAKA-24HR'!E73,'28.10 MUTUKULA-MASAKA-24HR'!E73)</f>
        <v>0</v>
      </c>
      <c r="F73" s="49">
        <f>AVERAGE('26.10 MUTUKULA-MASAKA-24HR'!F73,'28.10 MUTUKULA-MASAKA-24HR'!F73)</f>
        <v>0</v>
      </c>
      <c r="G73" s="49">
        <f>AVERAGE('26.10 MUTUKULA-MASAKA-24HR'!G73,'28.10 MUTUKULA-MASAKA-24HR'!G73)</f>
        <v>0</v>
      </c>
      <c r="H73" s="49">
        <f>AVERAGE('26.10 MUTUKULA-MASAKA-24HR'!H73,'28.10 MUTUKULA-MASAKA-24HR'!H73)</f>
        <v>0</v>
      </c>
      <c r="I73" s="49">
        <f>AVERAGE('26.10 MUTUKULA-MASAKA-24HR'!I73,'28.10 MUTUKULA-MASAKA-24HR'!I73)</f>
        <v>0.5</v>
      </c>
      <c r="J73" s="49">
        <f>AVERAGE('26.10 MUTUKULA-MASAKA-24HR'!J73,'28.10 MUTUKULA-MASAKA-24HR'!J73)</f>
        <v>0</v>
      </c>
      <c r="K73" s="49">
        <f>AVERAGE('26.10 MUTUKULA-MASAKA-24HR'!K73,'28.10 MUTUKULA-MASAKA-24HR'!K73)</f>
        <v>0</v>
      </c>
      <c r="L73" s="49">
        <f>AVERAGE('26.10 MUTUKULA-MASAKA-24HR'!L73,'28.10 MUTUKULA-MASAKA-24HR'!L73)</f>
        <v>0</v>
      </c>
      <c r="M73" s="49">
        <f>AVERAGE('26.10 MUTUKULA-MASAKA-24HR'!M73,'28.10 MUTUKULA-MASAKA-24HR'!M73)</f>
        <v>5</v>
      </c>
      <c r="N73" s="49">
        <f>AVERAGE('26.10 MUTUKULA-MASAKA-24HR'!N73,'28.10 MUTUKULA-MASAKA-24HR'!N73)</f>
        <v>0</v>
      </c>
      <c r="O73" s="15">
        <f t="shared" si="0"/>
        <v>1</v>
      </c>
      <c r="P73" s="15">
        <f t="shared" si="1"/>
        <v>6</v>
      </c>
      <c r="R73" s="8"/>
      <c r="T73"/>
    </row>
    <row r="74" spans="2:20" ht="23.1" customHeight="1" x14ac:dyDescent="0.25">
      <c r="B74" s="23" t="s">
        <v>114</v>
      </c>
      <c r="C74" s="49">
        <f>AVERAGE('26.10 MUTUKULA-MASAKA-24HR'!C74,'28.10 MUTUKULA-MASAKA-24HR'!C74)</f>
        <v>0.5</v>
      </c>
      <c r="D74" s="49">
        <f>AVERAGE('26.10 MUTUKULA-MASAKA-24HR'!D74,'28.10 MUTUKULA-MASAKA-24HR'!D74)</f>
        <v>0</v>
      </c>
      <c r="E74" s="49">
        <f>AVERAGE('26.10 MUTUKULA-MASAKA-24HR'!E74,'28.10 MUTUKULA-MASAKA-24HR'!E74)</f>
        <v>0</v>
      </c>
      <c r="F74" s="49">
        <f>AVERAGE('26.10 MUTUKULA-MASAKA-24HR'!F74,'28.10 MUTUKULA-MASAKA-24HR'!F74)</f>
        <v>1</v>
      </c>
      <c r="G74" s="49">
        <f>AVERAGE('26.10 MUTUKULA-MASAKA-24HR'!G74,'28.10 MUTUKULA-MASAKA-24HR'!G74)</f>
        <v>0</v>
      </c>
      <c r="H74" s="49">
        <f>AVERAGE('26.10 MUTUKULA-MASAKA-24HR'!H74,'28.10 MUTUKULA-MASAKA-24HR'!H74)</f>
        <v>0</v>
      </c>
      <c r="I74" s="49">
        <f>AVERAGE('26.10 MUTUKULA-MASAKA-24HR'!I74,'28.10 MUTUKULA-MASAKA-24HR'!I74)</f>
        <v>0</v>
      </c>
      <c r="J74" s="49">
        <f>AVERAGE('26.10 MUTUKULA-MASAKA-24HR'!J74,'28.10 MUTUKULA-MASAKA-24HR'!J74)</f>
        <v>0</v>
      </c>
      <c r="K74" s="49">
        <f>AVERAGE('26.10 MUTUKULA-MASAKA-24HR'!K74,'28.10 MUTUKULA-MASAKA-24HR'!K74)</f>
        <v>0</v>
      </c>
      <c r="L74" s="49">
        <f>AVERAGE('26.10 MUTUKULA-MASAKA-24HR'!L74,'28.10 MUTUKULA-MASAKA-24HR'!L74)</f>
        <v>0</v>
      </c>
      <c r="M74" s="49">
        <f>AVERAGE('26.10 MUTUKULA-MASAKA-24HR'!M74,'28.10 MUTUKULA-MASAKA-24HR'!M74)</f>
        <v>1</v>
      </c>
      <c r="N74" s="49">
        <f>AVERAGE('26.10 MUTUKULA-MASAKA-24HR'!N74,'28.10 MUTUKULA-MASAKA-24HR'!N74)</f>
        <v>0</v>
      </c>
      <c r="O74" s="15">
        <f t="shared" ref="O74:O105" si="34">SUM(C74:L74,N74)</f>
        <v>1.5</v>
      </c>
      <c r="P74" s="15">
        <f t="shared" ref="P74:P105" si="35">SUM(C74:N74)</f>
        <v>2.5</v>
      </c>
      <c r="R74" s="8"/>
      <c r="T74"/>
    </row>
    <row r="75" spans="2:20" ht="23.1" customHeight="1" x14ac:dyDescent="0.25">
      <c r="B75" s="23" t="s">
        <v>115</v>
      </c>
      <c r="C75" s="49">
        <f>AVERAGE('26.10 MUTUKULA-MASAKA-24HR'!C75,'28.10 MUTUKULA-MASAKA-24HR'!C75)</f>
        <v>1</v>
      </c>
      <c r="D75" s="49">
        <f>AVERAGE('26.10 MUTUKULA-MASAKA-24HR'!D75,'28.10 MUTUKULA-MASAKA-24HR'!D75)</f>
        <v>0</v>
      </c>
      <c r="E75" s="49">
        <f>AVERAGE('26.10 MUTUKULA-MASAKA-24HR'!E75,'28.10 MUTUKULA-MASAKA-24HR'!E75)</f>
        <v>0</v>
      </c>
      <c r="F75" s="49">
        <f>AVERAGE('26.10 MUTUKULA-MASAKA-24HR'!F75,'28.10 MUTUKULA-MASAKA-24HR'!F75)</f>
        <v>0</v>
      </c>
      <c r="G75" s="49">
        <f>AVERAGE('26.10 MUTUKULA-MASAKA-24HR'!G75,'28.10 MUTUKULA-MASAKA-24HR'!G75)</f>
        <v>0</v>
      </c>
      <c r="H75" s="49">
        <f>AVERAGE('26.10 MUTUKULA-MASAKA-24HR'!H75,'28.10 MUTUKULA-MASAKA-24HR'!H75)</f>
        <v>0</v>
      </c>
      <c r="I75" s="49">
        <f>AVERAGE('26.10 MUTUKULA-MASAKA-24HR'!I75,'28.10 MUTUKULA-MASAKA-24HR'!I75)</f>
        <v>0.5</v>
      </c>
      <c r="J75" s="49">
        <f>AVERAGE('26.10 MUTUKULA-MASAKA-24HR'!J75,'28.10 MUTUKULA-MASAKA-24HR'!J75)</f>
        <v>0</v>
      </c>
      <c r="K75" s="49">
        <f>AVERAGE('26.10 MUTUKULA-MASAKA-24HR'!K75,'28.10 MUTUKULA-MASAKA-24HR'!K75)</f>
        <v>0</v>
      </c>
      <c r="L75" s="49">
        <f>AVERAGE('26.10 MUTUKULA-MASAKA-24HR'!L75,'28.10 MUTUKULA-MASAKA-24HR'!L75)</f>
        <v>0</v>
      </c>
      <c r="M75" s="49">
        <f>AVERAGE('26.10 MUTUKULA-MASAKA-24HR'!M75,'28.10 MUTUKULA-MASAKA-24HR'!M75)</f>
        <v>3.5</v>
      </c>
      <c r="N75" s="49">
        <f>AVERAGE('26.10 MUTUKULA-MASAKA-24HR'!N75,'28.10 MUTUKULA-MASAKA-24HR'!N75)</f>
        <v>0</v>
      </c>
      <c r="O75" s="15">
        <f t="shared" si="34"/>
        <v>1.5</v>
      </c>
      <c r="P75" s="15">
        <f t="shared" si="35"/>
        <v>5</v>
      </c>
      <c r="R75" s="8"/>
      <c r="T75"/>
    </row>
    <row r="76" spans="2:20" ht="23.1" customHeight="1" x14ac:dyDescent="0.25">
      <c r="B76" s="23" t="s">
        <v>116</v>
      </c>
      <c r="C76" s="49">
        <f>AVERAGE('26.10 MUTUKULA-MASAKA-24HR'!C76,'28.10 MUTUKULA-MASAKA-24HR'!C76)</f>
        <v>1</v>
      </c>
      <c r="D76" s="49">
        <f>AVERAGE('26.10 MUTUKULA-MASAKA-24HR'!D76,'28.10 MUTUKULA-MASAKA-24HR'!D76)</f>
        <v>0</v>
      </c>
      <c r="E76" s="49">
        <f>AVERAGE('26.10 MUTUKULA-MASAKA-24HR'!E76,'28.10 MUTUKULA-MASAKA-24HR'!E76)</f>
        <v>0.5</v>
      </c>
      <c r="F76" s="49">
        <f>AVERAGE('26.10 MUTUKULA-MASAKA-24HR'!F76,'28.10 MUTUKULA-MASAKA-24HR'!F76)</f>
        <v>0</v>
      </c>
      <c r="G76" s="49">
        <f>AVERAGE('26.10 MUTUKULA-MASAKA-24HR'!G76,'28.10 MUTUKULA-MASAKA-24HR'!G76)</f>
        <v>0</v>
      </c>
      <c r="H76" s="49">
        <f>AVERAGE('26.10 MUTUKULA-MASAKA-24HR'!H76,'28.10 MUTUKULA-MASAKA-24HR'!H76)</f>
        <v>0</v>
      </c>
      <c r="I76" s="49">
        <f>AVERAGE('26.10 MUTUKULA-MASAKA-24HR'!I76,'28.10 MUTUKULA-MASAKA-24HR'!I76)</f>
        <v>0</v>
      </c>
      <c r="J76" s="49">
        <f>AVERAGE('26.10 MUTUKULA-MASAKA-24HR'!J76,'28.10 MUTUKULA-MASAKA-24HR'!J76)</f>
        <v>1</v>
      </c>
      <c r="K76" s="49">
        <f>AVERAGE('26.10 MUTUKULA-MASAKA-24HR'!K76,'28.10 MUTUKULA-MASAKA-24HR'!K76)</f>
        <v>0</v>
      </c>
      <c r="L76" s="49">
        <f>AVERAGE('26.10 MUTUKULA-MASAKA-24HR'!L76,'28.10 MUTUKULA-MASAKA-24HR'!L76)</f>
        <v>0</v>
      </c>
      <c r="M76" s="49">
        <f>AVERAGE('26.10 MUTUKULA-MASAKA-24HR'!M76,'28.10 MUTUKULA-MASAKA-24HR'!M76)</f>
        <v>1.5</v>
      </c>
      <c r="N76" s="49">
        <f>AVERAGE('26.10 MUTUKULA-MASAKA-24HR'!N76,'28.10 MUTUKULA-MASAKA-24HR'!N76)</f>
        <v>0</v>
      </c>
      <c r="O76" s="15">
        <f t="shared" si="34"/>
        <v>2.5</v>
      </c>
      <c r="P76" s="15">
        <f t="shared" si="35"/>
        <v>4</v>
      </c>
      <c r="R76" s="8"/>
      <c r="T76"/>
    </row>
    <row r="77" spans="2:20" ht="23.1" customHeight="1" x14ac:dyDescent="0.25">
      <c r="B77" s="23" t="s">
        <v>117</v>
      </c>
      <c r="C77" s="49">
        <f>AVERAGE('26.10 MUTUKULA-MASAKA-24HR'!C77,'28.10 MUTUKULA-MASAKA-24HR'!C77)</f>
        <v>0</v>
      </c>
      <c r="D77" s="49">
        <f>AVERAGE('26.10 MUTUKULA-MASAKA-24HR'!D77,'28.10 MUTUKULA-MASAKA-24HR'!D77)</f>
        <v>0</v>
      </c>
      <c r="E77" s="49">
        <f>AVERAGE('26.10 MUTUKULA-MASAKA-24HR'!E77,'28.10 MUTUKULA-MASAKA-24HR'!E77)</f>
        <v>0</v>
      </c>
      <c r="F77" s="49">
        <f>AVERAGE('26.10 MUTUKULA-MASAKA-24HR'!F77,'28.10 MUTUKULA-MASAKA-24HR'!F77)</f>
        <v>0</v>
      </c>
      <c r="G77" s="49">
        <f>AVERAGE('26.10 MUTUKULA-MASAKA-24HR'!G77,'28.10 MUTUKULA-MASAKA-24HR'!G77)</f>
        <v>0</v>
      </c>
      <c r="H77" s="49">
        <f>AVERAGE('26.10 MUTUKULA-MASAKA-24HR'!H77,'28.10 MUTUKULA-MASAKA-24HR'!H77)</f>
        <v>0</v>
      </c>
      <c r="I77" s="49">
        <f>AVERAGE('26.10 MUTUKULA-MASAKA-24HR'!I77,'28.10 MUTUKULA-MASAKA-24HR'!I77)</f>
        <v>0</v>
      </c>
      <c r="J77" s="49">
        <f>AVERAGE('26.10 MUTUKULA-MASAKA-24HR'!J77,'28.10 MUTUKULA-MASAKA-24HR'!J77)</f>
        <v>0</v>
      </c>
      <c r="K77" s="49">
        <f>AVERAGE('26.10 MUTUKULA-MASAKA-24HR'!K77,'28.10 MUTUKULA-MASAKA-24HR'!K77)</f>
        <v>0</v>
      </c>
      <c r="L77" s="49">
        <f>AVERAGE('26.10 MUTUKULA-MASAKA-24HR'!L77,'28.10 MUTUKULA-MASAKA-24HR'!L77)</f>
        <v>0</v>
      </c>
      <c r="M77" s="49">
        <f>AVERAGE('26.10 MUTUKULA-MASAKA-24HR'!M77,'28.10 MUTUKULA-MASAKA-24HR'!M77)</f>
        <v>1</v>
      </c>
      <c r="N77" s="49">
        <f>AVERAGE('26.10 MUTUKULA-MASAKA-24HR'!N77,'28.10 MUTUKULA-MASAKA-24HR'!N77)</f>
        <v>0</v>
      </c>
      <c r="O77" s="15">
        <f t="shared" si="34"/>
        <v>0</v>
      </c>
      <c r="P77" s="15">
        <f t="shared" si="35"/>
        <v>1</v>
      </c>
      <c r="R77" s="8"/>
      <c r="T77"/>
    </row>
    <row r="78" spans="2:20" ht="23.1" customHeight="1" x14ac:dyDescent="0.25">
      <c r="B78" s="24" t="s">
        <v>118</v>
      </c>
      <c r="C78" s="49">
        <f>AVERAGE('26.10 MUTUKULA-MASAKA-24HR'!C78,'28.10 MUTUKULA-MASAKA-24HR'!C78)</f>
        <v>0</v>
      </c>
      <c r="D78" s="49">
        <f>AVERAGE('26.10 MUTUKULA-MASAKA-24HR'!D78,'28.10 MUTUKULA-MASAKA-24HR'!D78)</f>
        <v>0</v>
      </c>
      <c r="E78" s="49">
        <f>AVERAGE('26.10 MUTUKULA-MASAKA-24HR'!E78,'28.10 MUTUKULA-MASAKA-24HR'!E78)</f>
        <v>0</v>
      </c>
      <c r="F78" s="49">
        <f>AVERAGE('26.10 MUTUKULA-MASAKA-24HR'!F78,'28.10 MUTUKULA-MASAKA-24HR'!F78)</f>
        <v>0</v>
      </c>
      <c r="G78" s="49">
        <f>AVERAGE('26.10 MUTUKULA-MASAKA-24HR'!G78,'28.10 MUTUKULA-MASAKA-24HR'!G78)</f>
        <v>0</v>
      </c>
      <c r="H78" s="49">
        <f>AVERAGE('26.10 MUTUKULA-MASAKA-24HR'!H78,'28.10 MUTUKULA-MASAKA-24HR'!H78)</f>
        <v>0</v>
      </c>
      <c r="I78" s="49">
        <f>AVERAGE('26.10 MUTUKULA-MASAKA-24HR'!I78,'28.10 MUTUKULA-MASAKA-24HR'!I78)</f>
        <v>0</v>
      </c>
      <c r="J78" s="49">
        <f>AVERAGE('26.10 MUTUKULA-MASAKA-24HR'!J78,'28.10 MUTUKULA-MASAKA-24HR'!J78)</f>
        <v>0</v>
      </c>
      <c r="K78" s="49">
        <f>AVERAGE('26.10 MUTUKULA-MASAKA-24HR'!K78,'28.10 MUTUKULA-MASAKA-24HR'!K78)</f>
        <v>0</v>
      </c>
      <c r="L78" s="49">
        <f>AVERAGE('26.10 MUTUKULA-MASAKA-24HR'!L78,'28.10 MUTUKULA-MASAKA-24HR'!L78)</f>
        <v>0</v>
      </c>
      <c r="M78" s="49">
        <f>AVERAGE('26.10 MUTUKULA-MASAKA-24HR'!M78,'28.10 MUTUKULA-MASAKA-24HR'!M78)</f>
        <v>0</v>
      </c>
      <c r="N78" s="49">
        <f>AVERAGE('26.10 MUTUKULA-MASAKA-24HR'!N78,'28.10 MUTUKULA-MASAKA-24HR'!N78)</f>
        <v>0</v>
      </c>
      <c r="O78" s="15">
        <f t="shared" si="34"/>
        <v>0</v>
      </c>
      <c r="P78" s="15">
        <f t="shared" si="35"/>
        <v>0</v>
      </c>
      <c r="R78" s="8"/>
      <c r="T78"/>
    </row>
    <row r="79" spans="2:20" ht="23.1" customHeight="1" x14ac:dyDescent="0.25">
      <c r="B79" s="23" t="s">
        <v>119</v>
      </c>
      <c r="C79" s="49">
        <f>AVERAGE('26.10 MUTUKULA-MASAKA-24HR'!C79,'28.10 MUTUKULA-MASAKA-24HR'!C79)</f>
        <v>0</v>
      </c>
      <c r="D79" s="49">
        <f>AVERAGE('26.10 MUTUKULA-MASAKA-24HR'!D79,'28.10 MUTUKULA-MASAKA-24HR'!D79)</f>
        <v>0</v>
      </c>
      <c r="E79" s="49">
        <f>AVERAGE('26.10 MUTUKULA-MASAKA-24HR'!E79,'28.10 MUTUKULA-MASAKA-24HR'!E79)</f>
        <v>0</v>
      </c>
      <c r="F79" s="49">
        <f>AVERAGE('26.10 MUTUKULA-MASAKA-24HR'!F79,'28.10 MUTUKULA-MASAKA-24HR'!F79)</f>
        <v>0</v>
      </c>
      <c r="G79" s="49">
        <f>AVERAGE('26.10 MUTUKULA-MASAKA-24HR'!G79,'28.10 MUTUKULA-MASAKA-24HR'!G79)</f>
        <v>0</v>
      </c>
      <c r="H79" s="49">
        <f>AVERAGE('26.10 MUTUKULA-MASAKA-24HR'!H79,'28.10 MUTUKULA-MASAKA-24HR'!H79)</f>
        <v>0</v>
      </c>
      <c r="I79" s="49">
        <f>AVERAGE('26.10 MUTUKULA-MASAKA-24HR'!I79,'28.10 MUTUKULA-MASAKA-24HR'!I79)</f>
        <v>0</v>
      </c>
      <c r="J79" s="49">
        <f>AVERAGE('26.10 MUTUKULA-MASAKA-24HR'!J79,'28.10 MUTUKULA-MASAKA-24HR'!J79)</f>
        <v>0</v>
      </c>
      <c r="K79" s="49">
        <f>AVERAGE('26.10 MUTUKULA-MASAKA-24HR'!K79,'28.10 MUTUKULA-MASAKA-24HR'!K79)</f>
        <v>0</v>
      </c>
      <c r="L79" s="49">
        <f>AVERAGE('26.10 MUTUKULA-MASAKA-24HR'!L79,'28.10 MUTUKULA-MASAKA-24HR'!L79)</f>
        <v>0</v>
      </c>
      <c r="M79" s="49">
        <f>AVERAGE('26.10 MUTUKULA-MASAKA-24HR'!M79,'28.10 MUTUKULA-MASAKA-24HR'!M79)</f>
        <v>0.5</v>
      </c>
      <c r="N79" s="49">
        <f>AVERAGE('26.10 MUTUKULA-MASAKA-24HR'!N79,'28.10 MUTUKULA-MASAKA-24HR'!N79)</f>
        <v>0</v>
      </c>
      <c r="O79" s="15">
        <f t="shared" si="34"/>
        <v>0</v>
      </c>
      <c r="P79" s="15">
        <f t="shared" si="35"/>
        <v>0.5</v>
      </c>
      <c r="R79" s="8"/>
      <c r="T79"/>
    </row>
    <row r="80" spans="2:20" ht="23.1" customHeight="1" x14ac:dyDescent="0.25">
      <c r="B80" s="25" t="s">
        <v>120</v>
      </c>
      <c r="C80" s="49">
        <f>AVERAGE('26.10 MUTUKULA-MASAKA-24HR'!C80,'28.10 MUTUKULA-MASAKA-24HR'!C80)</f>
        <v>0</v>
      </c>
      <c r="D80" s="49">
        <f>AVERAGE('26.10 MUTUKULA-MASAKA-24HR'!D80,'28.10 MUTUKULA-MASAKA-24HR'!D80)</f>
        <v>0</v>
      </c>
      <c r="E80" s="49">
        <f>AVERAGE('26.10 MUTUKULA-MASAKA-24HR'!E80,'28.10 MUTUKULA-MASAKA-24HR'!E80)</f>
        <v>0</v>
      </c>
      <c r="F80" s="49">
        <f>AVERAGE('26.10 MUTUKULA-MASAKA-24HR'!F80,'28.10 MUTUKULA-MASAKA-24HR'!F80)</f>
        <v>0.5</v>
      </c>
      <c r="G80" s="49">
        <f>AVERAGE('26.10 MUTUKULA-MASAKA-24HR'!G80,'28.10 MUTUKULA-MASAKA-24HR'!G80)</f>
        <v>0</v>
      </c>
      <c r="H80" s="49">
        <f>AVERAGE('26.10 MUTUKULA-MASAKA-24HR'!H80,'28.10 MUTUKULA-MASAKA-24HR'!H80)</f>
        <v>0</v>
      </c>
      <c r="I80" s="49">
        <f>AVERAGE('26.10 MUTUKULA-MASAKA-24HR'!I80,'28.10 MUTUKULA-MASAKA-24HR'!I80)</f>
        <v>0</v>
      </c>
      <c r="J80" s="49">
        <f>AVERAGE('26.10 MUTUKULA-MASAKA-24HR'!J80,'28.10 MUTUKULA-MASAKA-24HR'!J80)</f>
        <v>0</v>
      </c>
      <c r="K80" s="49">
        <f>AVERAGE('26.10 MUTUKULA-MASAKA-24HR'!K80,'28.10 MUTUKULA-MASAKA-24HR'!K80)</f>
        <v>0</v>
      </c>
      <c r="L80" s="49">
        <f>AVERAGE('26.10 MUTUKULA-MASAKA-24HR'!L80,'28.10 MUTUKULA-MASAKA-24HR'!L80)</f>
        <v>0</v>
      </c>
      <c r="M80" s="49">
        <f>AVERAGE('26.10 MUTUKULA-MASAKA-24HR'!M80,'28.10 MUTUKULA-MASAKA-24HR'!M80)</f>
        <v>0</v>
      </c>
      <c r="N80" s="49">
        <f>AVERAGE('26.10 MUTUKULA-MASAKA-24HR'!N80,'28.10 MUTUKULA-MASAKA-24HR'!N80)</f>
        <v>0</v>
      </c>
      <c r="O80" s="15">
        <f t="shared" si="34"/>
        <v>0.5</v>
      </c>
      <c r="P80" s="15">
        <f t="shared" si="35"/>
        <v>0.5</v>
      </c>
      <c r="R80" s="8"/>
      <c r="T80"/>
    </row>
    <row r="81" spans="2:20" ht="23.1" customHeight="1" x14ac:dyDescent="0.25">
      <c r="B81" s="23" t="s">
        <v>121</v>
      </c>
      <c r="C81" s="49">
        <f>AVERAGE('26.10 MUTUKULA-MASAKA-24HR'!C81,'28.10 MUTUKULA-MASAKA-24HR'!C81)</f>
        <v>0</v>
      </c>
      <c r="D81" s="49">
        <f>AVERAGE('26.10 MUTUKULA-MASAKA-24HR'!D81,'28.10 MUTUKULA-MASAKA-24HR'!D81)</f>
        <v>0</v>
      </c>
      <c r="E81" s="49">
        <f>AVERAGE('26.10 MUTUKULA-MASAKA-24HR'!E81,'28.10 MUTUKULA-MASAKA-24HR'!E81)</f>
        <v>0</v>
      </c>
      <c r="F81" s="49">
        <f>AVERAGE('26.10 MUTUKULA-MASAKA-24HR'!F81,'28.10 MUTUKULA-MASAKA-24HR'!F81)</f>
        <v>0.5</v>
      </c>
      <c r="G81" s="49">
        <f>AVERAGE('26.10 MUTUKULA-MASAKA-24HR'!G81,'28.10 MUTUKULA-MASAKA-24HR'!G81)</f>
        <v>0</v>
      </c>
      <c r="H81" s="49">
        <f>AVERAGE('26.10 MUTUKULA-MASAKA-24HR'!H81,'28.10 MUTUKULA-MASAKA-24HR'!H81)</f>
        <v>0</v>
      </c>
      <c r="I81" s="49">
        <f>AVERAGE('26.10 MUTUKULA-MASAKA-24HR'!I81,'28.10 MUTUKULA-MASAKA-24HR'!I81)</f>
        <v>0</v>
      </c>
      <c r="J81" s="49">
        <f>AVERAGE('26.10 MUTUKULA-MASAKA-24HR'!J81,'28.10 MUTUKULA-MASAKA-24HR'!J81)</f>
        <v>0</v>
      </c>
      <c r="K81" s="49">
        <f>AVERAGE('26.10 MUTUKULA-MASAKA-24HR'!K81,'28.10 MUTUKULA-MASAKA-24HR'!K81)</f>
        <v>0</v>
      </c>
      <c r="L81" s="49">
        <f>AVERAGE('26.10 MUTUKULA-MASAKA-24HR'!L81,'28.10 MUTUKULA-MASAKA-24HR'!L81)</f>
        <v>0</v>
      </c>
      <c r="M81" s="49">
        <f>AVERAGE('26.10 MUTUKULA-MASAKA-24HR'!M81,'28.10 MUTUKULA-MASAKA-24HR'!M81)</f>
        <v>1.5</v>
      </c>
      <c r="N81" s="49">
        <f>AVERAGE('26.10 MUTUKULA-MASAKA-24HR'!N81,'28.10 MUTUKULA-MASAKA-24HR'!N81)</f>
        <v>0</v>
      </c>
      <c r="O81" s="15">
        <f t="shared" si="34"/>
        <v>0.5</v>
      </c>
      <c r="P81" s="15">
        <f t="shared" si="35"/>
        <v>2</v>
      </c>
      <c r="R81" s="8"/>
      <c r="T81"/>
    </row>
    <row r="82" spans="2:20" ht="23.1" customHeight="1" x14ac:dyDescent="0.25">
      <c r="B82" s="24" t="s">
        <v>122</v>
      </c>
      <c r="C82" s="49">
        <f>AVERAGE('26.10 MUTUKULA-MASAKA-24HR'!C82,'28.10 MUTUKULA-MASAKA-24HR'!C82)</f>
        <v>0</v>
      </c>
      <c r="D82" s="49">
        <f>AVERAGE('26.10 MUTUKULA-MASAKA-24HR'!D82,'28.10 MUTUKULA-MASAKA-24HR'!D82)</f>
        <v>0</v>
      </c>
      <c r="E82" s="49">
        <f>AVERAGE('26.10 MUTUKULA-MASAKA-24HR'!E82,'28.10 MUTUKULA-MASAKA-24HR'!E82)</f>
        <v>0</v>
      </c>
      <c r="F82" s="49">
        <f>AVERAGE('26.10 MUTUKULA-MASAKA-24HR'!F82,'28.10 MUTUKULA-MASAKA-24HR'!F82)</f>
        <v>0</v>
      </c>
      <c r="G82" s="49">
        <f>AVERAGE('26.10 MUTUKULA-MASAKA-24HR'!G82,'28.10 MUTUKULA-MASAKA-24HR'!G82)</f>
        <v>0</v>
      </c>
      <c r="H82" s="49">
        <f>AVERAGE('26.10 MUTUKULA-MASAKA-24HR'!H82,'28.10 MUTUKULA-MASAKA-24HR'!H82)</f>
        <v>0</v>
      </c>
      <c r="I82" s="49">
        <f>AVERAGE('26.10 MUTUKULA-MASAKA-24HR'!I82,'28.10 MUTUKULA-MASAKA-24HR'!I82)</f>
        <v>0</v>
      </c>
      <c r="J82" s="49">
        <f>AVERAGE('26.10 MUTUKULA-MASAKA-24HR'!J82,'28.10 MUTUKULA-MASAKA-24HR'!J82)</f>
        <v>0</v>
      </c>
      <c r="K82" s="49">
        <f>AVERAGE('26.10 MUTUKULA-MASAKA-24HR'!K82,'28.10 MUTUKULA-MASAKA-24HR'!K82)</f>
        <v>0</v>
      </c>
      <c r="L82" s="49">
        <f>AVERAGE('26.10 MUTUKULA-MASAKA-24HR'!L82,'28.10 MUTUKULA-MASAKA-24HR'!L82)</f>
        <v>0</v>
      </c>
      <c r="M82" s="49">
        <f>AVERAGE('26.10 MUTUKULA-MASAKA-24HR'!M82,'28.10 MUTUKULA-MASAKA-24HR'!M82)</f>
        <v>0.5</v>
      </c>
      <c r="N82" s="49">
        <f>AVERAGE('26.10 MUTUKULA-MASAKA-24HR'!N82,'28.10 MUTUKULA-MASAKA-24HR'!N82)</f>
        <v>0</v>
      </c>
      <c r="O82" s="15">
        <f t="shared" si="34"/>
        <v>0</v>
      </c>
      <c r="P82" s="15">
        <f t="shared" si="35"/>
        <v>0.5</v>
      </c>
      <c r="R82" s="8"/>
      <c r="T82"/>
    </row>
    <row r="83" spans="2:20" ht="23.1" customHeight="1" x14ac:dyDescent="0.25">
      <c r="B83" s="23" t="s">
        <v>123</v>
      </c>
      <c r="C83" s="49">
        <f>AVERAGE('26.10 MUTUKULA-MASAKA-24HR'!C83,'28.10 MUTUKULA-MASAKA-24HR'!C83)</f>
        <v>0.5</v>
      </c>
      <c r="D83" s="49">
        <f>AVERAGE('26.10 MUTUKULA-MASAKA-24HR'!D83,'28.10 MUTUKULA-MASAKA-24HR'!D83)</f>
        <v>0</v>
      </c>
      <c r="E83" s="49">
        <f>AVERAGE('26.10 MUTUKULA-MASAKA-24HR'!E83,'28.10 MUTUKULA-MASAKA-24HR'!E83)</f>
        <v>0</v>
      </c>
      <c r="F83" s="49">
        <f>AVERAGE('26.10 MUTUKULA-MASAKA-24HR'!F83,'28.10 MUTUKULA-MASAKA-24HR'!F83)</f>
        <v>0</v>
      </c>
      <c r="G83" s="49">
        <f>AVERAGE('26.10 MUTUKULA-MASAKA-24HR'!G83,'28.10 MUTUKULA-MASAKA-24HR'!G83)</f>
        <v>0</v>
      </c>
      <c r="H83" s="49">
        <f>AVERAGE('26.10 MUTUKULA-MASAKA-24HR'!H83,'28.10 MUTUKULA-MASAKA-24HR'!H83)</f>
        <v>0</v>
      </c>
      <c r="I83" s="49">
        <f>AVERAGE('26.10 MUTUKULA-MASAKA-24HR'!I83,'28.10 MUTUKULA-MASAKA-24HR'!I83)</f>
        <v>0</v>
      </c>
      <c r="J83" s="49">
        <f>AVERAGE('26.10 MUTUKULA-MASAKA-24HR'!J83,'28.10 MUTUKULA-MASAKA-24HR'!J83)</f>
        <v>0</v>
      </c>
      <c r="K83" s="49">
        <f>AVERAGE('26.10 MUTUKULA-MASAKA-24HR'!K83,'28.10 MUTUKULA-MASAKA-24HR'!K83)</f>
        <v>0</v>
      </c>
      <c r="L83" s="49">
        <f>AVERAGE('26.10 MUTUKULA-MASAKA-24HR'!L83,'28.10 MUTUKULA-MASAKA-24HR'!L83)</f>
        <v>0</v>
      </c>
      <c r="M83" s="49">
        <f>AVERAGE('26.10 MUTUKULA-MASAKA-24HR'!M83,'28.10 MUTUKULA-MASAKA-24HR'!M83)</f>
        <v>0.5</v>
      </c>
      <c r="N83" s="49">
        <f>AVERAGE('26.10 MUTUKULA-MASAKA-24HR'!N83,'28.10 MUTUKULA-MASAKA-24HR'!N83)</f>
        <v>0</v>
      </c>
      <c r="O83" s="15">
        <f t="shared" si="34"/>
        <v>0.5</v>
      </c>
      <c r="P83" s="15">
        <f t="shared" si="35"/>
        <v>1</v>
      </c>
      <c r="R83" s="8"/>
      <c r="T83"/>
    </row>
    <row r="84" spans="2:20" ht="23.1" customHeight="1" x14ac:dyDescent="0.25">
      <c r="B84" s="25" t="s">
        <v>124</v>
      </c>
      <c r="C84" s="49">
        <f>AVERAGE('26.10 MUTUKULA-MASAKA-24HR'!C84,'28.10 MUTUKULA-MASAKA-24HR'!C84)</f>
        <v>0</v>
      </c>
      <c r="D84" s="49">
        <f>AVERAGE('26.10 MUTUKULA-MASAKA-24HR'!D84,'28.10 MUTUKULA-MASAKA-24HR'!D84)</f>
        <v>0</v>
      </c>
      <c r="E84" s="49">
        <f>AVERAGE('26.10 MUTUKULA-MASAKA-24HR'!E84,'28.10 MUTUKULA-MASAKA-24HR'!E84)</f>
        <v>0</v>
      </c>
      <c r="F84" s="49">
        <f>AVERAGE('26.10 MUTUKULA-MASAKA-24HR'!F84,'28.10 MUTUKULA-MASAKA-24HR'!F84)</f>
        <v>0</v>
      </c>
      <c r="G84" s="49">
        <f>AVERAGE('26.10 MUTUKULA-MASAKA-24HR'!G84,'28.10 MUTUKULA-MASAKA-24HR'!G84)</f>
        <v>0</v>
      </c>
      <c r="H84" s="49">
        <f>AVERAGE('26.10 MUTUKULA-MASAKA-24HR'!H84,'28.10 MUTUKULA-MASAKA-24HR'!H84)</f>
        <v>0</v>
      </c>
      <c r="I84" s="49">
        <f>AVERAGE('26.10 MUTUKULA-MASAKA-24HR'!I84,'28.10 MUTUKULA-MASAKA-24HR'!I84)</f>
        <v>0</v>
      </c>
      <c r="J84" s="49">
        <f>AVERAGE('26.10 MUTUKULA-MASAKA-24HR'!J84,'28.10 MUTUKULA-MASAKA-24HR'!J84)</f>
        <v>0</v>
      </c>
      <c r="K84" s="49">
        <f>AVERAGE('26.10 MUTUKULA-MASAKA-24HR'!K84,'28.10 MUTUKULA-MASAKA-24HR'!K84)</f>
        <v>0</v>
      </c>
      <c r="L84" s="49">
        <f>AVERAGE('26.10 MUTUKULA-MASAKA-24HR'!L84,'28.10 MUTUKULA-MASAKA-24HR'!L84)</f>
        <v>0</v>
      </c>
      <c r="M84" s="49">
        <f>AVERAGE('26.10 MUTUKULA-MASAKA-24HR'!M84,'28.10 MUTUKULA-MASAKA-24HR'!M84)</f>
        <v>1</v>
      </c>
      <c r="N84" s="49">
        <f>AVERAGE('26.10 MUTUKULA-MASAKA-24HR'!N84,'28.10 MUTUKULA-MASAKA-24HR'!N84)</f>
        <v>0</v>
      </c>
      <c r="O84" s="15">
        <f t="shared" si="34"/>
        <v>0</v>
      </c>
      <c r="P84" s="15">
        <f t="shared" si="35"/>
        <v>1</v>
      </c>
      <c r="R84" s="8"/>
      <c r="T84"/>
    </row>
    <row r="85" spans="2:20" ht="23.1" customHeight="1" x14ac:dyDescent="0.25">
      <c r="B85" s="23" t="s">
        <v>125</v>
      </c>
      <c r="C85" s="49">
        <f>AVERAGE('26.10 MUTUKULA-MASAKA-24HR'!C85,'28.10 MUTUKULA-MASAKA-24HR'!C85)</f>
        <v>0</v>
      </c>
      <c r="D85" s="49">
        <f>AVERAGE('26.10 MUTUKULA-MASAKA-24HR'!D85,'28.10 MUTUKULA-MASAKA-24HR'!D85)</f>
        <v>0</v>
      </c>
      <c r="E85" s="49">
        <f>AVERAGE('26.10 MUTUKULA-MASAKA-24HR'!E85,'28.10 MUTUKULA-MASAKA-24HR'!E85)</f>
        <v>0</v>
      </c>
      <c r="F85" s="49">
        <f>AVERAGE('26.10 MUTUKULA-MASAKA-24HR'!F85,'28.10 MUTUKULA-MASAKA-24HR'!F85)</f>
        <v>0</v>
      </c>
      <c r="G85" s="49">
        <f>AVERAGE('26.10 MUTUKULA-MASAKA-24HR'!G85,'28.10 MUTUKULA-MASAKA-24HR'!G85)</f>
        <v>0</v>
      </c>
      <c r="H85" s="49">
        <f>AVERAGE('26.10 MUTUKULA-MASAKA-24HR'!H85,'28.10 MUTUKULA-MASAKA-24HR'!H85)</f>
        <v>0</v>
      </c>
      <c r="I85" s="49">
        <f>AVERAGE('26.10 MUTUKULA-MASAKA-24HR'!I85,'28.10 MUTUKULA-MASAKA-24HR'!I85)</f>
        <v>0</v>
      </c>
      <c r="J85" s="49">
        <f>AVERAGE('26.10 MUTUKULA-MASAKA-24HR'!J85,'28.10 MUTUKULA-MASAKA-24HR'!J85)</f>
        <v>0</v>
      </c>
      <c r="K85" s="49">
        <f>AVERAGE('26.10 MUTUKULA-MASAKA-24HR'!K85,'28.10 MUTUKULA-MASAKA-24HR'!K85)</f>
        <v>0</v>
      </c>
      <c r="L85" s="49">
        <f>AVERAGE('26.10 MUTUKULA-MASAKA-24HR'!L85,'28.10 MUTUKULA-MASAKA-24HR'!L85)</f>
        <v>0</v>
      </c>
      <c r="M85" s="49">
        <f>AVERAGE('26.10 MUTUKULA-MASAKA-24HR'!M85,'28.10 MUTUKULA-MASAKA-24HR'!M85)</f>
        <v>0.5</v>
      </c>
      <c r="N85" s="49">
        <f>AVERAGE('26.10 MUTUKULA-MASAKA-24HR'!N85,'28.10 MUTUKULA-MASAKA-24HR'!N85)</f>
        <v>0</v>
      </c>
      <c r="O85" s="15">
        <f t="shared" si="34"/>
        <v>0</v>
      </c>
      <c r="P85" s="15">
        <f t="shared" si="35"/>
        <v>0.5</v>
      </c>
      <c r="R85" s="8"/>
      <c r="T85"/>
    </row>
    <row r="86" spans="2:20" ht="23.1" customHeight="1" x14ac:dyDescent="0.25">
      <c r="B86" s="24" t="s">
        <v>126</v>
      </c>
      <c r="C86" s="49">
        <f>AVERAGE('26.10 MUTUKULA-MASAKA-24HR'!C86,'28.10 MUTUKULA-MASAKA-24HR'!C86)</f>
        <v>0</v>
      </c>
      <c r="D86" s="49">
        <f>AVERAGE('26.10 MUTUKULA-MASAKA-24HR'!D86,'28.10 MUTUKULA-MASAKA-24HR'!D86)</f>
        <v>0</v>
      </c>
      <c r="E86" s="49">
        <f>AVERAGE('26.10 MUTUKULA-MASAKA-24HR'!E86,'28.10 MUTUKULA-MASAKA-24HR'!E86)</f>
        <v>0</v>
      </c>
      <c r="F86" s="49">
        <f>AVERAGE('26.10 MUTUKULA-MASAKA-24HR'!F86,'28.10 MUTUKULA-MASAKA-24HR'!F86)</f>
        <v>0</v>
      </c>
      <c r="G86" s="49">
        <f>AVERAGE('26.10 MUTUKULA-MASAKA-24HR'!G86,'28.10 MUTUKULA-MASAKA-24HR'!G86)</f>
        <v>0</v>
      </c>
      <c r="H86" s="49">
        <f>AVERAGE('26.10 MUTUKULA-MASAKA-24HR'!H86,'28.10 MUTUKULA-MASAKA-24HR'!H86)</f>
        <v>0</v>
      </c>
      <c r="I86" s="49">
        <f>AVERAGE('26.10 MUTUKULA-MASAKA-24HR'!I86,'28.10 MUTUKULA-MASAKA-24HR'!I86)</f>
        <v>0</v>
      </c>
      <c r="J86" s="49">
        <f>AVERAGE('26.10 MUTUKULA-MASAKA-24HR'!J86,'28.10 MUTUKULA-MASAKA-24HR'!J86)</f>
        <v>0</v>
      </c>
      <c r="K86" s="49">
        <f>AVERAGE('26.10 MUTUKULA-MASAKA-24HR'!K86,'28.10 MUTUKULA-MASAKA-24HR'!K86)</f>
        <v>0</v>
      </c>
      <c r="L86" s="49">
        <f>AVERAGE('26.10 MUTUKULA-MASAKA-24HR'!L86,'28.10 MUTUKULA-MASAKA-24HR'!L86)</f>
        <v>0</v>
      </c>
      <c r="M86" s="49">
        <f>AVERAGE('26.10 MUTUKULA-MASAKA-24HR'!M86,'28.10 MUTUKULA-MASAKA-24HR'!M86)</f>
        <v>0</v>
      </c>
      <c r="N86" s="49">
        <f>AVERAGE('26.10 MUTUKULA-MASAKA-24HR'!N86,'28.10 MUTUKULA-MASAKA-24HR'!N86)</f>
        <v>0</v>
      </c>
      <c r="O86" s="15">
        <f t="shared" si="34"/>
        <v>0</v>
      </c>
      <c r="P86" s="15">
        <f t="shared" si="35"/>
        <v>0</v>
      </c>
      <c r="R86" s="8"/>
      <c r="T86"/>
    </row>
    <row r="87" spans="2:20" ht="23.1" customHeight="1" x14ac:dyDescent="0.25">
      <c r="B87" s="23" t="s">
        <v>127</v>
      </c>
      <c r="C87" s="49">
        <f>AVERAGE('26.10 MUTUKULA-MASAKA-24HR'!C87,'28.10 MUTUKULA-MASAKA-24HR'!C87)</f>
        <v>0</v>
      </c>
      <c r="D87" s="49">
        <f>AVERAGE('26.10 MUTUKULA-MASAKA-24HR'!D87,'28.10 MUTUKULA-MASAKA-24HR'!D87)</f>
        <v>0</v>
      </c>
      <c r="E87" s="49">
        <f>AVERAGE('26.10 MUTUKULA-MASAKA-24HR'!E87,'28.10 MUTUKULA-MASAKA-24HR'!E87)</f>
        <v>0</v>
      </c>
      <c r="F87" s="49">
        <f>AVERAGE('26.10 MUTUKULA-MASAKA-24HR'!F87,'28.10 MUTUKULA-MASAKA-24HR'!F87)</f>
        <v>0</v>
      </c>
      <c r="G87" s="49">
        <f>AVERAGE('26.10 MUTUKULA-MASAKA-24HR'!G87,'28.10 MUTUKULA-MASAKA-24HR'!G87)</f>
        <v>0</v>
      </c>
      <c r="H87" s="49">
        <f>AVERAGE('26.10 MUTUKULA-MASAKA-24HR'!H87,'28.10 MUTUKULA-MASAKA-24HR'!H87)</f>
        <v>0</v>
      </c>
      <c r="I87" s="49">
        <f>AVERAGE('26.10 MUTUKULA-MASAKA-24HR'!I87,'28.10 MUTUKULA-MASAKA-24HR'!I87)</f>
        <v>0</v>
      </c>
      <c r="J87" s="49">
        <f>AVERAGE('26.10 MUTUKULA-MASAKA-24HR'!J87,'28.10 MUTUKULA-MASAKA-24HR'!J87)</f>
        <v>0</v>
      </c>
      <c r="K87" s="49">
        <f>AVERAGE('26.10 MUTUKULA-MASAKA-24HR'!K87,'28.10 MUTUKULA-MASAKA-24HR'!K87)</f>
        <v>0</v>
      </c>
      <c r="L87" s="49">
        <f>AVERAGE('26.10 MUTUKULA-MASAKA-24HR'!L87,'28.10 MUTUKULA-MASAKA-24HR'!L87)</f>
        <v>0</v>
      </c>
      <c r="M87" s="49">
        <f>AVERAGE('26.10 MUTUKULA-MASAKA-24HR'!M87,'28.10 MUTUKULA-MASAKA-24HR'!M87)</f>
        <v>0</v>
      </c>
      <c r="N87" s="49">
        <f>AVERAGE('26.10 MUTUKULA-MASAKA-24HR'!N87,'28.10 MUTUKULA-MASAKA-24HR'!N87)</f>
        <v>0</v>
      </c>
      <c r="O87" s="15">
        <f t="shared" si="34"/>
        <v>0</v>
      </c>
      <c r="P87" s="15">
        <f t="shared" si="35"/>
        <v>0</v>
      </c>
      <c r="R87" s="8"/>
      <c r="T87"/>
    </row>
    <row r="88" spans="2:20" ht="23.1" customHeight="1" x14ac:dyDescent="0.25">
      <c r="B88" s="25" t="s">
        <v>128</v>
      </c>
      <c r="C88" s="49">
        <f>AVERAGE('26.10 MUTUKULA-MASAKA-24HR'!C88,'28.10 MUTUKULA-MASAKA-24HR'!C88)</f>
        <v>0</v>
      </c>
      <c r="D88" s="49">
        <f>AVERAGE('26.10 MUTUKULA-MASAKA-24HR'!D88,'28.10 MUTUKULA-MASAKA-24HR'!D88)</f>
        <v>0</v>
      </c>
      <c r="E88" s="49">
        <f>AVERAGE('26.10 MUTUKULA-MASAKA-24HR'!E88,'28.10 MUTUKULA-MASAKA-24HR'!E88)</f>
        <v>0</v>
      </c>
      <c r="F88" s="49">
        <f>AVERAGE('26.10 MUTUKULA-MASAKA-24HR'!F88,'28.10 MUTUKULA-MASAKA-24HR'!F88)</f>
        <v>0</v>
      </c>
      <c r="G88" s="49">
        <f>AVERAGE('26.10 MUTUKULA-MASAKA-24HR'!G88,'28.10 MUTUKULA-MASAKA-24HR'!G88)</f>
        <v>0</v>
      </c>
      <c r="H88" s="49">
        <f>AVERAGE('26.10 MUTUKULA-MASAKA-24HR'!H88,'28.10 MUTUKULA-MASAKA-24HR'!H88)</f>
        <v>0</v>
      </c>
      <c r="I88" s="49">
        <f>AVERAGE('26.10 MUTUKULA-MASAKA-24HR'!I88,'28.10 MUTUKULA-MASAKA-24HR'!I88)</f>
        <v>0</v>
      </c>
      <c r="J88" s="49">
        <f>AVERAGE('26.10 MUTUKULA-MASAKA-24HR'!J88,'28.10 MUTUKULA-MASAKA-24HR'!J88)</f>
        <v>0</v>
      </c>
      <c r="K88" s="49">
        <f>AVERAGE('26.10 MUTUKULA-MASAKA-24HR'!K88,'28.10 MUTUKULA-MASAKA-24HR'!K88)</f>
        <v>0</v>
      </c>
      <c r="L88" s="49">
        <f>AVERAGE('26.10 MUTUKULA-MASAKA-24HR'!L88,'28.10 MUTUKULA-MASAKA-24HR'!L88)</f>
        <v>0</v>
      </c>
      <c r="M88" s="49">
        <f>AVERAGE('26.10 MUTUKULA-MASAKA-24HR'!M88,'28.10 MUTUKULA-MASAKA-24HR'!M88)</f>
        <v>0</v>
      </c>
      <c r="N88" s="49">
        <f>AVERAGE('26.10 MUTUKULA-MASAKA-24HR'!N88,'28.10 MUTUKULA-MASAKA-24HR'!N88)</f>
        <v>0</v>
      </c>
      <c r="O88" s="15">
        <f t="shared" si="34"/>
        <v>0</v>
      </c>
      <c r="P88" s="15">
        <f t="shared" si="35"/>
        <v>0</v>
      </c>
      <c r="R88" s="8"/>
      <c r="T88"/>
    </row>
    <row r="89" spans="2:20" ht="23.1" customHeight="1" x14ac:dyDescent="0.25">
      <c r="B89" s="23" t="s">
        <v>129</v>
      </c>
      <c r="C89" s="49">
        <f>AVERAGE('26.10 MUTUKULA-MASAKA-24HR'!C89,'28.10 MUTUKULA-MASAKA-24HR'!C89)</f>
        <v>0</v>
      </c>
      <c r="D89" s="49">
        <f>AVERAGE('26.10 MUTUKULA-MASAKA-24HR'!D89,'28.10 MUTUKULA-MASAKA-24HR'!D89)</f>
        <v>0</v>
      </c>
      <c r="E89" s="49">
        <f>AVERAGE('26.10 MUTUKULA-MASAKA-24HR'!E89,'28.10 MUTUKULA-MASAKA-24HR'!E89)</f>
        <v>0</v>
      </c>
      <c r="F89" s="49">
        <f>AVERAGE('26.10 MUTUKULA-MASAKA-24HR'!F89,'28.10 MUTUKULA-MASAKA-24HR'!F89)</f>
        <v>0</v>
      </c>
      <c r="G89" s="49">
        <f>AVERAGE('26.10 MUTUKULA-MASAKA-24HR'!G89,'28.10 MUTUKULA-MASAKA-24HR'!G89)</f>
        <v>0</v>
      </c>
      <c r="H89" s="49">
        <f>AVERAGE('26.10 MUTUKULA-MASAKA-24HR'!H89,'28.10 MUTUKULA-MASAKA-24HR'!H89)</f>
        <v>0</v>
      </c>
      <c r="I89" s="49">
        <f>AVERAGE('26.10 MUTUKULA-MASAKA-24HR'!I89,'28.10 MUTUKULA-MASAKA-24HR'!I89)</f>
        <v>0</v>
      </c>
      <c r="J89" s="49">
        <f>AVERAGE('26.10 MUTUKULA-MASAKA-24HR'!J89,'28.10 MUTUKULA-MASAKA-24HR'!J89)</f>
        <v>0</v>
      </c>
      <c r="K89" s="49">
        <f>AVERAGE('26.10 MUTUKULA-MASAKA-24HR'!K89,'28.10 MUTUKULA-MASAKA-24HR'!K89)</f>
        <v>0</v>
      </c>
      <c r="L89" s="49">
        <f>AVERAGE('26.10 MUTUKULA-MASAKA-24HR'!L89,'28.10 MUTUKULA-MASAKA-24HR'!L89)</f>
        <v>0</v>
      </c>
      <c r="M89" s="49">
        <f>AVERAGE('26.10 MUTUKULA-MASAKA-24HR'!M89,'28.10 MUTUKULA-MASAKA-24HR'!M89)</f>
        <v>0</v>
      </c>
      <c r="N89" s="49">
        <f>AVERAGE('26.10 MUTUKULA-MASAKA-24HR'!N89,'28.10 MUTUKULA-MASAKA-24HR'!N89)</f>
        <v>0</v>
      </c>
      <c r="O89" s="15">
        <f t="shared" si="34"/>
        <v>0</v>
      </c>
      <c r="P89" s="15">
        <f t="shared" si="35"/>
        <v>0</v>
      </c>
      <c r="R89" s="8"/>
      <c r="T89"/>
    </row>
    <row r="90" spans="2:20" ht="23.1" customHeight="1" x14ac:dyDescent="0.25">
      <c r="B90" s="24" t="s">
        <v>130</v>
      </c>
      <c r="C90" s="49">
        <f>AVERAGE('26.10 MUTUKULA-MASAKA-24HR'!C90,'28.10 MUTUKULA-MASAKA-24HR'!C90)</f>
        <v>0</v>
      </c>
      <c r="D90" s="49">
        <f>AVERAGE('26.10 MUTUKULA-MASAKA-24HR'!D90,'28.10 MUTUKULA-MASAKA-24HR'!D90)</f>
        <v>0</v>
      </c>
      <c r="E90" s="49">
        <f>AVERAGE('26.10 MUTUKULA-MASAKA-24HR'!E90,'28.10 MUTUKULA-MASAKA-24HR'!E90)</f>
        <v>0</v>
      </c>
      <c r="F90" s="49">
        <f>AVERAGE('26.10 MUTUKULA-MASAKA-24HR'!F90,'28.10 MUTUKULA-MASAKA-24HR'!F90)</f>
        <v>0</v>
      </c>
      <c r="G90" s="49">
        <f>AVERAGE('26.10 MUTUKULA-MASAKA-24HR'!G90,'28.10 MUTUKULA-MASAKA-24HR'!G90)</f>
        <v>0</v>
      </c>
      <c r="H90" s="49">
        <f>AVERAGE('26.10 MUTUKULA-MASAKA-24HR'!H90,'28.10 MUTUKULA-MASAKA-24HR'!H90)</f>
        <v>0</v>
      </c>
      <c r="I90" s="49">
        <f>AVERAGE('26.10 MUTUKULA-MASAKA-24HR'!I90,'28.10 MUTUKULA-MASAKA-24HR'!I90)</f>
        <v>0</v>
      </c>
      <c r="J90" s="49">
        <f>AVERAGE('26.10 MUTUKULA-MASAKA-24HR'!J90,'28.10 MUTUKULA-MASAKA-24HR'!J90)</f>
        <v>0</v>
      </c>
      <c r="K90" s="49">
        <f>AVERAGE('26.10 MUTUKULA-MASAKA-24HR'!K90,'28.10 MUTUKULA-MASAKA-24HR'!K90)</f>
        <v>0</v>
      </c>
      <c r="L90" s="49">
        <f>AVERAGE('26.10 MUTUKULA-MASAKA-24HR'!L90,'28.10 MUTUKULA-MASAKA-24HR'!L90)</f>
        <v>0</v>
      </c>
      <c r="M90" s="49">
        <f>AVERAGE('26.10 MUTUKULA-MASAKA-24HR'!M90,'28.10 MUTUKULA-MASAKA-24HR'!M90)</f>
        <v>0</v>
      </c>
      <c r="N90" s="49">
        <f>AVERAGE('26.10 MUTUKULA-MASAKA-24HR'!N90,'28.10 MUTUKULA-MASAKA-24HR'!N90)</f>
        <v>0</v>
      </c>
      <c r="O90" s="15">
        <f t="shared" si="34"/>
        <v>0</v>
      </c>
      <c r="P90" s="15">
        <f t="shared" si="35"/>
        <v>0</v>
      </c>
      <c r="R90" s="8"/>
      <c r="T90"/>
    </row>
    <row r="91" spans="2:20" ht="23.1" customHeight="1" x14ac:dyDescent="0.25">
      <c r="B91" s="23" t="s">
        <v>131</v>
      </c>
      <c r="C91" s="49">
        <f>AVERAGE('26.10 MUTUKULA-MASAKA-24HR'!C91,'28.10 MUTUKULA-MASAKA-24HR'!C91)</f>
        <v>0</v>
      </c>
      <c r="D91" s="49">
        <f>AVERAGE('26.10 MUTUKULA-MASAKA-24HR'!D91,'28.10 MUTUKULA-MASAKA-24HR'!D91)</f>
        <v>0</v>
      </c>
      <c r="E91" s="49">
        <f>AVERAGE('26.10 MUTUKULA-MASAKA-24HR'!E91,'28.10 MUTUKULA-MASAKA-24HR'!E91)</f>
        <v>0</v>
      </c>
      <c r="F91" s="49">
        <f>AVERAGE('26.10 MUTUKULA-MASAKA-24HR'!F91,'28.10 MUTUKULA-MASAKA-24HR'!F91)</f>
        <v>0</v>
      </c>
      <c r="G91" s="49">
        <f>AVERAGE('26.10 MUTUKULA-MASAKA-24HR'!G91,'28.10 MUTUKULA-MASAKA-24HR'!G91)</f>
        <v>0</v>
      </c>
      <c r="H91" s="49">
        <f>AVERAGE('26.10 MUTUKULA-MASAKA-24HR'!H91,'28.10 MUTUKULA-MASAKA-24HR'!H91)</f>
        <v>0</v>
      </c>
      <c r="I91" s="49">
        <f>AVERAGE('26.10 MUTUKULA-MASAKA-24HR'!I91,'28.10 MUTUKULA-MASAKA-24HR'!I91)</f>
        <v>0</v>
      </c>
      <c r="J91" s="49">
        <f>AVERAGE('26.10 MUTUKULA-MASAKA-24HR'!J91,'28.10 MUTUKULA-MASAKA-24HR'!J91)</f>
        <v>0</v>
      </c>
      <c r="K91" s="49">
        <f>AVERAGE('26.10 MUTUKULA-MASAKA-24HR'!K91,'28.10 MUTUKULA-MASAKA-24HR'!K91)</f>
        <v>0</v>
      </c>
      <c r="L91" s="49">
        <f>AVERAGE('26.10 MUTUKULA-MASAKA-24HR'!L91,'28.10 MUTUKULA-MASAKA-24HR'!L91)</f>
        <v>0</v>
      </c>
      <c r="M91" s="49">
        <f>AVERAGE('26.10 MUTUKULA-MASAKA-24HR'!M91,'28.10 MUTUKULA-MASAKA-24HR'!M91)</f>
        <v>0</v>
      </c>
      <c r="N91" s="49">
        <f>AVERAGE('26.10 MUTUKULA-MASAKA-24HR'!N91,'28.10 MUTUKULA-MASAKA-24HR'!N91)</f>
        <v>0</v>
      </c>
      <c r="O91" s="15">
        <f t="shared" si="34"/>
        <v>0</v>
      </c>
      <c r="P91" s="15">
        <f t="shared" si="35"/>
        <v>0</v>
      </c>
      <c r="R91" s="8"/>
      <c r="T91"/>
    </row>
    <row r="92" spans="2:20" ht="23.1" customHeight="1" x14ac:dyDescent="0.25">
      <c r="B92" s="25" t="s">
        <v>132</v>
      </c>
      <c r="C92" s="49">
        <f>AVERAGE('26.10 MUTUKULA-MASAKA-24HR'!C92,'28.10 MUTUKULA-MASAKA-24HR'!C92)</f>
        <v>0</v>
      </c>
      <c r="D92" s="49">
        <f>AVERAGE('26.10 MUTUKULA-MASAKA-24HR'!D92,'28.10 MUTUKULA-MASAKA-24HR'!D92)</f>
        <v>0</v>
      </c>
      <c r="E92" s="49">
        <f>AVERAGE('26.10 MUTUKULA-MASAKA-24HR'!E92,'28.10 MUTUKULA-MASAKA-24HR'!E92)</f>
        <v>0</v>
      </c>
      <c r="F92" s="49">
        <f>AVERAGE('26.10 MUTUKULA-MASAKA-24HR'!F92,'28.10 MUTUKULA-MASAKA-24HR'!F92)</f>
        <v>0</v>
      </c>
      <c r="G92" s="49">
        <f>AVERAGE('26.10 MUTUKULA-MASAKA-24HR'!G92,'28.10 MUTUKULA-MASAKA-24HR'!G92)</f>
        <v>0</v>
      </c>
      <c r="H92" s="49">
        <f>AVERAGE('26.10 MUTUKULA-MASAKA-24HR'!H92,'28.10 MUTUKULA-MASAKA-24HR'!H92)</f>
        <v>0</v>
      </c>
      <c r="I92" s="49">
        <f>AVERAGE('26.10 MUTUKULA-MASAKA-24HR'!I92,'28.10 MUTUKULA-MASAKA-24HR'!I92)</f>
        <v>0</v>
      </c>
      <c r="J92" s="49">
        <f>AVERAGE('26.10 MUTUKULA-MASAKA-24HR'!J92,'28.10 MUTUKULA-MASAKA-24HR'!J92)</f>
        <v>0</v>
      </c>
      <c r="K92" s="49">
        <f>AVERAGE('26.10 MUTUKULA-MASAKA-24HR'!K92,'28.10 MUTUKULA-MASAKA-24HR'!K92)</f>
        <v>0</v>
      </c>
      <c r="L92" s="49">
        <f>AVERAGE('26.10 MUTUKULA-MASAKA-24HR'!L92,'28.10 MUTUKULA-MASAKA-24HR'!L92)</f>
        <v>0</v>
      </c>
      <c r="M92" s="49">
        <f>AVERAGE('26.10 MUTUKULA-MASAKA-24HR'!M92,'28.10 MUTUKULA-MASAKA-24HR'!M92)</f>
        <v>0</v>
      </c>
      <c r="N92" s="49">
        <f>AVERAGE('26.10 MUTUKULA-MASAKA-24HR'!N92,'28.10 MUTUKULA-MASAKA-24HR'!N92)</f>
        <v>0</v>
      </c>
      <c r="O92" s="15">
        <f t="shared" si="34"/>
        <v>0</v>
      </c>
      <c r="P92" s="15">
        <f t="shared" si="35"/>
        <v>0</v>
      </c>
      <c r="R92" s="8"/>
      <c r="T92"/>
    </row>
    <row r="93" spans="2:20" ht="23.1" customHeight="1" x14ac:dyDescent="0.25">
      <c r="B93" s="23" t="s">
        <v>133</v>
      </c>
      <c r="C93" s="49">
        <f>AVERAGE('26.10 MUTUKULA-MASAKA-24HR'!C93,'28.10 MUTUKULA-MASAKA-24HR'!C93)</f>
        <v>0</v>
      </c>
      <c r="D93" s="49">
        <f>AVERAGE('26.10 MUTUKULA-MASAKA-24HR'!D93,'28.10 MUTUKULA-MASAKA-24HR'!D93)</f>
        <v>0</v>
      </c>
      <c r="E93" s="49">
        <f>AVERAGE('26.10 MUTUKULA-MASAKA-24HR'!E93,'28.10 MUTUKULA-MASAKA-24HR'!E93)</f>
        <v>0</v>
      </c>
      <c r="F93" s="49">
        <f>AVERAGE('26.10 MUTUKULA-MASAKA-24HR'!F93,'28.10 MUTUKULA-MASAKA-24HR'!F93)</f>
        <v>0</v>
      </c>
      <c r="G93" s="49">
        <f>AVERAGE('26.10 MUTUKULA-MASAKA-24HR'!G93,'28.10 MUTUKULA-MASAKA-24HR'!G93)</f>
        <v>0</v>
      </c>
      <c r="H93" s="49">
        <f>AVERAGE('26.10 MUTUKULA-MASAKA-24HR'!H93,'28.10 MUTUKULA-MASAKA-24HR'!H93)</f>
        <v>0</v>
      </c>
      <c r="I93" s="49">
        <f>AVERAGE('26.10 MUTUKULA-MASAKA-24HR'!I93,'28.10 MUTUKULA-MASAKA-24HR'!I93)</f>
        <v>0</v>
      </c>
      <c r="J93" s="49">
        <f>AVERAGE('26.10 MUTUKULA-MASAKA-24HR'!J93,'28.10 MUTUKULA-MASAKA-24HR'!J93)</f>
        <v>0</v>
      </c>
      <c r="K93" s="49">
        <f>AVERAGE('26.10 MUTUKULA-MASAKA-24HR'!K93,'28.10 MUTUKULA-MASAKA-24HR'!K93)</f>
        <v>0</v>
      </c>
      <c r="L93" s="49">
        <f>AVERAGE('26.10 MUTUKULA-MASAKA-24HR'!L93,'28.10 MUTUKULA-MASAKA-24HR'!L93)</f>
        <v>0</v>
      </c>
      <c r="M93" s="49">
        <f>AVERAGE('26.10 MUTUKULA-MASAKA-24HR'!M93,'28.10 MUTUKULA-MASAKA-24HR'!M93)</f>
        <v>0.5</v>
      </c>
      <c r="N93" s="49">
        <f>AVERAGE('26.10 MUTUKULA-MASAKA-24HR'!N93,'28.10 MUTUKULA-MASAKA-24HR'!N93)</f>
        <v>0</v>
      </c>
      <c r="O93" s="15">
        <f t="shared" si="34"/>
        <v>0</v>
      </c>
      <c r="P93" s="15">
        <f t="shared" si="35"/>
        <v>0.5</v>
      </c>
      <c r="R93" s="8"/>
      <c r="T93"/>
    </row>
    <row r="94" spans="2:20" ht="23.1" customHeight="1" x14ac:dyDescent="0.25">
      <c r="B94" s="24" t="s">
        <v>134</v>
      </c>
      <c r="C94" s="49">
        <f>AVERAGE('26.10 MUTUKULA-MASAKA-24HR'!C94,'28.10 MUTUKULA-MASAKA-24HR'!C94)</f>
        <v>0</v>
      </c>
      <c r="D94" s="49">
        <f>AVERAGE('26.10 MUTUKULA-MASAKA-24HR'!D94,'28.10 MUTUKULA-MASAKA-24HR'!D94)</f>
        <v>0</v>
      </c>
      <c r="E94" s="49">
        <f>AVERAGE('26.10 MUTUKULA-MASAKA-24HR'!E94,'28.10 MUTUKULA-MASAKA-24HR'!E94)</f>
        <v>0</v>
      </c>
      <c r="F94" s="49">
        <f>AVERAGE('26.10 MUTUKULA-MASAKA-24HR'!F94,'28.10 MUTUKULA-MASAKA-24HR'!F94)</f>
        <v>0</v>
      </c>
      <c r="G94" s="49">
        <f>AVERAGE('26.10 MUTUKULA-MASAKA-24HR'!G94,'28.10 MUTUKULA-MASAKA-24HR'!G94)</f>
        <v>0</v>
      </c>
      <c r="H94" s="49">
        <f>AVERAGE('26.10 MUTUKULA-MASAKA-24HR'!H94,'28.10 MUTUKULA-MASAKA-24HR'!H94)</f>
        <v>0</v>
      </c>
      <c r="I94" s="49">
        <f>AVERAGE('26.10 MUTUKULA-MASAKA-24HR'!I94,'28.10 MUTUKULA-MASAKA-24HR'!I94)</f>
        <v>0</v>
      </c>
      <c r="J94" s="49">
        <f>AVERAGE('26.10 MUTUKULA-MASAKA-24HR'!J94,'28.10 MUTUKULA-MASAKA-24HR'!J94)</f>
        <v>0</v>
      </c>
      <c r="K94" s="49">
        <f>AVERAGE('26.10 MUTUKULA-MASAKA-24HR'!K94,'28.10 MUTUKULA-MASAKA-24HR'!K94)</f>
        <v>0</v>
      </c>
      <c r="L94" s="49">
        <f>AVERAGE('26.10 MUTUKULA-MASAKA-24HR'!L94,'28.10 MUTUKULA-MASAKA-24HR'!L94)</f>
        <v>0</v>
      </c>
      <c r="M94" s="49">
        <f>AVERAGE('26.10 MUTUKULA-MASAKA-24HR'!M94,'28.10 MUTUKULA-MASAKA-24HR'!M94)</f>
        <v>0</v>
      </c>
      <c r="N94" s="49">
        <f>AVERAGE('26.10 MUTUKULA-MASAKA-24HR'!N94,'28.10 MUTUKULA-MASAKA-24HR'!N94)</f>
        <v>0</v>
      </c>
      <c r="O94" s="15">
        <f t="shared" si="34"/>
        <v>0</v>
      </c>
      <c r="P94" s="15">
        <f t="shared" si="35"/>
        <v>0</v>
      </c>
      <c r="R94" s="8"/>
      <c r="T94"/>
    </row>
    <row r="95" spans="2:20" ht="23.1" customHeight="1" x14ac:dyDescent="0.25">
      <c r="B95" s="23" t="s">
        <v>135</v>
      </c>
      <c r="C95" s="49">
        <f>AVERAGE('26.10 MUTUKULA-MASAKA-24HR'!C95,'28.10 MUTUKULA-MASAKA-24HR'!C95)</f>
        <v>0</v>
      </c>
      <c r="D95" s="49">
        <f>AVERAGE('26.10 MUTUKULA-MASAKA-24HR'!D95,'28.10 MUTUKULA-MASAKA-24HR'!D95)</f>
        <v>0</v>
      </c>
      <c r="E95" s="49">
        <f>AVERAGE('26.10 MUTUKULA-MASAKA-24HR'!E95,'28.10 MUTUKULA-MASAKA-24HR'!E95)</f>
        <v>0</v>
      </c>
      <c r="F95" s="49">
        <f>AVERAGE('26.10 MUTUKULA-MASAKA-24HR'!F95,'28.10 MUTUKULA-MASAKA-24HR'!F95)</f>
        <v>0.5</v>
      </c>
      <c r="G95" s="49">
        <f>AVERAGE('26.10 MUTUKULA-MASAKA-24HR'!G95,'28.10 MUTUKULA-MASAKA-24HR'!G95)</f>
        <v>0</v>
      </c>
      <c r="H95" s="49">
        <f>AVERAGE('26.10 MUTUKULA-MASAKA-24HR'!H95,'28.10 MUTUKULA-MASAKA-24HR'!H95)</f>
        <v>0</v>
      </c>
      <c r="I95" s="49">
        <f>AVERAGE('26.10 MUTUKULA-MASAKA-24HR'!I95,'28.10 MUTUKULA-MASAKA-24HR'!I95)</f>
        <v>0</v>
      </c>
      <c r="J95" s="49">
        <f>AVERAGE('26.10 MUTUKULA-MASAKA-24HR'!J95,'28.10 MUTUKULA-MASAKA-24HR'!J95)</f>
        <v>0</v>
      </c>
      <c r="K95" s="49">
        <f>AVERAGE('26.10 MUTUKULA-MASAKA-24HR'!K95,'28.10 MUTUKULA-MASAKA-24HR'!K95)</f>
        <v>0</v>
      </c>
      <c r="L95" s="49">
        <f>AVERAGE('26.10 MUTUKULA-MASAKA-24HR'!L95,'28.10 MUTUKULA-MASAKA-24HR'!L95)</f>
        <v>0</v>
      </c>
      <c r="M95" s="49">
        <f>AVERAGE('26.10 MUTUKULA-MASAKA-24HR'!M95,'28.10 MUTUKULA-MASAKA-24HR'!M95)</f>
        <v>0</v>
      </c>
      <c r="N95" s="49">
        <f>AVERAGE('26.10 MUTUKULA-MASAKA-24HR'!N95,'28.10 MUTUKULA-MASAKA-24HR'!N95)</f>
        <v>0</v>
      </c>
      <c r="O95" s="15">
        <f t="shared" si="34"/>
        <v>0.5</v>
      </c>
      <c r="P95" s="15">
        <f t="shared" si="35"/>
        <v>0.5</v>
      </c>
      <c r="R95" s="8"/>
      <c r="T95"/>
    </row>
    <row r="96" spans="2:20" ht="23.1" customHeight="1" x14ac:dyDescent="0.25">
      <c r="B96" s="25" t="s">
        <v>136</v>
      </c>
      <c r="C96" s="49">
        <f>AVERAGE('26.10 MUTUKULA-MASAKA-24HR'!C96,'28.10 MUTUKULA-MASAKA-24HR'!C96)</f>
        <v>0</v>
      </c>
      <c r="D96" s="49">
        <f>AVERAGE('26.10 MUTUKULA-MASAKA-24HR'!D96,'28.10 MUTUKULA-MASAKA-24HR'!D96)</f>
        <v>0</v>
      </c>
      <c r="E96" s="49">
        <f>AVERAGE('26.10 MUTUKULA-MASAKA-24HR'!E96,'28.10 MUTUKULA-MASAKA-24HR'!E96)</f>
        <v>0</v>
      </c>
      <c r="F96" s="49">
        <f>AVERAGE('26.10 MUTUKULA-MASAKA-24HR'!F96,'28.10 MUTUKULA-MASAKA-24HR'!F96)</f>
        <v>0</v>
      </c>
      <c r="G96" s="49">
        <f>AVERAGE('26.10 MUTUKULA-MASAKA-24HR'!G96,'28.10 MUTUKULA-MASAKA-24HR'!G96)</f>
        <v>0</v>
      </c>
      <c r="H96" s="49">
        <f>AVERAGE('26.10 MUTUKULA-MASAKA-24HR'!H96,'28.10 MUTUKULA-MASAKA-24HR'!H96)</f>
        <v>0</v>
      </c>
      <c r="I96" s="49">
        <f>AVERAGE('26.10 MUTUKULA-MASAKA-24HR'!I96,'28.10 MUTUKULA-MASAKA-24HR'!I96)</f>
        <v>0</v>
      </c>
      <c r="J96" s="49">
        <f>AVERAGE('26.10 MUTUKULA-MASAKA-24HR'!J96,'28.10 MUTUKULA-MASAKA-24HR'!J96)</f>
        <v>0.5</v>
      </c>
      <c r="K96" s="49">
        <f>AVERAGE('26.10 MUTUKULA-MASAKA-24HR'!K96,'28.10 MUTUKULA-MASAKA-24HR'!K96)</f>
        <v>0</v>
      </c>
      <c r="L96" s="49">
        <f>AVERAGE('26.10 MUTUKULA-MASAKA-24HR'!L96,'28.10 MUTUKULA-MASAKA-24HR'!L96)</f>
        <v>0</v>
      </c>
      <c r="M96" s="49">
        <f>AVERAGE('26.10 MUTUKULA-MASAKA-24HR'!M96,'28.10 MUTUKULA-MASAKA-24HR'!M96)</f>
        <v>0</v>
      </c>
      <c r="N96" s="49">
        <f>AVERAGE('26.10 MUTUKULA-MASAKA-24HR'!N96,'28.10 MUTUKULA-MASAKA-24HR'!N96)</f>
        <v>0</v>
      </c>
      <c r="O96" s="15">
        <f t="shared" si="34"/>
        <v>0.5</v>
      </c>
      <c r="P96" s="15">
        <f t="shared" si="35"/>
        <v>0.5</v>
      </c>
      <c r="R96" s="8"/>
      <c r="T96"/>
    </row>
    <row r="97" spans="2:20" ht="23.1" customHeight="1" x14ac:dyDescent="0.25">
      <c r="B97" s="23" t="s">
        <v>137</v>
      </c>
      <c r="C97" s="49">
        <f>AVERAGE('26.10 MUTUKULA-MASAKA-24HR'!C97,'28.10 MUTUKULA-MASAKA-24HR'!C97)</f>
        <v>1</v>
      </c>
      <c r="D97" s="49">
        <f>AVERAGE('26.10 MUTUKULA-MASAKA-24HR'!D97,'28.10 MUTUKULA-MASAKA-24HR'!D97)</f>
        <v>0</v>
      </c>
      <c r="E97" s="49">
        <f>AVERAGE('26.10 MUTUKULA-MASAKA-24HR'!E97,'28.10 MUTUKULA-MASAKA-24HR'!E97)</f>
        <v>0.5</v>
      </c>
      <c r="F97" s="49">
        <f>AVERAGE('26.10 MUTUKULA-MASAKA-24HR'!F97,'28.10 MUTUKULA-MASAKA-24HR'!F97)</f>
        <v>0</v>
      </c>
      <c r="G97" s="49">
        <f>AVERAGE('26.10 MUTUKULA-MASAKA-24HR'!G97,'28.10 MUTUKULA-MASAKA-24HR'!G97)</f>
        <v>0</v>
      </c>
      <c r="H97" s="49">
        <f>AVERAGE('26.10 MUTUKULA-MASAKA-24HR'!H97,'28.10 MUTUKULA-MASAKA-24HR'!H97)</f>
        <v>0</v>
      </c>
      <c r="I97" s="49">
        <f>AVERAGE('26.10 MUTUKULA-MASAKA-24HR'!I97,'28.10 MUTUKULA-MASAKA-24HR'!I97)</f>
        <v>0</v>
      </c>
      <c r="J97" s="49">
        <f>AVERAGE('26.10 MUTUKULA-MASAKA-24HR'!J97,'28.10 MUTUKULA-MASAKA-24HR'!J97)</f>
        <v>0</v>
      </c>
      <c r="K97" s="49">
        <f>AVERAGE('26.10 MUTUKULA-MASAKA-24HR'!K97,'28.10 MUTUKULA-MASAKA-24HR'!K97)</f>
        <v>0</v>
      </c>
      <c r="L97" s="49">
        <f>AVERAGE('26.10 MUTUKULA-MASAKA-24HR'!L97,'28.10 MUTUKULA-MASAKA-24HR'!L97)</f>
        <v>0</v>
      </c>
      <c r="M97" s="49">
        <f>AVERAGE('26.10 MUTUKULA-MASAKA-24HR'!M97,'28.10 MUTUKULA-MASAKA-24HR'!M97)</f>
        <v>0.5</v>
      </c>
      <c r="N97" s="49">
        <f>AVERAGE('26.10 MUTUKULA-MASAKA-24HR'!N97,'28.10 MUTUKULA-MASAKA-24HR'!N97)</f>
        <v>0</v>
      </c>
      <c r="O97" s="15">
        <f t="shared" si="34"/>
        <v>1.5</v>
      </c>
      <c r="P97" s="15">
        <f t="shared" si="35"/>
        <v>2</v>
      </c>
      <c r="R97" s="8"/>
      <c r="T97"/>
    </row>
    <row r="98" spans="2:20" ht="23.1" customHeight="1" x14ac:dyDescent="0.25">
      <c r="B98" s="24" t="s">
        <v>138</v>
      </c>
      <c r="C98" s="49">
        <f>AVERAGE('26.10 MUTUKULA-MASAKA-24HR'!C98,'28.10 MUTUKULA-MASAKA-24HR'!C98)</f>
        <v>0.5</v>
      </c>
      <c r="D98" s="49">
        <f>AVERAGE('26.10 MUTUKULA-MASAKA-24HR'!D98,'28.10 MUTUKULA-MASAKA-24HR'!D98)</f>
        <v>0</v>
      </c>
      <c r="E98" s="49">
        <f>AVERAGE('26.10 MUTUKULA-MASAKA-24HR'!E98,'28.10 MUTUKULA-MASAKA-24HR'!E98)</f>
        <v>0</v>
      </c>
      <c r="F98" s="49">
        <f>AVERAGE('26.10 MUTUKULA-MASAKA-24HR'!F98,'28.10 MUTUKULA-MASAKA-24HR'!F98)</f>
        <v>0.5</v>
      </c>
      <c r="G98" s="49">
        <f>AVERAGE('26.10 MUTUKULA-MASAKA-24HR'!G98,'28.10 MUTUKULA-MASAKA-24HR'!G98)</f>
        <v>1</v>
      </c>
      <c r="H98" s="49">
        <f>AVERAGE('26.10 MUTUKULA-MASAKA-24HR'!H98,'28.10 MUTUKULA-MASAKA-24HR'!H98)</f>
        <v>0.5</v>
      </c>
      <c r="I98" s="49">
        <f>AVERAGE('26.10 MUTUKULA-MASAKA-24HR'!I98,'28.10 MUTUKULA-MASAKA-24HR'!I98)</f>
        <v>0</v>
      </c>
      <c r="J98" s="49">
        <f>AVERAGE('26.10 MUTUKULA-MASAKA-24HR'!J98,'28.10 MUTUKULA-MASAKA-24HR'!J98)</f>
        <v>0</v>
      </c>
      <c r="K98" s="49">
        <f>AVERAGE('26.10 MUTUKULA-MASAKA-24HR'!K98,'28.10 MUTUKULA-MASAKA-24HR'!K98)</f>
        <v>0</v>
      </c>
      <c r="L98" s="49">
        <f>AVERAGE('26.10 MUTUKULA-MASAKA-24HR'!L98,'28.10 MUTUKULA-MASAKA-24HR'!L98)</f>
        <v>0</v>
      </c>
      <c r="M98" s="49">
        <f>AVERAGE('26.10 MUTUKULA-MASAKA-24HR'!M98,'28.10 MUTUKULA-MASAKA-24HR'!M98)</f>
        <v>0.5</v>
      </c>
      <c r="N98" s="49">
        <f>AVERAGE('26.10 MUTUKULA-MASAKA-24HR'!N98,'28.10 MUTUKULA-MASAKA-24HR'!N98)</f>
        <v>0</v>
      </c>
      <c r="O98" s="15">
        <f t="shared" si="34"/>
        <v>2.5</v>
      </c>
      <c r="P98" s="15">
        <f t="shared" si="35"/>
        <v>3</v>
      </c>
      <c r="R98" s="8"/>
      <c r="T98"/>
    </row>
    <row r="99" spans="2:20" ht="23.1" customHeight="1" x14ac:dyDescent="0.25">
      <c r="B99" s="23" t="s">
        <v>139</v>
      </c>
      <c r="C99" s="49">
        <f>AVERAGE('26.10 MUTUKULA-MASAKA-24HR'!C99,'28.10 MUTUKULA-MASAKA-24HR'!C99)</f>
        <v>0</v>
      </c>
      <c r="D99" s="49">
        <f>AVERAGE('26.10 MUTUKULA-MASAKA-24HR'!D99,'28.10 MUTUKULA-MASAKA-24HR'!D99)</f>
        <v>0</v>
      </c>
      <c r="E99" s="49">
        <f>AVERAGE('26.10 MUTUKULA-MASAKA-24HR'!E99,'28.10 MUTUKULA-MASAKA-24HR'!E99)</f>
        <v>0</v>
      </c>
      <c r="F99" s="49">
        <f>AVERAGE('26.10 MUTUKULA-MASAKA-24HR'!F99,'28.10 MUTUKULA-MASAKA-24HR'!F99)</f>
        <v>0</v>
      </c>
      <c r="G99" s="49">
        <f>AVERAGE('26.10 MUTUKULA-MASAKA-24HR'!G99,'28.10 MUTUKULA-MASAKA-24HR'!G99)</f>
        <v>0</v>
      </c>
      <c r="H99" s="49">
        <f>AVERAGE('26.10 MUTUKULA-MASAKA-24HR'!H99,'28.10 MUTUKULA-MASAKA-24HR'!H99)</f>
        <v>0</v>
      </c>
      <c r="I99" s="49">
        <f>AVERAGE('26.10 MUTUKULA-MASAKA-24HR'!I99,'28.10 MUTUKULA-MASAKA-24HR'!I99)</f>
        <v>0</v>
      </c>
      <c r="J99" s="49">
        <f>AVERAGE('26.10 MUTUKULA-MASAKA-24HR'!J99,'28.10 MUTUKULA-MASAKA-24HR'!J99)</f>
        <v>0</v>
      </c>
      <c r="K99" s="49">
        <f>AVERAGE('26.10 MUTUKULA-MASAKA-24HR'!K99,'28.10 MUTUKULA-MASAKA-24HR'!K99)</f>
        <v>0.5</v>
      </c>
      <c r="L99" s="49">
        <f>AVERAGE('26.10 MUTUKULA-MASAKA-24HR'!L99,'28.10 MUTUKULA-MASAKA-24HR'!L99)</f>
        <v>0</v>
      </c>
      <c r="M99" s="49">
        <f>AVERAGE('26.10 MUTUKULA-MASAKA-24HR'!M99,'28.10 MUTUKULA-MASAKA-24HR'!M99)</f>
        <v>0.5</v>
      </c>
      <c r="N99" s="49">
        <f>AVERAGE('26.10 MUTUKULA-MASAKA-24HR'!N99,'28.10 MUTUKULA-MASAKA-24HR'!N99)</f>
        <v>0</v>
      </c>
      <c r="O99" s="15">
        <f t="shared" si="34"/>
        <v>0.5</v>
      </c>
      <c r="P99" s="15">
        <f t="shared" si="35"/>
        <v>1</v>
      </c>
      <c r="R99" s="8"/>
      <c r="T99"/>
    </row>
    <row r="100" spans="2:20" ht="23.1" customHeight="1" x14ac:dyDescent="0.25">
      <c r="B100" s="25" t="s">
        <v>140</v>
      </c>
      <c r="C100" s="49">
        <f>AVERAGE('26.10 MUTUKULA-MASAKA-24HR'!C100,'28.10 MUTUKULA-MASAKA-24HR'!C100)</f>
        <v>0.5</v>
      </c>
      <c r="D100" s="49">
        <f>AVERAGE('26.10 MUTUKULA-MASAKA-24HR'!D100,'28.10 MUTUKULA-MASAKA-24HR'!D100)</f>
        <v>0</v>
      </c>
      <c r="E100" s="49">
        <f>AVERAGE('26.10 MUTUKULA-MASAKA-24HR'!E100,'28.10 MUTUKULA-MASAKA-24HR'!E100)</f>
        <v>0</v>
      </c>
      <c r="F100" s="49">
        <f>AVERAGE('26.10 MUTUKULA-MASAKA-24HR'!F100,'28.10 MUTUKULA-MASAKA-24HR'!F100)</f>
        <v>1</v>
      </c>
      <c r="G100" s="49">
        <f>AVERAGE('26.10 MUTUKULA-MASAKA-24HR'!G100,'28.10 MUTUKULA-MASAKA-24HR'!G100)</f>
        <v>0</v>
      </c>
      <c r="H100" s="49">
        <f>AVERAGE('26.10 MUTUKULA-MASAKA-24HR'!H100,'28.10 MUTUKULA-MASAKA-24HR'!H100)</f>
        <v>0</v>
      </c>
      <c r="I100" s="49">
        <f>AVERAGE('26.10 MUTUKULA-MASAKA-24HR'!I100,'28.10 MUTUKULA-MASAKA-24HR'!I100)</f>
        <v>0</v>
      </c>
      <c r="J100" s="49">
        <f>AVERAGE('26.10 MUTUKULA-MASAKA-24HR'!J100,'28.10 MUTUKULA-MASAKA-24HR'!J100)</f>
        <v>0</v>
      </c>
      <c r="K100" s="49">
        <f>AVERAGE('26.10 MUTUKULA-MASAKA-24HR'!K100,'28.10 MUTUKULA-MASAKA-24HR'!K100)</f>
        <v>0</v>
      </c>
      <c r="L100" s="49">
        <f>AVERAGE('26.10 MUTUKULA-MASAKA-24HR'!L100,'28.10 MUTUKULA-MASAKA-24HR'!L100)</f>
        <v>0</v>
      </c>
      <c r="M100" s="49">
        <f>AVERAGE('26.10 MUTUKULA-MASAKA-24HR'!M100,'28.10 MUTUKULA-MASAKA-24HR'!M100)</f>
        <v>0</v>
      </c>
      <c r="N100" s="49">
        <f>AVERAGE('26.10 MUTUKULA-MASAKA-24HR'!N100,'28.10 MUTUKULA-MASAKA-24HR'!N100)</f>
        <v>0</v>
      </c>
      <c r="O100" s="15">
        <f t="shared" si="34"/>
        <v>1.5</v>
      </c>
      <c r="P100" s="15">
        <f t="shared" si="35"/>
        <v>1.5</v>
      </c>
      <c r="R100" s="8"/>
      <c r="T100"/>
    </row>
    <row r="101" spans="2:20" ht="23.1" customHeight="1" x14ac:dyDescent="0.25">
      <c r="B101" s="23" t="s">
        <v>141</v>
      </c>
      <c r="C101" s="49">
        <f>AVERAGE('26.10 MUTUKULA-MASAKA-24HR'!C101,'28.10 MUTUKULA-MASAKA-24HR'!C101)</f>
        <v>0</v>
      </c>
      <c r="D101" s="49">
        <f>AVERAGE('26.10 MUTUKULA-MASAKA-24HR'!D101,'28.10 MUTUKULA-MASAKA-24HR'!D101)</f>
        <v>0</v>
      </c>
      <c r="E101" s="49">
        <f>AVERAGE('26.10 MUTUKULA-MASAKA-24HR'!E101,'28.10 MUTUKULA-MASAKA-24HR'!E101)</f>
        <v>0</v>
      </c>
      <c r="F101" s="49">
        <f>AVERAGE('26.10 MUTUKULA-MASAKA-24HR'!F101,'28.10 MUTUKULA-MASAKA-24HR'!F101)</f>
        <v>0</v>
      </c>
      <c r="G101" s="49">
        <f>AVERAGE('26.10 MUTUKULA-MASAKA-24HR'!G101,'28.10 MUTUKULA-MASAKA-24HR'!G101)</f>
        <v>0</v>
      </c>
      <c r="H101" s="49">
        <f>AVERAGE('26.10 MUTUKULA-MASAKA-24HR'!H101,'28.10 MUTUKULA-MASAKA-24HR'!H101)</f>
        <v>0</v>
      </c>
      <c r="I101" s="49">
        <f>AVERAGE('26.10 MUTUKULA-MASAKA-24HR'!I101,'28.10 MUTUKULA-MASAKA-24HR'!I101)</f>
        <v>0</v>
      </c>
      <c r="J101" s="49">
        <f>AVERAGE('26.10 MUTUKULA-MASAKA-24HR'!J101,'28.10 MUTUKULA-MASAKA-24HR'!J101)</f>
        <v>0</v>
      </c>
      <c r="K101" s="49">
        <f>AVERAGE('26.10 MUTUKULA-MASAKA-24HR'!K101,'28.10 MUTUKULA-MASAKA-24HR'!K101)</f>
        <v>0</v>
      </c>
      <c r="L101" s="49">
        <f>AVERAGE('26.10 MUTUKULA-MASAKA-24HR'!L101,'28.10 MUTUKULA-MASAKA-24HR'!L101)</f>
        <v>0</v>
      </c>
      <c r="M101" s="49">
        <f>AVERAGE('26.10 MUTUKULA-MASAKA-24HR'!M101,'28.10 MUTUKULA-MASAKA-24HR'!M101)</f>
        <v>0.5</v>
      </c>
      <c r="N101" s="49">
        <f>AVERAGE('26.10 MUTUKULA-MASAKA-24HR'!N101,'28.10 MUTUKULA-MASAKA-24HR'!N101)</f>
        <v>0</v>
      </c>
      <c r="O101" s="15">
        <f t="shared" si="34"/>
        <v>0</v>
      </c>
      <c r="P101" s="15">
        <f t="shared" si="35"/>
        <v>0.5</v>
      </c>
      <c r="R101" s="8"/>
      <c r="T101"/>
    </row>
    <row r="102" spans="2:20" ht="23.1" customHeight="1" x14ac:dyDescent="0.25">
      <c r="B102" s="24" t="s">
        <v>142</v>
      </c>
      <c r="C102" s="49">
        <f>AVERAGE('26.10 MUTUKULA-MASAKA-24HR'!C102,'28.10 MUTUKULA-MASAKA-24HR'!C102)</f>
        <v>0.5</v>
      </c>
      <c r="D102" s="49">
        <f>AVERAGE('26.10 MUTUKULA-MASAKA-24HR'!D102,'28.10 MUTUKULA-MASAKA-24HR'!D102)</f>
        <v>0</v>
      </c>
      <c r="E102" s="49">
        <f>AVERAGE('26.10 MUTUKULA-MASAKA-24HR'!E102,'28.10 MUTUKULA-MASAKA-24HR'!E102)</f>
        <v>0</v>
      </c>
      <c r="F102" s="49">
        <f>AVERAGE('26.10 MUTUKULA-MASAKA-24HR'!F102,'28.10 MUTUKULA-MASAKA-24HR'!F102)</f>
        <v>1</v>
      </c>
      <c r="G102" s="49">
        <f>AVERAGE('26.10 MUTUKULA-MASAKA-24HR'!G102,'28.10 MUTUKULA-MASAKA-24HR'!G102)</f>
        <v>0</v>
      </c>
      <c r="H102" s="49">
        <f>AVERAGE('26.10 MUTUKULA-MASAKA-24HR'!H102,'28.10 MUTUKULA-MASAKA-24HR'!H102)</f>
        <v>0</v>
      </c>
      <c r="I102" s="49">
        <f>AVERAGE('26.10 MUTUKULA-MASAKA-24HR'!I102,'28.10 MUTUKULA-MASAKA-24HR'!I102)</f>
        <v>0.5</v>
      </c>
      <c r="J102" s="49">
        <f>AVERAGE('26.10 MUTUKULA-MASAKA-24HR'!J102,'28.10 MUTUKULA-MASAKA-24HR'!J102)</f>
        <v>0</v>
      </c>
      <c r="K102" s="49">
        <f>AVERAGE('26.10 MUTUKULA-MASAKA-24HR'!K102,'28.10 MUTUKULA-MASAKA-24HR'!K102)</f>
        <v>0</v>
      </c>
      <c r="L102" s="49">
        <f>AVERAGE('26.10 MUTUKULA-MASAKA-24HR'!L102,'28.10 MUTUKULA-MASAKA-24HR'!L102)</f>
        <v>0</v>
      </c>
      <c r="M102" s="49">
        <f>AVERAGE('26.10 MUTUKULA-MASAKA-24HR'!M102,'28.10 MUTUKULA-MASAKA-24HR'!M102)</f>
        <v>0.5</v>
      </c>
      <c r="N102" s="49">
        <f>AVERAGE('26.10 MUTUKULA-MASAKA-24HR'!N102,'28.10 MUTUKULA-MASAKA-24HR'!N102)</f>
        <v>0</v>
      </c>
      <c r="O102" s="15">
        <f t="shared" si="34"/>
        <v>2</v>
      </c>
      <c r="P102" s="15">
        <f t="shared" si="35"/>
        <v>2.5</v>
      </c>
      <c r="R102" s="8"/>
      <c r="T102"/>
    </row>
    <row r="103" spans="2:20" ht="23.1" customHeight="1" x14ac:dyDescent="0.25">
      <c r="B103" s="23" t="s">
        <v>143</v>
      </c>
      <c r="C103" s="49">
        <f>AVERAGE('26.10 MUTUKULA-MASAKA-24HR'!C103,'28.10 MUTUKULA-MASAKA-24HR'!C103)</f>
        <v>0</v>
      </c>
      <c r="D103" s="49">
        <f>AVERAGE('26.10 MUTUKULA-MASAKA-24HR'!D103,'28.10 MUTUKULA-MASAKA-24HR'!D103)</f>
        <v>0</v>
      </c>
      <c r="E103" s="49">
        <f>AVERAGE('26.10 MUTUKULA-MASAKA-24HR'!E103,'28.10 MUTUKULA-MASAKA-24HR'!E103)</f>
        <v>0</v>
      </c>
      <c r="F103" s="49">
        <f>AVERAGE('26.10 MUTUKULA-MASAKA-24HR'!F103,'28.10 MUTUKULA-MASAKA-24HR'!F103)</f>
        <v>0.5</v>
      </c>
      <c r="G103" s="49">
        <f>AVERAGE('26.10 MUTUKULA-MASAKA-24HR'!G103,'28.10 MUTUKULA-MASAKA-24HR'!G103)</f>
        <v>0</v>
      </c>
      <c r="H103" s="49">
        <f>AVERAGE('26.10 MUTUKULA-MASAKA-24HR'!H103,'28.10 MUTUKULA-MASAKA-24HR'!H103)</f>
        <v>0</v>
      </c>
      <c r="I103" s="49">
        <f>AVERAGE('26.10 MUTUKULA-MASAKA-24HR'!I103,'28.10 MUTUKULA-MASAKA-24HR'!I103)</f>
        <v>0</v>
      </c>
      <c r="J103" s="49">
        <f>AVERAGE('26.10 MUTUKULA-MASAKA-24HR'!J103,'28.10 MUTUKULA-MASAKA-24HR'!J103)</f>
        <v>0</v>
      </c>
      <c r="K103" s="49">
        <f>AVERAGE('26.10 MUTUKULA-MASAKA-24HR'!K103,'28.10 MUTUKULA-MASAKA-24HR'!K103)</f>
        <v>0</v>
      </c>
      <c r="L103" s="49">
        <f>AVERAGE('26.10 MUTUKULA-MASAKA-24HR'!L103,'28.10 MUTUKULA-MASAKA-24HR'!L103)</f>
        <v>0</v>
      </c>
      <c r="M103" s="49">
        <f>AVERAGE('26.10 MUTUKULA-MASAKA-24HR'!M103,'28.10 MUTUKULA-MASAKA-24HR'!M103)</f>
        <v>1.5</v>
      </c>
      <c r="N103" s="49">
        <f>AVERAGE('26.10 MUTUKULA-MASAKA-24HR'!N103,'28.10 MUTUKULA-MASAKA-24HR'!N103)</f>
        <v>0</v>
      </c>
      <c r="O103" s="15">
        <f t="shared" si="34"/>
        <v>0.5</v>
      </c>
      <c r="P103" s="15">
        <f t="shared" si="35"/>
        <v>2</v>
      </c>
      <c r="R103" s="8"/>
      <c r="T103"/>
    </row>
    <row r="104" spans="2:20" ht="23.1" customHeight="1" x14ac:dyDescent="0.25">
      <c r="B104" s="25" t="s">
        <v>144</v>
      </c>
      <c r="C104" s="49">
        <f>AVERAGE('26.10 MUTUKULA-MASAKA-24HR'!C104,'28.10 MUTUKULA-MASAKA-24HR'!C104)</f>
        <v>0.5</v>
      </c>
      <c r="D104" s="49">
        <f>AVERAGE('26.10 MUTUKULA-MASAKA-24HR'!D104,'28.10 MUTUKULA-MASAKA-24HR'!D104)</f>
        <v>0</v>
      </c>
      <c r="E104" s="49">
        <f>AVERAGE('26.10 MUTUKULA-MASAKA-24HR'!E104,'28.10 MUTUKULA-MASAKA-24HR'!E104)</f>
        <v>0</v>
      </c>
      <c r="F104" s="49">
        <f>AVERAGE('26.10 MUTUKULA-MASAKA-24HR'!F104,'28.10 MUTUKULA-MASAKA-24HR'!F104)</f>
        <v>0.5</v>
      </c>
      <c r="G104" s="49">
        <f>AVERAGE('26.10 MUTUKULA-MASAKA-24HR'!G104,'28.10 MUTUKULA-MASAKA-24HR'!G104)</f>
        <v>0</v>
      </c>
      <c r="H104" s="49">
        <f>AVERAGE('26.10 MUTUKULA-MASAKA-24HR'!H104,'28.10 MUTUKULA-MASAKA-24HR'!H104)</f>
        <v>0</v>
      </c>
      <c r="I104" s="49">
        <f>AVERAGE('26.10 MUTUKULA-MASAKA-24HR'!I104,'28.10 MUTUKULA-MASAKA-24HR'!I104)</f>
        <v>0</v>
      </c>
      <c r="J104" s="49">
        <f>AVERAGE('26.10 MUTUKULA-MASAKA-24HR'!J104,'28.10 MUTUKULA-MASAKA-24HR'!J104)</f>
        <v>0</v>
      </c>
      <c r="K104" s="49">
        <f>AVERAGE('26.10 MUTUKULA-MASAKA-24HR'!K104,'28.10 MUTUKULA-MASAKA-24HR'!K104)</f>
        <v>0</v>
      </c>
      <c r="L104" s="49">
        <f>AVERAGE('26.10 MUTUKULA-MASAKA-24HR'!L104,'28.10 MUTUKULA-MASAKA-24HR'!L104)</f>
        <v>0</v>
      </c>
      <c r="M104" s="49">
        <f>AVERAGE('26.10 MUTUKULA-MASAKA-24HR'!M104,'28.10 MUTUKULA-MASAKA-24HR'!M104)</f>
        <v>3.5</v>
      </c>
      <c r="N104" s="49">
        <f>AVERAGE('26.10 MUTUKULA-MASAKA-24HR'!N104,'28.10 MUTUKULA-MASAKA-24HR'!N104)</f>
        <v>0</v>
      </c>
      <c r="O104" s="15">
        <f t="shared" si="34"/>
        <v>1</v>
      </c>
      <c r="P104" s="15">
        <f t="shared" si="35"/>
        <v>4.5</v>
      </c>
      <c r="R104" s="8"/>
      <c r="T104"/>
    </row>
    <row r="105" spans="2:20" ht="23.1" customHeight="1" x14ac:dyDescent="0.25">
      <c r="B105" s="23" t="s">
        <v>145</v>
      </c>
      <c r="C105" s="49">
        <f>AVERAGE('26.10 MUTUKULA-MASAKA-24HR'!C105,'28.10 MUTUKULA-MASAKA-24HR'!C105)</f>
        <v>1</v>
      </c>
      <c r="D105" s="49">
        <f>AVERAGE('26.10 MUTUKULA-MASAKA-24HR'!D105,'28.10 MUTUKULA-MASAKA-24HR'!D105)</f>
        <v>0</v>
      </c>
      <c r="E105" s="49">
        <f>AVERAGE('26.10 MUTUKULA-MASAKA-24HR'!E105,'28.10 MUTUKULA-MASAKA-24HR'!E105)</f>
        <v>0</v>
      </c>
      <c r="F105" s="49">
        <f>AVERAGE('26.10 MUTUKULA-MASAKA-24HR'!F105,'28.10 MUTUKULA-MASAKA-24HR'!F105)</f>
        <v>2</v>
      </c>
      <c r="G105" s="49">
        <f>AVERAGE('26.10 MUTUKULA-MASAKA-24HR'!G105,'28.10 MUTUKULA-MASAKA-24HR'!G105)</f>
        <v>0</v>
      </c>
      <c r="H105" s="49">
        <f>AVERAGE('26.10 MUTUKULA-MASAKA-24HR'!H105,'28.10 MUTUKULA-MASAKA-24HR'!H105)</f>
        <v>0</v>
      </c>
      <c r="I105" s="49">
        <f>AVERAGE('26.10 MUTUKULA-MASAKA-24HR'!I105,'28.10 MUTUKULA-MASAKA-24HR'!I105)</f>
        <v>0</v>
      </c>
      <c r="J105" s="49">
        <f>AVERAGE('26.10 MUTUKULA-MASAKA-24HR'!J105,'28.10 MUTUKULA-MASAKA-24HR'!J105)</f>
        <v>0.5</v>
      </c>
      <c r="K105" s="49">
        <f>AVERAGE('26.10 MUTUKULA-MASAKA-24HR'!K105,'28.10 MUTUKULA-MASAKA-24HR'!K105)</f>
        <v>0</v>
      </c>
      <c r="L105" s="49">
        <f>AVERAGE('26.10 MUTUKULA-MASAKA-24HR'!L105,'28.10 MUTUKULA-MASAKA-24HR'!L105)</f>
        <v>0</v>
      </c>
      <c r="M105" s="49">
        <f>AVERAGE('26.10 MUTUKULA-MASAKA-24HR'!M105,'28.10 MUTUKULA-MASAKA-24HR'!M105)</f>
        <v>5.5</v>
      </c>
      <c r="N105" s="49">
        <f>AVERAGE('26.10 MUTUKULA-MASAKA-24HR'!N105,'28.10 MUTUKULA-MASAKA-24HR'!N105)</f>
        <v>0</v>
      </c>
      <c r="O105" s="15">
        <f t="shared" si="34"/>
        <v>3.5</v>
      </c>
      <c r="P105" s="15">
        <f t="shared" si="35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149.71428571428572</v>
      </c>
      <c r="D106" s="16">
        <f t="shared" ref="D106:P106" si="36">SUM(D10:D105)</f>
        <v>32</v>
      </c>
      <c r="E106" s="16">
        <f t="shared" si="36"/>
        <v>8.6428571428571441</v>
      </c>
      <c r="F106" s="16">
        <f t="shared" si="36"/>
        <v>68.785714285714278</v>
      </c>
      <c r="G106" s="16">
        <f t="shared" si="36"/>
        <v>2.1428571428571423</v>
      </c>
      <c r="H106" s="16">
        <f t="shared" si="36"/>
        <v>2.8571428571428568</v>
      </c>
      <c r="I106" s="16">
        <f t="shared" si="36"/>
        <v>44.857142857142861</v>
      </c>
      <c r="J106" s="16">
        <f t="shared" si="36"/>
        <v>57.428571428571431</v>
      </c>
      <c r="K106" s="16">
        <f t="shared" si="36"/>
        <v>45.428571428571431</v>
      </c>
      <c r="L106" s="16">
        <f t="shared" si="36"/>
        <v>4.7142857142857135</v>
      </c>
      <c r="M106" s="16">
        <f t="shared" si="36"/>
        <v>663.85714285714278</v>
      </c>
      <c r="N106" s="16">
        <f t="shared" si="36"/>
        <v>0.2857142857142857</v>
      </c>
      <c r="O106" s="16">
        <f t="shared" si="36"/>
        <v>416.85714285714289</v>
      </c>
      <c r="P106" s="16">
        <f t="shared" si="36"/>
        <v>1080.7142857142856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0.1385327164573695</v>
      </c>
      <c r="D107" s="43">
        <f t="shared" si="37"/>
        <v>2.9610046265697295E-2</v>
      </c>
      <c r="E107" s="43">
        <f t="shared" si="37"/>
        <v>7.9973562458691364E-3</v>
      </c>
      <c r="F107" s="43">
        <f t="shared" si="37"/>
        <v>6.364838070059485E-2</v>
      </c>
      <c r="G107" s="43">
        <f t="shared" si="37"/>
        <v>1.9828155981493718E-3</v>
      </c>
      <c r="H107" s="43">
        <f t="shared" si="37"/>
        <v>2.6437541308658294E-3</v>
      </c>
      <c r="I107" s="43">
        <f t="shared" si="37"/>
        <v>4.1506939854593534E-2</v>
      </c>
      <c r="J107" s="43">
        <f t="shared" si="37"/>
        <v>5.313945803040318E-2</v>
      </c>
      <c r="K107" s="43">
        <f t="shared" si="37"/>
        <v>4.2035690680766694E-2</v>
      </c>
      <c r="L107" s="43">
        <f t="shared" si="37"/>
        <v>4.362194315928619E-3</v>
      </c>
      <c r="M107" s="43">
        <f t="shared" si="37"/>
        <v>0.61427627230667547</v>
      </c>
      <c r="N107" s="43">
        <f t="shared" si="37"/>
        <v>2.6437541308658297E-4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0.35915010281014392</v>
      </c>
      <c r="D108" s="44">
        <f t="shared" ref="D108:N108" si="38">D106/$O$106</f>
        <v>7.6764907470870447E-2</v>
      </c>
      <c r="E108" s="44">
        <f t="shared" si="38"/>
        <v>2.0733379026730638E-2</v>
      </c>
      <c r="F108" s="44">
        <f t="shared" si="38"/>
        <v>0.16501028101439338</v>
      </c>
      <c r="G108" s="44">
        <f t="shared" si="38"/>
        <v>5.1405071967100735E-3</v>
      </c>
      <c r="H108" s="44">
        <f t="shared" si="38"/>
        <v>6.8540095956134322E-3</v>
      </c>
      <c r="I108" s="44">
        <f t="shared" si="38"/>
        <v>0.10760795065113091</v>
      </c>
      <c r="J108" s="44">
        <f t="shared" si="38"/>
        <v>0.13776559287183002</v>
      </c>
      <c r="K108" s="44">
        <f t="shared" si="38"/>
        <v>0.10897875257025359</v>
      </c>
      <c r="L108" s="44">
        <f t="shared" si="38"/>
        <v>1.1309115832762163E-2</v>
      </c>
      <c r="M108" s="44"/>
      <c r="N108" s="44">
        <f t="shared" si="38"/>
        <v>6.8540095956134332E-4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F31" zoomScale="60" workbookViewId="0">
      <selection activeCell="AD44" sqref="AD4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'27.10 Masaka-Mutukula'!C3:G3</f>
        <v>MCC-C4-STN99-MASAKA-MUTUKULA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55" t="str">
        <f>'Avg Week Mutukula-Masaka'!G5:H5</f>
        <v>MUTUKULA</v>
      </c>
      <c r="H5" s="56"/>
      <c r="I5" s="14"/>
      <c r="J5" s="2" t="s">
        <v>5</v>
      </c>
      <c r="K5" s="55" t="str">
        <f>'Avg Week Mutukula-Masaka'!K5:L5</f>
        <v>xxxx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55" t="str">
        <f>'Avg Week Mutukula-Masaka'!K6:L6</f>
        <v>SANDRA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4" t="s">
        <v>88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Masaka-Mutukula'!C10+'Avg Week Mutukula-Masaka'!C10</f>
        <v>2.4285714285714284</v>
      </c>
      <c r="D10" s="49">
        <f>'Avg Week Masaka-Mutukula'!D10+'Avg Week Mutukula-Masaka'!D10</f>
        <v>0.42857142857142855</v>
      </c>
      <c r="E10" s="49">
        <f>'Avg Week Masaka-Mutukula'!E10+'Avg Week Mutukula-Masaka'!E10</f>
        <v>0.2857142857142857</v>
      </c>
      <c r="F10" s="49">
        <f>'Avg Week Masaka-Mutukula'!F10+'Avg Week Mutukula-Masaka'!F10</f>
        <v>1.4285714285714286</v>
      </c>
      <c r="G10" s="49">
        <f>'Avg Week Masaka-Mutukula'!G10+'Avg Week Mutukula-Masaka'!G10</f>
        <v>0.14285714285714285</v>
      </c>
      <c r="H10" s="49">
        <f>'Avg Week Masaka-Mutukula'!H10+'Avg Week Mutukula-Masaka'!H10</f>
        <v>0</v>
      </c>
      <c r="I10" s="49">
        <f>'Avg Week Masaka-Mutukula'!I10+'Avg Week Mutukula-Masaka'!I10</f>
        <v>1</v>
      </c>
      <c r="J10" s="49">
        <f>'Avg Week Masaka-Mutukula'!J10+'Avg Week Mutukula-Masaka'!J10</f>
        <v>0.5714285714285714</v>
      </c>
      <c r="K10" s="49">
        <f>'Avg Week Masaka-Mutukula'!K10+'Avg Week Mutukula-Masaka'!K10</f>
        <v>0.7142857142857143</v>
      </c>
      <c r="L10" s="49">
        <f>'Avg Week Masaka-Mutukula'!L10+'Avg Week Mutukula-Masaka'!L10</f>
        <v>0</v>
      </c>
      <c r="M10" s="49">
        <f>'Avg Week Masaka-Mutukula'!M10+'Avg Week Mutukula-Masaka'!M10</f>
        <v>14</v>
      </c>
      <c r="N10" s="49">
        <f>'Avg Week Masaka-Mutukula'!N10+'Avg Week Mutukula-Masaka'!N10</f>
        <v>0</v>
      </c>
      <c r="O10" s="15">
        <f t="shared" ref="O10:O73" si="0">SUM(C10:L10,N10)</f>
        <v>7</v>
      </c>
      <c r="P10" s="15">
        <f t="shared" ref="P10:P73" si="1">SUM(C10:N10)</f>
        <v>21</v>
      </c>
      <c r="R10" s="1" t="s">
        <v>6</v>
      </c>
      <c r="S10" s="17">
        <f t="shared" ref="S10:AF10" si="2">SUM(C10:C13)</f>
        <v>17.428571428571431</v>
      </c>
      <c r="T10" s="17">
        <f t="shared" si="2"/>
        <v>1.1428571428571428</v>
      </c>
      <c r="U10" s="17">
        <f t="shared" si="2"/>
        <v>0.71428571428571419</v>
      </c>
      <c r="V10" s="17">
        <f t="shared" si="2"/>
        <v>6.4285714285714288</v>
      </c>
      <c r="W10" s="17">
        <f t="shared" si="2"/>
        <v>0.2857142857142857</v>
      </c>
      <c r="X10" s="17">
        <f t="shared" si="2"/>
        <v>0</v>
      </c>
      <c r="Y10" s="17">
        <f t="shared" si="2"/>
        <v>4.7142857142857135</v>
      </c>
      <c r="Z10" s="17">
        <f t="shared" si="2"/>
        <v>2.2857142857142856</v>
      </c>
      <c r="AA10" s="17">
        <f t="shared" si="2"/>
        <v>4.5714285714285712</v>
      </c>
      <c r="AB10" s="17">
        <f t="shared" si="2"/>
        <v>0</v>
      </c>
      <c r="AC10" s="17">
        <f t="shared" si="2"/>
        <v>66.142857142857139</v>
      </c>
      <c r="AD10" s="17">
        <f t="shared" si="2"/>
        <v>0</v>
      </c>
      <c r="AE10" s="31">
        <f t="shared" si="2"/>
        <v>37.571428571428569</v>
      </c>
      <c r="AF10" s="31">
        <f t="shared" si="2"/>
        <v>103.71428571428572</v>
      </c>
    </row>
    <row r="11" spans="2:32" s="6" customFormat="1" ht="23.1" customHeight="1" x14ac:dyDescent="0.25">
      <c r="B11" s="23" t="s">
        <v>38</v>
      </c>
      <c r="C11" s="49">
        <f>'Avg Week Masaka-Mutukula'!C11+'Avg Week Mutukula-Masaka'!C11</f>
        <v>5.2857142857142856</v>
      </c>
      <c r="D11" s="49">
        <f>'Avg Week Masaka-Mutukula'!D11+'Avg Week Mutukula-Masaka'!D11</f>
        <v>0.2857142857142857</v>
      </c>
      <c r="E11" s="49">
        <f>'Avg Week Masaka-Mutukula'!E11+'Avg Week Mutukula-Masaka'!E11</f>
        <v>0.14285714285714285</v>
      </c>
      <c r="F11" s="49">
        <f>'Avg Week Masaka-Mutukula'!F11+'Avg Week Mutukula-Masaka'!F11</f>
        <v>1.4285714285714284</v>
      </c>
      <c r="G11" s="49">
        <f>'Avg Week Masaka-Mutukula'!G11+'Avg Week Mutukula-Masaka'!G11</f>
        <v>0</v>
      </c>
      <c r="H11" s="49">
        <f>'Avg Week Masaka-Mutukula'!H11+'Avg Week Mutukula-Masaka'!H11</f>
        <v>0</v>
      </c>
      <c r="I11" s="49">
        <f>'Avg Week Masaka-Mutukula'!I11+'Avg Week Mutukula-Masaka'!I11</f>
        <v>1.2857142857142856</v>
      </c>
      <c r="J11" s="49">
        <f>'Avg Week Masaka-Mutukula'!J11+'Avg Week Mutukula-Masaka'!J11</f>
        <v>0.2857142857142857</v>
      </c>
      <c r="K11" s="49">
        <f>'Avg Week Masaka-Mutukula'!K11+'Avg Week Mutukula-Masaka'!K11</f>
        <v>0.2857142857142857</v>
      </c>
      <c r="L11" s="49">
        <f>'Avg Week Masaka-Mutukula'!L11+'Avg Week Mutukula-Masaka'!L11</f>
        <v>0</v>
      </c>
      <c r="M11" s="49">
        <f>'Avg Week Masaka-Mutukula'!M11+'Avg Week Mutukula-Masaka'!M11</f>
        <v>15.714285714285715</v>
      </c>
      <c r="N11" s="49">
        <f>'Avg Week Masaka-Mutukula'!N11+'Avg Week Mutukula-Masaka'!N11</f>
        <v>0</v>
      </c>
      <c r="O11" s="15">
        <f t="shared" si="0"/>
        <v>9</v>
      </c>
      <c r="P11" s="15">
        <f t="shared" si="1"/>
        <v>24.714285714285715</v>
      </c>
      <c r="R11" s="1" t="s">
        <v>7</v>
      </c>
      <c r="S11" s="17">
        <f t="shared" ref="S11:AF11" si="3">SUM(C14:C17)</f>
        <v>21.142857142857142</v>
      </c>
      <c r="T11" s="17">
        <f t="shared" si="3"/>
        <v>1.7142857142857142</v>
      </c>
      <c r="U11" s="17">
        <f t="shared" si="3"/>
        <v>0.2857142857142857</v>
      </c>
      <c r="V11" s="17">
        <f t="shared" si="3"/>
        <v>6.8571428571428577</v>
      </c>
      <c r="W11" s="17">
        <f t="shared" si="3"/>
        <v>0</v>
      </c>
      <c r="X11" s="17">
        <f t="shared" si="3"/>
        <v>0.2857142857142857</v>
      </c>
      <c r="Y11" s="17">
        <f t="shared" si="3"/>
        <v>6.1428571428571423</v>
      </c>
      <c r="Z11" s="17">
        <f t="shared" si="3"/>
        <v>2.4285714285714284</v>
      </c>
      <c r="AA11" s="17">
        <f t="shared" si="3"/>
        <v>6.5714285714285712</v>
      </c>
      <c r="AB11" s="17">
        <f t="shared" si="3"/>
        <v>0.5714285714285714</v>
      </c>
      <c r="AC11" s="17">
        <f t="shared" si="3"/>
        <v>82.714285714285722</v>
      </c>
      <c r="AD11" s="17">
        <f t="shared" si="3"/>
        <v>0</v>
      </c>
      <c r="AE11" s="31">
        <f t="shared" si="3"/>
        <v>46.000000000000007</v>
      </c>
      <c r="AF11" s="31">
        <f t="shared" si="3"/>
        <v>128.71428571428572</v>
      </c>
    </row>
    <row r="12" spans="2:32" ht="23.1" customHeight="1" x14ac:dyDescent="0.25">
      <c r="B12" s="23" t="s">
        <v>39</v>
      </c>
      <c r="C12" s="49">
        <f>'Avg Week Masaka-Mutukula'!C12+'Avg Week Mutukula-Masaka'!C12</f>
        <v>4.8571428571428577</v>
      </c>
      <c r="D12" s="49">
        <f>'Avg Week Masaka-Mutukula'!D12+'Avg Week Mutukula-Masaka'!D12</f>
        <v>0.14285714285714285</v>
      </c>
      <c r="E12" s="49">
        <f>'Avg Week Masaka-Mutukula'!E12+'Avg Week Mutukula-Masaka'!E12</f>
        <v>0.2857142857142857</v>
      </c>
      <c r="F12" s="49">
        <f>'Avg Week Masaka-Mutukula'!F12+'Avg Week Mutukula-Masaka'!F12</f>
        <v>1.7142857142857144</v>
      </c>
      <c r="G12" s="49">
        <f>'Avg Week Masaka-Mutukula'!G12+'Avg Week Mutukula-Masaka'!G12</f>
        <v>0</v>
      </c>
      <c r="H12" s="49">
        <f>'Avg Week Masaka-Mutukula'!H12+'Avg Week Mutukula-Masaka'!H12</f>
        <v>0</v>
      </c>
      <c r="I12" s="49">
        <f>'Avg Week Masaka-Mutukula'!I12+'Avg Week Mutukula-Masaka'!I12</f>
        <v>1</v>
      </c>
      <c r="J12" s="49">
        <f>'Avg Week Masaka-Mutukula'!J12+'Avg Week Mutukula-Masaka'!J12</f>
        <v>0.71428571428571419</v>
      </c>
      <c r="K12" s="49">
        <f>'Avg Week Masaka-Mutukula'!K12+'Avg Week Mutukula-Masaka'!K12</f>
        <v>1.1428571428571428</v>
      </c>
      <c r="L12" s="49">
        <f>'Avg Week Masaka-Mutukula'!L12+'Avg Week Mutukula-Masaka'!L12</f>
        <v>0</v>
      </c>
      <c r="M12" s="49">
        <f>'Avg Week Masaka-Mutukula'!M12+'Avg Week Mutukula-Masaka'!M12</f>
        <v>17</v>
      </c>
      <c r="N12" s="49">
        <f>'Avg Week Masaka-Mutukula'!N12+'Avg Week Mutukula-Masaka'!N12</f>
        <v>0</v>
      </c>
      <c r="O12" s="15">
        <f t="shared" si="0"/>
        <v>9.8571428571428559</v>
      </c>
      <c r="P12" s="15">
        <f t="shared" si="1"/>
        <v>26.857142857142854</v>
      </c>
      <c r="R12" s="1" t="s">
        <v>8</v>
      </c>
      <c r="S12" s="17">
        <f t="shared" ref="S12:AF12" si="4">SUM(C18:C21)</f>
        <v>19.285714285714285</v>
      </c>
      <c r="T12" s="17">
        <f t="shared" si="4"/>
        <v>1.5714285714285712</v>
      </c>
      <c r="U12" s="17">
        <f t="shared" si="4"/>
        <v>1.714285714285714</v>
      </c>
      <c r="V12" s="17">
        <f t="shared" si="4"/>
        <v>8.1428571428571423</v>
      </c>
      <c r="W12" s="17">
        <f t="shared" si="4"/>
        <v>0.14285714285714285</v>
      </c>
      <c r="X12" s="17">
        <f t="shared" si="4"/>
        <v>0.14285714285714285</v>
      </c>
      <c r="Y12" s="17">
        <f t="shared" si="4"/>
        <v>7.8571428571428577</v>
      </c>
      <c r="Z12" s="17">
        <f t="shared" si="4"/>
        <v>2.8571428571428568</v>
      </c>
      <c r="AA12" s="17">
        <f t="shared" si="4"/>
        <v>4.5714285714285712</v>
      </c>
      <c r="AB12" s="17">
        <f t="shared" si="4"/>
        <v>0.8571428571428571</v>
      </c>
      <c r="AC12" s="17">
        <f t="shared" si="4"/>
        <v>97.285714285714278</v>
      </c>
      <c r="AD12" s="17">
        <f t="shared" si="4"/>
        <v>0</v>
      </c>
      <c r="AE12" s="31">
        <f t="shared" si="4"/>
        <v>47.142857142857139</v>
      </c>
      <c r="AF12" s="31">
        <f t="shared" si="4"/>
        <v>144.42857142857142</v>
      </c>
    </row>
    <row r="13" spans="2:32" ht="23.1" customHeight="1" x14ac:dyDescent="0.25">
      <c r="B13" s="23" t="s">
        <v>40</v>
      </c>
      <c r="C13" s="49">
        <f>'Avg Week Masaka-Mutukula'!C13+'Avg Week Mutukula-Masaka'!C13</f>
        <v>4.8571428571428577</v>
      </c>
      <c r="D13" s="49">
        <f>'Avg Week Masaka-Mutukula'!D13+'Avg Week Mutukula-Masaka'!D13</f>
        <v>0.2857142857142857</v>
      </c>
      <c r="E13" s="49">
        <f>'Avg Week Masaka-Mutukula'!E13+'Avg Week Mutukula-Masaka'!E13</f>
        <v>0</v>
      </c>
      <c r="F13" s="49">
        <f>'Avg Week Masaka-Mutukula'!F13+'Avg Week Mutukula-Masaka'!F13</f>
        <v>1.8571428571428572</v>
      </c>
      <c r="G13" s="49">
        <f>'Avg Week Masaka-Mutukula'!G13+'Avg Week Mutukula-Masaka'!G13</f>
        <v>0.14285714285714285</v>
      </c>
      <c r="H13" s="49">
        <f>'Avg Week Masaka-Mutukula'!H13+'Avg Week Mutukula-Masaka'!H13</f>
        <v>0</v>
      </c>
      <c r="I13" s="49">
        <f>'Avg Week Masaka-Mutukula'!I13+'Avg Week Mutukula-Masaka'!I13</f>
        <v>1.4285714285714284</v>
      </c>
      <c r="J13" s="49">
        <f>'Avg Week Masaka-Mutukula'!J13+'Avg Week Mutukula-Masaka'!J13</f>
        <v>0.71428571428571419</v>
      </c>
      <c r="K13" s="49">
        <f>'Avg Week Masaka-Mutukula'!K13+'Avg Week Mutukula-Masaka'!K13</f>
        <v>2.4285714285714284</v>
      </c>
      <c r="L13" s="49">
        <f>'Avg Week Masaka-Mutukula'!L13+'Avg Week Mutukula-Masaka'!L13</f>
        <v>0</v>
      </c>
      <c r="M13" s="49">
        <f>'Avg Week Masaka-Mutukula'!M13+'Avg Week Mutukula-Masaka'!M13</f>
        <v>19.428571428571431</v>
      </c>
      <c r="N13" s="49">
        <f>'Avg Week Masaka-Mutukula'!N13+'Avg Week Mutukula-Masaka'!N13</f>
        <v>0</v>
      </c>
      <c r="O13" s="15">
        <f t="shared" si="0"/>
        <v>11.714285714285714</v>
      </c>
      <c r="P13" s="15">
        <f t="shared" si="1"/>
        <v>31.142857142857146</v>
      </c>
      <c r="R13" s="1" t="s">
        <v>9</v>
      </c>
      <c r="S13" s="17">
        <f t="shared" ref="S13:AF13" si="5">SUM(C22:C25)</f>
        <v>17</v>
      </c>
      <c r="T13" s="17">
        <f t="shared" si="5"/>
        <v>2.7142857142857144</v>
      </c>
      <c r="U13" s="17">
        <f t="shared" si="5"/>
        <v>0.8571428571428571</v>
      </c>
      <c r="V13" s="17">
        <f t="shared" si="5"/>
        <v>8.4285714285714288</v>
      </c>
      <c r="W13" s="17">
        <f t="shared" si="5"/>
        <v>0</v>
      </c>
      <c r="X13" s="17">
        <f t="shared" si="5"/>
        <v>0</v>
      </c>
      <c r="Y13" s="17">
        <f t="shared" si="5"/>
        <v>7.1428571428571423</v>
      </c>
      <c r="Z13" s="17">
        <f t="shared" si="5"/>
        <v>3</v>
      </c>
      <c r="AA13" s="17">
        <f t="shared" si="5"/>
        <v>7.1428571428571432</v>
      </c>
      <c r="AB13" s="17">
        <f t="shared" si="5"/>
        <v>0.14285714285714285</v>
      </c>
      <c r="AC13" s="17">
        <f t="shared" si="5"/>
        <v>72</v>
      </c>
      <c r="AD13" s="17">
        <f t="shared" si="5"/>
        <v>0</v>
      </c>
      <c r="AE13" s="31">
        <f t="shared" si="5"/>
        <v>46.428571428571431</v>
      </c>
      <c r="AF13" s="31">
        <f t="shared" si="5"/>
        <v>118.42857142857143</v>
      </c>
    </row>
    <row r="14" spans="2:32" ht="23.1" customHeight="1" x14ac:dyDescent="0.25">
      <c r="B14" s="23" t="s">
        <v>41</v>
      </c>
      <c r="C14" s="49">
        <f>'Avg Week Masaka-Mutukula'!C14+'Avg Week Mutukula-Masaka'!C14</f>
        <v>4.4285714285714288</v>
      </c>
      <c r="D14" s="49">
        <f>'Avg Week Masaka-Mutukula'!D14+'Avg Week Mutukula-Masaka'!D14</f>
        <v>0.42857142857142855</v>
      </c>
      <c r="E14" s="49">
        <f>'Avg Week Masaka-Mutukula'!E14+'Avg Week Mutukula-Masaka'!E14</f>
        <v>0.14285714285714285</v>
      </c>
      <c r="F14" s="49">
        <f>'Avg Week Masaka-Mutukula'!F14+'Avg Week Mutukula-Masaka'!F14</f>
        <v>0.2857142857142857</v>
      </c>
      <c r="G14" s="49">
        <f>'Avg Week Masaka-Mutukula'!G14+'Avg Week Mutukula-Masaka'!G14</f>
        <v>0</v>
      </c>
      <c r="H14" s="49">
        <f>'Avg Week Masaka-Mutukula'!H14+'Avg Week Mutukula-Masaka'!H14</f>
        <v>0</v>
      </c>
      <c r="I14" s="49">
        <f>'Avg Week Masaka-Mutukula'!I14+'Avg Week Mutukula-Masaka'!I14</f>
        <v>1.8571428571428572</v>
      </c>
      <c r="J14" s="49">
        <f>'Avg Week Masaka-Mutukula'!J14+'Avg Week Mutukula-Masaka'!J14</f>
        <v>0.7142857142857143</v>
      </c>
      <c r="K14" s="49">
        <f>'Avg Week Masaka-Mutukula'!K14+'Avg Week Mutukula-Masaka'!K14</f>
        <v>2.714285714285714</v>
      </c>
      <c r="L14" s="49">
        <f>'Avg Week Masaka-Mutukula'!L14+'Avg Week Mutukula-Masaka'!L14</f>
        <v>0</v>
      </c>
      <c r="M14" s="49">
        <f>'Avg Week Masaka-Mutukula'!M14+'Avg Week Mutukula-Masaka'!M14</f>
        <v>20</v>
      </c>
      <c r="N14" s="49">
        <f>'Avg Week Masaka-Mutukula'!N14+'Avg Week Mutukula-Masaka'!N14</f>
        <v>0</v>
      </c>
      <c r="O14" s="15">
        <f t="shared" si="0"/>
        <v>10.571428571428573</v>
      </c>
      <c r="P14" s="15">
        <f t="shared" si="1"/>
        <v>30.571428571428573</v>
      </c>
      <c r="R14" s="1" t="s">
        <v>10</v>
      </c>
      <c r="S14" s="17">
        <f t="shared" ref="S14:AF14" si="6">SUM(C26:C29)</f>
        <v>13.714285714285712</v>
      </c>
      <c r="T14" s="17">
        <f t="shared" si="6"/>
        <v>2.5714285714285712</v>
      </c>
      <c r="U14" s="17">
        <f t="shared" si="6"/>
        <v>1.1428571428571428</v>
      </c>
      <c r="V14" s="17">
        <f t="shared" si="6"/>
        <v>11.857142857142858</v>
      </c>
      <c r="W14" s="17">
        <f t="shared" si="6"/>
        <v>0.2857142857142857</v>
      </c>
      <c r="X14" s="17">
        <f t="shared" si="6"/>
        <v>0</v>
      </c>
      <c r="Y14" s="17">
        <f t="shared" si="6"/>
        <v>6.5714285714285712</v>
      </c>
      <c r="Z14" s="17">
        <f t="shared" si="6"/>
        <v>3.2857142857142851</v>
      </c>
      <c r="AA14" s="17">
        <f t="shared" si="6"/>
        <v>3.8571428571428572</v>
      </c>
      <c r="AB14" s="17">
        <f t="shared" si="6"/>
        <v>0.14285714285714285</v>
      </c>
      <c r="AC14" s="17">
        <f t="shared" si="6"/>
        <v>76.571428571428569</v>
      </c>
      <c r="AD14" s="17">
        <f t="shared" si="6"/>
        <v>0</v>
      </c>
      <c r="AE14" s="31">
        <f t="shared" si="6"/>
        <v>43.428571428571431</v>
      </c>
      <c r="AF14" s="31">
        <f t="shared" si="6"/>
        <v>120</v>
      </c>
    </row>
    <row r="15" spans="2:32" ht="23.1" customHeight="1" x14ac:dyDescent="0.25">
      <c r="B15" s="23" t="s">
        <v>42</v>
      </c>
      <c r="C15" s="49">
        <f>'Avg Week Masaka-Mutukula'!C15+'Avg Week Mutukula-Masaka'!C15</f>
        <v>7.1428571428571432</v>
      </c>
      <c r="D15" s="49">
        <f>'Avg Week Masaka-Mutukula'!D15+'Avg Week Mutukula-Masaka'!D15</f>
        <v>0.42857142857142855</v>
      </c>
      <c r="E15" s="49">
        <f>'Avg Week Masaka-Mutukula'!E15+'Avg Week Mutukula-Masaka'!E15</f>
        <v>0.14285714285714285</v>
      </c>
      <c r="F15" s="49">
        <f>'Avg Week Masaka-Mutukula'!F15+'Avg Week Mutukula-Masaka'!F15</f>
        <v>1.1428571428571428</v>
      </c>
      <c r="G15" s="49">
        <f>'Avg Week Masaka-Mutukula'!G15+'Avg Week Mutukula-Masaka'!G15</f>
        <v>0</v>
      </c>
      <c r="H15" s="49">
        <f>'Avg Week Masaka-Mutukula'!H15+'Avg Week Mutukula-Masaka'!H15</f>
        <v>0.14285714285714285</v>
      </c>
      <c r="I15" s="49">
        <f>'Avg Week Masaka-Mutukula'!I15+'Avg Week Mutukula-Masaka'!I15</f>
        <v>1</v>
      </c>
      <c r="J15" s="49">
        <f>'Avg Week Masaka-Mutukula'!J15+'Avg Week Mutukula-Masaka'!J15</f>
        <v>0.42857142857142855</v>
      </c>
      <c r="K15" s="49">
        <f>'Avg Week Masaka-Mutukula'!K15+'Avg Week Mutukula-Masaka'!K15</f>
        <v>1.5714285714285714</v>
      </c>
      <c r="L15" s="49">
        <f>'Avg Week Masaka-Mutukula'!L15+'Avg Week Mutukula-Masaka'!L15</f>
        <v>0.2857142857142857</v>
      </c>
      <c r="M15" s="49">
        <f>'Avg Week Masaka-Mutukula'!M15+'Avg Week Mutukula-Masaka'!M15</f>
        <v>20.857142857142858</v>
      </c>
      <c r="N15" s="49">
        <f>'Avg Week Masaka-Mutukula'!N15+'Avg Week Mutukula-Masaka'!N15</f>
        <v>0</v>
      </c>
      <c r="O15" s="15">
        <f t="shared" si="0"/>
        <v>12.285714285714286</v>
      </c>
      <c r="P15" s="15">
        <f t="shared" si="1"/>
        <v>33.142857142857146</v>
      </c>
      <c r="R15" s="1" t="s">
        <v>11</v>
      </c>
      <c r="S15" s="17">
        <f t="shared" ref="S15:AF15" si="7">SUM(C30:C33)</f>
        <v>19.428571428571427</v>
      </c>
      <c r="T15" s="17">
        <f t="shared" si="7"/>
        <v>3.714285714285714</v>
      </c>
      <c r="U15" s="17">
        <f t="shared" si="7"/>
        <v>1.2857142857142856</v>
      </c>
      <c r="V15" s="17">
        <f t="shared" si="7"/>
        <v>13.142857142857144</v>
      </c>
      <c r="W15" s="17">
        <f t="shared" si="7"/>
        <v>0</v>
      </c>
      <c r="X15" s="17">
        <f t="shared" si="7"/>
        <v>0.14285714285714285</v>
      </c>
      <c r="Y15" s="17">
        <f t="shared" si="7"/>
        <v>6.4285714285714288</v>
      </c>
      <c r="Z15" s="17">
        <f t="shared" si="7"/>
        <v>3.714285714285714</v>
      </c>
      <c r="AA15" s="17">
        <f t="shared" si="7"/>
        <v>3.5714285714285712</v>
      </c>
      <c r="AB15" s="17">
        <f t="shared" si="7"/>
        <v>0.42857142857142855</v>
      </c>
      <c r="AC15" s="17">
        <f t="shared" si="7"/>
        <v>79.714285714285722</v>
      </c>
      <c r="AD15" s="17">
        <f t="shared" si="7"/>
        <v>0</v>
      </c>
      <c r="AE15" s="31">
        <f t="shared" si="7"/>
        <v>51.857142857142854</v>
      </c>
      <c r="AF15" s="31">
        <f t="shared" si="7"/>
        <v>131.57142857142856</v>
      </c>
    </row>
    <row r="16" spans="2:32" ht="23.1" customHeight="1" x14ac:dyDescent="0.25">
      <c r="B16" s="23" t="s">
        <v>43</v>
      </c>
      <c r="C16" s="49">
        <f>'Avg Week Masaka-Mutukula'!C16+'Avg Week Mutukula-Masaka'!C16</f>
        <v>5.4285714285714288</v>
      </c>
      <c r="D16" s="49">
        <f>'Avg Week Masaka-Mutukula'!D16+'Avg Week Mutukula-Masaka'!D16</f>
        <v>0.2857142857142857</v>
      </c>
      <c r="E16" s="49">
        <f>'Avg Week Masaka-Mutukula'!E16+'Avg Week Mutukula-Masaka'!E16</f>
        <v>0</v>
      </c>
      <c r="F16" s="49">
        <f>'Avg Week Masaka-Mutukula'!F16+'Avg Week Mutukula-Masaka'!F16</f>
        <v>2.2857142857142856</v>
      </c>
      <c r="G16" s="49">
        <f>'Avg Week Masaka-Mutukula'!G16+'Avg Week Mutukula-Masaka'!G16</f>
        <v>0</v>
      </c>
      <c r="H16" s="49">
        <f>'Avg Week Masaka-Mutukula'!H16+'Avg Week Mutukula-Masaka'!H16</f>
        <v>0.14285714285714285</v>
      </c>
      <c r="I16" s="49">
        <f>'Avg Week Masaka-Mutukula'!I16+'Avg Week Mutukula-Masaka'!I16</f>
        <v>1.4285714285714284</v>
      </c>
      <c r="J16" s="49">
        <f>'Avg Week Masaka-Mutukula'!J16+'Avg Week Mutukula-Masaka'!J16</f>
        <v>1</v>
      </c>
      <c r="K16" s="49">
        <f>'Avg Week Masaka-Mutukula'!K16+'Avg Week Mutukula-Masaka'!K16</f>
        <v>0.7142857142857143</v>
      </c>
      <c r="L16" s="49">
        <f>'Avg Week Masaka-Mutukula'!L16+'Avg Week Mutukula-Masaka'!L16</f>
        <v>0.14285714285714285</v>
      </c>
      <c r="M16" s="49">
        <f>'Avg Week Masaka-Mutukula'!M16+'Avg Week Mutukula-Masaka'!M16</f>
        <v>20.285714285714285</v>
      </c>
      <c r="N16" s="49">
        <f>'Avg Week Masaka-Mutukula'!N16+'Avg Week Mutukula-Masaka'!N16</f>
        <v>0</v>
      </c>
      <c r="O16" s="15">
        <f t="shared" si="0"/>
        <v>11.428571428571427</v>
      </c>
      <c r="P16" s="15">
        <f t="shared" si="1"/>
        <v>31.714285714285712</v>
      </c>
      <c r="R16" s="1" t="s">
        <v>12</v>
      </c>
      <c r="S16" s="17">
        <f t="shared" ref="S16:AF16" si="8">SUM(C34:C37)</f>
        <v>17</v>
      </c>
      <c r="T16" s="17">
        <f t="shared" si="8"/>
        <v>1.4285714285714284</v>
      </c>
      <c r="U16" s="17">
        <f t="shared" si="8"/>
        <v>0.99999999999999989</v>
      </c>
      <c r="V16" s="17">
        <f t="shared" si="8"/>
        <v>12.142857142857142</v>
      </c>
      <c r="W16" s="17">
        <f t="shared" si="8"/>
        <v>0.2857142857142857</v>
      </c>
      <c r="X16" s="17">
        <f t="shared" si="8"/>
        <v>0</v>
      </c>
      <c r="Y16" s="17">
        <f t="shared" si="8"/>
        <v>5.7142857142857144</v>
      </c>
      <c r="Z16" s="17">
        <f t="shared" si="8"/>
        <v>4</v>
      </c>
      <c r="AA16" s="17">
        <f t="shared" si="8"/>
        <v>6.4285714285714288</v>
      </c>
      <c r="AB16" s="17">
        <f t="shared" si="8"/>
        <v>1.2857142857142856</v>
      </c>
      <c r="AC16" s="17">
        <f t="shared" si="8"/>
        <v>80.571428571428569</v>
      </c>
      <c r="AD16" s="17">
        <f t="shared" si="8"/>
        <v>0</v>
      </c>
      <c r="AE16" s="31">
        <f t="shared" si="8"/>
        <v>49.285714285714285</v>
      </c>
      <c r="AF16" s="31">
        <f t="shared" si="8"/>
        <v>129.85714285714283</v>
      </c>
    </row>
    <row r="17" spans="2:32" ht="23.1" customHeight="1" x14ac:dyDescent="0.25">
      <c r="B17" s="23" t="s">
        <v>44</v>
      </c>
      <c r="C17" s="49">
        <f>'Avg Week Masaka-Mutukula'!C17+'Avg Week Mutukula-Masaka'!C17</f>
        <v>4.1428571428571423</v>
      </c>
      <c r="D17" s="49">
        <f>'Avg Week Masaka-Mutukula'!D17+'Avg Week Mutukula-Masaka'!D17</f>
        <v>0.5714285714285714</v>
      </c>
      <c r="E17" s="49">
        <f>'Avg Week Masaka-Mutukula'!E17+'Avg Week Mutukula-Masaka'!E17</f>
        <v>0</v>
      </c>
      <c r="F17" s="49">
        <f>'Avg Week Masaka-Mutukula'!F17+'Avg Week Mutukula-Masaka'!F17</f>
        <v>3.1428571428571432</v>
      </c>
      <c r="G17" s="49">
        <f>'Avg Week Masaka-Mutukula'!G17+'Avg Week Mutukula-Masaka'!G17</f>
        <v>0</v>
      </c>
      <c r="H17" s="49">
        <f>'Avg Week Masaka-Mutukula'!H17+'Avg Week Mutukula-Masaka'!H17</f>
        <v>0</v>
      </c>
      <c r="I17" s="49">
        <f>'Avg Week Masaka-Mutukula'!I17+'Avg Week Mutukula-Masaka'!I17</f>
        <v>1.8571428571428572</v>
      </c>
      <c r="J17" s="49">
        <f>'Avg Week Masaka-Mutukula'!J17+'Avg Week Mutukula-Masaka'!J17</f>
        <v>0.2857142857142857</v>
      </c>
      <c r="K17" s="49">
        <f>'Avg Week Masaka-Mutukula'!K17+'Avg Week Mutukula-Masaka'!K17</f>
        <v>1.5714285714285716</v>
      </c>
      <c r="L17" s="49">
        <f>'Avg Week Masaka-Mutukula'!L17+'Avg Week Mutukula-Masaka'!L17</f>
        <v>0.14285714285714285</v>
      </c>
      <c r="M17" s="49">
        <f>'Avg Week Masaka-Mutukula'!M17+'Avg Week Mutukula-Masaka'!M17</f>
        <v>21.571428571428573</v>
      </c>
      <c r="N17" s="49">
        <f>'Avg Week Masaka-Mutukula'!N17+'Avg Week Mutukula-Masaka'!N17</f>
        <v>0</v>
      </c>
      <c r="O17" s="15">
        <f t="shared" si="0"/>
        <v>11.714285714285714</v>
      </c>
      <c r="P17" s="15">
        <f t="shared" si="1"/>
        <v>33.285714285714285</v>
      </c>
      <c r="R17" s="1" t="s">
        <v>13</v>
      </c>
      <c r="S17" s="17">
        <f t="shared" ref="S17:AF17" si="9">SUM(C38:C41)</f>
        <v>22.285714285714285</v>
      </c>
      <c r="T17" s="17">
        <f t="shared" si="9"/>
        <v>2.1428571428571428</v>
      </c>
      <c r="U17" s="17">
        <f t="shared" si="9"/>
        <v>7.4285714285714288</v>
      </c>
      <c r="V17" s="17">
        <f t="shared" si="9"/>
        <v>10.857142857142858</v>
      </c>
      <c r="W17" s="17">
        <f t="shared" si="9"/>
        <v>0</v>
      </c>
      <c r="X17" s="17">
        <f t="shared" si="9"/>
        <v>0.14285714285714285</v>
      </c>
      <c r="Y17" s="17">
        <f t="shared" si="9"/>
        <v>7.2857142857142856</v>
      </c>
      <c r="Z17" s="17">
        <f t="shared" si="9"/>
        <v>3.4285714285714284</v>
      </c>
      <c r="AA17" s="17">
        <f t="shared" si="9"/>
        <v>5.2857142857142856</v>
      </c>
      <c r="AB17" s="17">
        <f t="shared" si="9"/>
        <v>0.5714285714285714</v>
      </c>
      <c r="AC17" s="17">
        <f t="shared" si="9"/>
        <v>91</v>
      </c>
      <c r="AD17" s="17">
        <f t="shared" si="9"/>
        <v>0.14285714285714285</v>
      </c>
      <c r="AE17" s="31">
        <f t="shared" si="9"/>
        <v>59.571428571428569</v>
      </c>
      <c r="AF17" s="31">
        <f t="shared" si="9"/>
        <v>150.57142857142856</v>
      </c>
    </row>
    <row r="18" spans="2:32" ht="23.1" customHeight="1" x14ac:dyDescent="0.25">
      <c r="B18" s="23" t="s">
        <v>45</v>
      </c>
      <c r="C18" s="49">
        <f>'Avg Week Masaka-Mutukula'!C18+'Avg Week Mutukula-Masaka'!C18</f>
        <v>5.2857142857142856</v>
      </c>
      <c r="D18" s="49">
        <f>'Avg Week Masaka-Mutukula'!D18+'Avg Week Mutukula-Masaka'!D18</f>
        <v>0.5714285714285714</v>
      </c>
      <c r="E18" s="49">
        <f>'Avg Week Masaka-Mutukula'!E18+'Avg Week Mutukula-Masaka'!E18</f>
        <v>0.42857142857142855</v>
      </c>
      <c r="F18" s="49">
        <f>'Avg Week Masaka-Mutukula'!F18+'Avg Week Mutukula-Masaka'!F18</f>
        <v>2.1428571428571428</v>
      </c>
      <c r="G18" s="49">
        <f>'Avg Week Masaka-Mutukula'!G18+'Avg Week Mutukula-Masaka'!G18</f>
        <v>0</v>
      </c>
      <c r="H18" s="49">
        <f>'Avg Week Masaka-Mutukula'!H18+'Avg Week Mutukula-Masaka'!H18</f>
        <v>0</v>
      </c>
      <c r="I18" s="49">
        <f>'Avg Week Masaka-Mutukula'!I18+'Avg Week Mutukula-Masaka'!I18</f>
        <v>2.4285714285714284</v>
      </c>
      <c r="J18" s="49">
        <f>'Avg Week Masaka-Mutukula'!J18+'Avg Week Mutukula-Masaka'!J18</f>
        <v>0.71428571428571419</v>
      </c>
      <c r="K18" s="49">
        <f>'Avg Week Masaka-Mutukula'!K18+'Avg Week Mutukula-Masaka'!K18</f>
        <v>1.2857142857142856</v>
      </c>
      <c r="L18" s="49">
        <f>'Avg Week Masaka-Mutukula'!L18+'Avg Week Mutukula-Masaka'!L18</f>
        <v>0.14285714285714285</v>
      </c>
      <c r="M18" s="49">
        <f>'Avg Week Masaka-Mutukula'!M18+'Avg Week Mutukula-Masaka'!M18</f>
        <v>22.571428571428569</v>
      </c>
      <c r="N18" s="49">
        <f>'Avg Week Masaka-Mutukula'!N18+'Avg Week Mutukula-Masaka'!N18</f>
        <v>0</v>
      </c>
      <c r="O18" s="15">
        <f t="shared" si="0"/>
        <v>13</v>
      </c>
      <c r="P18" s="15">
        <f t="shared" si="1"/>
        <v>35.571428571428569</v>
      </c>
      <c r="R18" s="1" t="s">
        <v>14</v>
      </c>
      <c r="S18" s="17">
        <f t="shared" ref="S18:AF18" si="10">SUM(C42:C45)</f>
        <v>19.857142857142858</v>
      </c>
      <c r="T18" s="17">
        <f t="shared" si="10"/>
        <v>3.5714285714285712</v>
      </c>
      <c r="U18" s="17">
        <f t="shared" si="10"/>
        <v>1.7142857142857142</v>
      </c>
      <c r="V18" s="17">
        <f t="shared" si="10"/>
        <v>12.428571428571429</v>
      </c>
      <c r="W18" s="17">
        <f t="shared" si="10"/>
        <v>0</v>
      </c>
      <c r="X18" s="17">
        <f t="shared" si="10"/>
        <v>0</v>
      </c>
      <c r="Y18" s="17">
        <f t="shared" si="10"/>
        <v>8.7142857142857135</v>
      </c>
      <c r="Z18" s="17">
        <f t="shared" si="10"/>
        <v>4.5714285714285712</v>
      </c>
      <c r="AA18" s="17">
        <f t="shared" si="10"/>
        <v>5</v>
      </c>
      <c r="AB18" s="17">
        <f t="shared" si="10"/>
        <v>0.2857142857142857</v>
      </c>
      <c r="AC18" s="17">
        <f t="shared" si="10"/>
        <v>90.857142857142861</v>
      </c>
      <c r="AD18" s="17">
        <f t="shared" si="10"/>
        <v>0</v>
      </c>
      <c r="AE18" s="31">
        <f t="shared" si="10"/>
        <v>56.142857142857139</v>
      </c>
      <c r="AF18" s="31">
        <f t="shared" si="10"/>
        <v>147</v>
      </c>
    </row>
    <row r="19" spans="2:32" ht="23.1" customHeight="1" x14ac:dyDescent="0.25">
      <c r="B19" s="23" t="s">
        <v>46</v>
      </c>
      <c r="C19" s="49">
        <f>'Avg Week Masaka-Mutukula'!C19+'Avg Week Mutukula-Masaka'!C19</f>
        <v>4.7142857142857135</v>
      </c>
      <c r="D19" s="49">
        <f>'Avg Week Masaka-Mutukula'!D19+'Avg Week Mutukula-Masaka'!D19</f>
        <v>0.2857142857142857</v>
      </c>
      <c r="E19" s="49">
        <f>'Avg Week Masaka-Mutukula'!E19+'Avg Week Mutukula-Masaka'!E19</f>
        <v>0.2857142857142857</v>
      </c>
      <c r="F19" s="49">
        <f>'Avg Week Masaka-Mutukula'!F19+'Avg Week Mutukula-Masaka'!F19</f>
        <v>2.5714285714285712</v>
      </c>
      <c r="G19" s="49">
        <f>'Avg Week Masaka-Mutukula'!G19+'Avg Week Mutukula-Masaka'!G19</f>
        <v>0.14285714285714285</v>
      </c>
      <c r="H19" s="49">
        <f>'Avg Week Masaka-Mutukula'!H19+'Avg Week Mutukula-Masaka'!H19</f>
        <v>0.14285714285714285</v>
      </c>
      <c r="I19" s="49">
        <f>'Avg Week Masaka-Mutukula'!I19+'Avg Week Mutukula-Masaka'!I19</f>
        <v>1.5714285714285714</v>
      </c>
      <c r="J19" s="49">
        <f>'Avg Week Masaka-Mutukula'!J19+'Avg Week Mutukula-Masaka'!J19</f>
        <v>0.71428571428571419</v>
      </c>
      <c r="K19" s="49">
        <f>'Avg Week Masaka-Mutukula'!K19+'Avg Week Mutukula-Masaka'!K19</f>
        <v>0.71428571428571419</v>
      </c>
      <c r="L19" s="49">
        <f>'Avg Week Masaka-Mutukula'!L19+'Avg Week Mutukula-Masaka'!L19</f>
        <v>0.14285714285714285</v>
      </c>
      <c r="M19" s="49">
        <f>'Avg Week Masaka-Mutukula'!M19+'Avg Week Mutukula-Masaka'!M19</f>
        <v>22.428571428571431</v>
      </c>
      <c r="N19" s="49">
        <f>'Avg Week Masaka-Mutukula'!N19+'Avg Week Mutukula-Masaka'!N19</f>
        <v>0</v>
      </c>
      <c r="O19" s="15">
        <f t="shared" si="0"/>
        <v>11.285714285714283</v>
      </c>
      <c r="P19" s="15">
        <f t="shared" si="1"/>
        <v>33.714285714285715</v>
      </c>
      <c r="R19" s="1" t="s">
        <v>15</v>
      </c>
      <c r="S19" s="17">
        <f t="shared" ref="S19:AF19" si="11">SUM(C46:C49)</f>
        <v>21.571428571428569</v>
      </c>
      <c r="T19" s="17">
        <f t="shared" si="11"/>
        <v>4.1428571428571423</v>
      </c>
      <c r="U19" s="17">
        <f t="shared" si="11"/>
        <v>0.99999999999999989</v>
      </c>
      <c r="V19" s="17">
        <f t="shared" si="11"/>
        <v>12.285714285714285</v>
      </c>
      <c r="W19" s="17">
        <f t="shared" si="11"/>
        <v>0.14285714285714285</v>
      </c>
      <c r="X19" s="17">
        <f t="shared" si="11"/>
        <v>1.2857142857142856</v>
      </c>
      <c r="Y19" s="17">
        <f t="shared" si="11"/>
        <v>5</v>
      </c>
      <c r="Z19" s="17">
        <f t="shared" si="11"/>
        <v>6.5714285714285721</v>
      </c>
      <c r="AA19" s="17">
        <f t="shared" si="11"/>
        <v>6.8571428571428568</v>
      </c>
      <c r="AB19" s="17">
        <f t="shared" si="11"/>
        <v>0.5714285714285714</v>
      </c>
      <c r="AC19" s="17">
        <f t="shared" si="11"/>
        <v>96.571428571428569</v>
      </c>
      <c r="AD19" s="17">
        <f t="shared" si="11"/>
        <v>0</v>
      </c>
      <c r="AE19" s="31">
        <f t="shared" si="11"/>
        <v>59.428571428571423</v>
      </c>
      <c r="AF19" s="31">
        <f t="shared" si="11"/>
        <v>156</v>
      </c>
    </row>
    <row r="20" spans="2:32" ht="23.1" customHeight="1" x14ac:dyDescent="0.25">
      <c r="B20" s="23" t="s">
        <v>47</v>
      </c>
      <c r="C20" s="49">
        <f>'Avg Week Masaka-Mutukula'!C20+'Avg Week Mutukula-Masaka'!C20</f>
        <v>4.7142857142857135</v>
      </c>
      <c r="D20" s="49">
        <f>'Avg Week Masaka-Mutukula'!D20+'Avg Week Mutukula-Masaka'!D20</f>
        <v>0.5714285714285714</v>
      </c>
      <c r="E20" s="49">
        <f>'Avg Week Masaka-Mutukula'!E20+'Avg Week Mutukula-Masaka'!E20</f>
        <v>0.71428571428571419</v>
      </c>
      <c r="F20" s="49">
        <f>'Avg Week Masaka-Mutukula'!F20+'Avg Week Mutukula-Masaka'!F20</f>
        <v>1.8571428571428572</v>
      </c>
      <c r="G20" s="49">
        <f>'Avg Week Masaka-Mutukula'!G20+'Avg Week Mutukula-Masaka'!G20</f>
        <v>0</v>
      </c>
      <c r="H20" s="49">
        <f>'Avg Week Masaka-Mutukula'!H20+'Avg Week Mutukula-Masaka'!H20</f>
        <v>0</v>
      </c>
      <c r="I20" s="49">
        <f>'Avg Week Masaka-Mutukula'!I20+'Avg Week Mutukula-Masaka'!I20</f>
        <v>2.7142857142857144</v>
      </c>
      <c r="J20" s="49">
        <f>'Avg Week Masaka-Mutukula'!J20+'Avg Week Mutukula-Masaka'!J20</f>
        <v>1</v>
      </c>
      <c r="K20" s="49">
        <f>'Avg Week Masaka-Mutukula'!K20+'Avg Week Mutukula-Masaka'!K20</f>
        <v>1.8571428571428572</v>
      </c>
      <c r="L20" s="49">
        <f>'Avg Week Masaka-Mutukula'!L20+'Avg Week Mutukula-Masaka'!L20</f>
        <v>0.5714285714285714</v>
      </c>
      <c r="M20" s="49">
        <f>'Avg Week Masaka-Mutukula'!M20+'Avg Week Mutukula-Masaka'!M20</f>
        <v>27.285714285714285</v>
      </c>
      <c r="N20" s="49">
        <f>'Avg Week Masaka-Mutukula'!N20+'Avg Week Mutukula-Masaka'!N20</f>
        <v>0</v>
      </c>
      <c r="O20" s="15">
        <f t="shared" si="0"/>
        <v>13.999999999999998</v>
      </c>
      <c r="P20" s="15">
        <f t="shared" si="1"/>
        <v>41.285714285714285</v>
      </c>
      <c r="R20" s="1" t="s">
        <v>16</v>
      </c>
      <c r="S20" s="17">
        <f t="shared" ref="S20:AF20" si="12">SUM(C50:C53)</f>
        <v>22.999999999999996</v>
      </c>
      <c r="T20" s="17">
        <f t="shared" si="12"/>
        <v>3.2857142857142856</v>
      </c>
      <c r="U20" s="17">
        <f t="shared" si="12"/>
        <v>1.4523809523809523</v>
      </c>
      <c r="V20" s="17">
        <f t="shared" si="12"/>
        <v>11</v>
      </c>
      <c r="W20" s="17">
        <f t="shared" si="12"/>
        <v>0</v>
      </c>
      <c r="X20" s="17">
        <f t="shared" si="12"/>
        <v>0.5714285714285714</v>
      </c>
      <c r="Y20" s="17">
        <f t="shared" si="12"/>
        <v>7.4285714285714279</v>
      </c>
      <c r="Z20" s="17">
        <f t="shared" si="12"/>
        <v>7.4285714285714288</v>
      </c>
      <c r="AA20" s="17">
        <f t="shared" si="12"/>
        <v>7.8571428571428568</v>
      </c>
      <c r="AB20" s="17">
        <f t="shared" si="12"/>
        <v>0.71428571428571419</v>
      </c>
      <c r="AC20" s="17">
        <f t="shared" si="12"/>
        <v>100.42857142857144</v>
      </c>
      <c r="AD20" s="17">
        <f t="shared" si="12"/>
        <v>0.14285714285714285</v>
      </c>
      <c r="AE20" s="31">
        <f t="shared" si="12"/>
        <v>62.880952380952372</v>
      </c>
      <c r="AF20" s="31">
        <f t="shared" si="12"/>
        <v>163.3095238095238</v>
      </c>
    </row>
    <row r="21" spans="2:32" ht="23.1" customHeight="1" x14ac:dyDescent="0.25">
      <c r="B21" s="23" t="s">
        <v>48</v>
      </c>
      <c r="C21" s="49">
        <f>'Avg Week Masaka-Mutukula'!C21+'Avg Week Mutukula-Masaka'!C21</f>
        <v>4.5714285714285712</v>
      </c>
      <c r="D21" s="49">
        <f>'Avg Week Masaka-Mutukula'!D21+'Avg Week Mutukula-Masaka'!D21</f>
        <v>0.14285714285714285</v>
      </c>
      <c r="E21" s="49">
        <f>'Avg Week Masaka-Mutukula'!E21+'Avg Week Mutukula-Masaka'!E21</f>
        <v>0.2857142857142857</v>
      </c>
      <c r="F21" s="49">
        <f>'Avg Week Masaka-Mutukula'!F21+'Avg Week Mutukula-Masaka'!F21</f>
        <v>1.5714285714285714</v>
      </c>
      <c r="G21" s="49">
        <f>'Avg Week Masaka-Mutukula'!G21+'Avg Week Mutukula-Masaka'!G21</f>
        <v>0</v>
      </c>
      <c r="H21" s="49">
        <f>'Avg Week Masaka-Mutukula'!H21+'Avg Week Mutukula-Masaka'!H21</f>
        <v>0</v>
      </c>
      <c r="I21" s="49">
        <f>'Avg Week Masaka-Mutukula'!I21+'Avg Week Mutukula-Masaka'!I21</f>
        <v>1.1428571428571428</v>
      </c>
      <c r="J21" s="49">
        <f>'Avg Week Masaka-Mutukula'!J21+'Avg Week Mutukula-Masaka'!J21</f>
        <v>0.42857142857142855</v>
      </c>
      <c r="K21" s="49">
        <f>'Avg Week Masaka-Mutukula'!K21+'Avg Week Mutukula-Masaka'!K21</f>
        <v>0.71428571428571419</v>
      </c>
      <c r="L21" s="49">
        <f>'Avg Week Masaka-Mutukula'!L21+'Avg Week Mutukula-Masaka'!L21</f>
        <v>0</v>
      </c>
      <c r="M21" s="49">
        <f>'Avg Week Masaka-Mutukula'!M21+'Avg Week Mutukula-Masaka'!M21</f>
        <v>25</v>
      </c>
      <c r="N21" s="49">
        <f>'Avg Week Masaka-Mutukula'!N21+'Avg Week Mutukula-Masaka'!N21</f>
        <v>0</v>
      </c>
      <c r="O21" s="15">
        <f t="shared" si="0"/>
        <v>8.8571428571428559</v>
      </c>
      <c r="P21" s="15">
        <f t="shared" si="1"/>
        <v>33.857142857142854</v>
      </c>
      <c r="R21" s="36" t="s">
        <v>20</v>
      </c>
      <c r="S21" s="34">
        <f t="shared" ref="S21:AF21" si="13">SUM(C54:C57)</f>
        <v>26.428571428571427</v>
      </c>
      <c r="T21" s="17">
        <f t="shared" si="13"/>
        <v>3.4285714285714284</v>
      </c>
      <c r="U21" s="17">
        <f t="shared" si="13"/>
        <v>2.1428571428571428</v>
      </c>
      <c r="V21" s="17">
        <f t="shared" si="13"/>
        <v>11.857142857142858</v>
      </c>
      <c r="W21" s="17">
        <f t="shared" si="13"/>
        <v>0</v>
      </c>
      <c r="X21" s="17">
        <f t="shared" si="13"/>
        <v>0</v>
      </c>
      <c r="Y21" s="17">
        <f t="shared" si="13"/>
        <v>6.2857142857142865</v>
      </c>
      <c r="Z21" s="17">
        <f t="shared" si="13"/>
        <v>6.7142857142857135</v>
      </c>
      <c r="AA21" s="17">
        <f t="shared" si="13"/>
        <v>8.2857142857142847</v>
      </c>
      <c r="AB21" s="17">
        <f t="shared" si="13"/>
        <v>2</v>
      </c>
      <c r="AC21" s="17">
        <f t="shared" si="13"/>
        <v>106.28571428571428</v>
      </c>
      <c r="AD21" s="17">
        <f t="shared" si="13"/>
        <v>6.5714285714285712</v>
      </c>
      <c r="AE21" s="31">
        <f t="shared" si="13"/>
        <v>73.714285714285708</v>
      </c>
      <c r="AF21" s="31">
        <f t="shared" si="13"/>
        <v>180</v>
      </c>
    </row>
    <row r="22" spans="2:32" ht="23.1" customHeight="1" x14ac:dyDescent="0.25">
      <c r="B22" s="23" t="s">
        <v>49</v>
      </c>
      <c r="C22" s="49">
        <f>'Avg Week Masaka-Mutukula'!C22+'Avg Week Mutukula-Masaka'!C22</f>
        <v>3.8571428571428568</v>
      </c>
      <c r="D22" s="49">
        <f>'Avg Week Masaka-Mutukula'!D22+'Avg Week Mutukula-Masaka'!D22</f>
        <v>0.5714285714285714</v>
      </c>
      <c r="E22" s="49">
        <f>'Avg Week Masaka-Mutukula'!E22+'Avg Week Mutukula-Masaka'!E22</f>
        <v>0.14285714285714285</v>
      </c>
      <c r="F22" s="49">
        <f>'Avg Week Masaka-Mutukula'!F22+'Avg Week Mutukula-Masaka'!F22</f>
        <v>2</v>
      </c>
      <c r="G22" s="49">
        <f>'Avg Week Masaka-Mutukula'!G22+'Avg Week Mutukula-Masaka'!G22</f>
        <v>0</v>
      </c>
      <c r="H22" s="49">
        <f>'Avg Week Masaka-Mutukula'!H22+'Avg Week Mutukula-Masaka'!H22</f>
        <v>0</v>
      </c>
      <c r="I22" s="49">
        <f>'Avg Week Masaka-Mutukula'!I22+'Avg Week Mutukula-Masaka'!I22</f>
        <v>1.8571428571428572</v>
      </c>
      <c r="J22" s="49">
        <f>'Avg Week Masaka-Mutukula'!J22+'Avg Week Mutukula-Masaka'!J22</f>
        <v>0.2857142857142857</v>
      </c>
      <c r="K22" s="49">
        <f>'Avg Week Masaka-Mutukula'!K22+'Avg Week Mutukula-Masaka'!K22</f>
        <v>2.2857142857142856</v>
      </c>
      <c r="L22" s="49">
        <f>'Avg Week Masaka-Mutukula'!L22+'Avg Week Mutukula-Masaka'!L22</f>
        <v>0</v>
      </c>
      <c r="M22" s="49">
        <f>'Avg Week Masaka-Mutukula'!M22+'Avg Week Mutukula-Masaka'!M22</f>
        <v>17</v>
      </c>
      <c r="N22" s="49">
        <f>'Avg Week Masaka-Mutukula'!N22+'Avg Week Mutukula-Masaka'!N22</f>
        <v>0</v>
      </c>
      <c r="O22" s="15">
        <f t="shared" si="0"/>
        <v>11</v>
      </c>
      <c r="P22" s="15">
        <f t="shared" si="1"/>
        <v>28</v>
      </c>
      <c r="R22" s="1" t="s">
        <v>146</v>
      </c>
      <c r="S22" s="34">
        <f>SUM(C58:C61)</f>
        <v>20</v>
      </c>
      <c r="T22" s="34">
        <f t="shared" ref="T22:AF22" si="14">SUM(D58:D61)</f>
        <v>9</v>
      </c>
      <c r="U22" s="34">
        <f t="shared" si="14"/>
        <v>0</v>
      </c>
      <c r="V22" s="34">
        <f t="shared" si="14"/>
        <v>11</v>
      </c>
      <c r="W22" s="34">
        <f t="shared" si="14"/>
        <v>0</v>
      </c>
      <c r="X22" s="34">
        <f t="shared" si="14"/>
        <v>0</v>
      </c>
      <c r="Y22" s="34">
        <f t="shared" si="14"/>
        <v>7</v>
      </c>
      <c r="Z22" s="34">
        <f t="shared" si="14"/>
        <v>7</v>
      </c>
      <c r="AA22" s="34">
        <f t="shared" si="14"/>
        <v>6.5</v>
      </c>
      <c r="AB22" s="34">
        <f t="shared" si="14"/>
        <v>0</v>
      </c>
      <c r="AC22" s="34">
        <f t="shared" si="14"/>
        <v>156.5</v>
      </c>
      <c r="AD22" s="34">
        <f t="shared" si="14"/>
        <v>0</v>
      </c>
      <c r="AE22" s="31">
        <f t="shared" si="14"/>
        <v>60.5</v>
      </c>
      <c r="AF22" s="31">
        <f t="shared" si="14"/>
        <v>217</v>
      </c>
    </row>
    <row r="23" spans="2:32" ht="23.1" customHeight="1" x14ac:dyDescent="0.25">
      <c r="B23" s="23" t="s">
        <v>50</v>
      </c>
      <c r="C23" s="49">
        <f>'Avg Week Masaka-Mutukula'!C23+'Avg Week Mutukula-Masaka'!C23</f>
        <v>3.4285714285714288</v>
      </c>
      <c r="D23" s="49">
        <f>'Avg Week Masaka-Mutukula'!D23+'Avg Week Mutukula-Masaka'!D23</f>
        <v>0.71428571428571419</v>
      </c>
      <c r="E23" s="49">
        <f>'Avg Week Masaka-Mutukula'!E23+'Avg Week Mutukula-Masaka'!E23</f>
        <v>0.14285714285714285</v>
      </c>
      <c r="F23" s="49">
        <f>'Avg Week Masaka-Mutukula'!F23+'Avg Week Mutukula-Masaka'!F23</f>
        <v>1.7142857142857144</v>
      </c>
      <c r="G23" s="49">
        <f>'Avg Week Masaka-Mutukula'!G23+'Avg Week Mutukula-Masaka'!G23</f>
        <v>0</v>
      </c>
      <c r="H23" s="49">
        <f>'Avg Week Masaka-Mutukula'!H23+'Avg Week Mutukula-Masaka'!H23</f>
        <v>0</v>
      </c>
      <c r="I23" s="49">
        <f>'Avg Week Masaka-Mutukula'!I23+'Avg Week Mutukula-Masaka'!I23</f>
        <v>2</v>
      </c>
      <c r="J23" s="49">
        <f>'Avg Week Masaka-Mutukula'!J23+'Avg Week Mutukula-Masaka'!J23</f>
        <v>0.42857142857142855</v>
      </c>
      <c r="K23" s="49">
        <f>'Avg Week Masaka-Mutukula'!K23+'Avg Week Mutukula-Masaka'!K23</f>
        <v>0.71428571428571419</v>
      </c>
      <c r="L23" s="49">
        <f>'Avg Week Masaka-Mutukula'!L23+'Avg Week Mutukula-Masaka'!L23</f>
        <v>0</v>
      </c>
      <c r="M23" s="49">
        <f>'Avg Week Masaka-Mutukula'!M23+'Avg Week Mutukula-Masaka'!M23</f>
        <v>15.571428571428573</v>
      </c>
      <c r="N23" s="49">
        <f>'Avg Week Masaka-Mutukula'!N23+'Avg Week Mutukula-Masaka'!N23</f>
        <v>0</v>
      </c>
      <c r="O23" s="15">
        <f t="shared" si="0"/>
        <v>9.1428571428571423</v>
      </c>
      <c r="P23" s="15">
        <f t="shared" si="1"/>
        <v>24.714285714285715</v>
      </c>
      <c r="R23" s="1" t="s">
        <v>147</v>
      </c>
      <c r="S23" s="34">
        <f>SUM(C62:C65)</f>
        <v>25.5</v>
      </c>
      <c r="T23" s="34">
        <f t="shared" ref="T23:AF23" si="15">SUM(D62:D65)</f>
        <v>4</v>
      </c>
      <c r="U23" s="34">
        <f t="shared" si="15"/>
        <v>1</v>
      </c>
      <c r="V23" s="34">
        <f t="shared" si="15"/>
        <v>3.5</v>
      </c>
      <c r="W23" s="34">
        <f t="shared" si="15"/>
        <v>0</v>
      </c>
      <c r="X23" s="34">
        <f t="shared" si="15"/>
        <v>0.5</v>
      </c>
      <c r="Y23" s="34">
        <f t="shared" si="15"/>
        <v>3.5</v>
      </c>
      <c r="Z23" s="34">
        <f t="shared" si="15"/>
        <v>11.5</v>
      </c>
      <c r="AA23" s="34">
        <f t="shared" si="15"/>
        <v>9</v>
      </c>
      <c r="AB23" s="34">
        <f t="shared" si="15"/>
        <v>0</v>
      </c>
      <c r="AC23" s="34">
        <f t="shared" si="15"/>
        <v>63</v>
      </c>
      <c r="AD23" s="34">
        <f t="shared" si="15"/>
        <v>0</v>
      </c>
      <c r="AE23" s="31">
        <f t="shared" si="15"/>
        <v>58.5</v>
      </c>
      <c r="AF23" s="31">
        <f t="shared" si="15"/>
        <v>121.5</v>
      </c>
    </row>
    <row r="24" spans="2:32" ht="23.1" customHeight="1" x14ac:dyDescent="0.25">
      <c r="B24" s="23" t="s">
        <v>51</v>
      </c>
      <c r="C24" s="49">
        <f>'Avg Week Masaka-Mutukula'!C24+'Avg Week Mutukula-Masaka'!C24</f>
        <v>5.4285714285714288</v>
      </c>
      <c r="D24" s="49">
        <f>'Avg Week Masaka-Mutukula'!D24+'Avg Week Mutukula-Masaka'!D24</f>
        <v>0.42857142857142855</v>
      </c>
      <c r="E24" s="49">
        <f>'Avg Week Masaka-Mutukula'!E24+'Avg Week Mutukula-Masaka'!E24</f>
        <v>0.2857142857142857</v>
      </c>
      <c r="F24" s="49">
        <f>'Avg Week Masaka-Mutukula'!F24+'Avg Week Mutukula-Masaka'!F24</f>
        <v>2.1428571428571428</v>
      </c>
      <c r="G24" s="49">
        <f>'Avg Week Masaka-Mutukula'!G24+'Avg Week Mutukula-Masaka'!G24</f>
        <v>0</v>
      </c>
      <c r="H24" s="49">
        <f>'Avg Week Masaka-Mutukula'!H24+'Avg Week Mutukula-Masaka'!H24</f>
        <v>0</v>
      </c>
      <c r="I24" s="49">
        <f>'Avg Week Masaka-Mutukula'!I24+'Avg Week Mutukula-Masaka'!I24</f>
        <v>1.1428571428571428</v>
      </c>
      <c r="J24" s="49">
        <f>'Avg Week Masaka-Mutukula'!J24+'Avg Week Mutukula-Masaka'!J24</f>
        <v>1.1428571428571428</v>
      </c>
      <c r="K24" s="49">
        <f>'Avg Week Masaka-Mutukula'!K24+'Avg Week Mutukula-Masaka'!K24</f>
        <v>1.4285714285714286</v>
      </c>
      <c r="L24" s="49">
        <f>'Avg Week Masaka-Mutukula'!L24+'Avg Week Mutukula-Masaka'!L24</f>
        <v>0.14285714285714285</v>
      </c>
      <c r="M24" s="49">
        <f>'Avg Week Masaka-Mutukula'!M24+'Avg Week Mutukula-Masaka'!M24</f>
        <v>19</v>
      </c>
      <c r="N24" s="49">
        <f>'Avg Week Masaka-Mutukula'!N24+'Avg Week Mutukula-Masaka'!N24</f>
        <v>0</v>
      </c>
      <c r="O24" s="15">
        <f t="shared" si="0"/>
        <v>12.142857142857142</v>
      </c>
      <c r="P24" s="15">
        <f t="shared" si="1"/>
        <v>31.142857142857142</v>
      </c>
      <c r="R24" s="1" t="s">
        <v>148</v>
      </c>
      <c r="S24" s="34">
        <f>SUM(C66:C69)</f>
        <v>20</v>
      </c>
      <c r="T24" s="34">
        <f t="shared" ref="T24:AF24" si="16">SUM(D66:D69)</f>
        <v>3</v>
      </c>
      <c r="U24" s="34">
        <f t="shared" si="16"/>
        <v>0</v>
      </c>
      <c r="V24" s="34">
        <f t="shared" si="16"/>
        <v>3</v>
      </c>
      <c r="W24" s="34">
        <f t="shared" si="16"/>
        <v>1</v>
      </c>
      <c r="X24" s="34">
        <f t="shared" si="16"/>
        <v>0.5</v>
      </c>
      <c r="Y24" s="34">
        <f t="shared" si="16"/>
        <v>1.5</v>
      </c>
      <c r="Z24" s="34">
        <f t="shared" si="16"/>
        <v>9</v>
      </c>
      <c r="AA24" s="34">
        <f t="shared" si="16"/>
        <v>3</v>
      </c>
      <c r="AB24" s="34">
        <f t="shared" si="16"/>
        <v>0</v>
      </c>
      <c r="AC24" s="34">
        <f t="shared" si="16"/>
        <v>64</v>
      </c>
      <c r="AD24" s="34">
        <f t="shared" si="16"/>
        <v>0</v>
      </c>
      <c r="AE24" s="31">
        <f t="shared" si="16"/>
        <v>41</v>
      </c>
      <c r="AF24" s="31">
        <f t="shared" si="16"/>
        <v>105</v>
      </c>
    </row>
    <row r="25" spans="2:32" ht="23.1" customHeight="1" x14ac:dyDescent="0.25">
      <c r="B25" s="23" t="s">
        <v>52</v>
      </c>
      <c r="C25" s="49">
        <f>'Avg Week Masaka-Mutukula'!C25+'Avg Week Mutukula-Masaka'!C25</f>
        <v>4.2857142857142856</v>
      </c>
      <c r="D25" s="49">
        <f>'Avg Week Masaka-Mutukula'!D25+'Avg Week Mutukula-Masaka'!D25</f>
        <v>1</v>
      </c>
      <c r="E25" s="49">
        <f>'Avg Week Masaka-Mutukula'!E25+'Avg Week Mutukula-Masaka'!E25</f>
        <v>0.2857142857142857</v>
      </c>
      <c r="F25" s="49">
        <f>'Avg Week Masaka-Mutukula'!F25+'Avg Week Mutukula-Masaka'!F25</f>
        <v>2.5714285714285712</v>
      </c>
      <c r="G25" s="49">
        <f>'Avg Week Masaka-Mutukula'!G25+'Avg Week Mutukula-Masaka'!G25</f>
        <v>0</v>
      </c>
      <c r="H25" s="49">
        <f>'Avg Week Masaka-Mutukula'!H25+'Avg Week Mutukula-Masaka'!H25</f>
        <v>0</v>
      </c>
      <c r="I25" s="49">
        <f>'Avg Week Masaka-Mutukula'!I25+'Avg Week Mutukula-Masaka'!I25</f>
        <v>2.1428571428571428</v>
      </c>
      <c r="J25" s="49">
        <f>'Avg Week Masaka-Mutukula'!J25+'Avg Week Mutukula-Masaka'!J25</f>
        <v>1.1428571428571428</v>
      </c>
      <c r="K25" s="49">
        <f>'Avg Week Masaka-Mutukula'!K25+'Avg Week Mutukula-Masaka'!K25</f>
        <v>2.7142857142857144</v>
      </c>
      <c r="L25" s="49">
        <f>'Avg Week Masaka-Mutukula'!L25+'Avg Week Mutukula-Masaka'!L25</f>
        <v>0</v>
      </c>
      <c r="M25" s="49">
        <f>'Avg Week Masaka-Mutukula'!M25+'Avg Week Mutukula-Masaka'!M25</f>
        <v>20.428571428571431</v>
      </c>
      <c r="N25" s="49">
        <f>'Avg Week Masaka-Mutukula'!N25+'Avg Week Mutukula-Masaka'!N25</f>
        <v>0</v>
      </c>
      <c r="O25" s="15">
        <f t="shared" si="0"/>
        <v>14.142857142857142</v>
      </c>
      <c r="P25" s="15">
        <f t="shared" si="1"/>
        <v>34.571428571428569</v>
      </c>
      <c r="R25" s="1" t="s">
        <v>149</v>
      </c>
      <c r="S25" s="34">
        <f>SUM(C70:C73)</f>
        <v>11.5</v>
      </c>
      <c r="T25" s="34">
        <f t="shared" ref="T25:AF25" si="17">SUM(D70:D73)</f>
        <v>1.5</v>
      </c>
      <c r="U25" s="34">
        <f t="shared" si="17"/>
        <v>0.5</v>
      </c>
      <c r="V25" s="34">
        <f t="shared" si="17"/>
        <v>2.5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2</v>
      </c>
      <c r="AA25" s="34">
        <f t="shared" si="17"/>
        <v>7.5</v>
      </c>
      <c r="AB25" s="34">
        <f t="shared" si="17"/>
        <v>0</v>
      </c>
      <c r="AC25" s="34">
        <f t="shared" si="17"/>
        <v>42</v>
      </c>
      <c r="AD25" s="34">
        <f t="shared" si="17"/>
        <v>0</v>
      </c>
      <c r="AE25" s="31">
        <f t="shared" si="17"/>
        <v>29.5</v>
      </c>
      <c r="AF25" s="31">
        <f t="shared" si="17"/>
        <v>71.5</v>
      </c>
    </row>
    <row r="26" spans="2:32" ht="23.1" customHeight="1" x14ac:dyDescent="0.25">
      <c r="B26" s="23" t="s">
        <v>53</v>
      </c>
      <c r="C26" s="49">
        <f>'Avg Week Masaka-Mutukula'!C26+'Avg Week Mutukula-Masaka'!C26</f>
        <v>3</v>
      </c>
      <c r="D26" s="49">
        <f>'Avg Week Masaka-Mutukula'!D26+'Avg Week Mutukula-Masaka'!D26</f>
        <v>1.1428571428571428</v>
      </c>
      <c r="E26" s="49">
        <f>'Avg Week Masaka-Mutukula'!E26+'Avg Week Mutukula-Masaka'!E26</f>
        <v>0.14285714285714285</v>
      </c>
      <c r="F26" s="49">
        <f>'Avg Week Masaka-Mutukula'!F26+'Avg Week Mutukula-Masaka'!F26</f>
        <v>3.8571428571428577</v>
      </c>
      <c r="G26" s="49">
        <f>'Avg Week Masaka-Mutukula'!G26+'Avg Week Mutukula-Masaka'!G26</f>
        <v>0.2857142857142857</v>
      </c>
      <c r="H26" s="49">
        <f>'Avg Week Masaka-Mutukula'!H26+'Avg Week Mutukula-Masaka'!H26</f>
        <v>0</v>
      </c>
      <c r="I26" s="49">
        <f>'Avg Week Masaka-Mutukula'!I26+'Avg Week Mutukula-Masaka'!I26</f>
        <v>1.2857142857142856</v>
      </c>
      <c r="J26" s="49">
        <f>'Avg Week Masaka-Mutukula'!J26+'Avg Week Mutukula-Masaka'!J26</f>
        <v>0.2857142857142857</v>
      </c>
      <c r="K26" s="49">
        <f>'Avg Week Masaka-Mutukula'!K26+'Avg Week Mutukula-Masaka'!K26</f>
        <v>0.8571428571428571</v>
      </c>
      <c r="L26" s="49">
        <f>'Avg Week Masaka-Mutukula'!L26+'Avg Week Mutukula-Masaka'!L26</f>
        <v>0.14285714285714285</v>
      </c>
      <c r="M26" s="49">
        <f>'Avg Week Masaka-Mutukula'!M26+'Avg Week Mutukula-Masaka'!M26</f>
        <v>19.285714285714285</v>
      </c>
      <c r="N26" s="49">
        <f>'Avg Week Masaka-Mutukula'!N26+'Avg Week Mutukula-Masaka'!N26</f>
        <v>0</v>
      </c>
      <c r="O26" s="15">
        <f t="shared" si="0"/>
        <v>11.000000000000002</v>
      </c>
      <c r="P26" s="15">
        <f t="shared" si="1"/>
        <v>30.285714285714285</v>
      </c>
      <c r="R26" s="1" t="s">
        <v>150</v>
      </c>
      <c r="S26" s="34">
        <f>SUM(C74:C77)</f>
        <v>4</v>
      </c>
      <c r="T26" s="34">
        <f t="shared" ref="T26:AF26" si="18">SUM(D74:D77)</f>
        <v>1</v>
      </c>
      <c r="U26" s="34">
        <f t="shared" si="18"/>
        <v>0.5</v>
      </c>
      <c r="V26" s="34">
        <f t="shared" si="18"/>
        <v>2</v>
      </c>
      <c r="W26" s="34">
        <f t="shared" si="18"/>
        <v>0.5</v>
      </c>
      <c r="X26" s="34">
        <f t="shared" si="18"/>
        <v>0</v>
      </c>
      <c r="Y26" s="34">
        <f t="shared" si="18"/>
        <v>0.5</v>
      </c>
      <c r="Z26" s="34">
        <f t="shared" si="18"/>
        <v>3.5</v>
      </c>
      <c r="AA26" s="34">
        <f t="shared" si="18"/>
        <v>2.5</v>
      </c>
      <c r="AB26" s="34">
        <f t="shared" si="18"/>
        <v>1.5</v>
      </c>
      <c r="AC26" s="34">
        <f t="shared" si="18"/>
        <v>10.5</v>
      </c>
      <c r="AD26" s="34">
        <f t="shared" si="18"/>
        <v>0</v>
      </c>
      <c r="AE26" s="31">
        <f t="shared" si="18"/>
        <v>16</v>
      </c>
      <c r="AF26" s="31">
        <f t="shared" si="18"/>
        <v>26.5</v>
      </c>
    </row>
    <row r="27" spans="2:32" ht="23.1" customHeight="1" x14ac:dyDescent="0.25">
      <c r="B27" s="23" t="s">
        <v>54</v>
      </c>
      <c r="C27" s="49">
        <f>'Avg Week Masaka-Mutukula'!C27+'Avg Week Mutukula-Masaka'!C27</f>
        <v>3.2857142857142856</v>
      </c>
      <c r="D27" s="49">
        <f>'Avg Week Masaka-Mutukula'!D27+'Avg Week Mutukula-Masaka'!D27</f>
        <v>0.14285714285714285</v>
      </c>
      <c r="E27" s="49">
        <f>'Avg Week Masaka-Mutukula'!E27+'Avg Week Mutukula-Masaka'!E27</f>
        <v>0.14285714285714285</v>
      </c>
      <c r="F27" s="49">
        <f>'Avg Week Masaka-Mutukula'!F27+'Avg Week Mutukula-Masaka'!F27</f>
        <v>2.2857142857142856</v>
      </c>
      <c r="G27" s="49">
        <f>'Avg Week Masaka-Mutukula'!G27+'Avg Week Mutukula-Masaka'!G27</f>
        <v>0</v>
      </c>
      <c r="H27" s="49">
        <f>'Avg Week Masaka-Mutukula'!H27+'Avg Week Mutukula-Masaka'!H27</f>
        <v>0</v>
      </c>
      <c r="I27" s="49">
        <f>'Avg Week Masaka-Mutukula'!I27+'Avg Week Mutukula-Masaka'!I27</f>
        <v>1.7142857142857144</v>
      </c>
      <c r="J27" s="49">
        <f>'Avg Week Masaka-Mutukula'!J27+'Avg Week Mutukula-Masaka'!J27</f>
        <v>1.1428571428571428</v>
      </c>
      <c r="K27" s="49">
        <f>'Avg Week Masaka-Mutukula'!K27+'Avg Week Mutukula-Masaka'!K27</f>
        <v>0.8571428571428571</v>
      </c>
      <c r="L27" s="49">
        <f>'Avg Week Masaka-Mutukula'!L27+'Avg Week Mutukula-Masaka'!L27</f>
        <v>0</v>
      </c>
      <c r="M27" s="49">
        <f>'Avg Week Masaka-Mutukula'!M27+'Avg Week Mutukula-Masaka'!M27</f>
        <v>22.142857142857146</v>
      </c>
      <c r="N27" s="49">
        <f>'Avg Week Masaka-Mutukula'!N27+'Avg Week Mutukula-Masaka'!N27</f>
        <v>0</v>
      </c>
      <c r="O27" s="15">
        <f t="shared" si="0"/>
        <v>9.5714285714285712</v>
      </c>
      <c r="P27" s="15">
        <f t="shared" si="1"/>
        <v>31.714285714285715</v>
      </c>
      <c r="R27" s="1" t="s">
        <v>151</v>
      </c>
      <c r="S27" s="34">
        <f>SUM(C78:C81)</f>
        <v>2</v>
      </c>
      <c r="T27" s="34">
        <f t="shared" ref="T27:AF27" si="19">SUM(D78:D81)</f>
        <v>1.5</v>
      </c>
      <c r="U27" s="34">
        <f t="shared" si="19"/>
        <v>0</v>
      </c>
      <c r="V27" s="34">
        <f t="shared" si="19"/>
        <v>2</v>
      </c>
      <c r="W27" s="34">
        <f t="shared" si="19"/>
        <v>1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2.5</v>
      </c>
      <c r="AB27" s="34">
        <f t="shared" si="19"/>
        <v>0</v>
      </c>
      <c r="AC27" s="34">
        <f t="shared" si="19"/>
        <v>4.5</v>
      </c>
      <c r="AD27" s="34">
        <f t="shared" si="19"/>
        <v>0</v>
      </c>
      <c r="AE27" s="31">
        <f t="shared" si="19"/>
        <v>9.5</v>
      </c>
      <c r="AF27" s="31">
        <f t="shared" si="19"/>
        <v>14</v>
      </c>
    </row>
    <row r="28" spans="2:32" ht="23.1" customHeight="1" x14ac:dyDescent="0.25">
      <c r="B28" s="23" t="s">
        <v>55</v>
      </c>
      <c r="C28" s="49">
        <f>'Avg Week Masaka-Mutukula'!C28+'Avg Week Mutukula-Masaka'!C28</f>
        <v>4.1428571428571423</v>
      </c>
      <c r="D28" s="49">
        <f>'Avg Week Masaka-Mutukula'!D28+'Avg Week Mutukula-Masaka'!D28</f>
        <v>0.8571428571428571</v>
      </c>
      <c r="E28" s="49">
        <f>'Avg Week Masaka-Mutukula'!E28+'Avg Week Mutukula-Masaka'!E28</f>
        <v>0.5714285714285714</v>
      </c>
      <c r="F28" s="49">
        <f>'Avg Week Masaka-Mutukula'!F28+'Avg Week Mutukula-Masaka'!F28</f>
        <v>2.5714285714285712</v>
      </c>
      <c r="G28" s="49">
        <f>'Avg Week Masaka-Mutukula'!G28+'Avg Week Mutukula-Masaka'!G28</f>
        <v>0</v>
      </c>
      <c r="H28" s="49">
        <f>'Avg Week Masaka-Mutukula'!H28+'Avg Week Mutukula-Masaka'!H28</f>
        <v>0</v>
      </c>
      <c r="I28" s="49">
        <f>'Avg Week Masaka-Mutukula'!I28+'Avg Week Mutukula-Masaka'!I28</f>
        <v>1.5714285714285716</v>
      </c>
      <c r="J28" s="49">
        <f>'Avg Week Masaka-Mutukula'!J28+'Avg Week Mutukula-Masaka'!J28</f>
        <v>0.71428571428571419</v>
      </c>
      <c r="K28" s="49">
        <f>'Avg Week Masaka-Mutukula'!K28+'Avg Week Mutukula-Masaka'!K28</f>
        <v>1</v>
      </c>
      <c r="L28" s="49">
        <f>'Avg Week Masaka-Mutukula'!L28+'Avg Week Mutukula-Masaka'!L28</f>
        <v>0</v>
      </c>
      <c r="M28" s="49">
        <f>'Avg Week Masaka-Mutukula'!M28+'Avg Week Mutukula-Masaka'!M28</f>
        <v>18.285714285714285</v>
      </c>
      <c r="N28" s="49">
        <f>'Avg Week Masaka-Mutukula'!N28+'Avg Week Mutukula-Masaka'!N28</f>
        <v>0</v>
      </c>
      <c r="O28" s="15">
        <f t="shared" si="0"/>
        <v>11.428571428571427</v>
      </c>
      <c r="P28" s="15">
        <f t="shared" si="1"/>
        <v>29.714285714285712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2</v>
      </c>
      <c r="AA28" s="34">
        <f t="shared" si="20"/>
        <v>0.5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5.5</v>
      </c>
      <c r="AF28" s="31">
        <f t="shared" si="20"/>
        <v>8.5</v>
      </c>
    </row>
    <row r="29" spans="2:32" ht="23.1" customHeight="1" x14ac:dyDescent="0.25">
      <c r="B29" s="23" t="s">
        <v>56</v>
      </c>
      <c r="C29" s="49">
        <f>'Avg Week Masaka-Mutukula'!C29+'Avg Week Mutukula-Masaka'!C29</f>
        <v>3.2857142857142856</v>
      </c>
      <c r="D29" s="49">
        <f>'Avg Week Masaka-Mutukula'!D29+'Avg Week Mutukula-Masaka'!D29</f>
        <v>0.42857142857142855</v>
      </c>
      <c r="E29" s="49">
        <f>'Avg Week Masaka-Mutukula'!E29+'Avg Week Mutukula-Masaka'!E29</f>
        <v>0.2857142857142857</v>
      </c>
      <c r="F29" s="49">
        <f>'Avg Week Masaka-Mutukula'!F29+'Avg Week Mutukula-Masaka'!F29</f>
        <v>3.1428571428571432</v>
      </c>
      <c r="G29" s="49">
        <f>'Avg Week Masaka-Mutukula'!G29+'Avg Week Mutukula-Masaka'!G29</f>
        <v>0</v>
      </c>
      <c r="H29" s="49">
        <f>'Avg Week Masaka-Mutukula'!H29+'Avg Week Mutukula-Masaka'!H29</f>
        <v>0</v>
      </c>
      <c r="I29" s="49">
        <f>'Avg Week Masaka-Mutukula'!I29+'Avg Week Mutukula-Masaka'!I29</f>
        <v>2</v>
      </c>
      <c r="J29" s="49">
        <f>'Avg Week Masaka-Mutukula'!J29+'Avg Week Mutukula-Masaka'!J29</f>
        <v>1.1428571428571428</v>
      </c>
      <c r="K29" s="49">
        <f>'Avg Week Masaka-Mutukula'!K29+'Avg Week Mutukula-Masaka'!K29</f>
        <v>1.1428571428571428</v>
      </c>
      <c r="L29" s="49">
        <f>'Avg Week Masaka-Mutukula'!L29+'Avg Week Mutukula-Masaka'!L29</f>
        <v>0</v>
      </c>
      <c r="M29" s="49">
        <f>'Avg Week Masaka-Mutukula'!M29+'Avg Week Mutukula-Masaka'!M29</f>
        <v>16.857142857142858</v>
      </c>
      <c r="N29" s="49">
        <f>'Avg Week Masaka-Mutukula'!N29+'Avg Week Mutukula-Masaka'!N29</f>
        <v>0</v>
      </c>
      <c r="O29" s="15">
        <f t="shared" si="0"/>
        <v>11.428571428571427</v>
      </c>
      <c r="P29" s="15">
        <f t="shared" si="1"/>
        <v>28.285714285714285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0.5</v>
      </c>
      <c r="W29" s="34">
        <f t="shared" si="21"/>
        <v>0</v>
      </c>
      <c r="X29" s="34">
        <f t="shared" si="21"/>
        <v>0.5</v>
      </c>
      <c r="Y29" s="34">
        <f t="shared" si="21"/>
        <v>0</v>
      </c>
      <c r="Z29" s="34">
        <f t="shared" si="21"/>
        <v>0.5</v>
      </c>
      <c r="AA29" s="34">
        <f t="shared" si="21"/>
        <v>2</v>
      </c>
      <c r="AB29" s="34">
        <f t="shared" si="21"/>
        <v>0.5</v>
      </c>
      <c r="AC29" s="34">
        <f t="shared" si="21"/>
        <v>1.5</v>
      </c>
      <c r="AD29" s="34">
        <f t="shared" si="21"/>
        <v>0</v>
      </c>
      <c r="AE29" s="31">
        <f t="shared" si="21"/>
        <v>4.5</v>
      </c>
      <c r="AF29" s="31">
        <f t="shared" si="21"/>
        <v>6</v>
      </c>
    </row>
    <row r="30" spans="2:32" ht="23.1" customHeight="1" x14ac:dyDescent="0.25">
      <c r="B30" s="23" t="s">
        <v>57</v>
      </c>
      <c r="C30" s="49">
        <f>'Avg Week Masaka-Mutukula'!C30+'Avg Week Mutukula-Masaka'!C30</f>
        <v>3.5714285714285712</v>
      </c>
      <c r="D30" s="49">
        <f>'Avg Week Masaka-Mutukula'!D30+'Avg Week Mutukula-Masaka'!D30</f>
        <v>1.2857142857142856</v>
      </c>
      <c r="E30" s="49">
        <f>'Avg Week Masaka-Mutukula'!E30+'Avg Week Mutukula-Masaka'!E30</f>
        <v>0.2857142857142857</v>
      </c>
      <c r="F30" s="49">
        <f>'Avg Week Masaka-Mutukula'!F30+'Avg Week Mutukula-Masaka'!F30</f>
        <v>3.7142857142857144</v>
      </c>
      <c r="G30" s="49">
        <f>'Avg Week Masaka-Mutukula'!G30+'Avg Week Mutukula-Masaka'!G30</f>
        <v>0</v>
      </c>
      <c r="H30" s="49">
        <f>'Avg Week Masaka-Mutukula'!H30+'Avg Week Mutukula-Masaka'!H30</f>
        <v>0</v>
      </c>
      <c r="I30" s="49">
        <f>'Avg Week Masaka-Mutukula'!I30+'Avg Week Mutukula-Masaka'!I30</f>
        <v>2.2857142857142856</v>
      </c>
      <c r="J30" s="49">
        <f>'Avg Week Masaka-Mutukula'!J30+'Avg Week Mutukula-Masaka'!J30</f>
        <v>1.2857142857142856</v>
      </c>
      <c r="K30" s="49">
        <f>'Avg Week Masaka-Mutukula'!K30+'Avg Week Mutukula-Masaka'!K30</f>
        <v>1</v>
      </c>
      <c r="L30" s="49">
        <f>'Avg Week Masaka-Mutukula'!L30+'Avg Week Mutukula-Masaka'!L30</f>
        <v>0.14285714285714285</v>
      </c>
      <c r="M30" s="49">
        <f>'Avg Week Masaka-Mutukula'!M30+'Avg Week Mutukula-Masaka'!M30</f>
        <v>23.571428571428569</v>
      </c>
      <c r="N30" s="49">
        <f>'Avg Week Masaka-Mutukula'!N30+'Avg Week Mutukula-Masaka'!N30</f>
        <v>0</v>
      </c>
      <c r="O30" s="15">
        <f t="shared" si="0"/>
        <v>13.571428571428569</v>
      </c>
      <c r="P30" s="15">
        <f t="shared" si="1"/>
        <v>37.142857142857139</v>
      </c>
      <c r="R30" s="1" t="s">
        <v>154</v>
      </c>
      <c r="S30" s="34">
        <f>SUM(C90:C93)</f>
        <v>0</v>
      </c>
      <c r="T30" s="34">
        <f t="shared" ref="T30:AF30" si="22">SUM(D90:D93)</f>
        <v>0.5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1.5</v>
      </c>
      <c r="Y30" s="34">
        <f t="shared" si="22"/>
        <v>0</v>
      </c>
      <c r="Z30" s="34">
        <f t="shared" si="22"/>
        <v>1.5</v>
      </c>
      <c r="AA30" s="34">
        <f t="shared" si="22"/>
        <v>1.5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5</v>
      </c>
      <c r="AF30" s="31">
        <f t="shared" si="22"/>
        <v>7</v>
      </c>
    </row>
    <row r="31" spans="2:32" ht="23.1" customHeight="1" x14ac:dyDescent="0.25">
      <c r="B31" s="24" t="s">
        <v>58</v>
      </c>
      <c r="C31" s="49">
        <f>'Avg Week Masaka-Mutukula'!C31+'Avg Week Mutukula-Masaka'!C31</f>
        <v>4.1428571428571423</v>
      </c>
      <c r="D31" s="49">
        <f>'Avg Week Masaka-Mutukula'!D31+'Avg Week Mutukula-Masaka'!D31</f>
        <v>1.1428571428571428</v>
      </c>
      <c r="E31" s="49">
        <f>'Avg Week Masaka-Mutukula'!E31+'Avg Week Mutukula-Masaka'!E31</f>
        <v>0.2857142857142857</v>
      </c>
      <c r="F31" s="49">
        <f>'Avg Week Masaka-Mutukula'!F31+'Avg Week Mutukula-Masaka'!F31</f>
        <v>3.7142857142857144</v>
      </c>
      <c r="G31" s="49">
        <f>'Avg Week Masaka-Mutukula'!G31+'Avg Week Mutukula-Masaka'!G31</f>
        <v>0</v>
      </c>
      <c r="H31" s="49">
        <f>'Avg Week Masaka-Mutukula'!H31+'Avg Week Mutukula-Masaka'!H31</f>
        <v>0</v>
      </c>
      <c r="I31" s="49">
        <f>'Avg Week Masaka-Mutukula'!I31+'Avg Week Mutukula-Masaka'!I31</f>
        <v>1.2857142857142856</v>
      </c>
      <c r="J31" s="49">
        <f>'Avg Week Masaka-Mutukula'!J31+'Avg Week Mutukula-Masaka'!J31</f>
        <v>1</v>
      </c>
      <c r="K31" s="49">
        <f>'Avg Week Masaka-Mutukula'!K31+'Avg Week Mutukula-Masaka'!K31</f>
        <v>1.4285714285714284</v>
      </c>
      <c r="L31" s="49">
        <f>'Avg Week Masaka-Mutukula'!L31+'Avg Week Mutukula-Masaka'!L31</f>
        <v>0.2857142857142857</v>
      </c>
      <c r="M31" s="49">
        <f>'Avg Week Masaka-Mutukula'!M31+'Avg Week Mutukula-Masaka'!M31</f>
        <v>19</v>
      </c>
      <c r="N31" s="49">
        <f>'Avg Week Masaka-Mutukula'!N31+'Avg Week Mutukula-Masaka'!N31</f>
        <v>0</v>
      </c>
      <c r="O31" s="15">
        <f t="shared" si="0"/>
        <v>13.285714285714285</v>
      </c>
      <c r="P31" s="15">
        <f t="shared" si="1"/>
        <v>32.285714285714285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3</v>
      </c>
      <c r="AA31" s="34">
        <f t="shared" si="23"/>
        <v>2.5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8</v>
      </c>
      <c r="AF31" s="31">
        <f t="shared" si="23"/>
        <v>9</v>
      </c>
    </row>
    <row r="32" spans="2:32" ht="23.1" customHeight="1" x14ac:dyDescent="0.25">
      <c r="B32" s="24" t="s">
        <v>59</v>
      </c>
      <c r="C32" s="49">
        <f>'Avg Week Masaka-Mutukula'!C32+'Avg Week Mutukula-Masaka'!C32</f>
        <v>6.5714285714285712</v>
      </c>
      <c r="D32" s="49">
        <f>'Avg Week Masaka-Mutukula'!D32+'Avg Week Mutukula-Masaka'!D32</f>
        <v>0.42857142857142855</v>
      </c>
      <c r="E32" s="49">
        <f>'Avg Week Masaka-Mutukula'!E32+'Avg Week Mutukula-Masaka'!E32</f>
        <v>0.42857142857142855</v>
      </c>
      <c r="F32" s="49">
        <f>'Avg Week Masaka-Mutukula'!F32+'Avg Week Mutukula-Masaka'!F32</f>
        <v>4.1428571428571432</v>
      </c>
      <c r="G32" s="49">
        <f>'Avg Week Masaka-Mutukula'!G32+'Avg Week Mutukula-Masaka'!G32</f>
        <v>0</v>
      </c>
      <c r="H32" s="49">
        <f>'Avg Week Masaka-Mutukula'!H32+'Avg Week Mutukula-Masaka'!H32</f>
        <v>0.14285714285714285</v>
      </c>
      <c r="I32" s="49">
        <f>'Avg Week Masaka-Mutukula'!I32+'Avg Week Mutukula-Masaka'!I32</f>
        <v>1.4285714285714284</v>
      </c>
      <c r="J32" s="49">
        <f>'Avg Week Masaka-Mutukula'!J32+'Avg Week Mutukula-Masaka'!J32</f>
        <v>0.42857142857142855</v>
      </c>
      <c r="K32" s="49">
        <f>'Avg Week Masaka-Mutukula'!K32+'Avg Week Mutukula-Masaka'!K32</f>
        <v>0.42857142857142855</v>
      </c>
      <c r="L32" s="49">
        <f>'Avg Week Masaka-Mutukula'!L32+'Avg Week Mutukula-Masaka'!L32</f>
        <v>0</v>
      </c>
      <c r="M32" s="49">
        <f>'Avg Week Masaka-Mutukula'!M32+'Avg Week Mutukula-Masaka'!M32</f>
        <v>18.857142857142858</v>
      </c>
      <c r="N32" s="49">
        <f>'Avg Week Masaka-Mutukula'!N32+'Avg Week Mutukula-Masaka'!N32</f>
        <v>0</v>
      </c>
      <c r="O32" s="15">
        <f t="shared" si="0"/>
        <v>14.000000000000002</v>
      </c>
      <c r="P32" s="15">
        <f t="shared" si="1"/>
        <v>32.857142857142861</v>
      </c>
      <c r="R32" s="1" t="s">
        <v>156</v>
      </c>
      <c r="S32" s="34">
        <f>SUM(C98:C101)</f>
        <v>2.5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1</v>
      </c>
      <c r="X32" s="34">
        <f t="shared" si="24"/>
        <v>0.5</v>
      </c>
      <c r="Y32" s="34">
        <f t="shared" si="24"/>
        <v>1</v>
      </c>
      <c r="Z32" s="34">
        <f t="shared" si="24"/>
        <v>2</v>
      </c>
      <c r="AA32" s="34">
        <f t="shared" si="24"/>
        <v>4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13</v>
      </c>
      <c r="AF32" s="31">
        <f t="shared" si="24"/>
        <v>15</v>
      </c>
    </row>
    <row r="33" spans="2:32" ht="23.1" customHeight="1" x14ac:dyDescent="0.25">
      <c r="B33" s="23" t="s">
        <v>60</v>
      </c>
      <c r="C33" s="49">
        <f>'Avg Week Masaka-Mutukula'!C33+'Avg Week Mutukula-Masaka'!C33</f>
        <v>5.1428571428571423</v>
      </c>
      <c r="D33" s="49">
        <f>'Avg Week Masaka-Mutukula'!D33+'Avg Week Mutukula-Masaka'!D33</f>
        <v>0.8571428571428571</v>
      </c>
      <c r="E33" s="49">
        <f>'Avg Week Masaka-Mutukula'!E33+'Avg Week Mutukula-Masaka'!E33</f>
        <v>0.2857142857142857</v>
      </c>
      <c r="F33" s="49">
        <f>'Avg Week Masaka-Mutukula'!F33+'Avg Week Mutukula-Masaka'!F33</f>
        <v>1.5714285714285716</v>
      </c>
      <c r="G33" s="49">
        <f>'Avg Week Masaka-Mutukula'!G33+'Avg Week Mutukula-Masaka'!G33</f>
        <v>0</v>
      </c>
      <c r="H33" s="49">
        <f>'Avg Week Masaka-Mutukula'!H33+'Avg Week Mutukula-Masaka'!H33</f>
        <v>0</v>
      </c>
      <c r="I33" s="49">
        <f>'Avg Week Masaka-Mutukula'!I33+'Avg Week Mutukula-Masaka'!I33</f>
        <v>1.4285714285714284</v>
      </c>
      <c r="J33" s="49">
        <f>'Avg Week Masaka-Mutukula'!J33+'Avg Week Mutukula-Masaka'!J33</f>
        <v>1</v>
      </c>
      <c r="K33" s="49">
        <f>'Avg Week Masaka-Mutukula'!K33+'Avg Week Mutukula-Masaka'!K33</f>
        <v>0.71428571428571419</v>
      </c>
      <c r="L33" s="49">
        <f>'Avg Week Masaka-Mutukula'!L33+'Avg Week Mutukula-Masaka'!L33</f>
        <v>0</v>
      </c>
      <c r="M33" s="49">
        <f>'Avg Week Masaka-Mutukula'!M33+'Avg Week Mutukula-Masaka'!M33</f>
        <v>18.285714285714285</v>
      </c>
      <c r="N33" s="49">
        <f>'Avg Week Masaka-Mutukula'!N33+'Avg Week Mutukula-Masaka'!N33</f>
        <v>0</v>
      </c>
      <c r="O33" s="15">
        <f t="shared" si="0"/>
        <v>10.999999999999998</v>
      </c>
      <c r="P33" s="15">
        <f t="shared" si="1"/>
        <v>29.285714285714285</v>
      </c>
      <c r="R33" s="1" t="s">
        <v>157</v>
      </c>
      <c r="S33" s="34">
        <f>SUM(C102:C105)</f>
        <v>6.5</v>
      </c>
      <c r="T33" s="34">
        <f t="shared" ref="T33:AF33" si="25">SUM(D102:D105)</f>
        <v>2.5</v>
      </c>
      <c r="U33" s="34">
        <f t="shared" si="25"/>
        <v>0</v>
      </c>
      <c r="V33" s="34">
        <f t="shared" si="25"/>
        <v>17.5</v>
      </c>
      <c r="W33" s="34">
        <f t="shared" si="25"/>
        <v>0</v>
      </c>
      <c r="X33" s="34">
        <f t="shared" si="25"/>
        <v>0</v>
      </c>
      <c r="Y33" s="34">
        <f t="shared" si="25"/>
        <v>2.5</v>
      </c>
      <c r="Z33" s="34">
        <f t="shared" si="25"/>
        <v>2.5</v>
      </c>
      <c r="AA33" s="34">
        <f t="shared" si="25"/>
        <v>3.5</v>
      </c>
      <c r="AB33" s="34">
        <f t="shared" si="25"/>
        <v>0</v>
      </c>
      <c r="AC33" s="34">
        <f t="shared" si="25"/>
        <v>25.5</v>
      </c>
      <c r="AD33" s="34">
        <f t="shared" si="25"/>
        <v>0</v>
      </c>
      <c r="AE33" s="31">
        <f t="shared" si="25"/>
        <v>35</v>
      </c>
      <c r="AF33" s="31">
        <f t="shared" si="25"/>
        <v>60.5</v>
      </c>
    </row>
    <row r="34" spans="2:32" ht="23.1" customHeight="1" x14ac:dyDescent="0.25">
      <c r="B34" s="24" t="s">
        <v>61</v>
      </c>
      <c r="C34" s="49">
        <f>'Avg Week Masaka-Mutukula'!C34+'Avg Week Mutukula-Masaka'!C34</f>
        <v>5.8571428571428568</v>
      </c>
      <c r="D34" s="49">
        <f>'Avg Week Masaka-Mutukula'!D34+'Avg Week Mutukula-Masaka'!D34</f>
        <v>0.2857142857142857</v>
      </c>
      <c r="E34" s="49">
        <f>'Avg Week Masaka-Mutukula'!E34+'Avg Week Mutukula-Masaka'!E34</f>
        <v>0.14285714285714285</v>
      </c>
      <c r="F34" s="49">
        <f>'Avg Week Masaka-Mutukula'!F34+'Avg Week Mutukula-Masaka'!F34</f>
        <v>4</v>
      </c>
      <c r="G34" s="49">
        <f>'Avg Week Masaka-Mutukula'!G34+'Avg Week Mutukula-Masaka'!G34</f>
        <v>0</v>
      </c>
      <c r="H34" s="49">
        <f>'Avg Week Masaka-Mutukula'!H34+'Avg Week Mutukula-Masaka'!H34</f>
        <v>0</v>
      </c>
      <c r="I34" s="49">
        <f>'Avg Week Masaka-Mutukula'!I34+'Avg Week Mutukula-Masaka'!I34</f>
        <v>1.5714285714285714</v>
      </c>
      <c r="J34" s="49">
        <f>'Avg Week Masaka-Mutukula'!J34+'Avg Week Mutukula-Masaka'!J34</f>
        <v>0.8571428571428571</v>
      </c>
      <c r="K34" s="49">
        <f>'Avg Week Masaka-Mutukula'!K34+'Avg Week Mutukula-Masaka'!K34</f>
        <v>1.7142857142857144</v>
      </c>
      <c r="L34" s="49">
        <f>'Avg Week Masaka-Mutukula'!L34+'Avg Week Mutukula-Masaka'!L34</f>
        <v>0.2857142857142857</v>
      </c>
      <c r="M34" s="49">
        <f>'Avg Week Masaka-Mutukula'!M34+'Avg Week Mutukula-Masaka'!M34</f>
        <v>23.142857142857146</v>
      </c>
      <c r="N34" s="49">
        <f>'Avg Week Masaka-Mutukula'!N34+'Avg Week Mutukula-Masaka'!N34</f>
        <v>0</v>
      </c>
      <c r="O34" s="15">
        <f t="shared" si="0"/>
        <v>14.714285714285714</v>
      </c>
      <c r="P34" s="15">
        <f t="shared" si="1"/>
        <v>37.857142857142861</v>
      </c>
      <c r="R34" s="38" t="s">
        <v>90</v>
      </c>
      <c r="S34" s="39">
        <f t="shared" ref="S34:AF34" si="26">MAX(S10:S12)</f>
        <v>21.142857142857142</v>
      </c>
      <c r="T34" s="39">
        <f t="shared" si="26"/>
        <v>1.7142857142857142</v>
      </c>
      <c r="U34" s="39">
        <f t="shared" si="26"/>
        <v>1.714285714285714</v>
      </c>
      <c r="V34" s="39">
        <f t="shared" si="26"/>
        <v>8.1428571428571423</v>
      </c>
      <c r="W34" s="39">
        <f t="shared" si="26"/>
        <v>0.2857142857142857</v>
      </c>
      <c r="X34" s="39">
        <f t="shared" si="26"/>
        <v>0.2857142857142857</v>
      </c>
      <c r="Y34" s="39">
        <f t="shared" si="26"/>
        <v>7.8571428571428577</v>
      </c>
      <c r="Z34" s="39">
        <f t="shared" si="26"/>
        <v>2.8571428571428568</v>
      </c>
      <c r="AA34" s="39">
        <f t="shared" si="26"/>
        <v>6.5714285714285712</v>
      </c>
      <c r="AB34" s="39">
        <f t="shared" si="26"/>
        <v>0.8571428571428571</v>
      </c>
      <c r="AC34" s="39">
        <f t="shared" si="26"/>
        <v>97.285714285714278</v>
      </c>
      <c r="AD34" s="39">
        <f t="shared" si="26"/>
        <v>0</v>
      </c>
      <c r="AE34" s="40">
        <f t="shared" si="26"/>
        <v>47.142857142857139</v>
      </c>
      <c r="AF34" s="40">
        <f t="shared" si="26"/>
        <v>144.42857142857142</v>
      </c>
    </row>
    <row r="35" spans="2:32" ht="23.1" customHeight="1" x14ac:dyDescent="0.25">
      <c r="B35" s="24" t="s">
        <v>62</v>
      </c>
      <c r="C35" s="49">
        <f>'Avg Week Masaka-Mutukula'!C35+'Avg Week Mutukula-Masaka'!C35</f>
        <v>4.1428571428571423</v>
      </c>
      <c r="D35" s="49">
        <f>'Avg Week Masaka-Mutukula'!D35+'Avg Week Mutukula-Masaka'!D35</f>
        <v>0.42857142857142855</v>
      </c>
      <c r="E35" s="49">
        <f>'Avg Week Masaka-Mutukula'!E35+'Avg Week Mutukula-Masaka'!E35</f>
        <v>0</v>
      </c>
      <c r="F35" s="49">
        <f>'Avg Week Masaka-Mutukula'!F35+'Avg Week Mutukula-Masaka'!F35</f>
        <v>3</v>
      </c>
      <c r="G35" s="49">
        <f>'Avg Week Masaka-Mutukula'!G35+'Avg Week Mutukula-Masaka'!G35</f>
        <v>0</v>
      </c>
      <c r="H35" s="49">
        <f>'Avg Week Masaka-Mutukula'!H35+'Avg Week Mutukula-Masaka'!H35</f>
        <v>0</v>
      </c>
      <c r="I35" s="49">
        <f>'Avg Week Masaka-Mutukula'!I35+'Avg Week Mutukula-Masaka'!I35</f>
        <v>1.8571428571428572</v>
      </c>
      <c r="J35" s="49">
        <f>'Avg Week Masaka-Mutukula'!J35+'Avg Week Mutukula-Masaka'!J35</f>
        <v>1</v>
      </c>
      <c r="K35" s="49">
        <f>'Avg Week Masaka-Mutukula'!K35+'Avg Week Mutukula-Masaka'!K35</f>
        <v>1</v>
      </c>
      <c r="L35" s="49">
        <f>'Avg Week Masaka-Mutukula'!L35+'Avg Week Mutukula-Masaka'!L35</f>
        <v>0.2857142857142857</v>
      </c>
      <c r="M35" s="49">
        <f>'Avg Week Masaka-Mutukula'!M35+'Avg Week Mutukula-Masaka'!M35</f>
        <v>17.571428571428569</v>
      </c>
      <c r="N35" s="49">
        <f>'Avg Week Masaka-Mutukula'!N35+'Avg Week Mutukula-Masaka'!N35</f>
        <v>0</v>
      </c>
      <c r="O35" s="15">
        <f t="shared" si="0"/>
        <v>11.714285714285715</v>
      </c>
      <c r="P35" s="15">
        <f t="shared" si="1"/>
        <v>29.285714285714285</v>
      </c>
      <c r="R35" s="38" t="s">
        <v>91</v>
      </c>
      <c r="S35" s="39">
        <f t="shared" ref="S35:AF35" si="27">MAX(S13:S18)</f>
        <v>22.285714285714285</v>
      </c>
      <c r="T35" s="39">
        <f t="shared" si="27"/>
        <v>3.714285714285714</v>
      </c>
      <c r="U35" s="39">
        <f t="shared" si="27"/>
        <v>7.4285714285714288</v>
      </c>
      <c r="V35" s="39">
        <f t="shared" si="27"/>
        <v>13.142857142857144</v>
      </c>
      <c r="W35" s="39">
        <f t="shared" si="27"/>
        <v>0.2857142857142857</v>
      </c>
      <c r="X35" s="39">
        <f t="shared" si="27"/>
        <v>0.14285714285714285</v>
      </c>
      <c r="Y35" s="39">
        <f t="shared" si="27"/>
        <v>8.7142857142857135</v>
      </c>
      <c r="Z35" s="39">
        <f t="shared" si="27"/>
        <v>4.5714285714285712</v>
      </c>
      <c r="AA35" s="39">
        <f t="shared" si="27"/>
        <v>7.1428571428571432</v>
      </c>
      <c r="AB35" s="39">
        <f t="shared" si="27"/>
        <v>1.2857142857142856</v>
      </c>
      <c r="AC35" s="39">
        <f t="shared" si="27"/>
        <v>91</v>
      </c>
      <c r="AD35" s="39">
        <f t="shared" si="27"/>
        <v>0.14285714285714285</v>
      </c>
      <c r="AE35" s="40">
        <f t="shared" si="27"/>
        <v>59.571428571428569</v>
      </c>
      <c r="AF35" s="40">
        <f t="shared" si="27"/>
        <v>150.57142857142856</v>
      </c>
    </row>
    <row r="36" spans="2:32" ht="23.1" customHeight="1" x14ac:dyDescent="0.25">
      <c r="B36" s="24" t="s">
        <v>63</v>
      </c>
      <c r="C36" s="49">
        <f>'Avg Week Masaka-Mutukula'!C36+'Avg Week Mutukula-Masaka'!C36</f>
        <v>1.8571428571428572</v>
      </c>
      <c r="D36" s="49">
        <f>'Avg Week Masaka-Mutukula'!D36+'Avg Week Mutukula-Masaka'!D36</f>
        <v>0.2857142857142857</v>
      </c>
      <c r="E36" s="49">
        <f>'Avg Week Masaka-Mutukula'!E36+'Avg Week Mutukula-Masaka'!E36</f>
        <v>0.14285714285714285</v>
      </c>
      <c r="F36" s="49">
        <f>'Avg Week Masaka-Mutukula'!F36+'Avg Week Mutukula-Masaka'!F36</f>
        <v>3</v>
      </c>
      <c r="G36" s="49">
        <f>'Avg Week Masaka-Mutukula'!G36+'Avg Week Mutukula-Masaka'!G36</f>
        <v>0.14285714285714285</v>
      </c>
      <c r="H36" s="49">
        <f>'Avg Week Masaka-Mutukula'!H36+'Avg Week Mutukula-Masaka'!H36</f>
        <v>0</v>
      </c>
      <c r="I36" s="49">
        <f>'Avg Week Masaka-Mutukula'!I36+'Avg Week Mutukula-Masaka'!I36</f>
        <v>1.2857142857142856</v>
      </c>
      <c r="J36" s="49">
        <f>'Avg Week Masaka-Mutukula'!J36+'Avg Week Mutukula-Masaka'!J36</f>
        <v>1.1428571428571428</v>
      </c>
      <c r="K36" s="49">
        <f>'Avg Week Masaka-Mutukula'!K36+'Avg Week Mutukula-Masaka'!K36</f>
        <v>1.2857142857142856</v>
      </c>
      <c r="L36" s="49">
        <f>'Avg Week Masaka-Mutukula'!L36+'Avg Week Mutukula-Masaka'!L36</f>
        <v>0.14285714285714285</v>
      </c>
      <c r="M36" s="49">
        <f>'Avg Week Masaka-Mutukula'!M36+'Avg Week Mutukula-Masaka'!M36</f>
        <v>20.428571428571427</v>
      </c>
      <c r="N36" s="49">
        <f>'Avg Week Masaka-Mutukula'!N36+'Avg Week Mutukula-Masaka'!N36</f>
        <v>0</v>
      </c>
      <c r="O36" s="15">
        <f t="shared" si="0"/>
        <v>9.2857142857142847</v>
      </c>
      <c r="P36" s="15">
        <f t="shared" si="1"/>
        <v>29.714285714285712</v>
      </c>
      <c r="R36" s="38" t="s">
        <v>92</v>
      </c>
      <c r="S36" s="39">
        <f t="shared" ref="S36:AF36" si="28">MAX(S19:S21)</f>
        <v>26.428571428571427</v>
      </c>
      <c r="T36" s="39">
        <f t="shared" si="28"/>
        <v>4.1428571428571423</v>
      </c>
      <c r="U36" s="39">
        <f t="shared" si="28"/>
        <v>2.1428571428571428</v>
      </c>
      <c r="V36" s="39">
        <f t="shared" si="28"/>
        <v>12.285714285714285</v>
      </c>
      <c r="W36" s="39">
        <f t="shared" si="28"/>
        <v>0.14285714285714285</v>
      </c>
      <c r="X36" s="39">
        <f t="shared" si="28"/>
        <v>1.2857142857142856</v>
      </c>
      <c r="Y36" s="39">
        <f t="shared" si="28"/>
        <v>7.4285714285714279</v>
      </c>
      <c r="Z36" s="39">
        <f t="shared" si="28"/>
        <v>7.4285714285714288</v>
      </c>
      <c r="AA36" s="39">
        <f t="shared" si="28"/>
        <v>8.2857142857142847</v>
      </c>
      <c r="AB36" s="39">
        <f t="shared" si="28"/>
        <v>2</v>
      </c>
      <c r="AC36" s="39">
        <f t="shared" si="28"/>
        <v>106.28571428571428</v>
      </c>
      <c r="AD36" s="39">
        <f t="shared" si="28"/>
        <v>6.5714285714285712</v>
      </c>
      <c r="AE36" s="40">
        <f t="shared" si="28"/>
        <v>73.714285714285708</v>
      </c>
      <c r="AF36" s="40">
        <f t="shared" si="28"/>
        <v>180</v>
      </c>
    </row>
    <row r="37" spans="2:32" ht="23.1" customHeight="1" x14ac:dyDescent="0.25">
      <c r="B37" s="23" t="s">
        <v>64</v>
      </c>
      <c r="C37" s="49">
        <f>'Avg Week Masaka-Mutukula'!C37+'Avg Week Mutukula-Masaka'!C37</f>
        <v>5.1428571428571423</v>
      </c>
      <c r="D37" s="49">
        <f>'Avg Week Masaka-Mutukula'!D37+'Avg Week Mutukula-Masaka'!D37</f>
        <v>0.42857142857142855</v>
      </c>
      <c r="E37" s="49">
        <f>'Avg Week Masaka-Mutukula'!E37+'Avg Week Mutukula-Masaka'!E37</f>
        <v>0.71428571428571419</v>
      </c>
      <c r="F37" s="49">
        <f>'Avg Week Masaka-Mutukula'!F37+'Avg Week Mutukula-Masaka'!F37</f>
        <v>2.1428571428571428</v>
      </c>
      <c r="G37" s="49">
        <f>'Avg Week Masaka-Mutukula'!G37+'Avg Week Mutukula-Masaka'!G37</f>
        <v>0.14285714285714285</v>
      </c>
      <c r="H37" s="49">
        <f>'Avg Week Masaka-Mutukula'!H37+'Avg Week Mutukula-Masaka'!H37</f>
        <v>0</v>
      </c>
      <c r="I37" s="49">
        <f>'Avg Week Masaka-Mutukula'!I37+'Avg Week Mutukula-Masaka'!I37</f>
        <v>1</v>
      </c>
      <c r="J37" s="49">
        <f>'Avg Week Masaka-Mutukula'!J37+'Avg Week Mutukula-Masaka'!J37</f>
        <v>1</v>
      </c>
      <c r="K37" s="49">
        <f>'Avg Week Masaka-Mutukula'!K37+'Avg Week Mutukula-Masaka'!K37</f>
        <v>2.4285714285714288</v>
      </c>
      <c r="L37" s="49">
        <f>'Avg Week Masaka-Mutukula'!L37+'Avg Week Mutukula-Masaka'!L37</f>
        <v>0.5714285714285714</v>
      </c>
      <c r="M37" s="49">
        <f>'Avg Week Masaka-Mutukula'!M37+'Avg Week Mutukula-Masaka'!M37</f>
        <v>19.428571428571431</v>
      </c>
      <c r="N37" s="49">
        <f>'Avg Week Masaka-Mutukula'!N37+'Avg Week Mutukula-Masaka'!N37</f>
        <v>0</v>
      </c>
      <c r="O37" s="15">
        <f t="shared" si="0"/>
        <v>13.571428571428571</v>
      </c>
      <c r="P37" s="15">
        <f t="shared" si="1"/>
        <v>33</v>
      </c>
      <c r="R37" s="37" t="s">
        <v>85</v>
      </c>
      <c r="S37" s="35">
        <f t="shared" ref="S37:AF37" si="29">SUM(S10:S12)</f>
        <v>57.857142857142854</v>
      </c>
      <c r="T37" s="16">
        <f t="shared" si="29"/>
        <v>4.4285714285714279</v>
      </c>
      <c r="U37" s="16">
        <f t="shared" si="29"/>
        <v>2.714285714285714</v>
      </c>
      <c r="V37" s="16">
        <f t="shared" si="29"/>
        <v>21.428571428571431</v>
      </c>
      <c r="W37" s="16">
        <f t="shared" si="29"/>
        <v>0.42857142857142855</v>
      </c>
      <c r="X37" s="16">
        <f t="shared" si="29"/>
        <v>0.42857142857142855</v>
      </c>
      <c r="Y37" s="16">
        <f t="shared" si="29"/>
        <v>18.714285714285715</v>
      </c>
      <c r="Z37" s="16">
        <f t="shared" si="29"/>
        <v>7.5714285714285703</v>
      </c>
      <c r="AA37" s="16">
        <f t="shared" si="29"/>
        <v>15.714285714285714</v>
      </c>
      <c r="AB37" s="16">
        <f t="shared" si="29"/>
        <v>1.4285714285714284</v>
      </c>
      <c r="AC37" s="16">
        <f t="shared" si="29"/>
        <v>246.14285714285714</v>
      </c>
      <c r="AD37" s="16">
        <f t="shared" si="29"/>
        <v>0</v>
      </c>
      <c r="AE37" s="32">
        <f t="shared" si="29"/>
        <v>130.71428571428572</v>
      </c>
      <c r="AF37" s="32">
        <f t="shared" si="29"/>
        <v>376.85714285714289</v>
      </c>
    </row>
    <row r="38" spans="2:32" ht="23.1" customHeight="1" x14ac:dyDescent="0.25">
      <c r="B38" s="24" t="s">
        <v>65</v>
      </c>
      <c r="C38" s="49">
        <f>'Avg Week Masaka-Mutukula'!C38+'Avg Week Mutukula-Masaka'!C38</f>
        <v>4.5714285714285712</v>
      </c>
      <c r="D38" s="49">
        <f>'Avg Week Masaka-Mutukula'!D38+'Avg Week Mutukula-Masaka'!D38</f>
        <v>0.42857142857142855</v>
      </c>
      <c r="E38" s="49">
        <f>'Avg Week Masaka-Mutukula'!E38+'Avg Week Mutukula-Masaka'!E38</f>
        <v>0.5714285714285714</v>
      </c>
      <c r="F38" s="49">
        <f>'Avg Week Masaka-Mutukula'!F38+'Avg Week Mutukula-Masaka'!F38</f>
        <v>3.1428571428571428</v>
      </c>
      <c r="G38" s="49">
        <f>'Avg Week Masaka-Mutukula'!G38+'Avg Week Mutukula-Masaka'!G38</f>
        <v>0</v>
      </c>
      <c r="H38" s="49">
        <f>'Avg Week Masaka-Mutukula'!H38+'Avg Week Mutukula-Masaka'!H38</f>
        <v>0</v>
      </c>
      <c r="I38" s="49">
        <f>'Avg Week Masaka-Mutukula'!I38+'Avg Week Mutukula-Masaka'!I38</f>
        <v>2.1428571428571428</v>
      </c>
      <c r="J38" s="49">
        <f>'Avg Week Masaka-Mutukula'!J38+'Avg Week Mutukula-Masaka'!J38</f>
        <v>0.2857142857142857</v>
      </c>
      <c r="K38" s="49">
        <f>'Avg Week Masaka-Mutukula'!K38+'Avg Week Mutukula-Masaka'!K38</f>
        <v>1.4285714285714284</v>
      </c>
      <c r="L38" s="49">
        <f>'Avg Week Masaka-Mutukula'!L38+'Avg Week Mutukula-Masaka'!L38</f>
        <v>0.14285714285714285</v>
      </c>
      <c r="M38" s="49">
        <f>'Avg Week Masaka-Mutukula'!M38+'Avg Week Mutukula-Masaka'!M38</f>
        <v>22.142857142857142</v>
      </c>
      <c r="N38" s="49">
        <f>'Avg Week Masaka-Mutukula'!N38+'Avg Week Mutukula-Masaka'!N38</f>
        <v>0</v>
      </c>
      <c r="O38" s="15">
        <f t="shared" si="0"/>
        <v>12.714285714285714</v>
      </c>
      <c r="P38" s="15">
        <f t="shared" si="1"/>
        <v>34.857142857142854</v>
      </c>
      <c r="R38" s="28" t="s">
        <v>86</v>
      </c>
      <c r="S38" s="16">
        <f t="shared" ref="S38:AF38" si="30">SUM(S13:S18)</f>
        <v>109.28571428571428</v>
      </c>
      <c r="T38" s="16">
        <f t="shared" si="30"/>
        <v>16.142857142857142</v>
      </c>
      <c r="U38" s="16">
        <f t="shared" si="30"/>
        <v>13.428571428571429</v>
      </c>
      <c r="V38" s="16">
        <f t="shared" si="30"/>
        <v>68.857142857142861</v>
      </c>
      <c r="W38" s="16">
        <f t="shared" si="30"/>
        <v>0.5714285714285714</v>
      </c>
      <c r="X38" s="16">
        <f t="shared" si="30"/>
        <v>0.2857142857142857</v>
      </c>
      <c r="Y38" s="16">
        <f t="shared" si="30"/>
        <v>41.857142857142861</v>
      </c>
      <c r="Z38" s="16">
        <f t="shared" si="30"/>
        <v>22</v>
      </c>
      <c r="AA38" s="16">
        <f t="shared" si="30"/>
        <v>31.285714285714285</v>
      </c>
      <c r="AB38" s="16">
        <f t="shared" si="30"/>
        <v>2.8571428571428568</v>
      </c>
      <c r="AC38" s="16">
        <f t="shared" si="30"/>
        <v>490.71428571428567</v>
      </c>
      <c r="AD38" s="16">
        <f t="shared" si="30"/>
        <v>0.14285714285714285</v>
      </c>
      <c r="AE38" s="32">
        <f t="shared" si="30"/>
        <v>306.71428571428567</v>
      </c>
      <c r="AF38" s="32">
        <f t="shared" si="30"/>
        <v>797.42857142857133</v>
      </c>
    </row>
    <row r="39" spans="2:32" ht="23.1" customHeight="1" x14ac:dyDescent="0.25">
      <c r="B39" s="24" t="s">
        <v>66</v>
      </c>
      <c r="C39" s="49">
        <f>'Avg Week Masaka-Mutukula'!C39+'Avg Week Mutukula-Masaka'!C39</f>
        <v>5.4285714285714288</v>
      </c>
      <c r="D39" s="49">
        <f>'Avg Week Masaka-Mutukula'!D39+'Avg Week Mutukula-Masaka'!D39</f>
        <v>0.7142857142857143</v>
      </c>
      <c r="E39" s="49">
        <f>'Avg Week Masaka-Mutukula'!E39+'Avg Week Mutukula-Masaka'!E39</f>
        <v>0.14285714285714285</v>
      </c>
      <c r="F39" s="49">
        <f>'Avg Week Masaka-Mutukula'!F39+'Avg Week Mutukula-Masaka'!F39</f>
        <v>1.8571428571428572</v>
      </c>
      <c r="G39" s="49">
        <f>'Avg Week Masaka-Mutukula'!G39+'Avg Week Mutukula-Masaka'!G39</f>
        <v>0</v>
      </c>
      <c r="H39" s="49">
        <f>'Avg Week Masaka-Mutukula'!H39+'Avg Week Mutukula-Masaka'!H39</f>
        <v>0</v>
      </c>
      <c r="I39" s="49">
        <f>'Avg Week Masaka-Mutukula'!I39+'Avg Week Mutukula-Masaka'!I39</f>
        <v>2.1428571428571428</v>
      </c>
      <c r="J39" s="49">
        <f>'Avg Week Masaka-Mutukula'!J39+'Avg Week Mutukula-Masaka'!J39</f>
        <v>1</v>
      </c>
      <c r="K39" s="49">
        <f>'Avg Week Masaka-Mutukula'!K39+'Avg Week Mutukula-Masaka'!K39</f>
        <v>0.42857142857142855</v>
      </c>
      <c r="L39" s="49">
        <f>'Avg Week Masaka-Mutukula'!L39+'Avg Week Mutukula-Masaka'!L39</f>
        <v>0.2857142857142857</v>
      </c>
      <c r="M39" s="49">
        <f>'Avg Week Masaka-Mutukula'!M39+'Avg Week Mutukula-Masaka'!M39</f>
        <v>20.285714285714285</v>
      </c>
      <c r="N39" s="49">
        <f>'Avg Week Masaka-Mutukula'!N39+'Avg Week Mutukula-Masaka'!N39</f>
        <v>0</v>
      </c>
      <c r="O39" s="15">
        <f t="shared" si="0"/>
        <v>12.000000000000002</v>
      </c>
      <c r="P39" s="15">
        <f t="shared" si="1"/>
        <v>32.285714285714285</v>
      </c>
      <c r="R39" s="29" t="s">
        <v>87</v>
      </c>
      <c r="S39" s="16">
        <f t="shared" ref="S39:AF39" si="31">SUM(S19:S21)</f>
        <v>71</v>
      </c>
      <c r="T39" s="16">
        <f t="shared" si="31"/>
        <v>10.857142857142856</v>
      </c>
      <c r="U39" s="16">
        <f t="shared" si="31"/>
        <v>4.5952380952380949</v>
      </c>
      <c r="V39" s="16">
        <f t="shared" si="31"/>
        <v>35.142857142857139</v>
      </c>
      <c r="W39" s="16">
        <f t="shared" si="31"/>
        <v>0.14285714285714285</v>
      </c>
      <c r="X39" s="16">
        <f t="shared" si="31"/>
        <v>1.857142857142857</v>
      </c>
      <c r="Y39" s="16">
        <f t="shared" si="31"/>
        <v>18.714285714285715</v>
      </c>
      <c r="Z39" s="16">
        <f t="shared" si="31"/>
        <v>20.714285714285715</v>
      </c>
      <c r="AA39" s="16">
        <f t="shared" si="31"/>
        <v>23</v>
      </c>
      <c r="AB39" s="16">
        <f t="shared" si="31"/>
        <v>3.2857142857142856</v>
      </c>
      <c r="AC39" s="16">
        <f t="shared" si="31"/>
        <v>303.28571428571428</v>
      </c>
      <c r="AD39" s="16">
        <f t="shared" si="31"/>
        <v>6.7142857142857144</v>
      </c>
      <c r="AE39" s="32">
        <f t="shared" si="31"/>
        <v>196.02380952380952</v>
      </c>
      <c r="AF39" s="32">
        <f t="shared" si="31"/>
        <v>499.3095238095238</v>
      </c>
    </row>
    <row r="40" spans="2:32" ht="23.1" customHeight="1" x14ac:dyDescent="0.25">
      <c r="B40" s="24" t="s">
        <v>67</v>
      </c>
      <c r="C40" s="49">
        <f>'Avg Week Masaka-Mutukula'!C40+'Avg Week Mutukula-Masaka'!C40</f>
        <v>5.8571428571428568</v>
      </c>
      <c r="D40" s="49">
        <f>'Avg Week Masaka-Mutukula'!D40+'Avg Week Mutukula-Masaka'!D40</f>
        <v>0.71428571428571419</v>
      </c>
      <c r="E40" s="49">
        <f>'Avg Week Masaka-Mutukula'!E40+'Avg Week Mutukula-Masaka'!E40</f>
        <v>0.71428571428571419</v>
      </c>
      <c r="F40" s="49">
        <f>'Avg Week Masaka-Mutukula'!F40+'Avg Week Mutukula-Masaka'!F40</f>
        <v>2.4285714285714284</v>
      </c>
      <c r="G40" s="49">
        <f>'Avg Week Masaka-Mutukula'!G40+'Avg Week Mutukula-Masaka'!G40</f>
        <v>0</v>
      </c>
      <c r="H40" s="49">
        <f>'Avg Week Masaka-Mutukula'!H40+'Avg Week Mutukula-Masaka'!H40</f>
        <v>0.14285714285714285</v>
      </c>
      <c r="I40" s="49">
        <f>'Avg Week Masaka-Mutukula'!I40+'Avg Week Mutukula-Masaka'!I40</f>
        <v>1.5714285714285714</v>
      </c>
      <c r="J40" s="49">
        <f>'Avg Week Masaka-Mutukula'!J40+'Avg Week Mutukula-Masaka'!J40</f>
        <v>1</v>
      </c>
      <c r="K40" s="49">
        <f>'Avg Week Masaka-Mutukula'!K40+'Avg Week Mutukula-Masaka'!K40</f>
        <v>1.4285714285714286</v>
      </c>
      <c r="L40" s="49">
        <f>'Avg Week Masaka-Mutukula'!L40+'Avg Week Mutukula-Masaka'!L40</f>
        <v>0.14285714285714285</v>
      </c>
      <c r="M40" s="49">
        <f>'Avg Week Masaka-Mutukula'!M40+'Avg Week Mutukula-Masaka'!M40</f>
        <v>24.571428571428569</v>
      </c>
      <c r="N40" s="49">
        <f>'Avg Week Masaka-Mutukula'!N40+'Avg Week Mutukula-Masaka'!N40</f>
        <v>0</v>
      </c>
      <c r="O40" s="15">
        <f t="shared" si="0"/>
        <v>13.999999999999998</v>
      </c>
      <c r="P40" s="15">
        <f t="shared" si="1"/>
        <v>38.571428571428569</v>
      </c>
      <c r="R40" s="5" t="s">
        <v>17</v>
      </c>
      <c r="S40" s="16">
        <f t="shared" ref="S40:AF40" si="32">SUM(S10:S21)</f>
        <v>238.14285714285714</v>
      </c>
      <c r="T40" s="16">
        <f t="shared" si="32"/>
        <v>31.428571428571423</v>
      </c>
      <c r="U40" s="16">
        <f t="shared" si="32"/>
        <v>20.738095238095237</v>
      </c>
      <c r="V40" s="16">
        <f t="shared" si="32"/>
        <v>125.42857142857144</v>
      </c>
      <c r="W40" s="16">
        <f t="shared" si="32"/>
        <v>1.1428571428571428</v>
      </c>
      <c r="X40" s="16">
        <f t="shared" si="32"/>
        <v>2.5714285714285712</v>
      </c>
      <c r="Y40" s="16">
        <f t="shared" si="32"/>
        <v>79.285714285714306</v>
      </c>
      <c r="Z40" s="16">
        <f t="shared" si="32"/>
        <v>50.285714285714285</v>
      </c>
      <c r="AA40" s="16">
        <f t="shared" si="32"/>
        <v>70</v>
      </c>
      <c r="AB40" s="16">
        <f t="shared" si="32"/>
        <v>7.5714285714285703</v>
      </c>
      <c r="AC40" s="16">
        <f t="shared" si="32"/>
        <v>1040.1428571428571</v>
      </c>
      <c r="AD40" s="16">
        <f t="shared" si="32"/>
        <v>6.8571428571428568</v>
      </c>
      <c r="AE40" s="32">
        <f t="shared" si="32"/>
        <v>633.45238095238096</v>
      </c>
      <c r="AF40" s="32">
        <f t="shared" si="32"/>
        <v>1673.5952380952381</v>
      </c>
    </row>
    <row r="41" spans="2:32" ht="23.1" customHeight="1" x14ac:dyDescent="0.25">
      <c r="B41" s="23" t="s">
        <v>68</v>
      </c>
      <c r="C41" s="49">
        <f>'Avg Week Masaka-Mutukula'!C41+'Avg Week Mutukula-Masaka'!C41</f>
        <v>6.4285714285714288</v>
      </c>
      <c r="D41" s="49">
        <f>'Avg Week Masaka-Mutukula'!D41+'Avg Week Mutukula-Masaka'!D41</f>
        <v>0.2857142857142857</v>
      </c>
      <c r="E41" s="49">
        <f>'Avg Week Masaka-Mutukula'!E41+'Avg Week Mutukula-Masaka'!E41</f>
        <v>6</v>
      </c>
      <c r="F41" s="49">
        <f>'Avg Week Masaka-Mutukula'!F41+'Avg Week Mutukula-Masaka'!F41</f>
        <v>3.4285714285714288</v>
      </c>
      <c r="G41" s="49">
        <f>'Avg Week Masaka-Mutukula'!G41+'Avg Week Mutukula-Masaka'!G41</f>
        <v>0</v>
      </c>
      <c r="H41" s="49">
        <f>'Avg Week Masaka-Mutukula'!H41+'Avg Week Mutukula-Masaka'!H41</f>
        <v>0</v>
      </c>
      <c r="I41" s="49">
        <f>'Avg Week Masaka-Mutukula'!I41+'Avg Week Mutukula-Masaka'!I41</f>
        <v>1.4285714285714286</v>
      </c>
      <c r="J41" s="49">
        <f>'Avg Week Masaka-Mutukula'!J41+'Avg Week Mutukula-Masaka'!J41</f>
        <v>1.1428571428571428</v>
      </c>
      <c r="K41" s="49">
        <f>'Avg Week Masaka-Mutukula'!K41+'Avg Week Mutukula-Masaka'!K41</f>
        <v>2</v>
      </c>
      <c r="L41" s="49">
        <f>'Avg Week Masaka-Mutukula'!L41+'Avg Week Mutukula-Masaka'!L41</f>
        <v>0</v>
      </c>
      <c r="M41" s="49">
        <f>'Avg Week Masaka-Mutukula'!M41+'Avg Week Mutukula-Masaka'!M41</f>
        <v>24</v>
      </c>
      <c r="N41" s="49">
        <f>'Avg Week Masaka-Mutukula'!N41+'Avg Week Mutukula-Masaka'!N41</f>
        <v>0.14285714285714285</v>
      </c>
      <c r="O41" s="15">
        <f t="shared" si="0"/>
        <v>20.857142857142858</v>
      </c>
      <c r="P41" s="15">
        <f t="shared" si="1"/>
        <v>44.857142857142861</v>
      </c>
      <c r="R41" s="5" t="s">
        <v>190</v>
      </c>
      <c r="S41" s="52">
        <f>SUM(S10:S33)</f>
        <v>334.14285714285711</v>
      </c>
      <c r="T41" s="52">
        <f t="shared" ref="T41:AD41" si="33">SUM(T10:T33)</f>
        <v>54.428571428571423</v>
      </c>
      <c r="U41" s="52">
        <f t="shared" si="33"/>
        <v>23.238095238095237</v>
      </c>
      <c r="V41" s="52">
        <f t="shared" si="33"/>
        <v>170.42857142857144</v>
      </c>
      <c r="W41" s="52">
        <f t="shared" si="33"/>
        <v>5.6428571428571423</v>
      </c>
      <c r="X41" s="52">
        <f t="shared" si="33"/>
        <v>6.0714285714285712</v>
      </c>
      <c r="Y41" s="52">
        <f t="shared" si="33"/>
        <v>99.285714285714306</v>
      </c>
      <c r="Z41" s="52">
        <f t="shared" si="33"/>
        <v>94.785714285714278</v>
      </c>
      <c r="AA41" s="52">
        <f t="shared" si="33"/>
        <v>115</v>
      </c>
      <c r="AB41" s="52">
        <f t="shared" si="33"/>
        <v>9.5714285714285694</v>
      </c>
      <c r="AC41" s="52">
        <f t="shared" si="33"/>
        <v>1415.6428571428571</v>
      </c>
      <c r="AD41" s="52">
        <f t="shared" si="33"/>
        <v>6.8571428571428568</v>
      </c>
      <c r="AE41" s="53">
        <f>SUM(AE10:AE33)</f>
        <v>919.45238095238096</v>
      </c>
      <c r="AF41" s="53">
        <f>SUM(AF10:AF33)</f>
        <v>2335.0952380952381</v>
      </c>
    </row>
    <row r="42" spans="2:32" ht="23.1" customHeight="1" x14ac:dyDescent="0.25">
      <c r="B42" s="24" t="s">
        <v>69</v>
      </c>
      <c r="C42" s="49">
        <f>'Avg Week Masaka-Mutukula'!C42+'Avg Week Mutukula-Masaka'!C42</f>
        <v>4.8571428571428568</v>
      </c>
      <c r="D42" s="49">
        <f>'Avg Week Masaka-Mutukula'!D42+'Avg Week Mutukula-Masaka'!D42</f>
        <v>0.8571428571428571</v>
      </c>
      <c r="E42" s="49">
        <f>'Avg Week Masaka-Mutukula'!E42+'Avg Week Mutukula-Masaka'!E42</f>
        <v>0.42857142857142855</v>
      </c>
      <c r="F42" s="49">
        <f>'Avg Week Masaka-Mutukula'!F42+'Avg Week Mutukula-Masaka'!F42</f>
        <v>2.8571428571428568</v>
      </c>
      <c r="G42" s="49">
        <f>'Avg Week Masaka-Mutukula'!G42+'Avg Week Mutukula-Masaka'!G42</f>
        <v>0</v>
      </c>
      <c r="H42" s="49">
        <f>'Avg Week Masaka-Mutukula'!H42+'Avg Week Mutukula-Masaka'!H42</f>
        <v>0</v>
      </c>
      <c r="I42" s="49">
        <f>'Avg Week Masaka-Mutukula'!I42+'Avg Week Mutukula-Masaka'!I42</f>
        <v>1.4285714285714284</v>
      </c>
      <c r="J42" s="49">
        <f>'Avg Week Masaka-Mutukula'!J42+'Avg Week Mutukula-Masaka'!J42</f>
        <v>1.1428571428571428</v>
      </c>
      <c r="K42" s="49">
        <f>'Avg Week Masaka-Mutukula'!K42+'Avg Week Mutukula-Masaka'!K42</f>
        <v>1.5714285714285714</v>
      </c>
      <c r="L42" s="49">
        <f>'Avg Week Masaka-Mutukula'!L42+'Avg Week Mutukula-Masaka'!L42</f>
        <v>0.2857142857142857</v>
      </c>
      <c r="M42" s="49">
        <f>'Avg Week Masaka-Mutukula'!M42+'Avg Week Mutukula-Masaka'!M42</f>
        <v>22.714285714285715</v>
      </c>
      <c r="N42" s="49">
        <f>'Avg Week Masaka-Mutukula'!N42+'Avg Week Mutukula-Masaka'!N42</f>
        <v>0</v>
      </c>
      <c r="O42" s="15">
        <f t="shared" si="0"/>
        <v>13.428571428571429</v>
      </c>
      <c r="P42" s="15">
        <f t="shared" si="1"/>
        <v>36.142857142857146</v>
      </c>
      <c r="R42" s="5" t="s">
        <v>160</v>
      </c>
      <c r="S42" s="48">
        <f>S41/S40</f>
        <v>1.4031193761247749</v>
      </c>
      <c r="T42" s="48">
        <f t="shared" ref="T42:AF42" si="34">T41/T40</f>
        <v>1.7318181818181819</v>
      </c>
      <c r="U42" s="48">
        <f t="shared" si="34"/>
        <v>1.1205510907003444</v>
      </c>
      <c r="V42" s="48">
        <f t="shared" si="34"/>
        <v>1.3587699316628701</v>
      </c>
      <c r="W42" s="48">
        <f t="shared" si="34"/>
        <v>4.9375</v>
      </c>
      <c r="X42" s="48">
        <f t="shared" si="34"/>
        <v>2.3611111111111112</v>
      </c>
      <c r="Y42" s="48">
        <f t="shared" si="34"/>
        <v>1.2522522522522521</v>
      </c>
      <c r="Z42" s="48">
        <f t="shared" si="34"/>
        <v>1.8849431818181817</v>
      </c>
      <c r="AA42" s="48">
        <f t="shared" si="34"/>
        <v>1.6428571428571428</v>
      </c>
      <c r="AB42" s="48">
        <f t="shared" si="34"/>
        <v>1.2641509433962264</v>
      </c>
      <c r="AC42" s="48">
        <f t="shared" si="34"/>
        <v>1.3610081032825161</v>
      </c>
      <c r="AD42" s="48">
        <f t="shared" si="34"/>
        <v>1</v>
      </c>
      <c r="AE42" s="51">
        <f t="shared" si="34"/>
        <v>1.451494080060139</v>
      </c>
      <c r="AF42" s="51">
        <f t="shared" si="34"/>
        <v>1.3952568607645359</v>
      </c>
    </row>
    <row r="43" spans="2:32" ht="23.1" customHeight="1" x14ac:dyDescent="0.25">
      <c r="B43" s="23" t="s">
        <v>70</v>
      </c>
      <c r="C43" s="49">
        <f>'Avg Week Masaka-Mutukula'!C43+'Avg Week Mutukula-Masaka'!C43</f>
        <v>4.2857142857142856</v>
      </c>
      <c r="D43" s="49">
        <f>'Avg Week Masaka-Mutukula'!D43+'Avg Week Mutukula-Masaka'!D43</f>
        <v>1.4285714285714284</v>
      </c>
      <c r="E43" s="49">
        <f>'Avg Week Masaka-Mutukula'!E43+'Avg Week Mutukula-Masaka'!E43</f>
        <v>0.8571428571428571</v>
      </c>
      <c r="F43" s="49">
        <f>'Avg Week Masaka-Mutukula'!F43+'Avg Week Mutukula-Masaka'!F43</f>
        <v>2.7142857142857144</v>
      </c>
      <c r="G43" s="49">
        <f>'Avg Week Masaka-Mutukula'!G43+'Avg Week Mutukula-Masaka'!G43</f>
        <v>0</v>
      </c>
      <c r="H43" s="49">
        <f>'Avg Week Masaka-Mutukula'!H43+'Avg Week Mutukula-Masaka'!H43</f>
        <v>0</v>
      </c>
      <c r="I43" s="49">
        <f>'Avg Week Masaka-Mutukula'!I43+'Avg Week Mutukula-Masaka'!I43</f>
        <v>2.4285714285714284</v>
      </c>
      <c r="J43" s="49">
        <f>'Avg Week Masaka-Mutukula'!J43+'Avg Week Mutukula-Masaka'!J43</f>
        <v>0.7142857142857143</v>
      </c>
      <c r="K43" s="49">
        <f>'Avg Week Masaka-Mutukula'!K43+'Avg Week Mutukula-Masaka'!K43</f>
        <v>1.5714285714285714</v>
      </c>
      <c r="L43" s="49">
        <f>'Avg Week Masaka-Mutukula'!L43+'Avg Week Mutukula-Masaka'!L43</f>
        <v>0</v>
      </c>
      <c r="M43" s="49">
        <f>'Avg Week Masaka-Mutukula'!M43+'Avg Week Mutukula-Masaka'!M43</f>
        <v>22</v>
      </c>
      <c r="N43" s="49">
        <f>'Avg Week Masaka-Mutukula'!N43+'Avg Week Mutukula-Masaka'!N43</f>
        <v>0</v>
      </c>
      <c r="O43" s="15">
        <f t="shared" si="0"/>
        <v>13.999999999999998</v>
      </c>
      <c r="P43" s="15">
        <f t="shared" si="1"/>
        <v>36</v>
      </c>
    </row>
    <row r="44" spans="2:32" ht="23.1" customHeight="1" x14ac:dyDescent="0.25">
      <c r="B44" s="25" t="s">
        <v>71</v>
      </c>
      <c r="C44" s="49">
        <f>'Avg Week Masaka-Mutukula'!C44+'Avg Week Mutukula-Masaka'!C44</f>
        <v>4.8571428571428577</v>
      </c>
      <c r="D44" s="49">
        <f>'Avg Week Masaka-Mutukula'!D44+'Avg Week Mutukula-Masaka'!D44</f>
        <v>0.71428571428571419</v>
      </c>
      <c r="E44" s="49">
        <f>'Avg Week Masaka-Mutukula'!E44+'Avg Week Mutukula-Masaka'!E44</f>
        <v>0.42857142857142855</v>
      </c>
      <c r="F44" s="49">
        <f>'Avg Week Masaka-Mutukula'!F44+'Avg Week Mutukula-Masaka'!F44</f>
        <v>3.4285714285714288</v>
      </c>
      <c r="G44" s="49">
        <f>'Avg Week Masaka-Mutukula'!G44+'Avg Week Mutukula-Masaka'!G44</f>
        <v>0</v>
      </c>
      <c r="H44" s="49">
        <f>'Avg Week Masaka-Mutukula'!H44+'Avg Week Mutukula-Masaka'!H44</f>
        <v>0</v>
      </c>
      <c r="I44" s="49">
        <f>'Avg Week Masaka-Mutukula'!I44+'Avg Week Mutukula-Masaka'!I44</f>
        <v>2.4285714285714284</v>
      </c>
      <c r="J44" s="49">
        <f>'Avg Week Masaka-Mutukula'!J44+'Avg Week Mutukula-Masaka'!J44</f>
        <v>1.8571428571428572</v>
      </c>
      <c r="K44" s="49">
        <f>'Avg Week Masaka-Mutukula'!K44+'Avg Week Mutukula-Masaka'!K44</f>
        <v>1.4285714285714284</v>
      </c>
      <c r="L44" s="49">
        <f>'Avg Week Masaka-Mutukula'!L44+'Avg Week Mutukula-Masaka'!L44</f>
        <v>0</v>
      </c>
      <c r="M44" s="49">
        <f>'Avg Week Masaka-Mutukula'!M44+'Avg Week Mutukula-Masaka'!M44</f>
        <v>23.285714285714285</v>
      </c>
      <c r="N44" s="49">
        <f>'Avg Week Masaka-Mutukula'!N44+'Avg Week Mutukula-Masaka'!N44</f>
        <v>0</v>
      </c>
      <c r="O44" s="15">
        <f t="shared" si="0"/>
        <v>15.142857142857146</v>
      </c>
      <c r="P44" s="15">
        <f t="shared" si="1"/>
        <v>38.428571428571431</v>
      </c>
    </row>
    <row r="45" spans="2:32" ht="23.1" customHeight="1" x14ac:dyDescent="0.25">
      <c r="B45" s="23" t="s">
        <v>72</v>
      </c>
      <c r="C45" s="49">
        <f>'Avg Week Masaka-Mutukula'!C45+'Avg Week Mutukula-Masaka'!C45</f>
        <v>5.8571428571428577</v>
      </c>
      <c r="D45" s="49">
        <f>'Avg Week Masaka-Mutukula'!D45+'Avg Week Mutukula-Masaka'!D45</f>
        <v>0.5714285714285714</v>
      </c>
      <c r="E45" s="49">
        <f>'Avg Week Masaka-Mutukula'!E45+'Avg Week Mutukula-Masaka'!E45</f>
        <v>0</v>
      </c>
      <c r="F45" s="49">
        <f>'Avg Week Masaka-Mutukula'!F45+'Avg Week Mutukula-Masaka'!F45</f>
        <v>3.4285714285714288</v>
      </c>
      <c r="G45" s="49">
        <f>'Avg Week Masaka-Mutukula'!G45+'Avg Week Mutukula-Masaka'!G45</f>
        <v>0</v>
      </c>
      <c r="H45" s="49">
        <f>'Avg Week Masaka-Mutukula'!H45+'Avg Week Mutukula-Masaka'!H45</f>
        <v>0</v>
      </c>
      <c r="I45" s="49">
        <f>'Avg Week Masaka-Mutukula'!I45+'Avg Week Mutukula-Masaka'!I45</f>
        <v>2.4285714285714284</v>
      </c>
      <c r="J45" s="49">
        <f>'Avg Week Masaka-Mutukula'!J45+'Avg Week Mutukula-Masaka'!J45</f>
        <v>0.85714285714285721</v>
      </c>
      <c r="K45" s="49">
        <f>'Avg Week Masaka-Mutukula'!K45+'Avg Week Mutukula-Masaka'!K45</f>
        <v>0.42857142857142855</v>
      </c>
      <c r="L45" s="49">
        <f>'Avg Week Masaka-Mutukula'!L45+'Avg Week Mutukula-Masaka'!L45</f>
        <v>0</v>
      </c>
      <c r="M45" s="49">
        <f>'Avg Week Masaka-Mutukula'!M45+'Avg Week Mutukula-Masaka'!M45</f>
        <v>22.857142857142854</v>
      </c>
      <c r="N45" s="49">
        <f>'Avg Week Masaka-Mutukula'!N45+'Avg Week Mutukula-Masaka'!N45</f>
        <v>0</v>
      </c>
      <c r="O45" s="15">
        <f t="shared" si="0"/>
        <v>13.571428571428573</v>
      </c>
      <c r="P45" s="15">
        <f t="shared" si="1"/>
        <v>36.428571428571431</v>
      </c>
    </row>
    <row r="46" spans="2:32" ht="23.1" customHeight="1" x14ac:dyDescent="0.25">
      <c r="B46" s="24" t="s">
        <v>73</v>
      </c>
      <c r="C46" s="49">
        <f>'Avg Week Masaka-Mutukula'!C46+'Avg Week Mutukula-Masaka'!C46</f>
        <v>5.5714285714285712</v>
      </c>
      <c r="D46" s="49">
        <f>'Avg Week Masaka-Mutukula'!D46+'Avg Week Mutukula-Masaka'!D46</f>
        <v>1</v>
      </c>
      <c r="E46" s="49">
        <f>'Avg Week Masaka-Mutukula'!E46+'Avg Week Mutukula-Masaka'!E46</f>
        <v>0</v>
      </c>
      <c r="F46" s="49">
        <f>'Avg Week Masaka-Mutukula'!F46+'Avg Week Mutukula-Masaka'!F46</f>
        <v>3.5714285714285712</v>
      </c>
      <c r="G46" s="49">
        <f>'Avg Week Masaka-Mutukula'!G46+'Avg Week Mutukula-Masaka'!G46</f>
        <v>0</v>
      </c>
      <c r="H46" s="49">
        <f>'Avg Week Masaka-Mutukula'!H46+'Avg Week Mutukula-Masaka'!H46</f>
        <v>0.14285714285714285</v>
      </c>
      <c r="I46" s="49">
        <f>'Avg Week Masaka-Mutukula'!I46+'Avg Week Mutukula-Masaka'!I46</f>
        <v>1.4285714285714286</v>
      </c>
      <c r="J46" s="49">
        <f>'Avg Week Masaka-Mutukula'!J46+'Avg Week Mutukula-Masaka'!J46</f>
        <v>2</v>
      </c>
      <c r="K46" s="49">
        <f>'Avg Week Masaka-Mutukula'!K46+'Avg Week Mutukula-Masaka'!K46</f>
        <v>1.7142857142857142</v>
      </c>
      <c r="L46" s="49">
        <f>'Avg Week Masaka-Mutukula'!L46+'Avg Week Mutukula-Masaka'!L46</f>
        <v>0.14285714285714285</v>
      </c>
      <c r="M46" s="49">
        <f>'Avg Week Masaka-Mutukula'!M46+'Avg Week Mutukula-Masaka'!M46</f>
        <v>20.428571428571427</v>
      </c>
      <c r="N46" s="49">
        <f>'Avg Week Masaka-Mutukula'!N46+'Avg Week Mutukula-Masaka'!N46</f>
        <v>0</v>
      </c>
      <c r="O46" s="15">
        <f t="shared" si="0"/>
        <v>15.571428571428569</v>
      </c>
      <c r="P46" s="15">
        <f t="shared" si="1"/>
        <v>36</v>
      </c>
      <c r="R46" s="8"/>
      <c r="T46"/>
    </row>
    <row r="47" spans="2:32" ht="23.1" customHeight="1" x14ac:dyDescent="0.25">
      <c r="B47" s="24" t="s">
        <v>74</v>
      </c>
      <c r="C47" s="49">
        <f>'Avg Week Masaka-Mutukula'!C47+'Avg Week Mutukula-Masaka'!C47</f>
        <v>6.8571428571428568</v>
      </c>
      <c r="D47" s="49">
        <f>'Avg Week Masaka-Mutukula'!D47+'Avg Week Mutukula-Masaka'!D47</f>
        <v>1.1428571428571428</v>
      </c>
      <c r="E47" s="49">
        <f>'Avg Week Masaka-Mutukula'!E47+'Avg Week Mutukula-Masaka'!E47</f>
        <v>0.2857142857142857</v>
      </c>
      <c r="F47" s="49">
        <f>'Avg Week Masaka-Mutukula'!F47+'Avg Week Mutukula-Masaka'!F47</f>
        <v>2.8571428571428572</v>
      </c>
      <c r="G47" s="49">
        <f>'Avg Week Masaka-Mutukula'!G47+'Avg Week Mutukula-Masaka'!G47</f>
        <v>0</v>
      </c>
      <c r="H47" s="49">
        <f>'Avg Week Masaka-Mutukula'!H47+'Avg Week Mutukula-Masaka'!H47</f>
        <v>0.14285714285714285</v>
      </c>
      <c r="I47" s="49">
        <f>'Avg Week Masaka-Mutukula'!I47+'Avg Week Mutukula-Masaka'!I47</f>
        <v>1.5714285714285714</v>
      </c>
      <c r="J47" s="49">
        <f>'Avg Week Masaka-Mutukula'!J47+'Avg Week Mutukula-Masaka'!J47</f>
        <v>1.8571428571428572</v>
      </c>
      <c r="K47" s="49">
        <f>'Avg Week Masaka-Mutukula'!K47+'Avg Week Mutukula-Masaka'!K47</f>
        <v>1.2857142857142856</v>
      </c>
      <c r="L47" s="49">
        <f>'Avg Week Masaka-Mutukula'!L47+'Avg Week Mutukula-Masaka'!L47</f>
        <v>0</v>
      </c>
      <c r="M47" s="49">
        <f>'Avg Week Masaka-Mutukula'!M47+'Avg Week Mutukula-Masaka'!M47</f>
        <v>22.428571428571431</v>
      </c>
      <c r="N47" s="49">
        <f>'Avg Week Masaka-Mutukula'!N47+'Avg Week Mutukula-Masaka'!N47</f>
        <v>0</v>
      </c>
      <c r="O47" s="15">
        <f t="shared" si="0"/>
        <v>16</v>
      </c>
      <c r="P47" s="15">
        <f t="shared" si="1"/>
        <v>38.428571428571431</v>
      </c>
      <c r="R47" s="8"/>
      <c r="T47"/>
    </row>
    <row r="48" spans="2:32" ht="23.1" customHeight="1" x14ac:dyDescent="0.25">
      <c r="B48" s="24" t="s">
        <v>75</v>
      </c>
      <c r="C48" s="49">
        <f>'Avg Week Masaka-Mutukula'!C48+'Avg Week Mutukula-Masaka'!C48</f>
        <v>6</v>
      </c>
      <c r="D48" s="49">
        <f>'Avg Week Masaka-Mutukula'!D48+'Avg Week Mutukula-Masaka'!D48</f>
        <v>1</v>
      </c>
      <c r="E48" s="49">
        <f>'Avg Week Masaka-Mutukula'!E48+'Avg Week Mutukula-Masaka'!E48</f>
        <v>0.42857142857142855</v>
      </c>
      <c r="F48" s="49">
        <f>'Avg Week Masaka-Mutukula'!F48+'Avg Week Mutukula-Masaka'!F48</f>
        <v>2.5714285714285712</v>
      </c>
      <c r="G48" s="49">
        <f>'Avg Week Masaka-Mutukula'!G48+'Avg Week Mutukula-Masaka'!G48</f>
        <v>0</v>
      </c>
      <c r="H48" s="49">
        <f>'Avg Week Masaka-Mutukula'!H48+'Avg Week Mutukula-Masaka'!H48</f>
        <v>0.5714285714285714</v>
      </c>
      <c r="I48" s="49">
        <f>'Avg Week Masaka-Mutukula'!I48+'Avg Week Mutukula-Masaka'!I48</f>
        <v>1</v>
      </c>
      <c r="J48" s="49">
        <f>'Avg Week Masaka-Mutukula'!J48+'Avg Week Mutukula-Masaka'!J48</f>
        <v>2</v>
      </c>
      <c r="K48" s="49">
        <f>'Avg Week Masaka-Mutukula'!K48+'Avg Week Mutukula-Masaka'!K48</f>
        <v>2.2857142857142856</v>
      </c>
      <c r="L48" s="49">
        <f>'Avg Week Masaka-Mutukula'!L48+'Avg Week Mutukula-Masaka'!L48</f>
        <v>0.42857142857142855</v>
      </c>
      <c r="M48" s="49">
        <f>'Avg Week Masaka-Mutukula'!M48+'Avg Week Mutukula-Masaka'!M48</f>
        <v>24.285714285714285</v>
      </c>
      <c r="N48" s="49">
        <f>'Avg Week Masaka-Mutukula'!N48+'Avg Week Mutukula-Masaka'!N48</f>
        <v>0</v>
      </c>
      <c r="O48" s="15">
        <f t="shared" si="0"/>
        <v>16.285714285714285</v>
      </c>
      <c r="P48" s="15">
        <f t="shared" si="1"/>
        <v>40.571428571428569</v>
      </c>
      <c r="R48" s="8"/>
      <c r="T48"/>
    </row>
    <row r="49" spans="2:20" ht="23.1" customHeight="1" x14ac:dyDescent="0.25">
      <c r="B49" s="23" t="s">
        <v>76</v>
      </c>
      <c r="C49" s="49">
        <f>'Avg Week Masaka-Mutukula'!C49+'Avg Week Mutukula-Masaka'!C49</f>
        <v>3.1428571428571428</v>
      </c>
      <c r="D49" s="49">
        <f>'Avg Week Masaka-Mutukula'!D49+'Avg Week Mutukula-Masaka'!D49</f>
        <v>1</v>
      </c>
      <c r="E49" s="49">
        <f>'Avg Week Masaka-Mutukula'!E49+'Avg Week Mutukula-Masaka'!E49</f>
        <v>0.2857142857142857</v>
      </c>
      <c r="F49" s="49">
        <f>'Avg Week Masaka-Mutukula'!F49+'Avg Week Mutukula-Masaka'!F49</f>
        <v>3.2857142857142856</v>
      </c>
      <c r="G49" s="49">
        <f>'Avg Week Masaka-Mutukula'!G49+'Avg Week Mutukula-Masaka'!G49</f>
        <v>0.14285714285714285</v>
      </c>
      <c r="H49" s="49">
        <f>'Avg Week Masaka-Mutukula'!H49+'Avg Week Mutukula-Masaka'!H49</f>
        <v>0.42857142857142855</v>
      </c>
      <c r="I49" s="49">
        <f>'Avg Week Masaka-Mutukula'!I49+'Avg Week Mutukula-Masaka'!I49</f>
        <v>1</v>
      </c>
      <c r="J49" s="49">
        <f>'Avg Week Masaka-Mutukula'!J49+'Avg Week Mutukula-Masaka'!J49</f>
        <v>0.71428571428571419</v>
      </c>
      <c r="K49" s="49">
        <f>'Avg Week Masaka-Mutukula'!K49+'Avg Week Mutukula-Masaka'!K49</f>
        <v>1.5714285714285714</v>
      </c>
      <c r="L49" s="49">
        <f>'Avg Week Masaka-Mutukula'!L49+'Avg Week Mutukula-Masaka'!L49</f>
        <v>0</v>
      </c>
      <c r="M49" s="49">
        <f>'Avg Week Masaka-Mutukula'!M49+'Avg Week Mutukula-Masaka'!M49</f>
        <v>29.428571428571427</v>
      </c>
      <c r="N49" s="49">
        <f>'Avg Week Masaka-Mutukula'!N49+'Avg Week Mutukula-Masaka'!N49</f>
        <v>0</v>
      </c>
      <c r="O49" s="15">
        <f t="shared" si="0"/>
        <v>11.571428571428569</v>
      </c>
      <c r="P49" s="15">
        <f t="shared" si="1"/>
        <v>41</v>
      </c>
      <c r="R49" s="8"/>
      <c r="T49"/>
    </row>
    <row r="50" spans="2:20" ht="23.1" customHeight="1" x14ac:dyDescent="0.25">
      <c r="B50" s="24" t="s">
        <v>77</v>
      </c>
      <c r="C50" s="49">
        <f>'Avg Week Masaka-Mutukula'!C50+'Avg Week Mutukula-Masaka'!C50</f>
        <v>5</v>
      </c>
      <c r="D50" s="49">
        <f>'Avg Week Masaka-Mutukula'!D50+'Avg Week Mutukula-Masaka'!D50</f>
        <v>0.5714285714285714</v>
      </c>
      <c r="E50" s="49">
        <f>'Avg Week Masaka-Mutukula'!E50+'Avg Week Mutukula-Masaka'!E50</f>
        <v>0.5714285714285714</v>
      </c>
      <c r="F50" s="49">
        <f>'Avg Week Masaka-Mutukula'!F50+'Avg Week Mutukula-Masaka'!F50</f>
        <v>2.1428571428571428</v>
      </c>
      <c r="G50" s="49">
        <f>'Avg Week Masaka-Mutukula'!G50+'Avg Week Mutukula-Masaka'!G50</f>
        <v>0</v>
      </c>
      <c r="H50" s="49">
        <f>'Avg Week Masaka-Mutukula'!H50+'Avg Week Mutukula-Masaka'!H50</f>
        <v>0.14285714285714285</v>
      </c>
      <c r="I50" s="49">
        <f>'Avg Week Masaka-Mutukula'!I50+'Avg Week Mutukula-Masaka'!I50</f>
        <v>2</v>
      </c>
      <c r="J50" s="49">
        <f>'Avg Week Masaka-Mutukula'!J50+'Avg Week Mutukula-Masaka'!J50</f>
        <v>1.2857142857142856</v>
      </c>
      <c r="K50" s="49">
        <f>'Avg Week Masaka-Mutukula'!K50+'Avg Week Mutukula-Masaka'!K50</f>
        <v>2.2857142857142856</v>
      </c>
      <c r="L50" s="49">
        <f>'Avg Week Masaka-Mutukula'!L50+'Avg Week Mutukula-Masaka'!L50</f>
        <v>0.14285714285714285</v>
      </c>
      <c r="M50" s="49">
        <f>'Avg Week Masaka-Mutukula'!M50+'Avg Week Mutukula-Masaka'!M50</f>
        <v>22.285714285714285</v>
      </c>
      <c r="N50" s="49">
        <f>'Avg Week Masaka-Mutukula'!N50+'Avg Week Mutukula-Masaka'!N50</f>
        <v>0</v>
      </c>
      <c r="O50" s="15">
        <f t="shared" si="0"/>
        <v>14.142857142857139</v>
      </c>
      <c r="P50" s="15">
        <f t="shared" si="1"/>
        <v>36.428571428571423</v>
      </c>
      <c r="R50" s="8"/>
      <c r="T50"/>
    </row>
    <row r="51" spans="2:20" ht="23.1" customHeight="1" x14ac:dyDescent="0.25">
      <c r="B51" s="24" t="s">
        <v>78</v>
      </c>
      <c r="C51" s="49">
        <f>'Avg Week Masaka-Mutukula'!C51+'Avg Week Mutukula-Masaka'!C51</f>
        <v>6.2857142857142856</v>
      </c>
      <c r="D51" s="49">
        <f>'Avg Week Masaka-Mutukula'!D51+'Avg Week Mutukula-Masaka'!D51</f>
        <v>0.5714285714285714</v>
      </c>
      <c r="E51" s="49">
        <f>'Avg Week Masaka-Mutukula'!E51+'Avg Week Mutukula-Masaka'!E51</f>
        <v>0.16666666666666666</v>
      </c>
      <c r="F51" s="49">
        <f>'Avg Week Masaka-Mutukula'!F51+'Avg Week Mutukula-Masaka'!F51</f>
        <v>3.7142857142857144</v>
      </c>
      <c r="G51" s="49">
        <f>'Avg Week Masaka-Mutukula'!G51+'Avg Week Mutukula-Masaka'!G51</f>
        <v>0</v>
      </c>
      <c r="H51" s="49">
        <f>'Avg Week Masaka-Mutukula'!H51+'Avg Week Mutukula-Masaka'!H51</f>
        <v>0.2857142857142857</v>
      </c>
      <c r="I51" s="49">
        <f>'Avg Week Masaka-Mutukula'!I51+'Avg Week Mutukula-Masaka'!I51</f>
        <v>1.4285714285714284</v>
      </c>
      <c r="J51" s="49">
        <f>'Avg Week Masaka-Mutukula'!J51+'Avg Week Mutukula-Masaka'!J51</f>
        <v>1.5714285714285714</v>
      </c>
      <c r="K51" s="49">
        <f>'Avg Week Masaka-Mutukula'!K51+'Avg Week Mutukula-Masaka'!K51</f>
        <v>1.1428571428571428</v>
      </c>
      <c r="L51" s="49">
        <f>'Avg Week Masaka-Mutukula'!L51+'Avg Week Mutukula-Masaka'!L51</f>
        <v>0.5714285714285714</v>
      </c>
      <c r="M51" s="49">
        <f>'Avg Week Masaka-Mutukula'!M51+'Avg Week Mutukula-Masaka'!M51</f>
        <v>25.142857142857142</v>
      </c>
      <c r="N51" s="49">
        <f>'Avg Week Masaka-Mutukula'!N51+'Avg Week Mutukula-Masaka'!N51</f>
        <v>0</v>
      </c>
      <c r="O51" s="15">
        <f t="shared" si="0"/>
        <v>15.738095238095237</v>
      </c>
      <c r="P51" s="15">
        <f t="shared" si="1"/>
        <v>40.88095238095238</v>
      </c>
      <c r="R51" s="8"/>
      <c r="T51"/>
    </row>
    <row r="52" spans="2:20" ht="23.1" customHeight="1" x14ac:dyDescent="0.25">
      <c r="B52" s="24" t="s">
        <v>79</v>
      </c>
      <c r="C52" s="49">
        <f>'Avg Week Masaka-Mutukula'!C52+'Avg Week Mutukula-Masaka'!C52</f>
        <v>6.5714285714285712</v>
      </c>
      <c r="D52" s="49">
        <f>'Avg Week Masaka-Mutukula'!D52+'Avg Week Mutukula-Masaka'!D52</f>
        <v>0.8571428571428571</v>
      </c>
      <c r="E52" s="49">
        <f>'Avg Week Masaka-Mutukula'!E52+'Avg Week Mutukula-Masaka'!E52</f>
        <v>0.14285714285714285</v>
      </c>
      <c r="F52" s="49">
        <f>'Avg Week Masaka-Mutukula'!F52+'Avg Week Mutukula-Masaka'!F52</f>
        <v>3</v>
      </c>
      <c r="G52" s="49">
        <f>'Avg Week Masaka-Mutukula'!G52+'Avg Week Mutukula-Masaka'!G52</f>
        <v>0</v>
      </c>
      <c r="H52" s="49">
        <f>'Avg Week Masaka-Mutukula'!H52+'Avg Week Mutukula-Masaka'!H52</f>
        <v>0</v>
      </c>
      <c r="I52" s="49">
        <f>'Avg Week Masaka-Mutukula'!I52+'Avg Week Mutukula-Masaka'!I52</f>
        <v>1.7142857142857142</v>
      </c>
      <c r="J52" s="49">
        <f>'Avg Week Masaka-Mutukula'!J52+'Avg Week Mutukula-Masaka'!J52</f>
        <v>3</v>
      </c>
      <c r="K52" s="49">
        <f>'Avg Week Masaka-Mutukula'!K52+'Avg Week Mutukula-Masaka'!K52</f>
        <v>2.7142857142857144</v>
      </c>
      <c r="L52" s="49">
        <f>'Avg Week Masaka-Mutukula'!L52+'Avg Week Mutukula-Masaka'!L52</f>
        <v>0</v>
      </c>
      <c r="M52" s="49">
        <f>'Avg Week Masaka-Mutukula'!M52+'Avg Week Mutukula-Masaka'!M52</f>
        <v>27.285714285714285</v>
      </c>
      <c r="N52" s="49">
        <f>'Avg Week Masaka-Mutukula'!N52+'Avg Week Mutukula-Masaka'!N52</f>
        <v>0.14285714285714285</v>
      </c>
      <c r="O52" s="15">
        <f t="shared" si="0"/>
        <v>18.142857142857142</v>
      </c>
      <c r="P52" s="15">
        <f t="shared" si="1"/>
        <v>45.428571428571431</v>
      </c>
      <c r="R52" s="8"/>
      <c r="T52"/>
    </row>
    <row r="53" spans="2:20" ht="23.1" customHeight="1" x14ac:dyDescent="0.25">
      <c r="B53" s="23" t="s">
        <v>80</v>
      </c>
      <c r="C53" s="49">
        <f>'Avg Week Masaka-Mutukula'!C53+'Avg Week Mutukula-Masaka'!C53</f>
        <v>5.1428571428571423</v>
      </c>
      <c r="D53" s="49">
        <f>'Avg Week Masaka-Mutukula'!D53+'Avg Week Mutukula-Masaka'!D53</f>
        <v>1.2857142857142856</v>
      </c>
      <c r="E53" s="49">
        <f>'Avg Week Masaka-Mutukula'!E53+'Avg Week Mutukula-Masaka'!E53</f>
        <v>0.5714285714285714</v>
      </c>
      <c r="F53" s="49">
        <f>'Avg Week Masaka-Mutukula'!F53+'Avg Week Mutukula-Masaka'!F53</f>
        <v>2.1428571428571428</v>
      </c>
      <c r="G53" s="49">
        <f>'Avg Week Masaka-Mutukula'!G53+'Avg Week Mutukula-Masaka'!G53</f>
        <v>0</v>
      </c>
      <c r="H53" s="49">
        <f>'Avg Week Masaka-Mutukula'!H53+'Avg Week Mutukula-Masaka'!H53</f>
        <v>0.14285714285714285</v>
      </c>
      <c r="I53" s="49">
        <f>'Avg Week Masaka-Mutukula'!I53+'Avg Week Mutukula-Masaka'!I53</f>
        <v>2.2857142857142856</v>
      </c>
      <c r="J53" s="49">
        <f>'Avg Week Masaka-Mutukula'!J53+'Avg Week Mutukula-Masaka'!J53</f>
        <v>1.5714285714285716</v>
      </c>
      <c r="K53" s="49">
        <f>'Avg Week Masaka-Mutukula'!K53+'Avg Week Mutukula-Masaka'!K53</f>
        <v>1.7142857142857144</v>
      </c>
      <c r="L53" s="49">
        <f>'Avg Week Masaka-Mutukula'!L53+'Avg Week Mutukula-Masaka'!L53</f>
        <v>0</v>
      </c>
      <c r="M53" s="49">
        <f>'Avg Week Masaka-Mutukula'!M53+'Avg Week Mutukula-Masaka'!M53</f>
        <v>25.714285714285715</v>
      </c>
      <c r="N53" s="49">
        <f>'Avg Week Masaka-Mutukula'!N53+'Avg Week Mutukula-Masaka'!N53</f>
        <v>0</v>
      </c>
      <c r="O53" s="15">
        <f t="shared" si="0"/>
        <v>14.857142857142854</v>
      </c>
      <c r="P53" s="15">
        <f t="shared" si="1"/>
        <v>40.571428571428569</v>
      </c>
      <c r="R53" s="8"/>
      <c r="T53"/>
    </row>
    <row r="54" spans="2:20" ht="23.1" customHeight="1" x14ac:dyDescent="0.25">
      <c r="B54" s="23" t="s">
        <v>81</v>
      </c>
      <c r="C54" s="49">
        <f>'Avg Week Masaka-Mutukula'!C54+'Avg Week Mutukula-Masaka'!C54</f>
        <v>7</v>
      </c>
      <c r="D54" s="49">
        <f>'Avg Week Masaka-Mutukula'!D54+'Avg Week Mutukula-Masaka'!D54</f>
        <v>1</v>
      </c>
      <c r="E54" s="49">
        <f>'Avg Week Masaka-Mutukula'!E54+'Avg Week Mutukula-Masaka'!E54</f>
        <v>0.5714285714285714</v>
      </c>
      <c r="F54" s="49">
        <f>'Avg Week Masaka-Mutukula'!F54+'Avg Week Mutukula-Masaka'!F54</f>
        <v>2.5714285714285716</v>
      </c>
      <c r="G54" s="49">
        <f>'Avg Week Masaka-Mutukula'!G54+'Avg Week Mutukula-Masaka'!G54</f>
        <v>0</v>
      </c>
      <c r="H54" s="49">
        <f>'Avg Week Masaka-Mutukula'!H54+'Avg Week Mutukula-Masaka'!H54</f>
        <v>0</v>
      </c>
      <c r="I54" s="49">
        <f>'Avg Week Masaka-Mutukula'!I54+'Avg Week Mutukula-Masaka'!I54</f>
        <v>0.71428571428571419</v>
      </c>
      <c r="J54" s="49">
        <f>'Avg Week Masaka-Mutukula'!J54+'Avg Week Mutukula-Masaka'!J54</f>
        <v>1.8571428571428572</v>
      </c>
      <c r="K54" s="49">
        <f>'Avg Week Masaka-Mutukula'!K54+'Avg Week Mutukula-Masaka'!K54</f>
        <v>2</v>
      </c>
      <c r="L54" s="49">
        <f>'Avg Week Masaka-Mutukula'!L54+'Avg Week Mutukula-Masaka'!L54</f>
        <v>0.42857142857142855</v>
      </c>
      <c r="M54" s="49">
        <f>'Avg Week Masaka-Mutukula'!M54+'Avg Week Mutukula-Masaka'!M54</f>
        <v>24.714285714285715</v>
      </c>
      <c r="N54" s="49">
        <f>'Avg Week Masaka-Mutukula'!N54+'Avg Week Mutukula-Masaka'!N54</f>
        <v>0</v>
      </c>
      <c r="O54" s="15">
        <f t="shared" si="0"/>
        <v>16.142857142857142</v>
      </c>
      <c r="P54" s="15">
        <f t="shared" si="1"/>
        <v>40.857142857142861</v>
      </c>
      <c r="R54" s="8"/>
      <c r="T54"/>
    </row>
    <row r="55" spans="2:20" ht="23.1" customHeight="1" x14ac:dyDescent="0.25">
      <c r="B55" s="23" t="s">
        <v>82</v>
      </c>
      <c r="C55" s="49">
        <f>'Avg Week Masaka-Mutukula'!C55+'Avg Week Mutukula-Masaka'!C55</f>
        <v>6.8571428571428577</v>
      </c>
      <c r="D55" s="49">
        <f>'Avg Week Masaka-Mutukula'!D55+'Avg Week Mutukula-Masaka'!D55</f>
        <v>1</v>
      </c>
      <c r="E55" s="49">
        <f>'Avg Week Masaka-Mutukula'!E55+'Avg Week Mutukula-Masaka'!E55</f>
        <v>0.5714285714285714</v>
      </c>
      <c r="F55" s="49">
        <f>'Avg Week Masaka-Mutukula'!F55+'Avg Week Mutukula-Masaka'!F55</f>
        <v>3.1428571428571428</v>
      </c>
      <c r="G55" s="49">
        <f>'Avg Week Masaka-Mutukula'!G55+'Avg Week Mutukula-Masaka'!G55</f>
        <v>0</v>
      </c>
      <c r="H55" s="49">
        <f>'Avg Week Masaka-Mutukula'!H55+'Avg Week Mutukula-Masaka'!H55</f>
        <v>0</v>
      </c>
      <c r="I55" s="49">
        <f>'Avg Week Masaka-Mutukula'!I55+'Avg Week Mutukula-Masaka'!I55</f>
        <v>2.7142857142857144</v>
      </c>
      <c r="J55" s="49">
        <f>'Avg Week Masaka-Mutukula'!J55+'Avg Week Mutukula-Masaka'!J55</f>
        <v>1</v>
      </c>
      <c r="K55" s="49">
        <f>'Avg Week Masaka-Mutukula'!K55+'Avg Week Mutukula-Masaka'!K55</f>
        <v>2.2857142857142856</v>
      </c>
      <c r="L55" s="49">
        <f>'Avg Week Masaka-Mutukula'!L55+'Avg Week Mutukula-Masaka'!L55</f>
        <v>0.14285714285714285</v>
      </c>
      <c r="M55" s="49">
        <f>'Avg Week Masaka-Mutukula'!M55+'Avg Week Mutukula-Masaka'!M55</f>
        <v>25.857142857142858</v>
      </c>
      <c r="N55" s="49">
        <f>'Avg Week Masaka-Mutukula'!N55+'Avg Week Mutukula-Masaka'!N55</f>
        <v>2.2857142857142856</v>
      </c>
      <c r="O55" s="15">
        <f t="shared" si="0"/>
        <v>19.999999999999996</v>
      </c>
      <c r="P55" s="15">
        <f t="shared" si="1"/>
        <v>45.857142857142854</v>
      </c>
      <c r="R55" s="8"/>
      <c r="T55"/>
    </row>
    <row r="56" spans="2:20" ht="23.1" customHeight="1" x14ac:dyDescent="0.25">
      <c r="B56" s="23" t="s">
        <v>83</v>
      </c>
      <c r="C56" s="49">
        <f>'Avg Week Masaka-Mutukula'!C56+'Avg Week Mutukula-Masaka'!C56</f>
        <v>7.7142857142857135</v>
      </c>
      <c r="D56" s="49">
        <f>'Avg Week Masaka-Mutukula'!D56+'Avg Week Mutukula-Masaka'!D56</f>
        <v>0.5714285714285714</v>
      </c>
      <c r="E56" s="49">
        <f>'Avg Week Masaka-Mutukula'!E56+'Avg Week Mutukula-Masaka'!E56</f>
        <v>0.71428571428571419</v>
      </c>
      <c r="F56" s="49">
        <f>'Avg Week Masaka-Mutukula'!F56+'Avg Week Mutukula-Masaka'!F56</f>
        <v>3</v>
      </c>
      <c r="G56" s="49">
        <f>'Avg Week Masaka-Mutukula'!G56+'Avg Week Mutukula-Masaka'!G56</f>
        <v>0</v>
      </c>
      <c r="H56" s="49">
        <f>'Avg Week Masaka-Mutukula'!H56+'Avg Week Mutukula-Masaka'!H56</f>
        <v>0</v>
      </c>
      <c r="I56" s="49">
        <f>'Avg Week Masaka-Mutukula'!I56+'Avg Week Mutukula-Masaka'!I56</f>
        <v>1</v>
      </c>
      <c r="J56" s="49">
        <f>'Avg Week Masaka-Mutukula'!J56+'Avg Week Mutukula-Masaka'!J56</f>
        <v>2.8571428571428568</v>
      </c>
      <c r="K56" s="49">
        <f>'Avg Week Masaka-Mutukula'!K56+'Avg Week Mutukula-Masaka'!K56</f>
        <v>2</v>
      </c>
      <c r="L56" s="49">
        <f>'Avg Week Masaka-Mutukula'!L56+'Avg Week Mutukula-Masaka'!L56</f>
        <v>0.5714285714285714</v>
      </c>
      <c r="M56" s="49">
        <f>'Avg Week Masaka-Mutukula'!M56+'Avg Week Mutukula-Masaka'!M56</f>
        <v>25.714285714285715</v>
      </c>
      <c r="N56" s="49">
        <f>'Avg Week Masaka-Mutukula'!N56+'Avg Week Mutukula-Masaka'!N56</f>
        <v>3.2857142857142856</v>
      </c>
      <c r="O56" s="15">
        <f t="shared" si="0"/>
        <v>21.714285714285712</v>
      </c>
      <c r="P56" s="15">
        <f t="shared" si="1"/>
        <v>47.428571428571423</v>
      </c>
      <c r="R56" s="8"/>
      <c r="T56"/>
    </row>
    <row r="57" spans="2:20" ht="23.1" customHeight="1" x14ac:dyDescent="0.25">
      <c r="B57" s="23" t="s">
        <v>84</v>
      </c>
      <c r="C57" s="49">
        <f>'Avg Week Masaka-Mutukula'!C57+'Avg Week Mutukula-Masaka'!C57</f>
        <v>4.8571428571428577</v>
      </c>
      <c r="D57" s="49">
        <f>'Avg Week Masaka-Mutukula'!D57+'Avg Week Mutukula-Masaka'!D57</f>
        <v>0.8571428571428571</v>
      </c>
      <c r="E57" s="49">
        <f>'Avg Week Masaka-Mutukula'!E57+'Avg Week Mutukula-Masaka'!E57</f>
        <v>0.2857142857142857</v>
      </c>
      <c r="F57" s="49">
        <f>'Avg Week Masaka-Mutukula'!F57+'Avg Week Mutukula-Masaka'!F57</f>
        <v>3.1428571428571432</v>
      </c>
      <c r="G57" s="49">
        <f>'Avg Week Masaka-Mutukula'!G57+'Avg Week Mutukula-Masaka'!G57</f>
        <v>0</v>
      </c>
      <c r="H57" s="49">
        <f>'Avg Week Masaka-Mutukula'!H57+'Avg Week Mutukula-Masaka'!H57</f>
        <v>0</v>
      </c>
      <c r="I57" s="49">
        <f>'Avg Week Masaka-Mutukula'!I57+'Avg Week Mutukula-Masaka'!I57</f>
        <v>1.8571428571428572</v>
      </c>
      <c r="J57" s="49">
        <f>'Avg Week Masaka-Mutukula'!J57+'Avg Week Mutukula-Masaka'!J57</f>
        <v>1</v>
      </c>
      <c r="K57" s="49">
        <f>'Avg Week Masaka-Mutukula'!K57+'Avg Week Mutukula-Masaka'!K57</f>
        <v>2</v>
      </c>
      <c r="L57" s="49">
        <f>'Avg Week Masaka-Mutukula'!L57+'Avg Week Mutukula-Masaka'!L57</f>
        <v>0.85714285714285721</v>
      </c>
      <c r="M57" s="49">
        <f>'Avg Week Masaka-Mutukula'!M57+'Avg Week Mutukula-Masaka'!M57</f>
        <v>30</v>
      </c>
      <c r="N57" s="49">
        <f>'Avg Week Masaka-Mutukula'!N57+'Avg Week Mutukula-Masaka'!N57</f>
        <v>1</v>
      </c>
      <c r="O57" s="15">
        <f t="shared" si="0"/>
        <v>15.857142857142858</v>
      </c>
      <c r="P57" s="15">
        <f t="shared" si="1"/>
        <v>45.857142857142861</v>
      </c>
      <c r="R57" s="8"/>
      <c r="T57"/>
    </row>
    <row r="58" spans="2:20" ht="23.1" customHeight="1" x14ac:dyDescent="0.25">
      <c r="B58" s="23" t="s">
        <v>99</v>
      </c>
      <c r="C58" s="49">
        <f>'Avg Week Masaka-Mutukula'!C58+'Avg Week Mutukula-Masaka'!C58</f>
        <v>4</v>
      </c>
      <c r="D58" s="49">
        <f>'Avg Week Masaka-Mutukula'!D58+'Avg Week Mutukula-Masaka'!D58</f>
        <v>2</v>
      </c>
      <c r="E58" s="49">
        <f>'Avg Week Masaka-Mutukula'!E58+'Avg Week Mutukula-Masaka'!E58</f>
        <v>0</v>
      </c>
      <c r="F58" s="49">
        <f>'Avg Week Masaka-Mutukula'!F58+'Avg Week Mutukula-Masaka'!F58</f>
        <v>2</v>
      </c>
      <c r="G58" s="49">
        <f>'Avg Week Masaka-Mutukula'!G58+'Avg Week Mutukula-Masaka'!G58</f>
        <v>0</v>
      </c>
      <c r="H58" s="49">
        <f>'Avg Week Masaka-Mutukula'!H58+'Avg Week Mutukula-Masaka'!H58</f>
        <v>0</v>
      </c>
      <c r="I58" s="49">
        <f>'Avg Week Masaka-Mutukula'!I58+'Avg Week Mutukula-Masaka'!I58</f>
        <v>0.5</v>
      </c>
      <c r="J58" s="49">
        <f>'Avg Week Masaka-Mutukula'!J58+'Avg Week Mutukula-Masaka'!J58</f>
        <v>1</v>
      </c>
      <c r="K58" s="49">
        <f>'Avg Week Masaka-Mutukula'!K58+'Avg Week Mutukula-Masaka'!K58</f>
        <v>2</v>
      </c>
      <c r="L58" s="49">
        <f>'Avg Week Masaka-Mutukula'!L58+'Avg Week Mutukula-Masaka'!L58</f>
        <v>0</v>
      </c>
      <c r="M58" s="49">
        <f>'Avg Week Masaka-Mutukula'!M58+'Avg Week Mutukula-Masaka'!M58</f>
        <v>31</v>
      </c>
      <c r="N58" s="49">
        <f>'Avg Week Masaka-Mutukula'!N58+'Avg Week Mutukula-Masaka'!N58</f>
        <v>0</v>
      </c>
      <c r="O58" s="15">
        <f t="shared" si="0"/>
        <v>11.5</v>
      </c>
      <c r="P58" s="15">
        <f t="shared" si="1"/>
        <v>42.5</v>
      </c>
      <c r="R58" s="8"/>
      <c r="T58"/>
    </row>
    <row r="59" spans="2:20" ht="23.1" customHeight="1" x14ac:dyDescent="0.25">
      <c r="B59" s="23" t="s">
        <v>100</v>
      </c>
      <c r="C59" s="49">
        <f>'Avg Week Masaka-Mutukula'!C59+'Avg Week Mutukula-Masaka'!C59</f>
        <v>8</v>
      </c>
      <c r="D59" s="49">
        <f>'Avg Week Masaka-Mutukula'!D59+'Avg Week Mutukula-Masaka'!D59</f>
        <v>1.5</v>
      </c>
      <c r="E59" s="49">
        <f>'Avg Week Masaka-Mutukula'!E59+'Avg Week Mutukula-Masaka'!E59</f>
        <v>0</v>
      </c>
      <c r="F59" s="49">
        <f>'Avg Week Masaka-Mutukula'!F59+'Avg Week Mutukula-Masaka'!F59</f>
        <v>2</v>
      </c>
      <c r="G59" s="49">
        <f>'Avg Week Masaka-Mutukula'!G59+'Avg Week Mutukula-Masaka'!G59</f>
        <v>0</v>
      </c>
      <c r="H59" s="49">
        <f>'Avg Week Masaka-Mutukula'!H59+'Avg Week Mutukula-Masaka'!H59</f>
        <v>0</v>
      </c>
      <c r="I59" s="49">
        <f>'Avg Week Masaka-Mutukula'!I59+'Avg Week Mutukula-Masaka'!I59</f>
        <v>0.5</v>
      </c>
      <c r="J59" s="49">
        <f>'Avg Week Masaka-Mutukula'!J59+'Avg Week Mutukula-Masaka'!J59</f>
        <v>1</v>
      </c>
      <c r="K59" s="49">
        <f>'Avg Week Masaka-Mutukula'!K59+'Avg Week Mutukula-Masaka'!K59</f>
        <v>1</v>
      </c>
      <c r="L59" s="49">
        <f>'Avg Week Masaka-Mutukula'!L59+'Avg Week Mutukula-Masaka'!L59</f>
        <v>0</v>
      </c>
      <c r="M59" s="49">
        <f>'Avg Week Masaka-Mutukula'!M59+'Avg Week Mutukula-Masaka'!M59</f>
        <v>50.5</v>
      </c>
      <c r="N59" s="49">
        <f>'Avg Week Masaka-Mutukula'!N59+'Avg Week Mutukula-Masaka'!N59</f>
        <v>0</v>
      </c>
      <c r="O59" s="15">
        <f t="shared" si="0"/>
        <v>14</v>
      </c>
      <c r="P59" s="15">
        <f t="shared" si="1"/>
        <v>64.5</v>
      </c>
      <c r="R59" s="8"/>
      <c r="T59"/>
    </row>
    <row r="60" spans="2:20" ht="23.1" customHeight="1" x14ac:dyDescent="0.25">
      <c r="B60" s="23" t="s">
        <v>101</v>
      </c>
      <c r="C60" s="49">
        <f>'Avg Week Masaka-Mutukula'!C60+'Avg Week Mutukula-Masaka'!C60</f>
        <v>4</v>
      </c>
      <c r="D60" s="49">
        <f>'Avg Week Masaka-Mutukula'!D60+'Avg Week Mutukula-Masaka'!D60</f>
        <v>2.5</v>
      </c>
      <c r="E60" s="49">
        <f>'Avg Week Masaka-Mutukula'!E60+'Avg Week Mutukula-Masaka'!E60</f>
        <v>0</v>
      </c>
      <c r="F60" s="49">
        <f>'Avg Week Masaka-Mutukula'!F60+'Avg Week Mutukula-Masaka'!F60</f>
        <v>3</v>
      </c>
      <c r="G60" s="49">
        <f>'Avg Week Masaka-Mutukula'!G60+'Avg Week Mutukula-Masaka'!G60</f>
        <v>0</v>
      </c>
      <c r="H60" s="49">
        <f>'Avg Week Masaka-Mutukula'!H60+'Avg Week Mutukula-Masaka'!H60</f>
        <v>0</v>
      </c>
      <c r="I60" s="49">
        <f>'Avg Week Masaka-Mutukula'!I60+'Avg Week Mutukula-Masaka'!I60</f>
        <v>5</v>
      </c>
      <c r="J60" s="49">
        <f>'Avg Week Masaka-Mutukula'!J60+'Avg Week Mutukula-Masaka'!J60</f>
        <v>1.5</v>
      </c>
      <c r="K60" s="49">
        <f>'Avg Week Masaka-Mutukula'!K60+'Avg Week Mutukula-Masaka'!K60</f>
        <v>2.5</v>
      </c>
      <c r="L60" s="49">
        <f>'Avg Week Masaka-Mutukula'!L60+'Avg Week Mutukula-Masaka'!L60</f>
        <v>0</v>
      </c>
      <c r="M60" s="49">
        <f>'Avg Week Masaka-Mutukula'!M60+'Avg Week Mutukula-Masaka'!M60</f>
        <v>45</v>
      </c>
      <c r="N60" s="49">
        <f>'Avg Week Masaka-Mutukula'!N60+'Avg Week Mutukula-Masaka'!N60</f>
        <v>0</v>
      </c>
      <c r="O60" s="15">
        <f t="shared" si="0"/>
        <v>18.5</v>
      </c>
      <c r="P60" s="15">
        <f t="shared" si="1"/>
        <v>63.5</v>
      </c>
      <c r="R60" s="8"/>
      <c r="T60"/>
    </row>
    <row r="61" spans="2:20" ht="23.1" customHeight="1" x14ac:dyDescent="0.25">
      <c r="B61" s="23" t="s">
        <v>102</v>
      </c>
      <c r="C61" s="49">
        <f>'Avg Week Masaka-Mutukula'!C61+'Avg Week Mutukula-Masaka'!C61</f>
        <v>4</v>
      </c>
      <c r="D61" s="49">
        <f>'Avg Week Masaka-Mutukula'!D61+'Avg Week Mutukula-Masaka'!D61</f>
        <v>3</v>
      </c>
      <c r="E61" s="49">
        <f>'Avg Week Masaka-Mutukula'!E61+'Avg Week Mutukula-Masaka'!E61</f>
        <v>0</v>
      </c>
      <c r="F61" s="49">
        <f>'Avg Week Masaka-Mutukula'!F61+'Avg Week Mutukula-Masaka'!F61</f>
        <v>4</v>
      </c>
      <c r="G61" s="49">
        <f>'Avg Week Masaka-Mutukula'!G61+'Avg Week Mutukula-Masaka'!G61</f>
        <v>0</v>
      </c>
      <c r="H61" s="49">
        <f>'Avg Week Masaka-Mutukula'!H61+'Avg Week Mutukula-Masaka'!H61</f>
        <v>0</v>
      </c>
      <c r="I61" s="49">
        <f>'Avg Week Masaka-Mutukula'!I61+'Avg Week Mutukula-Masaka'!I61</f>
        <v>1</v>
      </c>
      <c r="J61" s="49">
        <f>'Avg Week Masaka-Mutukula'!J61+'Avg Week Mutukula-Masaka'!J61</f>
        <v>3.5</v>
      </c>
      <c r="K61" s="49">
        <f>'Avg Week Masaka-Mutukula'!K61+'Avg Week Mutukula-Masaka'!K61</f>
        <v>1</v>
      </c>
      <c r="L61" s="49">
        <f>'Avg Week Masaka-Mutukula'!L61+'Avg Week Mutukula-Masaka'!L61</f>
        <v>0</v>
      </c>
      <c r="M61" s="49">
        <f>'Avg Week Masaka-Mutukula'!M61+'Avg Week Mutukula-Masaka'!M61</f>
        <v>30</v>
      </c>
      <c r="N61" s="49">
        <f>'Avg Week Masaka-Mutukula'!N61+'Avg Week Mutukula-Masaka'!N61</f>
        <v>0</v>
      </c>
      <c r="O61" s="15">
        <f t="shared" si="0"/>
        <v>16.5</v>
      </c>
      <c r="P61" s="15">
        <f t="shared" si="1"/>
        <v>46.5</v>
      </c>
      <c r="R61" s="8"/>
      <c r="T61"/>
    </row>
    <row r="62" spans="2:20" ht="23.1" customHeight="1" x14ac:dyDescent="0.25">
      <c r="B62" s="23" t="s">
        <v>107</v>
      </c>
      <c r="C62" s="49">
        <f>'Avg Week Masaka-Mutukula'!C62+'Avg Week Mutukula-Masaka'!C62</f>
        <v>5.5</v>
      </c>
      <c r="D62" s="49">
        <f>'Avg Week Masaka-Mutukula'!D62+'Avg Week Mutukula-Masaka'!D62</f>
        <v>2</v>
      </c>
      <c r="E62" s="49">
        <f>'Avg Week Masaka-Mutukula'!E62+'Avg Week Mutukula-Masaka'!E62</f>
        <v>0</v>
      </c>
      <c r="F62" s="49">
        <f>'Avg Week Masaka-Mutukula'!F62+'Avg Week Mutukula-Masaka'!F62</f>
        <v>1</v>
      </c>
      <c r="G62" s="49">
        <f>'Avg Week Masaka-Mutukula'!G62+'Avg Week Mutukula-Masaka'!G62</f>
        <v>0</v>
      </c>
      <c r="H62" s="49">
        <f>'Avg Week Masaka-Mutukula'!H62+'Avg Week Mutukula-Masaka'!H62</f>
        <v>0</v>
      </c>
      <c r="I62" s="49">
        <f>'Avg Week Masaka-Mutukula'!I62+'Avg Week Mutukula-Masaka'!I62</f>
        <v>2</v>
      </c>
      <c r="J62" s="49">
        <f>'Avg Week Masaka-Mutukula'!J62+'Avg Week Mutukula-Masaka'!J62</f>
        <v>1.5</v>
      </c>
      <c r="K62" s="49">
        <f>'Avg Week Masaka-Mutukula'!K62+'Avg Week Mutukula-Masaka'!K62</f>
        <v>5</v>
      </c>
      <c r="L62" s="49">
        <f>'Avg Week Masaka-Mutukula'!L62+'Avg Week Mutukula-Masaka'!L62</f>
        <v>0</v>
      </c>
      <c r="M62" s="49">
        <f>'Avg Week Masaka-Mutukula'!M62+'Avg Week Mutukula-Masaka'!M62</f>
        <v>16.5</v>
      </c>
      <c r="N62" s="49">
        <f>'Avg Week Masaka-Mutukula'!N62+'Avg Week Mutukula-Masaka'!N62</f>
        <v>0</v>
      </c>
      <c r="O62" s="15">
        <f t="shared" si="0"/>
        <v>17</v>
      </c>
      <c r="P62" s="15">
        <f t="shared" si="1"/>
        <v>33.5</v>
      </c>
      <c r="R62" s="8"/>
      <c r="T62"/>
    </row>
    <row r="63" spans="2:20" ht="23.1" customHeight="1" x14ac:dyDescent="0.25">
      <c r="B63" s="23" t="s">
        <v>108</v>
      </c>
      <c r="C63" s="49">
        <f>'Avg Week Masaka-Mutukula'!C63+'Avg Week Mutukula-Masaka'!C63</f>
        <v>8.5</v>
      </c>
      <c r="D63" s="49">
        <f>'Avg Week Masaka-Mutukula'!D63+'Avg Week Mutukula-Masaka'!D63</f>
        <v>0.5</v>
      </c>
      <c r="E63" s="49">
        <f>'Avg Week Masaka-Mutukula'!E63+'Avg Week Mutukula-Masaka'!E63</f>
        <v>0</v>
      </c>
      <c r="F63" s="49">
        <f>'Avg Week Masaka-Mutukula'!F63+'Avg Week Mutukula-Masaka'!F63</f>
        <v>1</v>
      </c>
      <c r="G63" s="49">
        <f>'Avg Week Masaka-Mutukula'!G63+'Avg Week Mutukula-Masaka'!G63</f>
        <v>0</v>
      </c>
      <c r="H63" s="49">
        <f>'Avg Week Masaka-Mutukula'!H63+'Avg Week Mutukula-Masaka'!H63</f>
        <v>0.5</v>
      </c>
      <c r="I63" s="49">
        <f>'Avg Week Masaka-Mutukula'!I63+'Avg Week Mutukula-Masaka'!I63</f>
        <v>0.5</v>
      </c>
      <c r="J63" s="49">
        <f>'Avg Week Masaka-Mutukula'!J63+'Avg Week Mutukula-Masaka'!J63</f>
        <v>3.5</v>
      </c>
      <c r="K63" s="49">
        <f>'Avg Week Masaka-Mutukula'!K63+'Avg Week Mutukula-Masaka'!K63</f>
        <v>1.5</v>
      </c>
      <c r="L63" s="49">
        <f>'Avg Week Masaka-Mutukula'!L63+'Avg Week Mutukula-Masaka'!L63</f>
        <v>0</v>
      </c>
      <c r="M63" s="49">
        <f>'Avg Week Masaka-Mutukula'!M63+'Avg Week Mutukula-Masaka'!M63</f>
        <v>19.5</v>
      </c>
      <c r="N63" s="49">
        <f>'Avg Week Masaka-Mutukula'!N63+'Avg Week Mutukula-Masaka'!N63</f>
        <v>0</v>
      </c>
      <c r="O63" s="15">
        <f t="shared" si="0"/>
        <v>16</v>
      </c>
      <c r="P63" s="15">
        <f t="shared" si="1"/>
        <v>35.5</v>
      </c>
      <c r="R63" s="8"/>
      <c r="T63"/>
    </row>
    <row r="64" spans="2:20" ht="23.1" customHeight="1" x14ac:dyDescent="0.25">
      <c r="B64" s="23" t="s">
        <v>109</v>
      </c>
      <c r="C64" s="49">
        <f>'Avg Week Masaka-Mutukula'!C64+'Avg Week Mutukula-Masaka'!C64</f>
        <v>4.5</v>
      </c>
      <c r="D64" s="49">
        <f>'Avg Week Masaka-Mutukula'!D64+'Avg Week Mutukula-Masaka'!D64</f>
        <v>1.5</v>
      </c>
      <c r="E64" s="49">
        <f>'Avg Week Masaka-Mutukula'!E64+'Avg Week Mutukula-Masaka'!E64</f>
        <v>0.5</v>
      </c>
      <c r="F64" s="49">
        <f>'Avg Week Masaka-Mutukula'!F64+'Avg Week Mutukula-Masaka'!F64</f>
        <v>0</v>
      </c>
      <c r="G64" s="49">
        <f>'Avg Week Masaka-Mutukula'!G64+'Avg Week Mutukula-Masaka'!G64</f>
        <v>0</v>
      </c>
      <c r="H64" s="49">
        <f>'Avg Week Masaka-Mutukula'!H64+'Avg Week Mutukula-Masaka'!H64</f>
        <v>0</v>
      </c>
      <c r="I64" s="49">
        <f>'Avg Week Masaka-Mutukula'!I64+'Avg Week Mutukula-Masaka'!I64</f>
        <v>0.5</v>
      </c>
      <c r="J64" s="49">
        <f>'Avg Week Masaka-Mutukula'!J64+'Avg Week Mutukula-Masaka'!J64</f>
        <v>4.5</v>
      </c>
      <c r="K64" s="49">
        <f>'Avg Week Masaka-Mutukula'!K64+'Avg Week Mutukula-Masaka'!K64</f>
        <v>2</v>
      </c>
      <c r="L64" s="49">
        <f>'Avg Week Masaka-Mutukula'!L64+'Avg Week Mutukula-Masaka'!L64</f>
        <v>0</v>
      </c>
      <c r="M64" s="49">
        <f>'Avg Week Masaka-Mutukula'!M64+'Avg Week Mutukula-Masaka'!M64</f>
        <v>15</v>
      </c>
      <c r="N64" s="49">
        <f>'Avg Week Masaka-Mutukula'!N64+'Avg Week Mutukula-Masaka'!N64</f>
        <v>0</v>
      </c>
      <c r="O64" s="15">
        <f t="shared" si="0"/>
        <v>13.5</v>
      </c>
      <c r="P64" s="15">
        <f t="shared" si="1"/>
        <v>28.5</v>
      </c>
      <c r="R64" s="8"/>
      <c r="T64"/>
    </row>
    <row r="65" spans="2:20" ht="23.1" customHeight="1" x14ac:dyDescent="0.25">
      <c r="B65" s="23" t="s">
        <v>158</v>
      </c>
      <c r="C65" s="49">
        <f>'Avg Week Masaka-Mutukula'!C65+'Avg Week Mutukula-Masaka'!C65</f>
        <v>7</v>
      </c>
      <c r="D65" s="49">
        <f>'Avg Week Masaka-Mutukula'!D65+'Avg Week Mutukula-Masaka'!D65</f>
        <v>0</v>
      </c>
      <c r="E65" s="49">
        <f>'Avg Week Masaka-Mutukula'!E65+'Avg Week Mutukula-Masaka'!E65</f>
        <v>0.5</v>
      </c>
      <c r="F65" s="49">
        <f>'Avg Week Masaka-Mutukula'!F65+'Avg Week Mutukula-Masaka'!F65</f>
        <v>1.5</v>
      </c>
      <c r="G65" s="49">
        <f>'Avg Week Masaka-Mutukula'!G65+'Avg Week Mutukula-Masaka'!G65</f>
        <v>0</v>
      </c>
      <c r="H65" s="49">
        <f>'Avg Week Masaka-Mutukula'!H65+'Avg Week Mutukula-Masaka'!H65</f>
        <v>0</v>
      </c>
      <c r="I65" s="49">
        <f>'Avg Week Masaka-Mutukula'!I65+'Avg Week Mutukula-Masaka'!I65</f>
        <v>0.5</v>
      </c>
      <c r="J65" s="49">
        <f>'Avg Week Masaka-Mutukula'!J65+'Avg Week Mutukula-Masaka'!J65</f>
        <v>2</v>
      </c>
      <c r="K65" s="49">
        <f>'Avg Week Masaka-Mutukula'!K65+'Avg Week Mutukula-Masaka'!K65</f>
        <v>0.5</v>
      </c>
      <c r="L65" s="49">
        <f>'Avg Week Masaka-Mutukula'!L65+'Avg Week Mutukula-Masaka'!L65</f>
        <v>0</v>
      </c>
      <c r="M65" s="49">
        <f>'Avg Week Masaka-Mutukula'!M65+'Avg Week Mutukula-Masaka'!M65</f>
        <v>12</v>
      </c>
      <c r="N65" s="49">
        <f>'Avg Week Masaka-Mutukula'!N65+'Avg Week Mutukula-Masaka'!N65</f>
        <v>0</v>
      </c>
      <c r="O65" s="15">
        <f t="shared" si="0"/>
        <v>12</v>
      </c>
      <c r="P65" s="15">
        <f t="shared" si="1"/>
        <v>24</v>
      </c>
      <c r="R65" s="8"/>
      <c r="T65"/>
    </row>
    <row r="66" spans="2:20" ht="23.1" customHeight="1" x14ac:dyDescent="0.25">
      <c r="B66" s="23" t="s">
        <v>103</v>
      </c>
      <c r="C66" s="49">
        <f>'Avg Week Masaka-Mutukula'!C66+'Avg Week Mutukula-Masaka'!C66</f>
        <v>5.5</v>
      </c>
      <c r="D66" s="49">
        <f>'Avg Week Masaka-Mutukula'!D66+'Avg Week Mutukula-Masaka'!D66</f>
        <v>0.5</v>
      </c>
      <c r="E66" s="49">
        <f>'Avg Week Masaka-Mutukula'!E66+'Avg Week Mutukula-Masaka'!E66</f>
        <v>0</v>
      </c>
      <c r="F66" s="49">
        <f>'Avg Week Masaka-Mutukula'!F66+'Avg Week Mutukula-Masaka'!F66</f>
        <v>0</v>
      </c>
      <c r="G66" s="49">
        <f>'Avg Week Masaka-Mutukula'!G66+'Avg Week Mutukula-Masaka'!G66</f>
        <v>0</v>
      </c>
      <c r="H66" s="49">
        <f>'Avg Week Masaka-Mutukula'!H66+'Avg Week Mutukula-Masaka'!H66</f>
        <v>0</v>
      </c>
      <c r="I66" s="49">
        <f>'Avg Week Masaka-Mutukula'!I66+'Avg Week Mutukula-Masaka'!I66</f>
        <v>0.5</v>
      </c>
      <c r="J66" s="49">
        <f>'Avg Week Masaka-Mutukula'!J66+'Avg Week Mutukula-Masaka'!J66</f>
        <v>2.5</v>
      </c>
      <c r="K66" s="49">
        <f>'Avg Week Masaka-Mutukula'!K66+'Avg Week Mutukula-Masaka'!K66</f>
        <v>0.5</v>
      </c>
      <c r="L66" s="49">
        <f>'Avg Week Masaka-Mutukula'!L66+'Avg Week Mutukula-Masaka'!L66</f>
        <v>0</v>
      </c>
      <c r="M66" s="49">
        <f>'Avg Week Masaka-Mutukula'!M66+'Avg Week Mutukula-Masaka'!M66</f>
        <v>16.5</v>
      </c>
      <c r="N66" s="49">
        <f>'Avg Week Masaka-Mutukula'!N66+'Avg Week Mutukula-Masaka'!N66</f>
        <v>0</v>
      </c>
      <c r="O66" s="15">
        <f t="shared" si="0"/>
        <v>9.5</v>
      </c>
      <c r="P66" s="15">
        <f t="shared" si="1"/>
        <v>26</v>
      </c>
      <c r="R66" s="8"/>
      <c r="T66"/>
    </row>
    <row r="67" spans="2:20" ht="23.1" customHeight="1" x14ac:dyDescent="0.25">
      <c r="B67" s="23" t="s">
        <v>104</v>
      </c>
      <c r="C67" s="49">
        <f>'Avg Week Masaka-Mutukula'!C67+'Avg Week Mutukula-Masaka'!C67</f>
        <v>7</v>
      </c>
      <c r="D67" s="49">
        <f>'Avg Week Masaka-Mutukula'!D67+'Avg Week Mutukula-Masaka'!D67</f>
        <v>0</v>
      </c>
      <c r="E67" s="49">
        <f>'Avg Week Masaka-Mutukula'!E67+'Avg Week Mutukula-Masaka'!E67</f>
        <v>0</v>
      </c>
      <c r="F67" s="49">
        <f>'Avg Week Masaka-Mutukula'!F67+'Avg Week Mutukula-Masaka'!F67</f>
        <v>1.5</v>
      </c>
      <c r="G67" s="49">
        <f>'Avg Week Masaka-Mutukula'!G67+'Avg Week Mutukula-Masaka'!G67</f>
        <v>0</v>
      </c>
      <c r="H67" s="49">
        <f>'Avg Week Masaka-Mutukula'!H67+'Avg Week Mutukula-Masaka'!H67</f>
        <v>0</v>
      </c>
      <c r="I67" s="49">
        <f>'Avg Week Masaka-Mutukula'!I67+'Avg Week Mutukula-Masaka'!I67</f>
        <v>0.5</v>
      </c>
      <c r="J67" s="49">
        <f>'Avg Week Masaka-Mutukula'!J67+'Avg Week Mutukula-Masaka'!J67</f>
        <v>0</v>
      </c>
      <c r="K67" s="49">
        <f>'Avg Week Masaka-Mutukula'!K67+'Avg Week Mutukula-Masaka'!K67</f>
        <v>0.5</v>
      </c>
      <c r="L67" s="49">
        <f>'Avg Week Masaka-Mutukula'!L67+'Avg Week Mutukula-Masaka'!L67</f>
        <v>0</v>
      </c>
      <c r="M67" s="49">
        <f>'Avg Week Masaka-Mutukula'!M67+'Avg Week Mutukula-Masaka'!M67</f>
        <v>18.5</v>
      </c>
      <c r="N67" s="49">
        <f>'Avg Week Masaka-Mutukula'!N67+'Avg Week Mutukula-Masaka'!N67</f>
        <v>0</v>
      </c>
      <c r="O67" s="15">
        <f t="shared" si="0"/>
        <v>9.5</v>
      </c>
      <c r="P67" s="15">
        <f t="shared" si="1"/>
        <v>28</v>
      </c>
      <c r="R67" s="8"/>
      <c r="T67"/>
    </row>
    <row r="68" spans="2:20" ht="23.1" customHeight="1" x14ac:dyDescent="0.25">
      <c r="B68" s="23" t="s">
        <v>105</v>
      </c>
      <c r="C68" s="49">
        <f>'Avg Week Masaka-Mutukula'!C68+'Avg Week Mutukula-Masaka'!C68</f>
        <v>5.5</v>
      </c>
      <c r="D68" s="49">
        <f>'Avg Week Masaka-Mutukula'!D68+'Avg Week Mutukula-Masaka'!D68</f>
        <v>1</v>
      </c>
      <c r="E68" s="49">
        <f>'Avg Week Masaka-Mutukula'!E68+'Avg Week Mutukula-Masaka'!E68</f>
        <v>0</v>
      </c>
      <c r="F68" s="49">
        <f>'Avg Week Masaka-Mutukula'!F68+'Avg Week Mutukula-Masaka'!F68</f>
        <v>0</v>
      </c>
      <c r="G68" s="49">
        <f>'Avg Week Masaka-Mutukula'!G68+'Avg Week Mutukula-Masaka'!G68</f>
        <v>0</v>
      </c>
      <c r="H68" s="49">
        <f>'Avg Week Masaka-Mutukula'!H68+'Avg Week Mutukula-Masaka'!H68</f>
        <v>0</v>
      </c>
      <c r="I68" s="49">
        <f>'Avg Week Masaka-Mutukula'!I68+'Avg Week Mutukula-Masaka'!I68</f>
        <v>0.5</v>
      </c>
      <c r="J68" s="49">
        <f>'Avg Week Masaka-Mutukula'!J68+'Avg Week Mutukula-Masaka'!J68</f>
        <v>4</v>
      </c>
      <c r="K68" s="49">
        <f>'Avg Week Masaka-Mutukula'!K68+'Avg Week Mutukula-Masaka'!K68</f>
        <v>1</v>
      </c>
      <c r="L68" s="49">
        <f>'Avg Week Masaka-Mutukula'!L68+'Avg Week Mutukula-Masaka'!L68</f>
        <v>0</v>
      </c>
      <c r="M68" s="49">
        <f>'Avg Week Masaka-Mutukula'!M68+'Avg Week Mutukula-Masaka'!M68</f>
        <v>18</v>
      </c>
      <c r="N68" s="49">
        <f>'Avg Week Masaka-Mutukula'!N68+'Avg Week Mutukula-Masaka'!N68</f>
        <v>0</v>
      </c>
      <c r="O68" s="15">
        <f t="shared" si="0"/>
        <v>12</v>
      </c>
      <c r="P68" s="15">
        <f t="shared" si="1"/>
        <v>30</v>
      </c>
      <c r="R68" s="8"/>
      <c r="T68"/>
    </row>
    <row r="69" spans="2:20" ht="23.1" customHeight="1" x14ac:dyDescent="0.25">
      <c r="B69" s="23" t="s">
        <v>106</v>
      </c>
      <c r="C69" s="49">
        <f>'Avg Week Masaka-Mutukula'!C69+'Avg Week Mutukula-Masaka'!C69</f>
        <v>2</v>
      </c>
      <c r="D69" s="49">
        <f>'Avg Week Masaka-Mutukula'!D69+'Avg Week Mutukula-Masaka'!D69</f>
        <v>1.5</v>
      </c>
      <c r="E69" s="49">
        <f>'Avg Week Masaka-Mutukula'!E69+'Avg Week Mutukula-Masaka'!E69</f>
        <v>0</v>
      </c>
      <c r="F69" s="49">
        <f>'Avg Week Masaka-Mutukula'!F69+'Avg Week Mutukula-Masaka'!F69</f>
        <v>1.5</v>
      </c>
      <c r="G69" s="49">
        <f>'Avg Week Masaka-Mutukula'!G69+'Avg Week Mutukula-Masaka'!G69</f>
        <v>1</v>
      </c>
      <c r="H69" s="49">
        <f>'Avg Week Masaka-Mutukula'!H69+'Avg Week Mutukula-Masaka'!H69</f>
        <v>0.5</v>
      </c>
      <c r="I69" s="49">
        <f>'Avg Week Masaka-Mutukula'!I69+'Avg Week Mutukula-Masaka'!I69</f>
        <v>0</v>
      </c>
      <c r="J69" s="49">
        <f>'Avg Week Masaka-Mutukula'!J69+'Avg Week Mutukula-Masaka'!J69</f>
        <v>2.5</v>
      </c>
      <c r="K69" s="49">
        <f>'Avg Week Masaka-Mutukula'!K69+'Avg Week Mutukula-Masaka'!K69</f>
        <v>1</v>
      </c>
      <c r="L69" s="49">
        <f>'Avg Week Masaka-Mutukula'!L69+'Avg Week Mutukula-Masaka'!L69</f>
        <v>0</v>
      </c>
      <c r="M69" s="49">
        <f>'Avg Week Masaka-Mutukula'!M69+'Avg Week Mutukula-Masaka'!M69</f>
        <v>11</v>
      </c>
      <c r="N69" s="49">
        <f>'Avg Week Masaka-Mutukula'!N69+'Avg Week Mutukula-Masaka'!N69</f>
        <v>0</v>
      </c>
      <c r="O69" s="15">
        <f t="shared" si="0"/>
        <v>10</v>
      </c>
      <c r="P69" s="15">
        <f t="shared" si="1"/>
        <v>21</v>
      </c>
      <c r="R69" s="8"/>
      <c r="T69"/>
    </row>
    <row r="70" spans="2:20" ht="23.1" customHeight="1" x14ac:dyDescent="0.25">
      <c r="B70" s="23" t="s">
        <v>110</v>
      </c>
      <c r="C70" s="49">
        <f>'Avg Week Masaka-Mutukula'!C70+'Avg Week Mutukula-Masaka'!C70</f>
        <v>4</v>
      </c>
      <c r="D70" s="49">
        <f>'Avg Week Masaka-Mutukula'!D70+'Avg Week Mutukula-Masaka'!D70</f>
        <v>0</v>
      </c>
      <c r="E70" s="49">
        <f>'Avg Week Masaka-Mutukula'!E70+'Avg Week Mutukula-Masaka'!E70</f>
        <v>0</v>
      </c>
      <c r="F70" s="49">
        <f>'Avg Week Masaka-Mutukula'!F70+'Avg Week Mutukula-Masaka'!F70</f>
        <v>0.5</v>
      </c>
      <c r="G70" s="49">
        <f>'Avg Week Masaka-Mutukula'!G70+'Avg Week Mutukula-Masaka'!G70</f>
        <v>0.5</v>
      </c>
      <c r="H70" s="49">
        <f>'Avg Week Masaka-Mutukula'!H70+'Avg Week Mutukula-Masaka'!H70</f>
        <v>0</v>
      </c>
      <c r="I70" s="49">
        <f>'Avg Week Masaka-Mutukula'!I70+'Avg Week Mutukula-Masaka'!I70</f>
        <v>0.5</v>
      </c>
      <c r="J70" s="49">
        <f>'Avg Week Masaka-Mutukula'!J70+'Avg Week Mutukula-Masaka'!J70</f>
        <v>1</v>
      </c>
      <c r="K70" s="49">
        <f>'Avg Week Masaka-Mutukula'!K70+'Avg Week Mutukula-Masaka'!K70</f>
        <v>3</v>
      </c>
      <c r="L70" s="49">
        <f>'Avg Week Masaka-Mutukula'!L70+'Avg Week Mutukula-Masaka'!L70</f>
        <v>0</v>
      </c>
      <c r="M70" s="49">
        <f>'Avg Week Masaka-Mutukula'!M70+'Avg Week Mutukula-Masaka'!M70</f>
        <v>11.5</v>
      </c>
      <c r="N70" s="49">
        <f>'Avg Week Masaka-Mutukula'!N70+'Avg Week Mutukula-Masaka'!N70</f>
        <v>0</v>
      </c>
      <c r="O70" s="15">
        <f t="shared" si="0"/>
        <v>9.5</v>
      </c>
      <c r="P70" s="15">
        <f t="shared" si="1"/>
        <v>21</v>
      </c>
      <c r="R70" s="8"/>
      <c r="T70"/>
    </row>
    <row r="71" spans="2:20" ht="23.1" customHeight="1" x14ac:dyDescent="0.25">
      <c r="B71" s="23" t="s">
        <v>111</v>
      </c>
      <c r="C71" s="49">
        <f>'Avg Week Masaka-Mutukula'!C71+'Avg Week Mutukula-Masaka'!C71</f>
        <v>3</v>
      </c>
      <c r="D71" s="49">
        <f>'Avg Week Masaka-Mutukula'!D71+'Avg Week Mutukula-Masaka'!D71</f>
        <v>0</v>
      </c>
      <c r="E71" s="49">
        <f>'Avg Week Masaka-Mutukula'!E71+'Avg Week Mutukula-Masaka'!E71</f>
        <v>0</v>
      </c>
      <c r="F71" s="49">
        <f>'Avg Week Masaka-Mutukula'!F71+'Avg Week Mutukula-Masaka'!F71</f>
        <v>1</v>
      </c>
      <c r="G71" s="49">
        <f>'Avg Week Masaka-Mutukula'!G71+'Avg Week Mutukula-Masaka'!G71</f>
        <v>0</v>
      </c>
      <c r="H71" s="49">
        <f>'Avg Week Masaka-Mutukula'!H71+'Avg Week Mutukula-Masaka'!H71</f>
        <v>0</v>
      </c>
      <c r="I71" s="49">
        <f>'Avg Week Masaka-Mutukula'!I71+'Avg Week Mutukula-Masaka'!I71</f>
        <v>0</v>
      </c>
      <c r="J71" s="49">
        <f>'Avg Week Masaka-Mutukula'!J71+'Avg Week Mutukula-Masaka'!J71</f>
        <v>0.5</v>
      </c>
      <c r="K71" s="49">
        <f>'Avg Week Masaka-Mutukula'!K71+'Avg Week Mutukula-Masaka'!K71</f>
        <v>3</v>
      </c>
      <c r="L71" s="49">
        <f>'Avg Week Masaka-Mutukula'!L71+'Avg Week Mutukula-Masaka'!L71</f>
        <v>0</v>
      </c>
      <c r="M71" s="49">
        <f>'Avg Week Masaka-Mutukula'!M71+'Avg Week Mutukula-Masaka'!M71</f>
        <v>9.5</v>
      </c>
      <c r="N71" s="49">
        <f>'Avg Week Masaka-Mutukula'!N71+'Avg Week Mutukula-Masaka'!N71</f>
        <v>0</v>
      </c>
      <c r="O71" s="15">
        <f t="shared" si="0"/>
        <v>7.5</v>
      </c>
      <c r="P71" s="15">
        <f t="shared" si="1"/>
        <v>17</v>
      </c>
      <c r="R71" s="8"/>
      <c r="T71"/>
    </row>
    <row r="72" spans="2:20" ht="23.1" customHeight="1" x14ac:dyDescent="0.25">
      <c r="B72" s="23" t="s">
        <v>112</v>
      </c>
      <c r="C72" s="49">
        <f>'Avg Week Masaka-Mutukula'!C72+'Avg Week Mutukula-Masaka'!C72</f>
        <v>2.5</v>
      </c>
      <c r="D72" s="49">
        <f>'Avg Week Masaka-Mutukula'!D72+'Avg Week Mutukula-Masaka'!D72</f>
        <v>1</v>
      </c>
      <c r="E72" s="49">
        <f>'Avg Week Masaka-Mutukula'!E72+'Avg Week Mutukula-Masaka'!E72</f>
        <v>0.5</v>
      </c>
      <c r="F72" s="49">
        <f>'Avg Week Masaka-Mutukula'!F72+'Avg Week Mutukula-Masaka'!F72</f>
        <v>1</v>
      </c>
      <c r="G72" s="49">
        <f>'Avg Week Masaka-Mutukula'!G72+'Avg Week Mutukula-Masaka'!G72</f>
        <v>0.5</v>
      </c>
      <c r="H72" s="49">
        <f>'Avg Week Masaka-Mutukula'!H72+'Avg Week Mutukula-Masaka'!H72</f>
        <v>0</v>
      </c>
      <c r="I72" s="49">
        <f>'Avg Week Masaka-Mutukula'!I72+'Avg Week Mutukula-Masaka'!I72</f>
        <v>0.5</v>
      </c>
      <c r="J72" s="49">
        <f>'Avg Week Masaka-Mutukula'!J72+'Avg Week Mutukula-Masaka'!J72</f>
        <v>0</v>
      </c>
      <c r="K72" s="49">
        <f>'Avg Week Masaka-Mutukula'!K72+'Avg Week Mutukula-Masaka'!K72</f>
        <v>0.5</v>
      </c>
      <c r="L72" s="49">
        <f>'Avg Week Masaka-Mutukula'!L72+'Avg Week Mutukula-Masaka'!L72</f>
        <v>0</v>
      </c>
      <c r="M72" s="49">
        <f>'Avg Week Masaka-Mutukula'!M72+'Avg Week Mutukula-Masaka'!M72</f>
        <v>11.5</v>
      </c>
      <c r="N72" s="49">
        <f>'Avg Week Masaka-Mutukula'!N72+'Avg Week Mutukula-Masaka'!N72</f>
        <v>0</v>
      </c>
      <c r="O72" s="15">
        <f t="shared" si="0"/>
        <v>6.5</v>
      </c>
      <c r="P72" s="15">
        <f t="shared" si="1"/>
        <v>18</v>
      </c>
      <c r="R72" s="8"/>
      <c r="T72"/>
    </row>
    <row r="73" spans="2:20" ht="23.1" customHeight="1" x14ac:dyDescent="0.25">
      <c r="B73" s="23" t="s">
        <v>113</v>
      </c>
      <c r="C73" s="49">
        <f>'Avg Week Masaka-Mutukula'!C73+'Avg Week Mutukula-Masaka'!C73</f>
        <v>2</v>
      </c>
      <c r="D73" s="49">
        <f>'Avg Week Masaka-Mutukula'!D73+'Avg Week Mutukula-Masaka'!D73</f>
        <v>0.5</v>
      </c>
      <c r="E73" s="49">
        <f>'Avg Week Masaka-Mutukula'!E73+'Avg Week Mutukula-Masaka'!E73</f>
        <v>0</v>
      </c>
      <c r="F73" s="49">
        <f>'Avg Week Masaka-Mutukula'!F73+'Avg Week Mutukula-Masaka'!F73</f>
        <v>0</v>
      </c>
      <c r="G73" s="49">
        <f>'Avg Week Masaka-Mutukula'!G73+'Avg Week Mutukula-Masaka'!G73</f>
        <v>0</v>
      </c>
      <c r="H73" s="49">
        <f>'Avg Week Masaka-Mutukula'!H73+'Avg Week Mutukula-Masaka'!H73</f>
        <v>0</v>
      </c>
      <c r="I73" s="49">
        <f>'Avg Week Masaka-Mutukula'!I73+'Avg Week Mutukula-Masaka'!I73</f>
        <v>2</v>
      </c>
      <c r="J73" s="49">
        <f>'Avg Week Masaka-Mutukula'!J73+'Avg Week Mutukula-Masaka'!J73</f>
        <v>0.5</v>
      </c>
      <c r="K73" s="49">
        <f>'Avg Week Masaka-Mutukula'!K73+'Avg Week Mutukula-Masaka'!K73</f>
        <v>1</v>
      </c>
      <c r="L73" s="49">
        <f>'Avg Week Masaka-Mutukula'!L73+'Avg Week Mutukula-Masaka'!L73</f>
        <v>0</v>
      </c>
      <c r="M73" s="49">
        <f>'Avg Week Masaka-Mutukula'!M73+'Avg Week Mutukula-Masaka'!M73</f>
        <v>9.5</v>
      </c>
      <c r="N73" s="49">
        <f>'Avg Week Masaka-Mutukula'!N73+'Avg Week Mutukula-Masaka'!N73</f>
        <v>0</v>
      </c>
      <c r="O73" s="15">
        <f t="shared" si="0"/>
        <v>6</v>
      </c>
      <c r="P73" s="15">
        <f t="shared" si="1"/>
        <v>15.5</v>
      </c>
      <c r="R73" s="8"/>
      <c r="T73"/>
    </row>
    <row r="74" spans="2:20" ht="23.1" customHeight="1" x14ac:dyDescent="0.25">
      <c r="B74" s="23" t="s">
        <v>114</v>
      </c>
      <c r="C74" s="49">
        <f>'Avg Week Masaka-Mutukula'!C74+'Avg Week Mutukula-Masaka'!C74</f>
        <v>1</v>
      </c>
      <c r="D74" s="49">
        <f>'Avg Week Masaka-Mutukula'!D74+'Avg Week Mutukula-Masaka'!D74</f>
        <v>0</v>
      </c>
      <c r="E74" s="49">
        <f>'Avg Week Masaka-Mutukula'!E74+'Avg Week Mutukula-Masaka'!E74</f>
        <v>0</v>
      </c>
      <c r="F74" s="49">
        <f>'Avg Week Masaka-Mutukula'!F74+'Avg Week Mutukula-Masaka'!F74</f>
        <v>1.5</v>
      </c>
      <c r="G74" s="49">
        <f>'Avg Week Masaka-Mutukula'!G74+'Avg Week Mutukula-Masaka'!G74</f>
        <v>0</v>
      </c>
      <c r="H74" s="49">
        <f>'Avg Week Masaka-Mutukula'!H74+'Avg Week Mutukula-Masaka'!H74</f>
        <v>0</v>
      </c>
      <c r="I74" s="49">
        <f>'Avg Week Masaka-Mutukula'!I74+'Avg Week Mutukula-Masaka'!I74</f>
        <v>0</v>
      </c>
      <c r="J74" s="49">
        <f>'Avg Week Masaka-Mutukula'!J74+'Avg Week Mutukula-Masaka'!J74</f>
        <v>0.5</v>
      </c>
      <c r="K74" s="49">
        <f>'Avg Week Masaka-Mutukula'!K74+'Avg Week Mutukula-Masaka'!K74</f>
        <v>1</v>
      </c>
      <c r="L74" s="49">
        <f>'Avg Week Masaka-Mutukula'!L74+'Avg Week Mutukula-Masaka'!L74</f>
        <v>0</v>
      </c>
      <c r="M74" s="49">
        <f>'Avg Week Masaka-Mutukula'!M74+'Avg Week Mutukula-Masaka'!M74</f>
        <v>3</v>
      </c>
      <c r="N74" s="49">
        <f>'Avg Week Masaka-Mutukula'!N74+'Avg Week Mutukula-Masaka'!N74</f>
        <v>0</v>
      </c>
      <c r="O74" s="15">
        <f t="shared" ref="O74:O105" si="35">SUM(C74:L74,N74)</f>
        <v>4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23" t="s">
        <v>115</v>
      </c>
      <c r="C75" s="49">
        <f>'Avg Week Masaka-Mutukula'!C75+'Avg Week Mutukula-Masaka'!C75</f>
        <v>1.5</v>
      </c>
      <c r="D75" s="49">
        <f>'Avg Week Masaka-Mutukula'!D75+'Avg Week Mutukula-Masaka'!D75</f>
        <v>0.5</v>
      </c>
      <c r="E75" s="49">
        <f>'Avg Week Masaka-Mutukula'!E75+'Avg Week Mutukula-Masaka'!E75</f>
        <v>0</v>
      </c>
      <c r="F75" s="49">
        <f>'Avg Week Masaka-Mutukula'!F75+'Avg Week Mutukula-Masaka'!F75</f>
        <v>0.5</v>
      </c>
      <c r="G75" s="49">
        <f>'Avg Week Masaka-Mutukula'!G75+'Avg Week Mutukula-Masaka'!G75</f>
        <v>0.5</v>
      </c>
      <c r="H75" s="49">
        <f>'Avg Week Masaka-Mutukula'!H75+'Avg Week Mutukula-Masaka'!H75</f>
        <v>0</v>
      </c>
      <c r="I75" s="49">
        <f>'Avg Week Masaka-Mutukula'!I75+'Avg Week Mutukula-Masaka'!I75</f>
        <v>0.5</v>
      </c>
      <c r="J75" s="49">
        <f>'Avg Week Masaka-Mutukula'!J75+'Avg Week Mutukula-Masaka'!J75</f>
        <v>0.5</v>
      </c>
      <c r="K75" s="49">
        <f>'Avg Week Masaka-Mutukula'!K75+'Avg Week Mutukula-Masaka'!K75</f>
        <v>0.5</v>
      </c>
      <c r="L75" s="49">
        <f>'Avg Week Masaka-Mutukula'!L75+'Avg Week Mutukula-Masaka'!L75</f>
        <v>0</v>
      </c>
      <c r="M75" s="49">
        <f>'Avg Week Masaka-Mutukula'!M75+'Avg Week Mutukula-Masaka'!M75</f>
        <v>4.5</v>
      </c>
      <c r="N75" s="49">
        <f>'Avg Week Masaka-Mutukula'!N75+'Avg Week Mutukula-Masaka'!N75</f>
        <v>0</v>
      </c>
      <c r="O75" s="15">
        <f t="shared" si="35"/>
        <v>4.5</v>
      </c>
      <c r="P75" s="15">
        <f t="shared" si="36"/>
        <v>9</v>
      </c>
      <c r="R75" s="8"/>
      <c r="T75"/>
    </row>
    <row r="76" spans="2:20" ht="23.1" customHeight="1" x14ac:dyDescent="0.25">
      <c r="B76" s="23" t="s">
        <v>116</v>
      </c>
      <c r="C76" s="49">
        <f>'Avg Week Masaka-Mutukula'!C76+'Avg Week Mutukula-Masaka'!C76</f>
        <v>1.5</v>
      </c>
      <c r="D76" s="49">
        <f>'Avg Week Masaka-Mutukula'!D76+'Avg Week Mutukula-Masaka'!D76</f>
        <v>0</v>
      </c>
      <c r="E76" s="49">
        <f>'Avg Week Masaka-Mutukula'!E76+'Avg Week Mutukula-Masaka'!E76</f>
        <v>0.5</v>
      </c>
      <c r="F76" s="49">
        <f>'Avg Week Masaka-Mutukula'!F76+'Avg Week Mutukula-Masaka'!F76</f>
        <v>0</v>
      </c>
      <c r="G76" s="49">
        <f>'Avg Week Masaka-Mutukula'!G76+'Avg Week Mutukula-Masaka'!G76</f>
        <v>0</v>
      </c>
      <c r="H76" s="49">
        <f>'Avg Week Masaka-Mutukula'!H76+'Avg Week Mutukula-Masaka'!H76</f>
        <v>0</v>
      </c>
      <c r="I76" s="49">
        <f>'Avg Week Masaka-Mutukula'!I76+'Avg Week Mutukula-Masaka'!I76</f>
        <v>0</v>
      </c>
      <c r="J76" s="49">
        <f>'Avg Week Masaka-Mutukula'!J76+'Avg Week Mutukula-Masaka'!J76</f>
        <v>2</v>
      </c>
      <c r="K76" s="49">
        <f>'Avg Week Masaka-Mutukula'!K76+'Avg Week Mutukula-Masaka'!K76</f>
        <v>0.5</v>
      </c>
      <c r="L76" s="49">
        <f>'Avg Week Masaka-Mutukula'!L76+'Avg Week Mutukula-Masaka'!L76</f>
        <v>1</v>
      </c>
      <c r="M76" s="49">
        <f>'Avg Week Masaka-Mutukula'!M76+'Avg Week Mutukula-Masaka'!M76</f>
        <v>1.5</v>
      </c>
      <c r="N76" s="49">
        <f>'Avg Week Masaka-Mutukula'!N76+'Avg Week Mutukula-Masaka'!N76</f>
        <v>0</v>
      </c>
      <c r="O76" s="15">
        <f t="shared" si="35"/>
        <v>5.5</v>
      </c>
      <c r="P76" s="15">
        <f t="shared" si="36"/>
        <v>7</v>
      </c>
      <c r="R76" s="8"/>
      <c r="T76"/>
    </row>
    <row r="77" spans="2:20" ht="23.1" customHeight="1" x14ac:dyDescent="0.25">
      <c r="B77" s="23" t="s">
        <v>117</v>
      </c>
      <c r="C77" s="49">
        <f>'Avg Week Masaka-Mutukula'!C77+'Avg Week Mutukula-Masaka'!C77</f>
        <v>0</v>
      </c>
      <c r="D77" s="49">
        <f>'Avg Week Masaka-Mutukula'!D77+'Avg Week Mutukula-Masaka'!D77</f>
        <v>0.5</v>
      </c>
      <c r="E77" s="49">
        <f>'Avg Week Masaka-Mutukula'!E77+'Avg Week Mutukula-Masaka'!E77</f>
        <v>0</v>
      </c>
      <c r="F77" s="49">
        <f>'Avg Week Masaka-Mutukula'!F77+'Avg Week Mutukula-Masaka'!F77</f>
        <v>0</v>
      </c>
      <c r="G77" s="49">
        <f>'Avg Week Masaka-Mutukula'!G77+'Avg Week Mutukula-Masaka'!G77</f>
        <v>0</v>
      </c>
      <c r="H77" s="49">
        <f>'Avg Week Masaka-Mutukula'!H77+'Avg Week Mutukula-Masaka'!H77</f>
        <v>0</v>
      </c>
      <c r="I77" s="49">
        <f>'Avg Week Masaka-Mutukula'!I77+'Avg Week Mutukula-Masaka'!I77</f>
        <v>0</v>
      </c>
      <c r="J77" s="49">
        <f>'Avg Week Masaka-Mutukula'!J77+'Avg Week Mutukula-Masaka'!J77</f>
        <v>0.5</v>
      </c>
      <c r="K77" s="49">
        <f>'Avg Week Masaka-Mutukula'!K77+'Avg Week Mutukula-Masaka'!K77</f>
        <v>0.5</v>
      </c>
      <c r="L77" s="49">
        <f>'Avg Week Masaka-Mutukula'!L77+'Avg Week Mutukula-Masaka'!L77</f>
        <v>0.5</v>
      </c>
      <c r="M77" s="49">
        <f>'Avg Week Masaka-Mutukula'!M77+'Avg Week Mutukula-Masaka'!M77</f>
        <v>1.5</v>
      </c>
      <c r="N77" s="49">
        <f>'Avg Week Masaka-Mutukula'!N77+'Avg Week Mutukula-Masaka'!N77</f>
        <v>0</v>
      </c>
      <c r="O77" s="15">
        <f t="shared" si="35"/>
        <v>2</v>
      </c>
      <c r="P77" s="15">
        <f t="shared" si="36"/>
        <v>3.5</v>
      </c>
      <c r="R77" s="8"/>
      <c r="T77"/>
    </row>
    <row r="78" spans="2:20" ht="23.1" customHeight="1" x14ac:dyDescent="0.25">
      <c r="B78" s="24" t="s">
        <v>118</v>
      </c>
      <c r="C78" s="49">
        <f>'Avg Week Masaka-Mutukula'!C78+'Avg Week Mutukula-Masaka'!C78</f>
        <v>0</v>
      </c>
      <c r="D78" s="49">
        <f>'Avg Week Masaka-Mutukula'!D78+'Avg Week Mutukula-Masaka'!D78</f>
        <v>0.5</v>
      </c>
      <c r="E78" s="49">
        <f>'Avg Week Masaka-Mutukula'!E78+'Avg Week Mutukula-Masaka'!E78</f>
        <v>0</v>
      </c>
      <c r="F78" s="49">
        <f>'Avg Week Masaka-Mutukula'!F78+'Avg Week Mutukula-Masaka'!F78</f>
        <v>0</v>
      </c>
      <c r="G78" s="49">
        <f>'Avg Week Masaka-Mutukula'!G78+'Avg Week Mutukula-Masaka'!G78</f>
        <v>0</v>
      </c>
      <c r="H78" s="49">
        <f>'Avg Week Masaka-Mutukula'!H78+'Avg Week Mutukula-Masaka'!H78</f>
        <v>0</v>
      </c>
      <c r="I78" s="49">
        <f>'Avg Week Masaka-Mutukula'!I78+'Avg Week Mutukula-Masaka'!I78</f>
        <v>0</v>
      </c>
      <c r="J78" s="49">
        <f>'Avg Week Masaka-Mutukula'!J78+'Avg Week Mutukula-Masaka'!J78</f>
        <v>0</v>
      </c>
      <c r="K78" s="49">
        <f>'Avg Week Masaka-Mutukula'!K78+'Avg Week Mutukula-Masaka'!K78</f>
        <v>0</v>
      </c>
      <c r="L78" s="49">
        <f>'Avg Week Masaka-Mutukula'!L78+'Avg Week Mutukula-Masaka'!L78</f>
        <v>0</v>
      </c>
      <c r="M78" s="49">
        <f>'Avg Week Masaka-Mutukula'!M78+'Avg Week Mutukula-Masaka'!M78</f>
        <v>0</v>
      </c>
      <c r="N78" s="49">
        <f>'Avg Week Masaka-Mutukula'!N78+'Avg Week Mutukula-Masaka'!N78</f>
        <v>0</v>
      </c>
      <c r="O78" s="15">
        <f t="shared" si="35"/>
        <v>0.5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'Avg Week Masaka-Mutukula'!C79+'Avg Week Mutukula-Masaka'!C79</f>
        <v>1</v>
      </c>
      <c r="D79" s="49">
        <f>'Avg Week Masaka-Mutukula'!D79+'Avg Week Mutukula-Masaka'!D79</f>
        <v>0.5</v>
      </c>
      <c r="E79" s="49">
        <f>'Avg Week Masaka-Mutukula'!E79+'Avg Week Mutukula-Masaka'!E79</f>
        <v>0</v>
      </c>
      <c r="F79" s="49">
        <f>'Avg Week Masaka-Mutukula'!F79+'Avg Week Mutukula-Masaka'!F79</f>
        <v>0.5</v>
      </c>
      <c r="G79" s="49">
        <f>'Avg Week Masaka-Mutukula'!G79+'Avg Week Mutukula-Masaka'!G79</f>
        <v>0</v>
      </c>
      <c r="H79" s="49">
        <f>'Avg Week Masaka-Mutukula'!H79+'Avg Week Mutukula-Masaka'!H79</f>
        <v>0</v>
      </c>
      <c r="I79" s="49">
        <f>'Avg Week Masaka-Mutukula'!I79+'Avg Week Mutukula-Masaka'!I79</f>
        <v>0</v>
      </c>
      <c r="J79" s="49">
        <f>'Avg Week Masaka-Mutukula'!J79+'Avg Week Mutukula-Masaka'!J79</f>
        <v>0</v>
      </c>
      <c r="K79" s="49">
        <f>'Avg Week Masaka-Mutukula'!K79+'Avg Week Mutukula-Masaka'!K79</f>
        <v>0</v>
      </c>
      <c r="L79" s="49">
        <f>'Avg Week Masaka-Mutukula'!L79+'Avg Week Mutukula-Masaka'!L79</f>
        <v>0</v>
      </c>
      <c r="M79" s="49">
        <f>'Avg Week Masaka-Mutukula'!M79+'Avg Week Mutukula-Masaka'!M79</f>
        <v>1</v>
      </c>
      <c r="N79" s="49">
        <f>'Avg Week Masaka-Mutukula'!N79+'Avg Week Mutukula-Masaka'!N79</f>
        <v>0</v>
      </c>
      <c r="O79" s="15">
        <f t="shared" si="35"/>
        <v>2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'Avg Week Masaka-Mutukula'!C80+'Avg Week Mutukula-Masaka'!C80</f>
        <v>0</v>
      </c>
      <c r="D80" s="49">
        <f>'Avg Week Masaka-Mutukula'!D80+'Avg Week Mutukula-Masaka'!D80</f>
        <v>0.5</v>
      </c>
      <c r="E80" s="49">
        <f>'Avg Week Masaka-Mutukula'!E80+'Avg Week Mutukula-Masaka'!E80</f>
        <v>0</v>
      </c>
      <c r="F80" s="49">
        <f>'Avg Week Masaka-Mutukula'!F80+'Avg Week Mutukula-Masaka'!F80</f>
        <v>1</v>
      </c>
      <c r="G80" s="49">
        <f>'Avg Week Masaka-Mutukula'!G80+'Avg Week Mutukula-Masaka'!G80</f>
        <v>0</v>
      </c>
      <c r="H80" s="49">
        <f>'Avg Week Masaka-Mutukula'!H80+'Avg Week Mutukula-Masaka'!H80</f>
        <v>0</v>
      </c>
      <c r="I80" s="49">
        <f>'Avg Week Masaka-Mutukula'!I80+'Avg Week Mutukula-Masaka'!I80</f>
        <v>0.5</v>
      </c>
      <c r="J80" s="49">
        <f>'Avg Week Masaka-Mutukula'!J80+'Avg Week Mutukula-Masaka'!J80</f>
        <v>0</v>
      </c>
      <c r="K80" s="49">
        <f>'Avg Week Masaka-Mutukula'!K80+'Avg Week Mutukula-Masaka'!K80</f>
        <v>1.5</v>
      </c>
      <c r="L80" s="49">
        <f>'Avg Week Masaka-Mutukula'!L80+'Avg Week Mutukula-Masaka'!L80</f>
        <v>0</v>
      </c>
      <c r="M80" s="49">
        <f>'Avg Week Masaka-Mutukula'!M80+'Avg Week Mutukula-Masaka'!M80</f>
        <v>1.5</v>
      </c>
      <c r="N80" s="49">
        <f>'Avg Week Masaka-Mutukula'!N80+'Avg Week Mutukula-Masaka'!N80</f>
        <v>0</v>
      </c>
      <c r="O80" s="15">
        <f t="shared" si="35"/>
        <v>3.5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'Avg Week Masaka-Mutukula'!C81+'Avg Week Mutukula-Masaka'!C81</f>
        <v>1</v>
      </c>
      <c r="D81" s="49">
        <f>'Avg Week Masaka-Mutukula'!D81+'Avg Week Mutukula-Masaka'!D81</f>
        <v>0</v>
      </c>
      <c r="E81" s="49">
        <f>'Avg Week Masaka-Mutukula'!E81+'Avg Week Mutukula-Masaka'!E81</f>
        <v>0</v>
      </c>
      <c r="F81" s="49">
        <f>'Avg Week Masaka-Mutukula'!F81+'Avg Week Mutukula-Masaka'!F81</f>
        <v>0.5</v>
      </c>
      <c r="G81" s="49">
        <f>'Avg Week Masaka-Mutukula'!G81+'Avg Week Mutukula-Masaka'!G81</f>
        <v>1</v>
      </c>
      <c r="H81" s="49">
        <f>'Avg Week Masaka-Mutukula'!H81+'Avg Week Mutukula-Masaka'!H81</f>
        <v>0</v>
      </c>
      <c r="I81" s="49">
        <f>'Avg Week Masaka-Mutukula'!I81+'Avg Week Mutukula-Masaka'!I81</f>
        <v>0</v>
      </c>
      <c r="J81" s="49">
        <f>'Avg Week Masaka-Mutukula'!J81+'Avg Week Mutukula-Masaka'!J81</f>
        <v>0</v>
      </c>
      <c r="K81" s="49">
        <f>'Avg Week Masaka-Mutukula'!K81+'Avg Week Mutukula-Masaka'!K81</f>
        <v>1</v>
      </c>
      <c r="L81" s="49">
        <f>'Avg Week Masaka-Mutukula'!L81+'Avg Week Mutukula-Masaka'!L81</f>
        <v>0</v>
      </c>
      <c r="M81" s="49">
        <f>'Avg Week Masaka-Mutukula'!M81+'Avg Week Mutukula-Masaka'!M81</f>
        <v>2</v>
      </c>
      <c r="N81" s="49">
        <f>'Avg Week Masaka-Mutukula'!N81+'Avg Week Mutukula-Masaka'!N81</f>
        <v>0</v>
      </c>
      <c r="O81" s="15">
        <f t="shared" si="35"/>
        <v>3.5</v>
      </c>
      <c r="P81" s="15">
        <f t="shared" si="36"/>
        <v>5.5</v>
      </c>
      <c r="R81" s="8"/>
      <c r="T81"/>
    </row>
    <row r="82" spans="2:20" ht="23.1" customHeight="1" x14ac:dyDescent="0.25">
      <c r="B82" s="24" t="s">
        <v>122</v>
      </c>
      <c r="C82" s="49">
        <f>'Avg Week Masaka-Mutukula'!C82+'Avg Week Mutukula-Masaka'!C82</f>
        <v>0.5</v>
      </c>
      <c r="D82" s="49">
        <f>'Avg Week Masaka-Mutukula'!D82+'Avg Week Mutukula-Masaka'!D82</f>
        <v>0</v>
      </c>
      <c r="E82" s="49">
        <f>'Avg Week Masaka-Mutukula'!E82+'Avg Week Mutukula-Masaka'!E82</f>
        <v>0</v>
      </c>
      <c r="F82" s="49">
        <f>'Avg Week Masaka-Mutukula'!F82+'Avg Week Mutukula-Masaka'!F82</f>
        <v>0</v>
      </c>
      <c r="G82" s="49">
        <f>'Avg Week Masaka-Mutukula'!G82+'Avg Week Mutukula-Masaka'!G82</f>
        <v>0</v>
      </c>
      <c r="H82" s="49">
        <f>'Avg Week Masaka-Mutukula'!H82+'Avg Week Mutukula-Masaka'!H82</f>
        <v>0</v>
      </c>
      <c r="I82" s="49">
        <f>'Avg Week Masaka-Mutukula'!I82+'Avg Week Mutukula-Masaka'!I82</f>
        <v>0</v>
      </c>
      <c r="J82" s="49">
        <f>'Avg Week Masaka-Mutukula'!J82+'Avg Week Mutukula-Masaka'!J82</f>
        <v>0</v>
      </c>
      <c r="K82" s="49">
        <f>'Avg Week Masaka-Mutukula'!K82+'Avg Week Mutukula-Masaka'!K82</f>
        <v>0.5</v>
      </c>
      <c r="L82" s="49">
        <f>'Avg Week Masaka-Mutukula'!L82+'Avg Week Mutukula-Masaka'!L82</f>
        <v>0</v>
      </c>
      <c r="M82" s="49">
        <f>'Avg Week Masaka-Mutukula'!M82+'Avg Week Mutukula-Masaka'!M82</f>
        <v>0.5</v>
      </c>
      <c r="N82" s="49">
        <f>'Avg Week Masaka-Mutukula'!N82+'Avg Week Mutukula-Masaka'!N82</f>
        <v>0</v>
      </c>
      <c r="O82" s="15">
        <f t="shared" si="35"/>
        <v>1</v>
      </c>
      <c r="P82" s="15">
        <f t="shared" si="36"/>
        <v>1.5</v>
      </c>
      <c r="R82" s="8"/>
      <c r="T82"/>
    </row>
    <row r="83" spans="2:20" ht="23.1" customHeight="1" x14ac:dyDescent="0.25">
      <c r="B83" s="23" t="s">
        <v>123</v>
      </c>
      <c r="C83" s="49">
        <f>'Avg Week Masaka-Mutukula'!C83+'Avg Week Mutukula-Masaka'!C83</f>
        <v>0.5</v>
      </c>
      <c r="D83" s="49">
        <f>'Avg Week Masaka-Mutukula'!D83+'Avg Week Mutukula-Masaka'!D83</f>
        <v>0</v>
      </c>
      <c r="E83" s="49">
        <f>'Avg Week Masaka-Mutukula'!E83+'Avg Week Mutukula-Masaka'!E83</f>
        <v>0</v>
      </c>
      <c r="F83" s="49">
        <f>'Avg Week Masaka-Mutukula'!F83+'Avg Week Mutukula-Masaka'!F83</f>
        <v>0.5</v>
      </c>
      <c r="G83" s="49">
        <f>'Avg Week Masaka-Mutukula'!G83+'Avg Week Mutukula-Masaka'!G83</f>
        <v>0</v>
      </c>
      <c r="H83" s="49">
        <f>'Avg Week Masaka-Mutukula'!H83+'Avg Week Mutukula-Masaka'!H83</f>
        <v>0</v>
      </c>
      <c r="I83" s="49">
        <f>'Avg Week Masaka-Mutukula'!I83+'Avg Week Mutukula-Masaka'!I83</f>
        <v>0.5</v>
      </c>
      <c r="J83" s="49">
        <f>'Avg Week Masaka-Mutukula'!J83+'Avg Week Mutukula-Masaka'!J83</f>
        <v>0.5</v>
      </c>
      <c r="K83" s="49">
        <f>'Avg Week Masaka-Mutukula'!K83+'Avg Week Mutukula-Masaka'!K83</f>
        <v>0</v>
      </c>
      <c r="L83" s="49">
        <f>'Avg Week Masaka-Mutukula'!L83+'Avg Week Mutukula-Masaka'!L83</f>
        <v>0</v>
      </c>
      <c r="M83" s="49">
        <f>'Avg Week Masaka-Mutukula'!M83+'Avg Week Mutukula-Masaka'!M83</f>
        <v>1</v>
      </c>
      <c r="N83" s="49">
        <f>'Avg Week Masaka-Mutukula'!N83+'Avg Week Mutukula-Masaka'!N83</f>
        <v>0</v>
      </c>
      <c r="O83" s="15">
        <f t="shared" si="35"/>
        <v>2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'Avg Week Masaka-Mutukula'!C84+'Avg Week Mutukula-Masaka'!C84</f>
        <v>1</v>
      </c>
      <c r="D84" s="49">
        <f>'Avg Week Masaka-Mutukula'!D84+'Avg Week Mutukula-Masaka'!D84</f>
        <v>0</v>
      </c>
      <c r="E84" s="49">
        <f>'Avg Week Masaka-Mutukula'!E84+'Avg Week Mutukula-Masaka'!E84</f>
        <v>0</v>
      </c>
      <c r="F84" s="49">
        <f>'Avg Week Masaka-Mutukula'!F84+'Avg Week Mutukula-Masaka'!F84</f>
        <v>0</v>
      </c>
      <c r="G84" s="49">
        <f>'Avg Week Masaka-Mutukula'!G84+'Avg Week Mutukula-Masaka'!G84</f>
        <v>0</v>
      </c>
      <c r="H84" s="49">
        <f>'Avg Week Masaka-Mutukula'!H84+'Avg Week Mutukula-Masaka'!H84</f>
        <v>0</v>
      </c>
      <c r="I84" s="49">
        <f>'Avg Week Masaka-Mutukula'!I84+'Avg Week Mutukula-Masaka'!I84</f>
        <v>0</v>
      </c>
      <c r="J84" s="49">
        <f>'Avg Week Masaka-Mutukula'!J84+'Avg Week Mutukula-Masaka'!J84</f>
        <v>1</v>
      </c>
      <c r="K84" s="49">
        <f>'Avg Week Masaka-Mutukula'!K84+'Avg Week Mutukula-Masaka'!K84</f>
        <v>0</v>
      </c>
      <c r="L84" s="49">
        <f>'Avg Week Masaka-Mutukula'!L84+'Avg Week Mutukula-Masaka'!L84</f>
        <v>0</v>
      </c>
      <c r="M84" s="49">
        <f>'Avg Week Masaka-Mutukula'!M84+'Avg Week Mutukula-Masaka'!M84</f>
        <v>1</v>
      </c>
      <c r="N84" s="49">
        <f>'Avg Week Masaka-Mutukula'!N84+'Avg Week Mutukula-Masaka'!N84</f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'Avg Week Masaka-Mutukula'!C85+'Avg Week Mutukula-Masaka'!C85</f>
        <v>0</v>
      </c>
      <c r="D85" s="49">
        <f>'Avg Week Masaka-Mutukula'!D85+'Avg Week Mutukula-Masaka'!D85</f>
        <v>0</v>
      </c>
      <c r="E85" s="49">
        <f>'Avg Week Masaka-Mutukula'!E85+'Avg Week Mutukula-Masaka'!E85</f>
        <v>0</v>
      </c>
      <c r="F85" s="49">
        <f>'Avg Week Masaka-Mutukula'!F85+'Avg Week Mutukula-Masaka'!F85</f>
        <v>0</v>
      </c>
      <c r="G85" s="49">
        <f>'Avg Week Masaka-Mutukula'!G85+'Avg Week Mutukula-Masaka'!G85</f>
        <v>0</v>
      </c>
      <c r="H85" s="49">
        <f>'Avg Week Masaka-Mutukula'!H85+'Avg Week Mutukula-Masaka'!H85</f>
        <v>0</v>
      </c>
      <c r="I85" s="49">
        <f>'Avg Week Masaka-Mutukula'!I85+'Avg Week Mutukula-Masaka'!I85</f>
        <v>0</v>
      </c>
      <c r="J85" s="49">
        <f>'Avg Week Masaka-Mutukula'!J85+'Avg Week Mutukula-Masaka'!J85</f>
        <v>0.5</v>
      </c>
      <c r="K85" s="49">
        <f>'Avg Week Masaka-Mutukula'!K85+'Avg Week Mutukula-Masaka'!K85</f>
        <v>0</v>
      </c>
      <c r="L85" s="49">
        <f>'Avg Week Masaka-Mutukula'!L85+'Avg Week Mutukula-Masaka'!L85</f>
        <v>0</v>
      </c>
      <c r="M85" s="49">
        <f>'Avg Week Masaka-Mutukula'!M85+'Avg Week Mutukula-Masaka'!M85</f>
        <v>0.5</v>
      </c>
      <c r="N85" s="49">
        <f>'Avg Week Masaka-Mutukula'!N85+'Avg Week Mutukula-Masaka'!N85</f>
        <v>0</v>
      </c>
      <c r="O85" s="15">
        <f t="shared" si="35"/>
        <v>0.5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'Avg Week Masaka-Mutukula'!C86+'Avg Week Mutukula-Masaka'!C86</f>
        <v>0</v>
      </c>
      <c r="D86" s="49">
        <f>'Avg Week Masaka-Mutukula'!D86+'Avg Week Mutukula-Masaka'!D86</f>
        <v>0</v>
      </c>
      <c r="E86" s="49">
        <f>'Avg Week Masaka-Mutukula'!E86+'Avg Week Mutukula-Masaka'!E86</f>
        <v>0</v>
      </c>
      <c r="F86" s="49">
        <f>'Avg Week Masaka-Mutukula'!F86+'Avg Week Mutukula-Masaka'!F86</f>
        <v>0</v>
      </c>
      <c r="G86" s="49">
        <f>'Avg Week Masaka-Mutukula'!G86+'Avg Week Mutukula-Masaka'!G86</f>
        <v>0</v>
      </c>
      <c r="H86" s="49">
        <f>'Avg Week Masaka-Mutukula'!H86+'Avg Week Mutukula-Masaka'!H86</f>
        <v>0</v>
      </c>
      <c r="I86" s="49">
        <f>'Avg Week Masaka-Mutukula'!I86+'Avg Week Mutukula-Masaka'!I86</f>
        <v>0</v>
      </c>
      <c r="J86" s="49">
        <f>'Avg Week Masaka-Mutukula'!J86+'Avg Week Mutukula-Masaka'!J86</f>
        <v>0.5</v>
      </c>
      <c r="K86" s="49">
        <f>'Avg Week Masaka-Mutukula'!K86+'Avg Week Mutukula-Masaka'!K86</f>
        <v>0.5</v>
      </c>
      <c r="L86" s="49">
        <f>'Avg Week Masaka-Mutukula'!L86+'Avg Week Mutukula-Masaka'!L86</f>
        <v>0</v>
      </c>
      <c r="M86" s="49">
        <f>'Avg Week Masaka-Mutukula'!M86+'Avg Week Mutukula-Masaka'!M86</f>
        <v>0.5</v>
      </c>
      <c r="N86" s="49">
        <f>'Avg Week Masaka-Mutukula'!N86+'Avg Week Mutukula-Masaka'!N86</f>
        <v>0</v>
      </c>
      <c r="O86" s="15">
        <f t="shared" si="35"/>
        <v>1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'Avg Week Masaka-Mutukula'!C87+'Avg Week Mutukula-Masaka'!C87</f>
        <v>0</v>
      </c>
      <c r="D87" s="49">
        <f>'Avg Week Masaka-Mutukula'!D87+'Avg Week Mutukula-Masaka'!D87</f>
        <v>0</v>
      </c>
      <c r="E87" s="49">
        <f>'Avg Week Masaka-Mutukula'!E87+'Avg Week Mutukula-Masaka'!E87</f>
        <v>0</v>
      </c>
      <c r="F87" s="49">
        <f>'Avg Week Masaka-Mutukula'!F87+'Avg Week Mutukula-Masaka'!F87</f>
        <v>0</v>
      </c>
      <c r="G87" s="49">
        <f>'Avg Week Masaka-Mutukula'!G87+'Avg Week Mutukula-Masaka'!G87</f>
        <v>0</v>
      </c>
      <c r="H87" s="49">
        <f>'Avg Week Masaka-Mutukula'!H87+'Avg Week Mutukula-Masaka'!H87</f>
        <v>0</v>
      </c>
      <c r="I87" s="49">
        <f>'Avg Week Masaka-Mutukula'!I87+'Avg Week Mutukula-Masaka'!I87</f>
        <v>0</v>
      </c>
      <c r="J87" s="49">
        <f>'Avg Week Masaka-Mutukula'!J87+'Avg Week Mutukula-Masaka'!J87</f>
        <v>0</v>
      </c>
      <c r="K87" s="49">
        <f>'Avg Week Masaka-Mutukula'!K87+'Avg Week Mutukula-Masaka'!K87</f>
        <v>1</v>
      </c>
      <c r="L87" s="49">
        <f>'Avg Week Masaka-Mutukula'!L87+'Avg Week Mutukula-Masaka'!L87</f>
        <v>0.5</v>
      </c>
      <c r="M87" s="49">
        <f>'Avg Week Masaka-Mutukula'!M87+'Avg Week Mutukula-Masaka'!M87</f>
        <v>0.5</v>
      </c>
      <c r="N87" s="49">
        <f>'Avg Week Masaka-Mutukula'!N87+'Avg Week Mutukula-Masaka'!N87</f>
        <v>0</v>
      </c>
      <c r="O87" s="15">
        <f t="shared" si="35"/>
        <v>1.5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'Avg Week Masaka-Mutukula'!C88+'Avg Week Mutukula-Masaka'!C88</f>
        <v>0.5</v>
      </c>
      <c r="D88" s="49">
        <f>'Avg Week Masaka-Mutukula'!D88+'Avg Week Mutukula-Masaka'!D88</f>
        <v>0</v>
      </c>
      <c r="E88" s="49">
        <f>'Avg Week Masaka-Mutukula'!E88+'Avg Week Mutukula-Masaka'!E88</f>
        <v>0</v>
      </c>
      <c r="F88" s="49">
        <f>'Avg Week Masaka-Mutukula'!F88+'Avg Week Mutukula-Masaka'!F88</f>
        <v>0</v>
      </c>
      <c r="G88" s="49">
        <f>'Avg Week Masaka-Mutukula'!G88+'Avg Week Mutukula-Masaka'!G88</f>
        <v>0</v>
      </c>
      <c r="H88" s="49">
        <f>'Avg Week Masaka-Mutukula'!H88+'Avg Week Mutukula-Masaka'!H88</f>
        <v>0</v>
      </c>
      <c r="I88" s="49">
        <f>'Avg Week Masaka-Mutukula'!I88+'Avg Week Mutukula-Masaka'!I88</f>
        <v>0</v>
      </c>
      <c r="J88" s="49">
        <f>'Avg Week Masaka-Mutukula'!J88+'Avg Week Mutukula-Masaka'!J88</f>
        <v>0</v>
      </c>
      <c r="K88" s="49">
        <f>'Avg Week Masaka-Mutukula'!K88+'Avg Week Mutukula-Masaka'!K88</f>
        <v>0</v>
      </c>
      <c r="L88" s="49">
        <f>'Avg Week Masaka-Mutukula'!L88+'Avg Week Mutukula-Masaka'!L88</f>
        <v>0</v>
      </c>
      <c r="M88" s="49">
        <f>'Avg Week Masaka-Mutukula'!M88+'Avg Week Mutukula-Masaka'!M88</f>
        <v>0.5</v>
      </c>
      <c r="N88" s="49">
        <f>'Avg Week Masaka-Mutukula'!N88+'Avg Week Mutukula-Masaka'!N88</f>
        <v>0</v>
      </c>
      <c r="O88" s="15">
        <f t="shared" si="35"/>
        <v>0.5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'Avg Week Masaka-Mutukula'!C89+'Avg Week Mutukula-Masaka'!C89</f>
        <v>0</v>
      </c>
      <c r="D89" s="49">
        <f>'Avg Week Masaka-Mutukula'!D89+'Avg Week Mutukula-Masaka'!D89</f>
        <v>0</v>
      </c>
      <c r="E89" s="49">
        <f>'Avg Week Masaka-Mutukula'!E89+'Avg Week Mutukula-Masaka'!E89</f>
        <v>0</v>
      </c>
      <c r="F89" s="49">
        <f>'Avg Week Masaka-Mutukula'!F89+'Avg Week Mutukula-Masaka'!F89</f>
        <v>0.5</v>
      </c>
      <c r="G89" s="49">
        <f>'Avg Week Masaka-Mutukula'!G89+'Avg Week Mutukula-Masaka'!G89</f>
        <v>0</v>
      </c>
      <c r="H89" s="49">
        <f>'Avg Week Masaka-Mutukula'!H89+'Avg Week Mutukula-Masaka'!H89</f>
        <v>0.5</v>
      </c>
      <c r="I89" s="49">
        <f>'Avg Week Masaka-Mutukula'!I89+'Avg Week Mutukula-Masaka'!I89</f>
        <v>0</v>
      </c>
      <c r="J89" s="49">
        <f>'Avg Week Masaka-Mutukula'!J89+'Avg Week Mutukula-Masaka'!J89</f>
        <v>0</v>
      </c>
      <c r="K89" s="49">
        <f>'Avg Week Masaka-Mutukula'!K89+'Avg Week Mutukula-Masaka'!K89</f>
        <v>0.5</v>
      </c>
      <c r="L89" s="49">
        <f>'Avg Week Masaka-Mutukula'!L89+'Avg Week Mutukula-Masaka'!L89</f>
        <v>0</v>
      </c>
      <c r="M89" s="49">
        <f>'Avg Week Masaka-Mutukula'!M89+'Avg Week Mutukula-Masaka'!M89</f>
        <v>0</v>
      </c>
      <c r="N89" s="49">
        <f>'Avg Week Masaka-Mutukula'!N89+'Avg Week Mutukula-Masaka'!N89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Masaka-Mutukula'!C90+'Avg Week Mutukula-Masaka'!C90</f>
        <v>0</v>
      </c>
      <c r="D90" s="49">
        <f>'Avg Week Masaka-Mutukula'!D90+'Avg Week Mutukula-Masaka'!D90</f>
        <v>0</v>
      </c>
      <c r="E90" s="49">
        <f>'Avg Week Masaka-Mutukula'!E90+'Avg Week Mutukula-Masaka'!E90</f>
        <v>0</v>
      </c>
      <c r="F90" s="49">
        <f>'Avg Week Masaka-Mutukula'!F90+'Avg Week Mutukula-Masaka'!F90</f>
        <v>0</v>
      </c>
      <c r="G90" s="49">
        <f>'Avg Week Masaka-Mutukula'!G90+'Avg Week Mutukula-Masaka'!G90</f>
        <v>0</v>
      </c>
      <c r="H90" s="49">
        <f>'Avg Week Masaka-Mutukula'!H90+'Avg Week Mutukula-Masaka'!H90</f>
        <v>0.5</v>
      </c>
      <c r="I90" s="49">
        <f>'Avg Week Masaka-Mutukula'!I90+'Avg Week Mutukula-Masaka'!I90</f>
        <v>0</v>
      </c>
      <c r="J90" s="49">
        <f>'Avg Week Masaka-Mutukula'!J90+'Avg Week Mutukula-Masaka'!J90</f>
        <v>0</v>
      </c>
      <c r="K90" s="49">
        <f>'Avg Week Masaka-Mutukula'!K90+'Avg Week Mutukula-Masaka'!K90</f>
        <v>0.5</v>
      </c>
      <c r="L90" s="49">
        <f>'Avg Week Masaka-Mutukula'!L90+'Avg Week Mutukula-Masaka'!L90</f>
        <v>0</v>
      </c>
      <c r="M90" s="49">
        <f>'Avg Week Masaka-Mutukula'!M90+'Avg Week Mutukula-Masaka'!M90</f>
        <v>0.5</v>
      </c>
      <c r="N90" s="49">
        <f>'Avg Week Masaka-Mutukula'!N90+'Avg Week Mutukula-Masaka'!N90</f>
        <v>0</v>
      </c>
      <c r="O90" s="15">
        <f t="shared" si="35"/>
        <v>1</v>
      </c>
      <c r="P90" s="15">
        <f t="shared" si="36"/>
        <v>1.5</v>
      </c>
      <c r="R90" s="8"/>
      <c r="T90"/>
    </row>
    <row r="91" spans="2:20" ht="23.1" customHeight="1" x14ac:dyDescent="0.25">
      <c r="B91" s="23" t="s">
        <v>131</v>
      </c>
      <c r="C91" s="49">
        <f>'Avg Week Masaka-Mutukula'!C91+'Avg Week Mutukula-Masaka'!C91</f>
        <v>0</v>
      </c>
      <c r="D91" s="49">
        <f>'Avg Week Masaka-Mutukula'!D91+'Avg Week Mutukula-Masaka'!D91</f>
        <v>0</v>
      </c>
      <c r="E91" s="49">
        <f>'Avg Week Masaka-Mutukula'!E91+'Avg Week Mutukula-Masaka'!E91</f>
        <v>0</v>
      </c>
      <c r="F91" s="49">
        <f>'Avg Week Masaka-Mutukula'!F91+'Avg Week Mutukula-Masaka'!F91</f>
        <v>0</v>
      </c>
      <c r="G91" s="49">
        <f>'Avg Week Masaka-Mutukula'!G91+'Avg Week Mutukula-Masaka'!G91</f>
        <v>0</v>
      </c>
      <c r="H91" s="49">
        <f>'Avg Week Masaka-Mutukula'!H91+'Avg Week Mutukula-Masaka'!H91</f>
        <v>0.5</v>
      </c>
      <c r="I91" s="49">
        <f>'Avg Week Masaka-Mutukula'!I91+'Avg Week Mutukula-Masaka'!I91</f>
        <v>0</v>
      </c>
      <c r="J91" s="49">
        <f>'Avg Week Masaka-Mutukula'!J91+'Avg Week Mutukula-Masaka'!J91</f>
        <v>0</v>
      </c>
      <c r="K91" s="49">
        <f>'Avg Week Masaka-Mutukula'!K91+'Avg Week Mutukula-Masaka'!K91</f>
        <v>0.5</v>
      </c>
      <c r="L91" s="49">
        <f>'Avg Week Masaka-Mutukula'!L91+'Avg Week Mutukula-Masaka'!L91</f>
        <v>0</v>
      </c>
      <c r="M91" s="49">
        <f>'Avg Week Masaka-Mutukula'!M91+'Avg Week Mutukula-Masaka'!M91</f>
        <v>0.5</v>
      </c>
      <c r="N91" s="49">
        <f>'Avg Week Masaka-Mutukula'!N91+'Avg Week Mutukula-Masaka'!N91</f>
        <v>0</v>
      </c>
      <c r="O91" s="15">
        <f t="shared" si="35"/>
        <v>1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'Avg Week Masaka-Mutukula'!C92+'Avg Week Mutukula-Masaka'!C92</f>
        <v>0</v>
      </c>
      <c r="D92" s="49">
        <f>'Avg Week Masaka-Mutukula'!D92+'Avg Week Mutukula-Masaka'!D92</f>
        <v>0.5</v>
      </c>
      <c r="E92" s="49">
        <f>'Avg Week Masaka-Mutukula'!E92+'Avg Week Mutukula-Masaka'!E92</f>
        <v>0</v>
      </c>
      <c r="F92" s="49">
        <f>'Avg Week Masaka-Mutukula'!F92+'Avg Week Mutukula-Masaka'!F92</f>
        <v>0</v>
      </c>
      <c r="G92" s="49">
        <f>'Avg Week Masaka-Mutukula'!G92+'Avg Week Mutukula-Masaka'!G92</f>
        <v>0</v>
      </c>
      <c r="H92" s="49">
        <f>'Avg Week Masaka-Mutukula'!H92+'Avg Week Mutukula-Masaka'!H92</f>
        <v>0</v>
      </c>
      <c r="I92" s="49">
        <f>'Avg Week Masaka-Mutukula'!I92+'Avg Week Mutukula-Masaka'!I92</f>
        <v>0</v>
      </c>
      <c r="J92" s="49">
        <f>'Avg Week Masaka-Mutukula'!J92+'Avg Week Mutukula-Masaka'!J92</f>
        <v>0</v>
      </c>
      <c r="K92" s="49">
        <f>'Avg Week Masaka-Mutukula'!K92+'Avg Week Mutukula-Masaka'!K92</f>
        <v>0.5</v>
      </c>
      <c r="L92" s="49">
        <f>'Avg Week Masaka-Mutukula'!L92+'Avg Week Mutukula-Masaka'!L92</f>
        <v>0</v>
      </c>
      <c r="M92" s="49">
        <f>'Avg Week Masaka-Mutukula'!M92+'Avg Week Mutukula-Masaka'!M92</f>
        <v>0</v>
      </c>
      <c r="N92" s="49">
        <f>'Avg Week Masaka-Mutukula'!N92+'Avg Week Mutukula-Masaka'!N92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'Avg Week Masaka-Mutukula'!C93+'Avg Week Mutukula-Masaka'!C93</f>
        <v>0</v>
      </c>
      <c r="D93" s="49">
        <f>'Avg Week Masaka-Mutukula'!D93+'Avg Week Mutukula-Masaka'!D93</f>
        <v>0</v>
      </c>
      <c r="E93" s="49">
        <f>'Avg Week Masaka-Mutukula'!E93+'Avg Week Mutukula-Masaka'!E93</f>
        <v>0</v>
      </c>
      <c r="F93" s="49">
        <f>'Avg Week Masaka-Mutukula'!F93+'Avg Week Mutukula-Masaka'!F93</f>
        <v>0</v>
      </c>
      <c r="G93" s="49">
        <f>'Avg Week Masaka-Mutukula'!G93+'Avg Week Mutukula-Masaka'!G93</f>
        <v>0</v>
      </c>
      <c r="H93" s="49">
        <f>'Avg Week Masaka-Mutukula'!H93+'Avg Week Mutukula-Masaka'!H93</f>
        <v>0.5</v>
      </c>
      <c r="I93" s="49">
        <f>'Avg Week Masaka-Mutukula'!I93+'Avg Week Mutukula-Masaka'!I93</f>
        <v>0</v>
      </c>
      <c r="J93" s="49">
        <f>'Avg Week Masaka-Mutukula'!J93+'Avg Week Mutukula-Masaka'!J93</f>
        <v>1.5</v>
      </c>
      <c r="K93" s="49">
        <f>'Avg Week Masaka-Mutukula'!K93+'Avg Week Mutukula-Masaka'!K93</f>
        <v>0</v>
      </c>
      <c r="L93" s="49">
        <f>'Avg Week Masaka-Mutukula'!L93+'Avg Week Mutukula-Masaka'!L93</f>
        <v>0</v>
      </c>
      <c r="M93" s="49">
        <f>'Avg Week Masaka-Mutukula'!M93+'Avg Week Mutukula-Masaka'!M93</f>
        <v>1</v>
      </c>
      <c r="N93" s="49">
        <f>'Avg Week Masaka-Mutukula'!N93+'Avg Week Mutukula-Masaka'!N93</f>
        <v>0</v>
      </c>
      <c r="O93" s="15">
        <f t="shared" si="35"/>
        <v>2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'Avg Week Masaka-Mutukula'!C94+'Avg Week Mutukula-Masaka'!C94</f>
        <v>0</v>
      </c>
      <c r="D94" s="49">
        <f>'Avg Week Masaka-Mutukula'!D94+'Avg Week Mutukula-Masaka'!D94</f>
        <v>0</v>
      </c>
      <c r="E94" s="49">
        <f>'Avg Week Masaka-Mutukula'!E94+'Avg Week Mutukula-Masaka'!E94</f>
        <v>0</v>
      </c>
      <c r="F94" s="49">
        <f>'Avg Week Masaka-Mutukula'!F94+'Avg Week Mutukula-Masaka'!F94</f>
        <v>0</v>
      </c>
      <c r="G94" s="49">
        <f>'Avg Week Masaka-Mutukula'!G94+'Avg Week Mutukula-Masaka'!G94</f>
        <v>0</v>
      </c>
      <c r="H94" s="49">
        <f>'Avg Week Masaka-Mutukula'!H94+'Avg Week Mutukula-Masaka'!H94</f>
        <v>0</v>
      </c>
      <c r="I94" s="49">
        <f>'Avg Week Masaka-Mutukula'!I94+'Avg Week Mutukula-Masaka'!I94</f>
        <v>0</v>
      </c>
      <c r="J94" s="49">
        <f>'Avg Week Masaka-Mutukula'!J94+'Avg Week Mutukula-Masaka'!J94</f>
        <v>1</v>
      </c>
      <c r="K94" s="49">
        <f>'Avg Week Masaka-Mutukula'!K94+'Avg Week Mutukula-Masaka'!K94</f>
        <v>1.5</v>
      </c>
      <c r="L94" s="49">
        <f>'Avg Week Masaka-Mutukula'!L94+'Avg Week Mutukula-Masaka'!L94</f>
        <v>0</v>
      </c>
      <c r="M94" s="49">
        <f>'Avg Week Masaka-Mutukula'!M94+'Avg Week Mutukula-Masaka'!M94</f>
        <v>0</v>
      </c>
      <c r="N94" s="49">
        <f>'Avg Week Masaka-Mutukula'!N94+'Avg Week Mutukula-Masaka'!N94</f>
        <v>0</v>
      </c>
      <c r="O94" s="15">
        <f t="shared" si="35"/>
        <v>2.5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'Avg Week Masaka-Mutukula'!C95+'Avg Week Mutukula-Masaka'!C95</f>
        <v>0</v>
      </c>
      <c r="D95" s="49">
        <f>'Avg Week Masaka-Mutukula'!D95+'Avg Week Mutukula-Masaka'!D95</f>
        <v>0</v>
      </c>
      <c r="E95" s="49">
        <f>'Avg Week Masaka-Mutukula'!E95+'Avg Week Mutukula-Masaka'!E95</f>
        <v>0</v>
      </c>
      <c r="F95" s="49">
        <f>'Avg Week Masaka-Mutukula'!F95+'Avg Week Mutukula-Masaka'!F95</f>
        <v>0.5</v>
      </c>
      <c r="G95" s="49">
        <f>'Avg Week Masaka-Mutukula'!G95+'Avg Week Mutukula-Masaka'!G95</f>
        <v>0</v>
      </c>
      <c r="H95" s="49">
        <f>'Avg Week Masaka-Mutukula'!H95+'Avg Week Mutukula-Masaka'!H95</f>
        <v>0</v>
      </c>
      <c r="I95" s="49">
        <f>'Avg Week Masaka-Mutukula'!I95+'Avg Week Mutukula-Masaka'!I95</f>
        <v>0</v>
      </c>
      <c r="J95" s="49">
        <f>'Avg Week Masaka-Mutukula'!J95+'Avg Week Mutukula-Masaka'!J95</f>
        <v>0</v>
      </c>
      <c r="K95" s="49">
        <f>'Avg Week Masaka-Mutukula'!K95+'Avg Week Mutukula-Masaka'!K95</f>
        <v>0</v>
      </c>
      <c r="L95" s="49">
        <f>'Avg Week Masaka-Mutukula'!L95+'Avg Week Mutukula-Masaka'!L95</f>
        <v>0</v>
      </c>
      <c r="M95" s="49">
        <f>'Avg Week Masaka-Mutukula'!M95+'Avg Week Mutukula-Masaka'!M95</f>
        <v>0</v>
      </c>
      <c r="N95" s="49">
        <f>'Avg Week Masaka-Mutukula'!N95+'Avg Week Mutukula-Masaka'!N95</f>
        <v>0</v>
      </c>
      <c r="O95" s="15">
        <f t="shared" si="35"/>
        <v>0.5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'Avg Week Masaka-Mutukula'!C96+'Avg Week Mutukula-Masaka'!C96</f>
        <v>0</v>
      </c>
      <c r="D96" s="49">
        <f>'Avg Week Masaka-Mutukula'!D96+'Avg Week Mutukula-Masaka'!D96</f>
        <v>0</v>
      </c>
      <c r="E96" s="49">
        <f>'Avg Week Masaka-Mutukula'!E96+'Avg Week Mutukula-Masaka'!E96</f>
        <v>0</v>
      </c>
      <c r="F96" s="49">
        <f>'Avg Week Masaka-Mutukula'!F96+'Avg Week Mutukula-Masaka'!F96</f>
        <v>0</v>
      </c>
      <c r="G96" s="49">
        <f>'Avg Week Masaka-Mutukula'!G96+'Avg Week Mutukula-Masaka'!G96</f>
        <v>0</v>
      </c>
      <c r="H96" s="49">
        <f>'Avg Week Masaka-Mutukula'!H96+'Avg Week Mutukula-Masaka'!H96</f>
        <v>0</v>
      </c>
      <c r="I96" s="49">
        <f>'Avg Week Masaka-Mutukula'!I96+'Avg Week Mutukula-Masaka'!I96</f>
        <v>0</v>
      </c>
      <c r="J96" s="49">
        <f>'Avg Week Masaka-Mutukula'!J96+'Avg Week Mutukula-Masaka'!J96</f>
        <v>1</v>
      </c>
      <c r="K96" s="49">
        <f>'Avg Week Masaka-Mutukula'!K96+'Avg Week Mutukula-Masaka'!K96</f>
        <v>0</v>
      </c>
      <c r="L96" s="49">
        <f>'Avg Week Masaka-Mutukula'!L96+'Avg Week Mutukula-Masaka'!L96</f>
        <v>0</v>
      </c>
      <c r="M96" s="49">
        <f>'Avg Week Masaka-Mutukula'!M96+'Avg Week Mutukula-Masaka'!M96</f>
        <v>0</v>
      </c>
      <c r="N96" s="49">
        <f>'Avg Week Masaka-Mutukula'!N96+'Avg Week Mutukula-Masaka'!N96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'Avg Week Masaka-Mutukula'!C97+'Avg Week Mutukula-Masaka'!C97</f>
        <v>1.5</v>
      </c>
      <c r="D97" s="49">
        <f>'Avg Week Masaka-Mutukula'!D97+'Avg Week Mutukula-Masaka'!D97</f>
        <v>0</v>
      </c>
      <c r="E97" s="49">
        <f>'Avg Week Masaka-Mutukula'!E97+'Avg Week Mutukula-Masaka'!E97</f>
        <v>0.5</v>
      </c>
      <c r="F97" s="49">
        <f>'Avg Week Masaka-Mutukula'!F97+'Avg Week Mutukula-Masaka'!F97</f>
        <v>0</v>
      </c>
      <c r="G97" s="49">
        <f>'Avg Week Masaka-Mutukula'!G97+'Avg Week Mutukula-Masaka'!G97</f>
        <v>0</v>
      </c>
      <c r="H97" s="49">
        <f>'Avg Week Masaka-Mutukula'!H97+'Avg Week Mutukula-Masaka'!H97</f>
        <v>0</v>
      </c>
      <c r="I97" s="49">
        <f>'Avg Week Masaka-Mutukula'!I97+'Avg Week Mutukula-Masaka'!I97</f>
        <v>0</v>
      </c>
      <c r="J97" s="49">
        <f>'Avg Week Masaka-Mutukula'!J97+'Avg Week Mutukula-Masaka'!J97</f>
        <v>1</v>
      </c>
      <c r="K97" s="49">
        <f>'Avg Week Masaka-Mutukula'!K97+'Avg Week Mutukula-Masaka'!K97</f>
        <v>1</v>
      </c>
      <c r="L97" s="49">
        <f>'Avg Week Masaka-Mutukula'!L97+'Avg Week Mutukula-Masaka'!L97</f>
        <v>0</v>
      </c>
      <c r="M97" s="49">
        <f>'Avg Week Masaka-Mutukula'!M97+'Avg Week Mutukula-Masaka'!M97</f>
        <v>1</v>
      </c>
      <c r="N97" s="49">
        <f>'Avg Week Masaka-Mutukula'!N97+'Avg Week Mutukula-Masaka'!N97</f>
        <v>0</v>
      </c>
      <c r="O97" s="15">
        <f t="shared" si="35"/>
        <v>4</v>
      </c>
      <c r="P97" s="15">
        <f t="shared" si="36"/>
        <v>5</v>
      </c>
      <c r="R97" s="8"/>
      <c r="T97"/>
    </row>
    <row r="98" spans="2:20" ht="23.1" customHeight="1" x14ac:dyDescent="0.25">
      <c r="B98" s="24" t="s">
        <v>138</v>
      </c>
      <c r="C98" s="49">
        <f>'Avg Week Masaka-Mutukula'!C98+'Avg Week Mutukula-Masaka'!C98</f>
        <v>0.5</v>
      </c>
      <c r="D98" s="49">
        <f>'Avg Week Masaka-Mutukula'!D98+'Avg Week Mutukula-Masaka'!D98</f>
        <v>0</v>
      </c>
      <c r="E98" s="49">
        <f>'Avg Week Masaka-Mutukula'!E98+'Avg Week Mutukula-Masaka'!E98</f>
        <v>0</v>
      </c>
      <c r="F98" s="49">
        <f>'Avg Week Masaka-Mutukula'!F98+'Avg Week Mutukula-Masaka'!F98</f>
        <v>0.5</v>
      </c>
      <c r="G98" s="49">
        <f>'Avg Week Masaka-Mutukula'!G98+'Avg Week Mutukula-Masaka'!G98</f>
        <v>1</v>
      </c>
      <c r="H98" s="49">
        <f>'Avg Week Masaka-Mutukula'!H98+'Avg Week Mutukula-Masaka'!H98</f>
        <v>0.5</v>
      </c>
      <c r="I98" s="49">
        <f>'Avg Week Masaka-Mutukula'!I98+'Avg Week Mutukula-Masaka'!I98</f>
        <v>0.5</v>
      </c>
      <c r="J98" s="49">
        <f>'Avg Week Masaka-Mutukula'!J98+'Avg Week Mutukula-Masaka'!J98</f>
        <v>0</v>
      </c>
      <c r="K98" s="49">
        <f>'Avg Week Masaka-Mutukula'!K98+'Avg Week Mutukula-Masaka'!K98</f>
        <v>1.5</v>
      </c>
      <c r="L98" s="49">
        <f>'Avg Week Masaka-Mutukula'!L98+'Avg Week Mutukula-Masaka'!L98</f>
        <v>0</v>
      </c>
      <c r="M98" s="49">
        <f>'Avg Week Masaka-Mutukula'!M98+'Avg Week Mutukula-Masaka'!M98</f>
        <v>1</v>
      </c>
      <c r="N98" s="49">
        <f>'Avg Week Masaka-Mutukula'!N98+'Avg Week Mutukula-Masaka'!N98</f>
        <v>0</v>
      </c>
      <c r="O98" s="15">
        <f t="shared" si="35"/>
        <v>4.5</v>
      </c>
      <c r="P98" s="15">
        <f t="shared" si="36"/>
        <v>5.5</v>
      </c>
      <c r="R98" s="8"/>
      <c r="T98"/>
    </row>
    <row r="99" spans="2:20" ht="23.1" customHeight="1" x14ac:dyDescent="0.25">
      <c r="B99" s="23" t="s">
        <v>139</v>
      </c>
      <c r="C99" s="49">
        <f>'Avg Week Masaka-Mutukula'!C99+'Avg Week Mutukula-Masaka'!C99</f>
        <v>1</v>
      </c>
      <c r="D99" s="49">
        <f>'Avg Week Masaka-Mutukula'!D99+'Avg Week Mutukula-Masaka'!D99</f>
        <v>0</v>
      </c>
      <c r="E99" s="49">
        <f>'Avg Week Masaka-Mutukula'!E99+'Avg Week Mutukula-Masaka'!E99</f>
        <v>0</v>
      </c>
      <c r="F99" s="49">
        <f>'Avg Week Masaka-Mutukula'!F99+'Avg Week Mutukula-Masaka'!F99</f>
        <v>0</v>
      </c>
      <c r="G99" s="49">
        <f>'Avg Week Masaka-Mutukula'!G99+'Avg Week Mutukula-Masaka'!G99</f>
        <v>0</v>
      </c>
      <c r="H99" s="49">
        <f>'Avg Week Masaka-Mutukula'!H99+'Avg Week Mutukula-Masaka'!H99</f>
        <v>0</v>
      </c>
      <c r="I99" s="49">
        <f>'Avg Week Masaka-Mutukula'!I99+'Avg Week Mutukula-Masaka'!I99</f>
        <v>0</v>
      </c>
      <c r="J99" s="49">
        <f>'Avg Week Masaka-Mutukula'!J99+'Avg Week Mutukula-Masaka'!J99</f>
        <v>1</v>
      </c>
      <c r="K99" s="49">
        <f>'Avg Week Masaka-Mutukula'!K99+'Avg Week Mutukula-Masaka'!K99</f>
        <v>1.5</v>
      </c>
      <c r="L99" s="49">
        <f>'Avg Week Masaka-Mutukula'!L99+'Avg Week Mutukula-Masaka'!L99</f>
        <v>0</v>
      </c>
      <c r="M99" s="49">
        <f>'Avg Week Masaka-Mutukula'!M99+'Avg Week Mutukula-Masaka'!M99</f>
        <v>0.5</v>
      </c>
      <c r="N99" s="49">
        <f>'Avg Week Masaka-Mutukula'!N99+'Avg Week Mutukula-Masaka'!N99</f>
        <v>0</v>
      </c>
      <c r="O99" s="15">
        <f t="shared" si="35"/>
        <v>3.5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'Avg Week Masaka-Mutukula'!C100+'Avg Week Mutukula-Masaka'!C100</f>
        <v>1</v>
      </c>
      <c r="D100" s="49">
        <f>'Avg Week Masaka-Mutukula'!D100+'Avg Week Mutukula-Masaka'!D100</f>
        <v>0</v>
      </c>
      <c r="E100" s="49">
        <f>'Avg Week Masaka-Mutukula'!E100+'Avg Week Mutukula-Masaka'!E100</f>
        <v>0</v>
      </c>
      <c r="F100" s="49">
        <f>'Avg Week Masaka-Mutukula'!F100+'Avg Week Mutukula-Masaka'!F100</f>
        <v>1</v>
      </c>
      <c r="G100" s="49">
        <f>'Avg Week Masaka-Mutukula'!G100+'Avg Week Mutukula-Masaka'!G100</f>
        <v>0</v>
      </c>
      <c r="H100" s="49">
        <f>'Avg Week Masaka-Mutukula'!H100+'Avg Week Mutukula-Masaka'!H100</f>
        <v>0</v>
      </c>
      <c r="I100" s="49">
        <f>'Avg Week Masaka-Mutukula'!I100+'Avg Week Mutukula-Masaka'!I100</f>
        <v>0.5</v>
      </c>
      <c r="J100" s="49">
        <f>'Avg Week Masaka-Mutukula'!J100+'Avg Week Mutukula-Masaka'!J100</f>
        <v>0</v>
      </c>
      <c r="K100" s="49">
        <f>'Avg Week Masaka-Mutukula'!K100+'Avg Week Mutukula-Masaka'!K100</f>
        <v>0</v>
      </c>
      <c r="L100" s="49">
        <f>'Avg Week Masaka-Mutukula'!L100+'Avg Week Mutukula-Masaka'!L100</f>
        <v>0</v>
      </c>
      <c r="M100" s="49">
        <f>'Avg Week Masaka-Mutukula'!M100+'Avg Week Mutukula-Masaka'!M100</f>
        <v>0</v>
      </c>
      <c r="N100" s="49">
        <f>'Avg Week Masaka-Mutukula'!N100+'Avg Week Mutukula-Masaka'!N100</f>
        <v>0</v>
      </c>
      <c r="O100" s="15">
        <f t="shared" si="35"/>
        <v>2.5</v>
      </c>
      <c r="P100" s="15">
        <f t="shared" si="36"/>
        <v>2.5</v>
      </c>
      <c r="R100" s="8"/>
      <c r="T100"/>
    </row>
    <row r="101" spans="2:20" ht="23.1" customHeight="1" x14ac:dyDescent="0.25">
      <c r="B101" s="23" t="s">
        <v>141</v>
      </c>
      <c r="C101" s="49">
        <f>'Avg Week Masaka-Mutukula'!C101+'Avg Week Mutukula-Masaka'!C101</f>
        <v>0</v>
      </c>
      <c r="D101" s="49">
        <f>'Avg Week Masaka-Mutukula'!D101+'Avg Week Mutukula-Masaka'!D101</f>
        <v>0</v>
      </c>
      <c r="E101" s="49">
        <f>'Avg Week Masaka-Mutukula'!E101+'Avg Week Mutukula-Masaka'!E101</f>
        <v>0</v>
      </c>
      <c r="F101" s="49">
        <f>'Avg Week Masaka-Mutukula'!F101+'Avg Week Mutukula-Masaka'!F101</f>
        <v>0.5</v>
      </c>
      <c r="G101" s="49">
        <f>'Avg Week Masaka-Mutukula'!G101+'Avg Week Mutukula-Masaka'!G101</f>
        <v>0</v>
      </c>
      <c r="H101" s="49">
        <f>'Avg Week Masaka-Mutukula'!H101+'Avg Week Mutukula-Masaka'!H101</f>
        <v>0</v>
      </c>
      <c r="I101" s="49">
        <f>'Avg Week Masaka-Mutukula'!I101+'Avg Week Mutukula-Masaka'!I101</f>
        <v>0</v>
      </c>
      <c r="J101" s="49">
        <f>'Avg Week Masaka-Mutukula'!J101+'Avg Week Mutukula-Masaka'!J101</f>
        <v>1</v>
      </c>
      <c r="K101" s="49">
        <f>'Avg Week Masaka-Mutukula'!K101+'Avg Week Mutukula-Masaka'!K101</f>
        <v>1</v>
      </c>
      <c r="L101" s="49">
        <f>'Avg Week Masaka-Mutukula'!L101+'Avg Week Mutukula-Masaka'!L101</f>
        <v>0</v>
      </c>
      <c r="M101" s="49">
        <f>'Avg Week Masaka-Mutukula'!M101+'Avg Week Mutukula-Masaka'!M101</f>
        <v>0.5</v>
      </c>
      <c r="N101" s="49">
        <f>'Avg Week Masaka-Mutukula'!N101+'Avg Week Mutukula-Masaka'!N101</f>
        <v>0</v>
      </c>
      <c r="O101" s="15">
        <f t="shared" si="35"/>
        <v>2.5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'Avg Week Masaka-Mutukula'!C102+'Avg Week Mutukula-Masaka'!C102</f>
        <v>1</v>
      </c>
      <c r="D102" s="49">
        <f>'Avg Week Masaka-Mutukula'!D102+'Avg Week Mutukula-Masaka'!D102</f>
        <v>0</v>
      </c>
      <c r="E102" s="49">
        <f>'Avg Week Masaka-Mutukula'!E102+'Avg Week Mutukula-Masaka'!E102</f>
        <v>0</v>
      </c>
      <c r="F102" s="49">
        <f>'Avg Week Masaka-Mutukula'!F102+'Avg Week Mutukula-Masaka'!F102</f>
        <v>1</v>
      </c>
      <c r="G102" s="49">
        <f>'Avg Week Masaka-Mutukula'!G102+'Avg Week Mutukula-Masaka'!G102</f>
        <v>0</v>
      </c>
      <c r="H102" s="49">
        <f>'Avg Week Masaka-Mutukula'!H102+'Avg Week Mutukula-Masaka'!H102</f>
        <v>0</v>
      </c>
      <c r="I102" s="49">
        <f>'Avg Week Masaka-Mutukula'!I102+'Avg Week Mutukula-Masaka'!I102</f>
        <v>1</v>
      </c>
      <c r="J102" s="49">
        <f>'Avg Week Masaka-Mutukula'!J102+'Avg Week Mutukula-Masaka'!J102</f>
        <v>1</v>
      </c>
      <c r="K102" s="49">
        <f>'Avg Week Masaka-Mutukula'!K102+'Avg Week Mutukula-Masaka'!K102</f>
        <v>1</v>
      </c>
      <c r="L102" s="49">
        <f>'Avg Week Masaka-Mutukula'!L102+'Avg Week Mutukula-Masaka'!L102</f>
        <v>0</v>
      </c>
      <c r="M102" s="49">
        <f>'Avg Week Masaka-Mutukula'!M102+'Avg Week Mutukula-Masaka'!M102</f>
        <v>1.5</v>
      </c>
      <c r="N102" s="49">
        <f>'Avg Week Masaka-Mutukula'!N102+'Avg Week Mutukula-Masaka'!N102</f>
        <v>0</v>
      </c>
      <c r="O102" s="15">
        <f t="shared" si="35"/>
        <v>5</v>
      </c>
      <c r="P102" s="15">
        <f t="shared" si="36"/>
        <v>6.5</v>
      </c>
      <c r="R102" s="8"/>
      <c r="T102"/>
    </row>
    <row r="103" spans="2:20" ht="23.1" customHeight="1" x14ac:dyDescent="0.25">
      <c r="B103" s="23" t="s">
        <v>143</v>
      </c>
      <c r="C103" s="49">
        <f>'Avg Week Masaka-Mutukula'!C103+'Avg Week Mutukula-Masaka'!C103</f>
        <v>1</v>
      </c>
      <c r="D103" s="49">
        <f>'Avg Week Masaka-Mutukula'!D103+'Avg Week Mutukula-Masaka'!D103</f>
        <v>0</v>
      </c>
      <c r="E103" s="49">
        <f>'Avg Week Masaka-Mutukula'!E103+'Avg Week Mutukula-Masaka'!E103</f>
        <v>0</v>
      </c>
      <c r="F103" s="49">
        <f>'Avg Week Masaka-Mutukula'!F103+'Avg Week Mutukula-Masaka'!F103</f>
        <v>0.5</v>
      </c>
      <c r="G103" s="49">
        <f>'Avg Week Masaka-Mutukula'!G103+'Avg Week Mutukula-Masaka'!G103</f>
        <v>0</v>
      </c>
      <c r="H103" s="49">
        <f>'Avg Week Masaka-Mutukula'!H103+'Avg Week Mutukula-Masaka'!H103</f>
        <v>0</v>
      </c>
      <c r="I103" s="49">
        <f>'Avg Week Masaka-Mutukula'!I103+'Avg Week Mutukula-Masaka'!I103</f>
        <v>1</v>
      </c>
      <c r="J103" s="49">
        <f>'Avg Week Masaka-Mutukula'!J103+'Avg Week Mutukula-Masaka'!J103</f>
        <v>0</v>
      </c>
      <c r="K103" s="49">
        <f>'Avg Week Masaka-Mutukula'!K103+'Avg Week Mutukula-Masaka'!K103</f>
        <v>0.5</v>
      </c>
      <c r="L103" s="49">
        <f>'Avg Week Masaka-Mutukula'!L103+'Avg Week Mutukula-Masaka'!L103</f>
        <v>0</v>
      </c>
      <c r="M103" s="49">
        <f>'Avg Week Masaka-Mutukula'!M103+'Avg Week Mutukula-Masaka'!M103</f>
        <v>2.5</v>
      </c>
      <c r="N103" s="49">
        <f>'Avg Week Masaka-Mutukula'!N103+'Avg Week Mutukula-Masaka'!N103</f>
        <v>0</v>
      </c>
      <c r="O103" s="15">
        <f t="shared" si="35"/>
        <v>3</v>
      </c>
      <c r="P103" s="15">
        <f t="shared" si="36"/>
        <v>5.5</v>
      </c>
      <c r="R103" s="8"/>
      <c r="T103"/>
    </row>
    <row r="104" spans="2:20" ht="23.1" customHeight="1" x14ac:dyDescent="0.25">
      <c r="B104" s="25" t="s">
        <v>144</v>
      </c>
      <c r="C104" s="49">
        <f>'Avg Week Masaka-Mutukula'!C104+'Avg Week Mutukula-Masaka'!C104</f>
        <v>1.5</v>
      </c>
      <c r="D104" s="49">
        <f>'Avg Week Masaka-Mutukula'!D104+'Avg Week Mutukula-Masaka'!D104</f>
        <v>0.5</v>
      </c>
      <c r="E104" s="49">
        <f>'Avg Week Masaka-Mutukula'!E104+'Avg Week Mutukula-Masaka'!E104</f>
        <v>0</v>
      </c>
      <c r="F104" s="49">
        <f>'Avg Week Masaka-Mutukula'!F104+'Avg Week Mutukula-Masaka'!F104</f>
        <v>0.5</v>
      </c>
      <c r="G104" s="49">
        <f>'Avg Week Masaka-Mutukula'!G104+'Avg Week Mutukula-Masaka'!G104</f>
        <v>0</v>
      </c>
      <c r="H104" s="49">
        <f>'Avg Week Masaka-Mutukula'!H104+'Avg Week Mutukula-Masaka'!H104</f>
        <v>0</v>
      </c>
      <c r="I104" s="49">
        <f>'Avg Week Masaka-Mutukula'!I104+'Avg Week Mutukula-Masaka'!I104</f>
        <v>0.5</v>
      </c>
      <c r="J104" s="49">
        <f>'Avg Week Masaka-Mutukula'!J104+'Avg Week Mutukula-Masaka'!J104</f>
        <v>0</v>
      </c>
      <c r="K104" s="49">
        <f>'Avg Week Masaka-Mutukula'!K104+'Avg Week Mutukula-Masaka'!K104</f>
        <v>1</v>
      </c>
      <c r="L104" s="49">
        <f>'Avg Week Masaka-Mutukula'!L104+'Avg Week Mutukula-Masaka'!L104</f>
        <v>0</v>
      </c>
      <c r="M104" s="49">
        <f>'Avg Week Masaka-Mutukula'!M104+'Avg Week Mutukula-Masaka'!M104</f>
        <v>9.5</v>
      </c>
      <c r="N104" s="49">
        <f>'Avg Week Masaka-Mutukula'!N104+'Avg Week Mutukula-Masaka'!N104</f>
        <v>0</v>
      </c>
      <c r="O104" s="15">
        <f t="shared" si="35"/>
        <v>4</v>
      </c>
      <c r="P104" s="15">
        <f t="shared" si="36"/>
        <v>13.5</v>
      </c>
      <c r="R104" s="8"/>
      <c r="T104"/>
    </row>
    <row r="105" spans="2:20" ht="23.1" customHeight="1" x14ac:dyDescent="0.25">
      <c r="B105" s="23" t="s">
        <v>145</v>
      </c>
      <c r="C105" s="49">
        <f>'Avg Week Masaka-Mutukula'!C105+'Avg Week Mutukula-Masaka'!C105</f>
        <v>3</v>
      </c>
      <c r="D105" s="49">
        <f>'Avg Week Masaka-Mutukula'!D105+'Avg Week Mutukula-Masaka'!D105</f>
        <v>2</v>
      </c>
      <c r="E105" s="49">
        <f>'Avg Week Masaka-Mutukula'!E105+'Avg Week Mutukula-Masaka'!E105</f>
        <v>0</v>
      </c>
      <c r="F105" s="49">
        <f>'Avg Week Masaka-Mutukula'!F105+'Avg Week Mutukula-Masaka'!F105</f>
        <v>15.5</v>
      </c>
      <c r="G105" s="49">
        <f>'Avg Week Masaka-Mutukula'!G105+'Avg Week Mutukula-Masaka'!G105</f>
        <v>0</v>
      </c>
      <c r="H105" s="49">
        <f>'Avg Week Masaka-Mutukula'!H105+'Avg Week Mutukula-Masaka'!H105</f>
        <v>0</v>
      </c>
      <c r="I105" s="49">
        <f>'Avg Week Masaka-Mutukula'!I105+'Avg Week Mutukula-Masaka'!I105</f>
        <v>0</v>
      </c>
      <c r="J105" s="49">
        <f>'Avg Week Masaka-Mutukula'!J105+'Avg Week Mutukula-Masaka'!J105</f>
        <v>1.5</v>
      </c>
      <c r="K105" s="49">
        <f>'Avg Week Masaka-Mutukula'!K105+'Avg Week Mutukula-Masaka'!K105</f>
        <v>1</v>
      </c>
      <c r="L105" s="49">
        <f>'Avg Week Masaka-Mutukula'!L105+'Avg Week Mutukula-Masaka'!L105</f>
        <v>0</v>
      </c>
      <c r="M105" s="49">
        <f>'Avg Week Masaka-Mutukula'!M105+'Avg Week Mutukula-Masaka'!M105</f>
        <v>12</v>
      </c>
      <c r="N105" s="49">
        <f>'Avg Week Masaka-Mutukula'!N105+'Avg Week Mutukula-Masaka'!N105</f>
        <v>0</v>
      </c>
      <c r="O105" s="15">
        <f t="shared" si="35"/>
        <v>23</v>
      </c>
      <c r="P105" s="15">
        <f t="shared" si="36"/>
        <v>35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334.14285714285717</v>
      </c>
      <c r="D106" s="16">
        <f t="shared" ref="D106:P106" si="37">SUM(D10:D105)</f>
        <v>54.428571428571438</v>
      </c>
      <c r="E106" s="16">
        <f t="shared" si="37"/>
        <v>23.238095238095241</v>
      </c>
      <c r="F106" s="16">
        <f t="shared" si="37"/>
        <v>170.42857142857142</v>
      </c>
      <c r="G106" s="16">
        <f t="shared" si="37"/>
        <v>5.6428571428571423</v>
      </c>
      <c r="H106" s="16">
        <f t="shared" si="37"/>
        <v>6.0714285714285712</v>
      </c>
      <c r="I106" s="16">
        <f t="shared" si="37"/>
        <v>99.285714285714292</v>
      </c>
      <c r="J106" s="16">
        <f t="shared" si="37"/>
        <v>94.785714285714278</v>
      </c>
      <c r="K106" s="16">
        <f t="shared" si="37"/>
        <v>115.00000000000001</v>
      </c>
      <c r="L106" s="16">
        <f t="shared" si="37"/>
        <v>9.5714285714285712</v>
      </c>
      <c r="M106" s="16">
        <f t="shared" si="37"/>
        <v>1415.6428571428573</v>
      </c>
      <c r="N106" s="16">
        <f t="shared" si="37"/>
        <v>6.8571428571428568</v>
      </c>
      <c r="O106" s="16">
        <f t="shared" si="37"/>
        <v>919.45238095238074</v>
      </c>
      <c r="P106" s="16">
        <f t="shared" si="37"/>
        <v>2335.0952380952376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0.14309602952872325</v>
      </c>
      <c r="D107" s="43">
        <f t="shared" si="38"/>
        <v>2.3308929991638975E-2</v>
      </c>
      <c r="E107" s="43">
        <f t="shared" si="38"/>
        <v>9.951669147786368E-3</v>
      </c>
      <c r="F107" s="43">
        <f t="shared" si="38"/>
        <v>7.2985704671982385E-2</v>
      </c>
      <c r="G107" s="43">
        <f t="shared" si="38"/>
        <v>2.4165426106817303E-3</v>
      </c>
      <c r="H107" s="43">
        <f t="shared" si="38"/>
        <v>2.6000774925056592E-3</v>
      </c>
      <c r="I107" s="43">
        <f t="shared" si="38"/>
        <v>4.2518914289210202E-2</v>
      </c>
      <c r="J107" s="43">
        <f t="shared" si="38"/>
        <v>4.059179803005894E-2</v>
      </c>
      <c r="K107" s="43">
        <f t="shared" si="38"/>
        <v>4.9248526622754266E-2</v>
      </c>
      <c r="L107" s="43">
        <f t="shared" si="38"/>
        <v>4.0989456940677457E-3</v>
      </c>
      <c r="M107" s="43">
        <f t="shared" si="38"/>
        <v>0.60624630381140787</v>
      </c>
      <c r="N107" s="43">
        <f t="shared" si="38"/>
        <v>2.9365581091828625E-3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0.36341507626175013</v>
      </c>
      <c r="D108" s="44">
        <f t="shared" ref="D108:N108" si="39">D106/$O$106</f>
        <v>5.9196726830152549E-2</v>
      </c>
      <c r="E108" s="44">
        <f t="shared" si="39"/>
        <v>2.5273843126084376E-2</v>
      </c>
      <c r="F108" s="44">
        <f t="shared" si="39"/>
        <v>0.18535877981199991</v>
      </c>
      <c r="G108" s="44">
        <f t="shared" si="39"/>
        <v>6.1371934640184382E-3</v>
      </c>
      <c r="H108" s="44">
        <f t="shared" si="39"/>
        <v>6.6033094233109782E-3</v>
      </c>
      <c r="I108" s="44">
        <f t="shared" si="39"/>
        <v>0.10798353056943837</v>
      </c>
      <c r="J108" s="44">
        <f t="shared" si="39"/>
        <v>0.10308931299686667</v>
      </c>
      <c r="K108" s="44">
        <f t="shared" si="39"/>
        <v>0.12507444907683149</v>
      </c>
      <c r="L108" s="44">
        <f t="shared" si="39"/>
        <v>1.0409923090866718E-2</v>
      </c>
      <c r="M108" s="44"/>
      <c r="N108" s="44">
        <f t="shared" si="39"/>
        <v>7.4578553486806341E-3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25.10 MASAKA-MUTUKULA</vt:lpstr>
      <vt:lpstr>25.10 MUTUKULA-MASAKA</vt:lpstr>
      <vt:lpstr>26.10 MASAKA-MUTUKULA-24HR</vt:lpstr>
      <vt:lpstr>26.10 MUTUKULA-MASAKA-24HR</vt:lpstr>
      <vt:lpstr>27.10 Masaka-Mutukula</vt:lpstr>
      <vt:lpstr>27.10 Mutukula-Masaka</vt:lpstr>
      <vt:lpstr>28.10 MASAKA-MUTUKULA-24HR</vt:lpstr>
      <vt:lpstr>28.10 MUTUKULA-MASAKA-24HR</vt:lpstr>
      <vt:lpstr>29.10 MASAKA-MUTUKULA</vt:lpstr>
      <vt:lpstr>29.10 MUTUKULA-MASAKA</vt:lpstr>
      <vt:lpstr>30.10 MASAKA-MUTUKULA</vt:lpstr>
      <vt:lpstr>30.10 MUTUKULA-MASAKA</vt:lpstr>
      <vt:lpstr>31.10 Masaka-Mutukula</vt:lpstr>
      <vt:lpstr>31.10.MUTUKULA-MASAKA</vt:lpstr>
      <vt:lpstr>Avg Week Masaka-Mutukula</vt:lpstr>
      <vt:lpstr>Avg Week Mutukula-Masaka</vt:lpstr>
      <vt:lpstr>Avg Week Masaka-Mutukula-2Dir</vt:lpstr>
      <vt:lpstr>'25.10 MASAKA-MUTUKULA'!Print_Area</vt:lpstr>
      <vt:lpstr>'25.10 MUTUKULA-MASAKA'!Print_Area</vt:lpstr>
      <vt:lpstr>'26.10 MASAKA-MUTUKULA-24HR'!Print_Area</vt:lpstr>
      <vt:lpstr>'26.10 MUTUKULA-MASAKA-24HR'!Print_Area</vt:lpstr>
      <vt:lpstr>'27.10 Masaka-Mutukula'!Print_Area</vt:lpstr>
      <vt:lpstr>'27.10 Mutukula-Masaka'!Print_Area</vt:lpstr>
      <vt:lpstr>'28.10 MASAKA-MUTUKULA-24HR'!Print_Area</vt:lpstr>
      <vt:lpstr>'28.10 MUTUKULA-MASAKA-24HR'!Print_Area</vt:lpstr>
      <vt:lpstr>'29.10 MASAKA-MUTUKULA'!Print_Area</vt:lpstr>
      <vt:lpstr>'29.10 MUTUKULA-MASAKA'!Print_Area</vt:lpstr>
      <vt:lpstr>'30.10 MASAKA-MUTUKULA'!Print_Area</vt:lpstr>
      <vt:lpstr>'30.10 MUTUKULA-MASAKA'!Print_Area</vt:lpstr>
      <vt:lpstr>'31.10 Masaka-Mutukula'!Print_Area</vt:lpstr>
      <vt:lpstr>'31.10.MUTUKULA-MASAKA'!Print_Area</vt:lpstr>
      <vt:lpstr>'Avg Week Masaka-Mutukula'!Print_Area</vt:lpstr>
      <vt:lpstr>'Avg Week Masaka-Mutukula-2Dir'!Print_Area</vt:lpstr>
      <vt:lpstr>'Avg Week Mutukula-Masaka'!Print_Area</vt:lpstr>
      <vt:lpstr>'25.10 MASAKA-MUTUKULA'!Print_Titles</vt:lpstr>
      <vt:lpstr>'25.10 MUTUKULA-MASAKA'!Print_Titles</vt:lpstr>
      <vt:lpstr>'26.10 MASAKA-MUTUKULA-24HR'!Print_Titles</vt:lpstr>
      <vt:lpstr>'26.10 MUTUKULA-MASAKA-24HR'!Print_Titles</vt:lpstr>
      <vt:lpstr>'27.10 Masaka-Mutukula'!Print_Titles</vt:lpstr>
      <vt:lpstr>'27.10 Mutukula-Masaka'!Print_Titles</vt:lpstr>
      <vt:lpstr>'28.10 MASAKA-MUTUKULA-24HR'!Print_Titles</vt:lpstr>
      <vt:lpstr>'28.10 MUTUKULA-MASAKA-24HR'!Print_Titles</vt:lpstr>
      <vt:lpstr>'29.10 MASAKA-MUTUKULA'!Print_Titles</vt:lpstr>
      <vt:lpstr>'29.10 MUTUKULA-MASAKA'!Print_Titles</vt:lpstr>
      <vt:lpstr>'30.10 MASAKA-MUTUKULA'!Print_Titles</vt:lpstr>
      <vt:lpstr>'30.10 MUTUKULA-MASAKA'!Print_Titles</vt:lpstr>
      <vt:lpstr>'31.10 Masaka-Mutukula'!Print_Titles</vt:lpstr>
      <vt:lpstr>'31.10.MUTUKULA-MASAKA'!Print_Titles</vt:lpstr>
      <vt:lpstr>'Avg Week Masaka-Mutukula'!Print_Titles</vt:lpstr>
      <vt:lpstr>'Avg Week Masaka-Mutukula-2Dir'!Print_Titles</vt:lpstr>
      <vt:lpstr>'Avg Week Mutukula-Masaka'!Print_Titles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2020-01-15T13:09:36Z</dcterms:modified>
</cp:coreProperties>
</file>