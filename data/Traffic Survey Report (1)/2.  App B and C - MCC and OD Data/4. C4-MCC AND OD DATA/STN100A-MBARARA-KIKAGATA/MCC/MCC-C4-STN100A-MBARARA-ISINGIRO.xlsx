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drawings/drawing6.xml" ContentType="application/vnd.openxmlformats-officedocument.drawing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drawings/drawing8.xml" ContentType="application/vnd.openxmlformats-officedocument.drawing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9.xml" ContentType="application/vnd.openxmlformats-officedocument.drawing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drawings/drawing10.xml" ContentType="application/vnd.openxmlformats-officedocument.drawing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ING FOLDER\Steward Consultant\EDMP\EDMP Analysis\C-4 Analysis Complete-Benard\STN100A-MBARARA-KIKAGATA\MCC\"/>
    </mc:Choice>
  </mc:AlternateContent>
  <xr:revisionPtr revIDLastSave="0" documentId="13_ncr:1_{E7AC9C07-84B4-4509-B06C-7C5FBBED49E3}" xr6:coauthVersionLast="45" xr6:coauthVersionMax="45" xr10:uidLastSave="{00000000-0000-0000-0000-000000000000}"/>
  <bookViews>
    <workbookView xWindow="-120" yWindow="-120" windowWidth="20730" windowHeight="11160" tabRatio="915" firstSheet="14" activeTab="16" xr2:uid="{00000000-000D-0000-FFFF-FFFF00000000}"/>
  </bookViews>
  <sheets>
    <sheet name="25.10 Isingiro-Mbarara" sheetId="93" r:id="rId1"/>
    <sheet name="25.10 Mbarara-Isingiro" sheetId="94" r:id="rId2"/>
    <sheet name="26.10 Isingiro-Mbarara-24Hr" sheetId="101" r:id="rId3"/>
    <sheet name="26.10 Mbarara-Isingiro-24Hr" sheetId="109" r:id="rId4"/>
    <sheet name="27.10 Isingilo-Mbarara" sheetId="95" r:id="rId5"/>
    <sheet name="27.10 Mbarara-Isingiro" sheetId="96" r:id="rId6"/>
    <sheet name="28.10 Isingiro-Mbarara-24Hr" sheetId="110" r:id="rId7"/>
    <sheet name="28.10 Mbarara-Isingiro-24Hr" sheetId="105" r:id="rId8"/>
    <sheet name="29.10 Isingiro-Mbarara" sheetId="98" r:id="rId9"/>
    <sheet name="29.10 Mbarara-Isingiro" sheetId="97" r:id="rId10"/>
    <sheet name="30.10 Isingiro-Mbarara" sheetId="99" r:id="rId11"/>
    <sheet name="30.10 Mbarara-Isingiro" sheetId="100" r:id="rId12"/>
    <sheet name="31.10 Isingiro-Mbarara" sheetId="103" r:id="rId13"/>
    <sheet name="31.10 Mbarara-Isingiro" sheetId="104" r:id="rId14"/>
    <sheet name="Avg Week Isingiro-Mbarara" sheetId="107" r:id="rId15"/>
    <sheet name="Avg Week Mbarara-Isingiro" sheetId="108" r:id="rId16"/>
    <sheet name="Avg Week Isingiro-Mbarara-2Dir" sheetId="111" r:id="rId17"/>
  </sheets>
  <definedNames>
    <definedName name="_xlnm.Print_Area" localSheetId="0">'25.10 Isingiro-Mbarara'!$A$1:$AF$60</definedName>
    <definedName name="_xlnm.Print_Area" localSheetId="1">'25.10 Mbarara-Isingiro'!$A$1:$AF$60</definedName>
    <definedName name="_xlnm.Print_Area" localSheetId="2">'26.10 Isingiro-Mbarara-24Hr'!$A$1:$AF$108</definedName>
    <definedName name="_xlnm.Print_Area" localSheetId="3">'26.10 Mbarara-Isingiro-24Hr'!$A$1:$AF$108</definedName>
    <definedName name="_xlnm.Print_Area" localSheetId="4">'27.10 Isingilo-Mbarara'!$A$1:$AF$60</definedName>
    <definedName name="_xlnm.Print_Area" localSheetId="5">'27.10 Mbarara-Isingiro'!$A$1:$AF$60</definedName>
    <definedName name="_xlnm.Print_Area" localSheetId="6">'28.10 Isingiro-Mbarara-24Hr'!$A$1:$AF$108</definedName>
    <definedName name="_xlnm.Print_Area" localSheetId="7">'28.10 Mbarara-Isingiro-24Hr'!$A$1:$AF$108</definedName>
    <definedName name="_xlnm.Print_Area" localSheetId="8">'29.10 Isingiro-Mbarara'!$A$1:$AF$60</definedName>
    <definedName name="_xlnm.Print_Area" localSheetId="9">'29.10 Mbarara-Isingiro'!$A$1:$AF$60</definedName>
    <definedName name="_xlnm.Print_Area" localSheetId="10">'30.10 Isingiro-Mbarara'!$A$1:$AF$60</definedName>
    <definedName name="_xlnm.Print_Area" localSheetId="11">'30.10 Mbarara-Isingiro'!$A$1:$AF$60</definedName>
    <definedName name="_xlnm.Print_Area" localSheetId="12">'31.10 Isingiro-Mbarara'!$A$1:$AF$60</definedName>
    <definedName name="_xlnm.Print_Area" localSheetId="13">'31.10 Mbarara-Isingiro'!$A$1:$AF$60</definedName>
    <definedName name="_xlnm.Print_Area" localSheetId="14">'Avg Week Isingiro-Mbarara'!$A$1:$AF$108</definedName>
    <definedName name="_xlnm.Print_Area" localSheetId="16">'Avg Week Isingiro-Mbarara-2Dir'!$A$1:$AF$108</definedName>
    <definedName name="_xlnm.Print_Area" localSheetId="15">'Avg Week Mbarara-Isingiro'!$A$1:$AF$108</definedName>
    <definedName name="_xlnm.Print_Titles" localSheetId="0">'25.10 Isingiro-Mbarara'!$1:$8</definedName>
    <definedName name="_xlnm.Print_Titles" localSheetId="1">'25.10 Mbarara-Isingiro'!$1:$8</definedName>
    <definedName name="_xlnm.Print_Titles" localSheetId="2">'26.10 Isingiro-Mbarara-24Hr'!$1:$8</definedName>
    <definedName name="_xlnm.Print_Titles" localSheetId="3">'26.10 Mbarara-Isingiro-24Hr'!$1:$8</definedName>
    <definedName name="_xlnm.Print_Titles" localSheetId="4">'27.10 Isingilo-Mbarara'!$1:$8</definedName>
    <definedName name="_xlnm.Print_Titles" localSheetId="5">'27.10 Mbarara-Isingiro'!$1:$8</definedName>
    <definedName name="_xlnm.Print_Titles" localSheetId="6">'28.10 Isingiro-Mbarara-24Hr'!$1:$8</definedName>
    <definedName name="_xlnm.Print_Titles" localSheetId="7">'28.10 Mbarara-Isingiro-24Hr'!$1:$8</definedName>
    <definedName name="_xlnm.Print_Titles" localSheetId="8">'29.10 Isingiro-Mbarara'!$1:$8</definedName>
    <definedName name="_xlnm.Print_Titles" localSheetId="9">'29.10 Mbarara-Isingiro'!$1:$8</definedName>
    <definedName name="_xlnm.Print_Titles" localSheetId="10">'30.10 Isingiro-Mbarara'!$1:$8</definedName>
    <definedName name="_xlnm.Print_Titles" localSheetId="11">'30.10 Mbarara-Isingiro'!$1:$8</definedName>
    <definedName name="_xlnm.Print_Titles" localSheetId="12">'31.10 Isingiro-Mbarara'!$1:$8</definedName>
    <definedName name="_xlnm.Print_Titles" localSheetId="13">'31.10 Mbarara-Isingiro'!$1:$8</definedName>
    <definedName name="_xlnm.Print_Titles" localSheetId="14">'Avg Week Isingiro-Mbarara'!$1:$8</definedName>
    <definedName name="_xlnm.Print_Titles" localSheetId="16">'Avg Week Isingiro-Mbarara-2Dir'!$1:$8</definedName>
    <definedName name="_xlnm.Print_Titles" localSheetId="15">'Avg Week Mbarara-Isingiro'!$1:$8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Z33" i="108" l="1"/>
  <c r="E59" i="111"/>
  <c r="N64" i="111"/>
  <c r="G80" i="111"/>
  <c r="D81" i="111"/>
  <c r="F83" i="111"/>
  <c r="N83" i="111"/>
  <c r="E86" i="111"/>
  <c r="M86" i="111"/>
  <c r="D89" i="111"/>
  <c r="L89" i="111"/>
  <c r="N91" i="111"/>
  <c r="K92" i="111"/>
  <c r="M94" i="111"/>
  <c r="J95" i="111"/>
  <c r="L97" i="111"/>
  <c r="I98" i="111"/>
  <c r="K100" i="111"/>
  <c r="H101" i="111"/>
  <c r="J103" i="111"/>
  <c r="G104" i="111"/>
  <c r="C64" i="111"/>
  <c r="C72" i="111"/>
  <c r="C96" i="111"/>
  <c r="C104" i="111"/>
  <c r="D58" i="108"/>
  <c r="E58" i="108"/>
  <c r="F58" i="108"/>
  <c r="G58" i="108"/>
  <c r="H58" i="108"/>
  <c r="I58" i="108"/>
  <c r="Y22" i="108" s="1"/>
  <c r="J58" i="108"/>
  <c r="K58" i="108"/>
  <c r="AA22" i="108" s="1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W23" i="108" s="1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AB23" i="108" s="1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AA24" i="108" s="1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W25" i="108" s="1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U26" i="108" s="1"/>
  <c r="F74" i="108"/>
  <c r="G74" i="108"/>
  <c r="H74" i="108"/>
  <c r="I74" i="108"/>
  <c r="J74" i="108"/>
  <c r="K74" i="108"/>
  <c r="AA26" i="108" s="1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P77" i="108" s="1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W27" i="108" s="1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AA28" i="108" s="1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W29" i="108" s="1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P88" i="108" s="1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AA30" i="108" s="1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T31" i="108" s="1"/>
  <c r="E94" i="108"/>
  <c r="F94" i="108"/>
  <c r="G94" i="108"/>
  <c r="W31" i="108" s="1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AA32" i="108" s="1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W33" i="108" s="1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P61" i="108" s="1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O101" i="108" s="1"/>
  <c r="C102" i="108"/>
  <c r="C103" i="108"/>
  <c r="C104" i="108"/>
  <c r="C105" i="108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D59" i="111" s="1"/>
  <c r="E59" i="107"/>
  <c r="F59" i="107"/>
  <c r="F59" i="111" s="1"/>
  <c r="G59" i="107"/>
  <c r="G59" i="111" s="1"/>
  <c r="H59" i="107"/>
  <c r="I59" i="107"/>
  <c r="I59" i="111" s="1"/>
  <c r="J59" i="107"/>
  <c r="K59" i="107"/>
  <c r="K59" i="111" s="1"/>
  <c r="L59" i="107"/>
  <c r="L59" i="111" s="1"/>
  <c r="M59" i="107"/>
  <c r="M59" i="111" s="1"/>
  <c r="N59" i="107"/>
  <c r="N59" i="111" s="1"/>
  <c r="D60" i="107"/>
  <c r="D60" i="111" s="1"/>
  <c r="E60" i="107"/>
  <c r="F60" i="107"/>
  <c r="F60" i="111" s="1"/>
  <c r="G60" i="107"/>
  <c r="H60" i="107"/>
  <c r="H60" i="111" s="1"/>
  <c r="I60" i="107"/>
  <c r="I60" i="111" s="1"/>
  <c r="J60" i="107"/>
  <c r="J60" i="111" s="1"/>
  <c r="K60" i="107"/>
  <c r="K60" i="111" s="1"/>
  <c r="L60" i="107"/>
  <c r="L60" i="111" s="1"/>
  <c r="M60" i="107"/>
  <c r="N60" i="107"/>
  <c r="N60" i="111" s="1"/>
  <c r="D61" i="107"/>
  <c r="E61" i="107"/>
  <c r="E61" i="111" s="1"/>
  <c r="F61" i="107"/>
  <c r="F61" i="111" s="1"/>
  <c r="G61" i="107"/>
  <c r="G61" i="111" s="1"/>
  <c r="H61" i="107"/>
  <c r="H61" i="111" s="1"/>
  <c r="I61" i="107"/>
  <c r="I61" i="111" s="1"/>
  <c r="J61" i="107"/>
  <c r="K61" i="107"/>
  <c r="K61" i="111" s="1"/>
  <c r="L61" i="107"/>
  <c r="M61" i="107"/>
  <c r="M61" i="111" s="1"/>
  <c r="N61" i="107"/>
  <c r="N61" i="111" s="1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E63" i="111" s="1"/>
  <c r="F63" i="107"/>
  <c r="G63" i="107"/>
  <c r="G63" i="111" s="1"/>
  <c r="H63" i="107"/>
  <c r="H63" i="111" s="1"/>
  <c r="I63" i="107"/>
  <c r="I63" i="111" s="1"/>
  <c r="J63" i="107"/>
  <c r="J63" i="111" s="1"/>
  <c r="K63" i="107"/>
  <c r="K63" i="111" s="1"/>
  <c r="L63" i="107"/>
  <c r="M63" i="107"/>
  <c r="M63" i="111" s="1"/>
  <c r="N63" i="107"/>
  <c r="D64" i="107"/>
  <c r="D64" i="111" s="1"/>
  <c r="E64" i="107"/>
  <c r="E64" i="111" s="1"/>
  <c r="F64" i="107"/>
  <c r="F64" i="111" s="1"/>
  <c r="G64" i="107"/>
  <c r="G64" i="111" s="1"/>
  <c r="H64" i="107"/>
  <c r="H64" i="111" s="1"/>
  <c r="I64" i="107"/>
  <c r="J64" i="107"/>
  <c r="J64" i="111" s="1"/>
  <c r="K64" i="107"/>
  <c r="L64" i="107"/>
  <c r="L64" i="111" s="1"/>
  <c r="M64" i="107"/>
  <c r="M64" i="111" s="1"/>
  <c r="N64" i="107"/>
  <c r="D65" i="107"/>
  <c r="D65" i="111" s="1"/>
  <c r="E65" i="107"/>
  <c r="E65" i="111" s="1"/>
  <c r="F65" i="107"/>
  <c r="G65" i="107"/>
  <c r="G65" i="111" s="1"/>
  <c r="H65" i="107"/>
  <c r="I65" i="107"/>
  <c r="I65" i="111" s="1"/>
  <c r="J65" i="107"/>
  <c r="J65" i="111" s="1"/>
  <c r="K65" i="107"/>
  <c r="K65" i="111" s="1"/>
  <c r="L65" i="107"/>
  <c r="L65" i="111" s="1"/>
  <c r="M65" i="107"/>
  <c r="M65" i="111" s="1"/>
  <c r="N65" i="107"/>
  <c r="D66" i="107"/>
  <c r="E66" i="107"/>
  <c r="F66" i="107"/>
  <c r="G66" i="107"/>
  <c r="H66" i="107"/>
  <c r="I66" i="107"/>
  <c r="I66" i="111" s="1"/>
  <c r="J66" i="107"/>
  <c r="K66" i="107"/>
  <c r="L66" i="107"/>
  <c r="M66" i="107"/>
  <c r="N66" i="107"/>
  <c r="D67" i="107"/>
  <c r="D67" i="111" s="1"/>
  <c r="E67" i="107"/>
  <c r="E67" i="111" s="1"/>
  <c r="F67" i="107"/>
  <c r="F67" i="111" s="1"/>
  <c r="G67" i="107"/>
  <c r="G67" i="111" s="1"/>
  <c r="H67" i="107"/>
  <c r="I67" i="107"/>
  <c r="I67" i="111" s="1"/>
  <c r="J67" i="107"/>
  <c r="K67" i="107"/>
  <c r="K67" i="111" s="1"/>
  <c r="L67" i="107"/>
  <c r="L67" i="111" s="1"/>
  <c r="M67" i="107"/>
  <c r="M67" i="111" s="1"/>
  <c r="N67" i="107"/>
  <c r="N67" i="111" s="1"/>
  <c r="D68" i="107"/>
  <c r="D68" i="111" s="1"/>
  <c r="E68" i="107"/>
  <c r="E68" i="111" s="1"/>
  <c r="F68" i="107"/>
  <c r="F68" i="111" s="1"/>
  <c r="G68" i="107"/>
  <c r="G68" i="111" s="1"/>
  <c r="H68" i="107"/>
  <c r="H68" i="111" s="1"/>
  <c r="I68" i="107"/>
  <c r="I68" i="111" s="1"/>
  <c r="J68" i="107"/>
  <c r="J68" i="111" s="1"/>
  <c r="K68" i="107"/>
  <c r="K68" i="111" s="1"/>
  <c r="L68" i="107"/>
  <c r="L68" i="111" s="1"/>
  <c r="M68" i="107"/>
  <c r="M68" i="111" s="1"/>
  <c r="N68" i="107"/>
  <c r="N68" i="111" s="1"/>
  <c r="D69" i="107"/>
  <c r="D69" i="111" s="1"/>
  <c r="E69" i="107"/>
  <c r="E69" i="111" s="1"/>
  <c r="F69" i="107"/>
  <c r="F69" i="111" s="1"/>
  <c r="G69" i="107"/>
  <c r="G69" i="111" s="1"/>
  <c r="H69" i="107"/>
  <c r="H69" i="111" s="1"/>
  <c r="I69" i="107"/>
  <c r="I69" i="111" s="1"/>
  <c r="J69" i="107"/>
  <c r="J69" i="111" s="1"/>
  <c r="K69" i="107"/>
  <c r="K69" i="111" s="1"/>
  <c r="L69" i="107"/>
  <c r="L69" i="111" s="1"/>
  <c r="M69" i="107"/>
  <c r="M69" i="111" s="1"/>
  <c r="N69" i="107"/>
  <c r="N69" i="111" s="1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D71" i="111" s="1"/>
  <c r="E71" i="107"/>
  <c r="E71" i="111" s="1"/>
  <c r="F71" i="107"/>
  <c r="F71" i="111" s="1"/>
  <c r="G71" i="107"/>
  <c r="G71" i="111" s="1"/>
  <c r="H71" i="107"/>
  <c r="H71" i="111" s="1"/>
  <c r="I71" i="107"/>
  <c r="I71" i="111" s="1"/>
  <c r="J71" i="107"/>
  <c r="J71" i="111" s="1"/>
  <c r="K71" i="107"/>
  <c r="K71" i="111" s="1"/>
  <c r="L71" i="107"/>
  <c r="L71" i="111" s="1"/>
  <c r="M71" i="107"/>
  <c r="M71" i="111" s="1"/>
  <c r="N71" i="107"/>
  <c r="N71" i="111" s="1"/>
  <c r="D72" i="107"/>
  <c r="D72" i="111" s="1"/>
  <c r="E72" i="107"/>
  <c r="E72" i="111" s="1"/>
  <c r="F72" i="107"/>
  <c r="F72" i="111" s="1"/>
  <c r="G72" i="107"/>
  <c r="G72" i="111" s="1"/>
  <c r="H72" i="107"/>
  <c r="H72" i="111" s="1"/>
  <c r="I72" i="107"/>
  <c r="I72" i="111" s="1"/>
  <c r="J72" i="107"/>
  <c r="J72" i="111" s="1"/>
  <c r="K72" i="107"/>
  <c r="K72" i="111" s="1"/>
  <c r="L72" i="107"/>
  <c r="L72" i="111" s="1"/>
  <c r="M72" i="107"/>
  <c r="M72" i="111" s="1"/>
  <c r="N72" i="107"/>
  <c r="N72" i="111" s="1"/>
  <c r="D73" i="107"/>
  <c r="D73" i="111" s="1"/>
  <c r="E73" i="107"/>
  <c r="E73" i="111" s="1"/>
  <c r="F73" i="107"/>
  <c r="F73" i="111" s="1"/>
  <c r="G73" i="107"/>
  <c r="G73" i="111" s="1"/>
  <c r="H73" i="107"/>
  <c r="H73" i="111" s="1"/>
  <c r="I73" i="107"/>
  <c r="I73" i="111" s="1"/>
  <c r="J73" i="107"/>
  <c r="J73" i="111" s="1"/>
  <c r="K73" i="107"/>
  <c r="K73" i="111" s="1"/>
  <c r="L73" i="107"/>
  <c r="L73" i="111" s="1"/>
  <c r="M73" i="107"/>
  <c r="M73" i="111" s="1"/>
  <c r="N73" i="107"/>
  <c r="N73" i="111" s="1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D75" i="111" s="1"/>
  <c r="E75" i="107"/>
  <c r="E75" i="111" s="1"/>
  <c r="F75" i="107"/>
  <c r="F75" i="111" s="1"/>
  <c r="G75" i="107"/>
  <c r="G75" i="111" s="1"/>
  <c r="H75" i="107"/>
  <c r="H75" i="111" s="1"/>
  <c r="I75" i="107"/>
  <c r="I75" i="111" s="1"/>
  <c r="J75" i="107"/>
  <c r="J75" i="111" s="1"/>
  <c r="K75" i="107"/>
  <c r="K75" i="111" s="1"/>
  <c r="L75" i="107"/>
  <c r="L75" i="111" s="1"/>
  <c r="M75" i="107"/>
  <c r="M75" i="111" s="1"/>
  <c r="N75" i="107"/>
  <c r="N75" i="111" s="1"/>
  <c r="D76" i="107"/>
  <c r="D76" i="111" s="1"/>
  <c r="E76" i="107"/>
  <c r="E76" i="111" s="1"/>
  <c r="F76" i="107"/>
  <c r="F76" i="111" s="1"/>
  <c r="G76" i="107"/>
  <c r="G76" i="111" s="1"/>
  <c r="H76" i="107"/>
  <c r="H76" i="111" s="1"/>
  <c r="I76" i="107"/>
  <c r="I76" i="111" s="1"/>
  <c r="J76" i="107"/>
  <c r="J76" i="111" s="1"/>
  <c r="K76" i="107"/>
  <c r="K76" i="111" s="1"/>
  <c r="L76" i="107"/>
  <c r="L76" i="111" s="1"/>
  <c r="M76" i="107"/>
  <c r="M76" i="111" s="1"/>
  <c r="N76" i="107"/>
  <c r="N76" i="111" s="1"/>
  <c r="D77" i="107"/>
  <c r="D77" i="111" s="1"/>
  <c r="E77" i="107"/>
  <c r="E77" i="111" s="1"/>
  <c r="F77" i="107"/>
  <c r="F77" i="111" s="1"/>
  <c r="G77" i="107"/>
  <c r="G77" i="111" s="1"/>
  <c r="H77" i="107"/>
  <c r="H77" i="111" s="1"/>
  <c r="I77" i="107"/>
  <c r="I77" i="111" s="1"/>
  <c r="J77" i="107"/>
  <c r="J77" i="111" s="1"/>
  <c r="K77" i="107"/>
  <c r="K77" i="111" s="1"/>
  <c r="L77" i="107"/>
  <c r="L77" i="111" s="1"/>
  <c r="M77" i="107"/>
  <c r="M77" i="111" s="1"/>
  <c r="N77" i="107"/>
  <c r="N77" i="111" s="1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D79" i="111" s="1"/>
  <c r="E79" i="107"/>
  <c r="E79" i="111" s="1"/>
  <c r="F79" i="107"/>
  <c r="F79" i="111" s="1"/>
  <c r="G79" i="107"/>
  <c r="G79" i="111" s="1"/>
  <c r="H79" i="107"/>
  <c r="H79" i="111" s="1"/>
  <c r="I79" i="107"/>
  <c r="I79" i="111" s="1"/>
  <c r="J79" i="107"/>
  <c r="J79" i="111" s="1"/>
  <c r="K79" i="107"/>
  <c r="K79" i="111" s="1"/>
  <c r="L79" i="107"/>
  <c r="L79" i="111" s="1"/>
  <c r="M79" i="107"/>
  <c r="M79" i="111" s="1"/>
  <c r="N79" i="107"/>
  <c r="N79" i="111" s="1"/>
  <c r="D80" i="107"/>
  <c r="D80" i="111" s="1"/>
  <c r="E80" i="107"/>
  <c r="E80" i="111" s="1"/>
  <c r="F80" i="107"/>
  <c r="F80" i="111" s="1"/>
  <c r="G80" i="107"/>
  <c r="H80" i="107"/>
  <c r="H80" i="111" s="1"/>
  <c r="I80" i="107"/>
  <c r="I80" i="111" s="1"/>
  <c r="J80" i="107"/>
  <c r="J80" i="111" s="1"/>
  <c r="K80" i="107"/>
  <c r="K80" i="111" s="1"/>
  <c r="L80" i="107"/>
  <c r="L80" i="111" s="1"/>
  <c r="M80" i="107"/>
  <c r="M80" i="111" s="1"/>
  <c r="N80" i="107"/>
  <c r="N80" i="111" s="1"/>
  <c r="D81" i="107"/>
  <c r="E81" i="107"/>
  <c r="E81" i="111" s="1"/>
  <c r="F81" i="107"/>
  <c r="F81" i="111" s="1"/>
  <c r="G81" i="107"/>
  <c r="G81" i="111" s="1"/>
  <c r="H81" i="107"/>
  <c r="H81" i="111" s="1"/>
  <c r="I81" i="107"/>
  <c r="I81" i="111" s="1"/>
  <c r="J81" i="107"/>
  <c r="J81" i="111" s="1"/>
  <c r="K81" i="107"/>
  <c r="K81" i="111" s="1"/>
  <c r="L81" i="107"/>
  <c r="L81" i="111" s="1"/>
  <c r="M81" i="107"/>
  <c r="M81" i="111" s="1"/>
  <c r="N81" i="107"/>
  <c r="N81" i="111" s="1"/>
  <c r="D82" i="107"/>
  <c r="E82" i="107"/>
  <c r="F82" i="107"/>
  <c r="G82" i="107"/>
  <c r="G82" i="111" s="1"/>
  <c r="W28" i="111" s="1"/>
  <c r="H82" i="107"/>
  <c r="I82" i="107"/>
  <c r="J82" i="107"/>
  <c r="K82" i="107"/>
  <c r="L82" i="107"/>
  <c r="M82" i="107"/>
  <c r="N82" i="107"/>
  <c r="D83" i="107"/>
  <c r="D83" i="111" s="1"/>
  <c r="E83" i="107"/>
  <c r="E83" i="111" s="1"/>
  <c r="F83" i="107"/>
  <c r="G83" i="107"/>
  <c r="G83" i="111" s="1"/>
  <c r="H83" i="107"/>
  <c r="H83" i="111" s="1"/>
  <c r="I83" i="107"/>
  <c r="I83" i="111" s="1"/>
  <c r="J83" i="107"/>
  <c r="J83" i="111" s="1"/>
  <c r="K83" i="107"/>
  <c r="K83" i="111" s="1"/>
  <c r="L83" i="107"/>
  <c r="L83" i="111" s="1"/>
  <c r="M83" i="107"/>
  <c r="M83" i="111" s="1"/>
  <c r="N83" i="107"/>
  <c r="D84" i="107"/>
  <c r="D84" i="111" s="1"/>
  <c r="E84" i="107"/>
  <c r="E84" i="111" s="1"/>
  <c r="F84" i="107"/>
  <c r="F84" i="111" s="1"/>
  <c r="G84" i="107"/>
  <c r="G84" i="111" s="1"/>
  <c r="H84" i="107"/>
  <c r="H84" i="111" s="1"/>
  <c r="I84" i="107"/>
  <c r="I84" i="111" s="1"/>
  <c r="J84" i="107"/>
  <c r="J84" i="111" s="1"/>
  <c r="K84" i="107"/>
  <c r="K84" i="111" s="1"/>
  <c r="L84" i="107"/>
  <c r="L84" i="111" s="1"/>
  <c r="M84" i="107"/>
  <c r="M84" i="111" s="1"/>
  <c r="N84" i="107"/>
  <c r="N84" i="111" s="1"/>
  <c r="D85" i="107"/>
  <c r="D85" i="111" s="1"/>
  <c r="E85" i="107"/>
  <c r="E85" i="111" s="1"/>
  <c r="F85" i="107"/>
  <c r="F85" i="111" s="1"/>
  <c r="G85" i="107"/>
  <c r="G85" i="111" s="1"/>
  <c r="H85" i="107"/>
  <c r="H85" i="111" s="1"/>
  <c r="I85" i="107"/>
  <c r="I85" i="111" s="1"/>
  <c r="J85" i="107"/>
  <c r="J85" i="111" s="1"/>
  <c r="K85" i="107"/>
  <c r="K85" i="111" s="1"/>
  <c r="L85" i="107"/>
  <c r="L85" i="111" s="1"/>
  <c r="M85" i="107"/>
  <c r="M85" i="111" s="1"/>
  <c r="N85" i="107"/>
  <c r="N85" i="111" s="1"/>
  <c r="D86" i="107"/>
  <c r="E86" i="107"/>
  <c r="F86" i="107"/>
  <c r="G86" i="107"/>
  <c r="H86" i="107"/>
  <c r="H86" i="111" s="1"/>
  <c r="I86" i="107"/>
  <c r="J86" i="107"/>
  <c r="K86" i="107"/>
  <c r="K86" i="111" s="1"/>
  <c r="AA29" i="111" s="1"/>
  <c r="L86" i="107"/>
  <c r="M86" i="107"/>
  <c r="N86" i="107"/>
  <c r="D87" i="107"/>
  <c r="D87" i="111" s="1"/>
  <c r="E87" i="107"/>
  <c r="E87" i="111" s="1"/>
  <c r="F87" i="107"/>
  <c r="F87" i="111" s="1"/>
  <c r="G87" i="107"/>
  <c r="G87" i="111" s="1"/>
  <c r="H87" i="107"/>
  <c r="H87" i="111" s="1"/>
  <c r="I87" i="107"/>
  <c r="I87" i="111" s="1"/>
  <c r="J87" i="107"/>
  <c r="J87" i="111" s="1"/>
  <c r="K87" i="107"/>
  <c r="K87" i="111" s="1"/>
  <c r="L87" i="107"/>
  <c r="L87" i="111" s="1"/>
  <c r="M87" i="107"/>
  <c r="M87" i="111" s="1"/>
  <c r="N87" i="107"/>
  <c r="N87" i="111" s="1"/>
  <c r="D88" i="107"/>
  <c r="D88" i="111" s="1"/>
  <c r="E88" i="107"/>
  <c r="E88" i="111" s="1"/>
  <c r="F88" i="107"/>
  <c r="F88" i="111" s="1"/>
  <c r="G88" i="107"/>
  <c r="G88" i="111" s="1"/>
  <c r="H88" i="107"/>
  <c r="H88" i="111" s="1"/>
  <c r="I88" i="107"/>
  <c r="I88" i="111" s="1"/>
  <c r="J88" i="107"/>
  <c r="J88" i="111" s="1"/>
  <c r="K88" i="107"/>
  <c r="K88" i="111" s="1"/>
  <c r="L88" i="107"/>
  <c r="L88" i="111" s="1"/>
  <c r="M88" i="107"/>
  <c r="M88" i="111" s="1"/>
  <c r="N88" i="107"/>
  <c r="N88" i="111" s="1"/>
  <c r="D89" i="107"/>
  <c r="E89" i="107"/>
  <c r="E89" i="111" s="1"/>
  <c r="F89" i="107"/>
  <c r="F89" i="111" s="1"/>
  <c r="G89" i="107"/>
  <c r="G89" i="111" s="1"/>
  <c r="H89" i="107"/>
  <c r="H89" i="111" s="1"/>
  <c r="I89" i="107"/>
  <c r="I89" i="111" s="1"/>
  <c r="J89" i="107"/>
  <c r="J89" i="111" s="1"/>
  <c r="K89" i="107"/>
  <c r="K89" i="111" s="1"/>
  <c r="L89" i="107"/>
  <c r="M89" i="107"/>
  <c r="M89" i="111" s="1"/>
  <c r="N89" i="107"/>
  <c r="N89" i="111" s="1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D91" i="111" s="1"/>
  <c r="E91" i="107"/>
  <c r="E91" i="111" s="1"/>
  <c r="F91" i="107"/>
  <c r="F91" i="111" s="1"/>
  <c r="G91" i="107"/>
  <c r="G91" i="111" s="1"/>
  <c r="H91" i="107"/>
  <c r="H91" i="111" s="1"/>
  <c r="I91" i="107"/>
  <c r="I91" i="111" s="1"/>
  <c r="J91" i="107"/>
  <c r="J91" i="111" s="1"/>
  <c r="K91" i="107"/>
  <c r="K91" i="111" s="1"/>
  <c r="L91" i="107"/>
  <c r="L91" i="111" s="1"/>
  <c r="M91" i="107"/>
  <c r="M91" i="111" s="1"/>
  <c r="N91" i="107"/>
  <c r="D92" i="107"/>
  <c r="D92" i="111" s="1"/>
  <c r="E92" i="107"/>
  <c r="E92" i="111" s="1"/>
  <c r="F92" i="107"/>
  <c r="F92" i="111" s="1"/>
  <c r="G92" i="107"/>
  <c r="G92" i="111" s="1"/>
  <c r="H92" i="107"/>
  <c r="H92" i="111" s="1"/>
  <c r="I92" i="107"/>
  <c r="I92" i="111" s="1"/>
  <c r="J92" i="107"/>
  <c r="J92" i="111" s="1"/>
  <c r="K92" i="107"/>
  <c r="L92" i="107"/>
  <c r="L92" i="111" s="1"/>
  <c r="M92" i="107"/>
  <c r="M92" i="111" s="1"/>
  <c r="N92" i="107"/>
  <c r="N92" i="111" s="1"/>
  <c r="D93" i="107"/>
  <c r="D93" i="111" s="1"/>
  <c r="E93" i="107"/>
  <c r="E93" i="111" s="1"/>
  <c r="F93" i="107"/>
  <c r="F93" i="111" s="1"/>
  <c r="G93" i="107"/>
  <c r="G93" i="111" s="1"/>
  <c r="H93" i="107"/>
  <c r="H93" i="111" s="1"/>
  <c r="I93" i="107"/>
  <c r="I93" i="111" s="1"/>
  <c r="J93" i="107"/>
  <c r="J93" i="111" s="1"/>
  <c r="K93" i="107"/>
  <c r="K93" i="111" s="1"/>
  <c r="L93" i="107"/>
  <c r="L93" i="111" s="1"/>
  <c r="M93" i="107"/>
  <c r="M93" i="111" s="1"/>
  <c r="N93" i="107"/>
  <c r="N93" i="111" s="1"/>
  <c r="D94" i="107"/>
  <c r="E94" i="107"/>
  <c r="F94" i="107"/>
  <c r="G94" i="107"/>
  <c r="H94" i="107"/>
  <c r="I94" i="107"/>
  <c r="J94" i="107"/>
  <c r="K94" i="107"/>
  <c r="K94" i="111" s="1"/>
  <c r="AA31" i="111" s="1"/>
  <c r="L94" i="107"/>
  <c r="M94" i="107"/>
  <c r="N94" i="107"/>
  <c r="N94" i="111" s="1"/>
  <c r="D95" i="107"/>
  <c r="D95" i="111" s="1"/>
  <c r="E95" i="107"/>
  <c r="E95" i="111" s="1"/>
  <c r="F95" i="107"/>
  <c r="F95" i="111" s="1"/>
  <c r="G95" i="107"/>
  <c r="G95" i="111" s="1"/>
  <c r="H95" i="107"/>
  <c r="H95" i="111" s="1"/>
  <c r="I95" i="107"/>
  <c r="I95" i="111" s="1"/>
  <c r="J95" i="107"/>
  <c r="K95" i="107"/>
  <c r="K95" i="111" s="1"/>
  <c r="L95" i="107"/>
  <c r="L95" i="111" s="1"/>
  <c r="M95" i="107"/>
  <c r="M95" i="111" s="1"/>
  <c r="N95" i="107"/>
  <c r="N95" i="111" s="1"/>
  <c r="D96" i="107"/>
  <c r="D96" i="111" s="1"/>
  <c r="E96" i="107"/>
  <c r="E96" i="111" s="1"/>
  <c r="F96" i="107"/>
  <c r="F96" i="111" s="1"/>
  <c r="G96" i="107"/>
  <c r="G96" i="111" s="1"/>
  <c r="H96" i="107"/>
  <c r="H96" i="111" s="1"/>
  <c r="I96" i="107"/>
  <c r="I96" i="111" s="1"/>
  <c r="J96" i="107"/>
  <c r="J96" i="111" s="1"/>
  <c r="K96" i="107"/>
  <c r="K96" i="111" s="1"/>
  <c r="L96" i="107"/>
  <c r="L96" i="111" s="1"/>
  <c r="M96" i="107"/>
  <c r="M96" i="111" s="1"/>
  <c r="N96" i="107"/>
  <c r="N96" i="111" s="1"/>
  <c r="D97" i="107"/>
  <c r="D97" i="111" s="1"/>
  <c r="E97" i="107"/>
  <c r="E97" i="111" s="1"/>
  <c r="F97" i="107"/>
  <c r="F97" i="111" s="1"/>
  <c r="G97" i="107"/>
  <c r="G97" i="111" s="1"/>
  <c r="H97" i="107"/>
  <c r="H97" i="111" s="1"/>
  <c r="I97" i="107"/>
  <c r="I97" i="111" s="1"/>
  <c r="J97" i="107"/>
  <c r="J97" i="111" s="1"/>
  <c r="K97" i="107"/>
  <c r="K97" i="111" s="1"/>
  <c r="L97" i="107"/>
  <c r="M97" i="107"/>
  <c r="M97" i="111" s="1"/>
  <c r="N97" i="107"/>
  <c r="N97" i="111" s="1"/>
  <c r="D98" i="107"/>
  <c r="E98" i="107"/>
  <c r="F98" i="107"/>
  <c r="G98" i="107"/>
  <c r="G98" i="111" s="1"/>
  <c r="W32" i="111" s="1"/>
  <c r="H98" i="107"/>
  <c r="I98" i="107"/>
  <c r="J98" i="107"/>
  <c r="K98" i="107"/>
  <c r="L98" i="107"/>
  <c r="M98" i="107"/>
  <c r="N98" i="107"/>
  <c r="D99" i="107"/>
  <c r="D99" i="111" s="1"/>
  <c r="E99" i="107"/>
  <c r="E99" i="111" s="1"/>
  <c r="F99" i="107"/>
  <c r="F99" i="111" s="1"/>
  <c r="G99" i="107"/>
  <c r="G99" i="111" s="1"/>
  <c r="H99" i="107"/>
  <c r="H99" i="111" s="1"/>
  <c r="I99" i="107"/>
  <c r="I99" i="111" s="1"/>
  <c r="J99" i="107"/>
  <c r="J99" i="111" s="1"/>
  <c r="K99" i="107"/>
  <c r="K99" i="111" s="1"/>
  <c r="L99" i="107"/>
  <c r="L99" i="111" s="1"/>
  <c r="M99" i="107"/>
  <c r="M99" i="111" s="1"/>
  <c r="N99" i="107"/>
  <c r="N99" i="111" s="1"/>
  <c r="D100" i="107"/>
  <c r="D100" i="111" s="1"/>
  <c r="E100" i="107"/>
  <c r="E100" i="111" s="1"/>
  <c r="F100" i="107"/>
  <c r="F100" i="111" s="1"/>
  <c r="G100" i="107"/>
  <c r="G100" i="111" s="1"/>
  <c r="H100" i="107"/>
  <c r="H100" i="111" s="1"/>
  <c r="I100" i="107"/>
  <c r="I100" i="111" s="1"/>
  <c r="J100" i="107"/>
  <c r="J100" i="111" s="1"/>
  <c r="K100" i="107"/>
  <c r="L100" i="107"/>
  <c r="L100" i="111" s="1"/>
  <c r="M100" i="107"/>
  <c r="M100" i="111" s="1"/>
  <c r="N100" i="107"/>
  <c r="N100" i="111" s="1"/>
  <c r="D101" i="107"/>
  <c r="D101" i="111" s="1"/>
  <c r="E101" i="107"/>
  <c r="E101" i="111" s="1"/>
  <c r="F101" i="107"/>
  <c r="F101" i="111" s="1"/>
  <c r="G101" i="107"/>
  <c r="G101" i="111" s="1"/>
  <c r="H101" i="107"/>
  <c r="I101" i="107"/>
  <c r="I101" i="111" s="1"/>
  <c r="J101" i="107"/>
  <c r="J101" i="111" s="1"/>
  <c r="K101" i="107"/>
  <c r="K101" i="111" s="1"/>
  <c r="L101" i="107"/>
  <c r="L101" i="111" s="1"/>
  <c r="M101" i="107"/>
  <c r="M101" i="111" s="1"/>
  <c r="N101" i="107"/>
  <c r="N101" i="111" s="1"/>
  <c r="D102" i="107"/>
  <c r="E102" i="107"/>
  <c r="F102" i="107"/>
  <c r="G102" i="107"/>
  <c r="H102" i="107"/>
  <c r="I102" i="107"/>
  <c r="J102" i="107"/>
  <c r="K102" i="107"/>
  <c r="K102" i="111" s="1"/>
  <c r="AA33" i="111" s="1"/>
  <c r="L102" i="107"/>
  <c r="M102" i="107"/>
  <c r="N102" i="107"/>
  <c r="D103" i="107"/>
  <c r="D103" i="111" s="1"/>
  <c r="E103" i="107"/>
  <c r="E103" i="111" s="1"/>
  <c r="F103" i="107"/>
  <c r="F103" i="111" s="1"/>
  <c r="G103" i="107"/>
  <c r="G103" i="111" s="1"/>
  <c r="H103" i="107"/>
  <c r="H103" i="111" s="1"/>
  <c r="I103" i="107"/>
  <c r="I103" i="111" s="1"/>
  <c r="J103" i="107"/>
  <c r="K103" i="107"/>
  <c r="K103" i="111" s="1"/>
  <c r="L103" i="107"/>
  <c r="L103" i="111" s="1"/>
  <c r="M103" i="107"/>
  <c r="M103" i="111" s="1"/>
  <c r="N103" i="107"/>
  <c r="N103" i="111" s="1"/>
  <c r="D104" i="107"/>
  <c r="D104" i="111" s="1"/>
  <c r="E104" i="107"/>
  <c r="E104" i="111" s="1"/>
  <c r="F104" i="107"/>
  <c r="F104" i="111" s="1"/>
  <c r="G104" i="107"/>
  <c r="H104" i="107"/>
  <c r="H104" i="111" s="1"/>
  <c r="I104" i="107"/>
  <c r="I104" i="111" s="1"/>
  <c r="J104" i="107"/>
  <c r="J104" i="111" s="1"/>
  <c r="K104" i="107"/>
  <c r="K104" i="111" s="1"/>
  <c r="L104" i="107"/>
  <c r="L104" i="111" s="1"/>
  <c r="M104" i="107"/>
  <c r="M104" i="111" s="1"/>
  <c r="N104" i="107"/>
  <c r="N104" i="111" s="1"/>
  <c r="D105" i="107"/>
  <c r="D105" i="111" s="1"/>
  <c r="E105" i="107"/>
  <c r="E105" i="111" s="1"/>
  <c r="F105" i="107"/>
  <c r="F105" i="111" s="1"/>
  <c r="G105" i="107"/>
  <c r="G105" i="111" s="1"/>
  <c r="H105" i="107"/>
  <c r="H105" i="111" s="1"/>
  <c r="I105" i="107"/>
  <c r="I105" i="111" s="1"/>
  <c r="J105" i="107"/>
  <c r="J105" i="111" s="1"/>
  <c r="K105" i="107"/>
  <c r="K105" i="111" s="1"/>
  <c r="L105" i="107"/>
  <c r="L105" i="111" s="1"/>
  <c r="M105" i="107"/>
  <c r="M105" i="111" s="1"/>
  <c r="N105" i="107"/>
  <c r="N105" i="111" s="1"/>
  <c r="C59" i="107"/>
  <c r="C60" i="107"/>
  <c r="C61" i="107"/>
  <c r="C62" i="107"/>
  <c r="C62" i="111" s="1"/>
  <c r="C63" i="107"/>
  <c r="C64" i="107"/>
  <c r="C65" i="107"/>
  <c r="C66" i="107"/>
  <c r="C67" i="107"/>
  <c r="C68" i="107"/>
  <c r="C69" i="107"/>
  <c r="C70" i="107"/>
  <c r="C70" i="111" s="1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6" i="111" s="1"/>
  <c r="C87" i="107"/>
  <c r="C88" i="107"/>
  <c r="C89" i="107"/>
  <c r="C90" i="107"/>
  <c r="C91" i="107"/>
  <c r="C92" i="107"/>
  <c r="C93" i="107"/>
  <c r="P93" i="107" s="1"/>
  <c r="C94" i="107"/>
  <c r="C94" i="111" s="1"/>
  <c r="C95" i="107"/>
  <c r="C96" i="107"/>
  <c r="C97" i="107"/>
  <c r="C98" i="107"/>
  <c r="C99" i="107"/>
  <c r="C100" i="107"/>
  <c r="C101" i="107"/>
  <c r="C102" i="107"/>
  <c r="C102" i="111" s="1"/>
  <c r="C103" i="107"/>
  <c r="C104" i="107"/>
  <c r="C105" i="107"/>
  <c r="C58" i="108"/>
  <c r="C58" i="107"/>
  <c r="O58" i="107" l="1"/>
  <c r="AE22" i="107" s="1"/>
  <c r="S22" i="107"/>
  <c r="P58" i="107"/>
  <c r="P76" i="107"/>
  <c r="O76" i="107"/>
  <c r="C76" i="111"/>
  <c r="AC32" i="107"/>
  <c r="M98" i="111"/>
  <c r="AC32" i="111" s="1"/>
  <c r="Y31" i="107"/>
  <c r="I94" i="111"/>
  <c r="Y31" i="111" s="1"/>
  <c r="Y29" i="107"/>
  <c r="I86" i="111"/>
  <c r="Y29" i="111" s="1"/>
  <c r="AC28" i="107"/>
  <c r="M82" i="111"/>
  <c r="AC28" i="111" s="1"/>
  <c r="E82" i="111"/>
  <c r="U28" i="111" s="1"/>
  <c r="U28" i="107"/>
  <c r="Y27" i="107"/>
  <c r="I78" i="111"/>
  <c r="Y27" i="111" s="1"/>
  <c r="AC26" i="107"/>
  <c r="M74" i="111"/>
  <c r="AC26" i="111" s="1"/>
  <c r="U26" i="107"/>
  <c r="E74" i="111"/>
  <c r="U26" i="111" s="1"/>
  <c r="Y25" i="107"/>
  <c r="I70" i="111"/>
  <c r="Y25" i="111" s="1"/>
  <c r="Y32" i="111"/>
  <c r="AC29" i="111"/>
  <c r="AD31" i="107"/>
  <c r="P58" i="108"/>
  <c r="O58" i="108"/>
  <c r="S22" i="108"/>
  <c r="P99" i="107"/>
  <c r="O99" i="107"/>
  <c r="C99" i="111"/>
  <c r="P99" i="111" s="1"/>
  <c r="P91" i="107"/>
  <c r="O91" i="107"/>
  <c r="C91" i="111"/>
  <c r="P91" i="111" s="1"/>
  <c r="O83" i="107"/>
  <c r="C83" i="111"/>
  <c r="P83" i="111" s="1"/>
  <c r="O75" i="107"/>
  <c r="P75" i="107"/>
  <c r="C75" i="111"/>
  <c r="P75" i="111" s="1"/>
  <c r="O67" i="107"/>
  <c r="C67" i="111"/>
  <c r="P67" i="111" s="1"/>
  <c r="P67" i="107"/>
  <c r="O59" i="107"/>
  <c r="C59" i="111"/>
  <c r="X33" i="107"/>
  <c r="H102" i="111"/>
  <c r="X33" i="111" s="1"/>
  <c r="AB32" i="107"/>
  <c r="L98" i="111"/>
  <c r="AB32" i="111" s="1"/>
  <c r="T32" i="107"/>
  <c r="D98" i="111"/>
  <c r="T32" i="111" s="1"/>
  <c r="X31" i="107"/>
  <c r="H94" i="111"/>
  <c r="X31" i="111" s="1"/>
  <c r="AB30" i="107"/>
  <c r="L90" i="111"/>
  <c r="AB30" i="111" s="1"/>
  <c r="T30" i="107"/>
  <c r="D90" i="111"/>
  <c r="T30" i="111" s="1"/>
  <c r="X29" i="111"/>
  <c r="AB28" i="107"/>
  <c r="L82" i="111"/>
  <c r="AB28" i="111" s="1"/>
  <c r="T28" i="107"/>
  <c r="D82" i="111"/>
  <c r="T28" i="111" s="1"/>
  <c r="X27" i="107"/>
  <c r="H78" i="111"/>
  <c r="X27" i="111" s="1"/>
  <c r="AB26" i="107"/>
  <c r="L74" i="111"/>
  <c r="AB26" i="111" s="1"/>
  <c r="T26" i="107"/>
  <c r="D74" i="111"/>
  <c r="T26" i="111" s="1"/>
  <c r="X25" i="107"/>
  <c r="H70" i="111"/>
  <c r="X25" i="111" s="1"/>
  <c r="O94" i="108"/>
  <c r="W32" i="108"/>
  <c r="X29" i="107"/>
  <c r="P100" i="107"/>
  <c r="O100" i="107"/>
  <c r="C100" i="111"/>
  <c r="U32" i="107"/>
  <c r="E98" i="111"/>
  <c r="U32" i="111" s="1"/>
  <c r="C58" i="111"/>
  <c r="S24" i="107"/>
  <c r="O66" i="107"/>
  <c r="P66" i="107"/>
  <c r="AF24" i="107" s="1"/>
  <c r="C66" i="111"/>
  <c r="W31" i="107"/>
  <c r="G94" i="111"/>
  <c r="W31" i="111" s="1"/>
  <c r="K90" i="111"/>
  <c r="AA30" i="111" s="1"/>
  <c r="AA30" i="107"/>
  <c r="O97" i="107"/>
  <c r="P97" i="107"/>
  <c r="C97" i="111"/>
  <c r="P97" i="111" s="1"/>
  <c r="P81" i="107"/>
  <c r="O81" i="107"/>
  <c r="C81" i="111"/>
  <c r="P81" i="111" s="1"/>
  <c r="P65" i="107"/>
  <c r="O65" i="107"/>
  <c r="C65" i="111"/>
  <c r="P65" i="111" s="1"/>
  <c r="V33" i="107"/>
  <c r="F102" i="111"/>
  <c r="V33" i="111" s="1"/>
  <c r="Z32" i="107"/>
  <c r="J98" i="111"/>
  <c r="Z32" i="111" s="1"/>
  <c r="AD31" i="111"/>
  <c r="V31" i="107"/>
  <c r="F94" i="111"/>
  <c r="V31" i="111" s="1"/>
  <c r="AD29" i="107"/>
  <c r="N86" i="111"/>
  <c r="AD29" i="111" s="1"/>
  <c r="Z28" i="107"/>
  <c r="J82" i="111"/>
  <c r="Z28" i="111" s="1"/>
  <c r="V27" i="107"/>
  <c r="F78" i="111"/>
  <c r="V27" i="111" s="1"/>
  <c r="AD25" i="107"/>
  <c r="N70" i="111"/>
  <c r="AD25" i="111" s="1"/>
  <c r="O68" i="111"/>
  <c r="Z24" i="107"/>
  <c r="J66" i="111"/>
  <c r="Z24" i="111" s="1"/>
  <c r="AD23" i="107"/>
  <c r="N62" i="111"/>
  <c r="F62" i="111"/>
  <c r="V23" i="107"/>
  <c r="O100" i="108"/>
  <c r="P100" i="108"/>
  <c r="O92" i="108"/>
  <c r="P92" i="108"/>
  <c r="P84" i="108"/>
  <c r="O84" i="108"/>
  <c r="O76" i="108"/>
  <c r="P76" i="108"/>
  <c r="P68" i="108"/>
  <c r="O68" i="108"/>
  <c r="O60" i="108"/>
  <c r="P60" i="108"/>
  <c r="Y33" i="108"/>
  <c r="AC32" i="108"/>
  <c r="U32" i="108"/>
  <c r="Y31" i="108"/>
  <c r="AC30" i="108"/>
  <c r="U30" i="108"/>
  <c r="Y29" i="108"/>
  <c r="AC28" i="108"/>
  <c r="U28" i="108"/>
  <c r="Y27" i="108"/>
  <c r="AC26" i="108"/>
  <c r="Y25" i="108"/>
  <c r="AC24" i="108"/>
  <c r="U24" i="108"/>
  <c r="Y23" i="108"/>
  <c r="AC22" i="108"/>
  <c r="U22" i="108"/>
  <c r="P59" i="107"/>
  <c r="AC30" i="107"/>
  <c r="M90" i="111"/>
  <c r="AC30" i="111" s="1"/>
  <c r="S30" i="107"/>
  <c r="P90" i="107"/>
  <c r="AF30" i="107" s="1"/>
  <c r="O90" i="107"/>
  <c r="C90" i="111"/>
  <c r="AA32" i="107"/>
  <c r="K98" i="111"/>
  <c r="AA32" i="111" s="1"/>
  <c r="AC31" i="111"/>
  <c r="P105" i="107"/>
  <c r="O105" i="107"/>
  <c r="C105" i="111"/>
  <c r="P105" i="111" s="1"/>
  <c r="P89" i="107"/>
  <c r="O89" i="107"/>
  <c r="C89" i="111"/>
  <c r="P89" i="111" s="1"/>
  <c r="P73" i="107"/>
  <c r="O73" i="107"/>
  <c r="C73" i="111"/>
  <c r="P73" i="111" s="1"/>
  <c r="AD33" i="107"/>
  <c r="N102" i="111"/>
  <c r="AD33" i="111" s="1"/>
  <c r="Z30" i="107"/>
  <c r="J90" i="111"/>
  <c r="Z30" i="111" s="1"/>
  <c r="V29" i="107"/>
  <c r="F86" i="111"/>
  <c r="V29" i="111" s="1"/>
  <c r="AD27" i="107"/>
  <c r="N78" i="111"/>
  <c r="AD27" i="111" s="1"/>
  <c r="Z26" i="107"/>
  <c r="J74" i="111"/>
  <c r="Z26" i="111" s="1"/>
  <c r="V25" i="107"/>
  <c r="F70" i="111"/>
  <c r="V25" i="111" s="1"/>
  <c r="O104" i="107"/>
  <c r="P104" i="107"/>
  <c r="P96" i="107"/>
  <c r="O96" i="107"/>
  <c r="O88" i="107"/>
  <c r="P88" i="107"/>
  <c r="P80" i="107"/>
  <c r="O80" i="107"/>
  <c r="P72" i="107"/>
  <c r="O72" i="107"/>
  <c r="P64" i="107"/>
  <c r="O64" i="107"/>
  <c r="AC33" i="107"/>
  <c r="U33" i="107"/>
  <c r="Y32" i="107"/>
  <c r="AC31" i="107"/>
  <c r="U31" i="107"/>
  <c r="Y30" i="107"/>
  <c r="AC29" i="107"/>
  <c r="U29" i="107"/>
  <c r="Y28" i="107"/>
  <c r="AC27" i="107"/>
  <c r="M78" i="111"/>
  <c r="AC27" i="111" s="1"/>
  <c r="U27" i="107"/>
  <c r="E78" i="111"/>
  <c r="U27" i="111" s="1"/>
  <c r="Y26" i="107"/>
  <c r="I74" i="111"/>
  <c r="Y26" i="111" s="1"/>
  <c r="AC25" i="107"/>
  <c r="M70" i="111"/>
  <c r="AC25" i="111" s="1"/>
  <c r="U25" i="107"/>
  <c r="E70" i="111"/>
  <c r="U25" i="111" s="1"/>
  <c r="X27" i="108"/>
  <c r="C88" i="111"/>
  <c r="O88" i="111" s="1"/>
  <c r="M102" i="111"/>
  <c r="AC33" i="111" s="1"/>
  <c r="E94" i="111"/>
  <c r="U31" i="111" s="1"/>
  <c r="I82" i="111"/>
  <c r="Y28" i="111" s="1"/>
  <c r="P83" i="107"/>
  <c r="P84" i="107"/>
  <c r="O84" i="107"/>
  <c r="C84" i="111"/>
  <c r="P84" i="111" s="1"/>
  <c r="P60" i="107"/>
  <c r="O60" i="107"/>
  <c r="C60" i="111"/>
  <c r="P60" i="111" s="1"/>
  <c r="U30" i="107"/>
  <c r="E90" i="111"/>
  <c r="U30" i="111" s="1"/>
  <c r="O82" i="107"/>
  <c r="S28" i="107"/>
  <c r="P82" i="107"/>
  <c r="AF28" i="107" s="1"/>
  <c r="C82" i="111"/>
  <c r="O82" i="111" s="1"/>
  <c r="AE28" i="111" s="1"/>
  <c r="W33" i="107"/>
  <c r="G102" i="111"/>
  <c r="W33" i="111" s="1"/>
  <c r="AA28" i="107"/>
  <c r="K82" i="111"/>
  <c r="AA28" i="111" s="1"/>
  <c r="W27" i="107"/>
  <c r="G78" i="111"/>
  <c r="W27" i="111" s="1"/>
  <c r="AA26" i="107"/>
  <c r="K74" i="111"/>
  <c r="AA26" i="111" s="1"/>
  <c r="W25" i="107"/>
  <c r="G70" i="111"/>
  <c r="W25" i="111" s="1"/>
  <c r="P103" i="107"/>
  <c r="O103" i="107"/>
  <c r="C103" i="111"/>
  <c r="P103" i="111" s="1"/>
  <c r="P87" i="107"/>
  <c r="O87" i="107"/>
  <c r="C87" i="111"/>
  <c r="P87" i="111" s="1"/>
  <c r="T33" i="107"/>
  <c r="D102" i="111"/>
  <c r="T33" i="111" s="1"/>
  <c r="X32" i="107"/>
  <c r="H98" i="111"/>
  <c r="X32" i="111" s="1"/>
  <c r="T29" i="107"/>
  <c r="D86" i="111"/>
  <c r="T29" i="111" s="1"/>
  <c r="X28" i="107"/>
  <c r="H82" i="111"/>
  <c r="X28" i="111" s="1"/>
  <c r="AB27" i="107"/>
  <c r="L78" i="111"/>
  <c r="AB27" i="111" s="1"/>
  <c r="T27" i="107"/>
  <c r="D78" i="111"/>
  <c r="T27" i="111" s="1"/>
  <c r="X26" i="107"/>
  <c r="H74" i="111"/>
  <c r="X26" i="111" s="1"/>
  <c r="AB25" i="107"/>
  <c r="T25" i="107"/>
  <c r="D70" i="111"/>
  <c r="T25" i="111" s="1"/>
  <c r="X24" i="107"/>
  <c r="H66" i="111"/>
  <c r="AB23" i="107"/>
  <c r="L62" i="111"/>
  <c r="AB23" i="111" s="1"/>
  <c r="T23" i="107"/>
  <c r="D62" i="111"/>
  <c r="T23" i="111" s="1"/>
  <c r="X22" i="107"/>
  <c r="H58" i="111"/>
  <c r="O98" i="108"/>
  <c r="S32" i="108"/>
  <c r="P98" i="108"/>
  <c r="P90" i="108"/>
  <c r="AF30" i="108" s="1"/>
  <c r="O90" i="108"/>
  <c r="S30" i="108"/>
  <c r="S28" i="108"/>
  <c r="O82" i="108"/>
  <c r="P82" i="108"/>
  <c r="S26" i="108"/>
  <c r="P74" i="108"/>
  <c r="O74" i="108"/>
  <c r="AE26" i="108" s="1"/>
  <c r="O66" i="108"/>
  <c r="P66" i="108"/>
  <c r="S24" i="108"/>
  <c r="P68" i="107"/>
  <c r="O68" i="107"/>
  <c r="C68" i="111"/>
  <c r="S26" i="107"/>
  <c r="O74" i="107"/>
  <c r="AE26" i="107" s="1"/>
  <c r="P74" i="107"/>
  <c r="C74" i="111"/>
  <c r="S26" i="111" s="1"/>
  <c r="U29" i="111"/>
  <c r="O79" i="107"/>
  <c r="P79" i="107"/>
  <c r="C79" i="111"/>
  <c r="P79" i="111" s="1"/>
  <c r="AB33" i="107"/>
  <c r="L102" i="111"/>
  <c r="AB33" i="111" s="1"/>
  <c r="AB31" i="107"/>
  <c r="L94" i="111"/>
  <c r="AB31" i="111" s="1"/>
  <c r="S33" i="107"/>
  <c r="O102" i="107"/>
  <c r="P102" i="107"/>
  <c r="AF33" i="107" s="1"/>
  <c r="S31" i="107"/>
  <c r="P94" i="107"/>
  <c r="O94" i="107"/>
  <c r="AE31" i="107" s="1"/>
  <c r="O86" i="107"/>
  <c r="S29" i="107"/>
  <c r="P86" i="107"/>
  <c r="O78" i="107"/>
  <c r="S27" i="107"/>
  <c r="P78" i="107"/>
  <c r="S25" i="107"/>
  <c r="O70" i="107"/>
  <c r="AE25" i="107" s="1"/>
  <c r="P70" i="107"/>
  <c r="O62" i="107"/>
  <c r="AE23" i="107" s="1"/>
  <c r="P62" i="107"/>
  <c r="S23" i="107"/>
  <c r="AA33" i="107"/>
  <c r="W32" i="107"/>
  <c r="AA31" i="107"/>
  <c r="W30" i="107"/>
  <c r="AA29" i="107"/>
  <c r="W28" i="107"/>
  <c r="AA27" i="107"/>
  <c r="K78" i="111"/>
  <c r="AA27" i="111" s="1"/>
  <c r="W26" i="107"/>
  <c r="G74" i="111"/>
  <c r="W26" i="111" s="1"/>
  <c r="AA25" i="107"/>
  <c r="K70" i="111"/>
  <c r="AA25" i="111" s="1"/>
  <c r="W24" i="107"/>
  <c r="G66" i="111"/>
  <c r="W24" i="111" s="1"/>
  <c r="AD29" i="108"/>
  <c r="C80" i="111"/>
  <c r="E102" i="111"/>
  <c r="U33" i="111" s="1"/>
  <c r="I90" i="111"/>
  <c r="Y30" i="111" s="1"/>
  <c r="L70" i="111"/>
  <c r="AB25" i="111" s="1"/>
  <c r="O92" i="107"/>
  <c r="P92" i="107"/>
  <c r="C92" i="111"/>
  <c r="P92" i="111" s="1"/>
  <c r="Y33" i="107"/>
  <c r="I102" i="111"/>
  <c r="Y33" i="111" s="1"/>
  <c r="S32" i="107"/>
  <c r="O98" i="107"/>
  <c r="C98" i="111"/>
  <c r="P98" i="107"/>
  <c r="W29" i="107"/>
  <c r="G86" i="111"/>
  <c r="W29" i="111" s="1"/>
  <c r="P95" i="107"/>
  <c r="O95" i="107"/>
  <c r="C95" i="111"/>
  <c r="P95" i="111" s="1"/>
  <c r="O71" i="107"/>
  <c r="P71" i="107"/>
  <c r="C71" i="111"/>
  <c r="P71" i="111" s="1"/>
  <c r="O63" i="107"/>
  <c r="P63" i="107"/>
  <c r="C63" i="111"/>
  <c r="S23" i="111" s="1"/>
  <c r="T31" i="107"/>
  <c r="D94" i="111"/>
  <c r="T31" i="111" s="1"/>
  <c r="X30" i="107"/>
  <c r="H90" i="111"/>
  <c r="X30" i="111" s="1"/>
  <c r="AB29" i="107"/>
  <c r="L86" i="111"/>
  <c r="AB29" i="111" s="1"/>
  <c r="P101" i="107"/>
  <c r="O101" i="107"/>
  <c r="C101" i="111"/>
  <c r="P101" i="111" s="1"/>
  <c r="O93" i="107"/>
  <c r="C93" i="111"/>
  <c r="P93" i="111" s="1"/>
  <c r="P85" i="107"/>
  <c r="O85" i="107"/>
  <c r="C85" i="111"/>
  <c r="P85" i="111" s="1"/>
  <c r="P77" i="107"/>
  <c r="O77" i="107"/>
  <c r="C77" i="111"/>
  <c r="P77" i="111" s="1"/>
  <c r="P69" i="107"/>
  <c r="O69" i="107"/>
  <c r="C69" i="111"/>
  <c r="P69" i="111" s="1"/>
  <c r="P61" i="107"/>
  <c r="O61" i="107"/>
  <c r="C61" i="111"/>
  <c r="P61" i="111" s="1"/>
  <c r="Z33" i="107"/>
  <c r="J102" i="111"/>
  <c r="Z33" i="111" s="1"/>
  <c r="AD32" i="107"/>
  <c r="N98" i="111"/>
  <c r="AD32" i="111" s="1"/>
  <c r="V32" i="107"/>
  <c r="F98" i="111"/>
  <c r="V32" i="111" s="1"/>
  <c r="Z31" i="107"/>
  <c r="J94" i="111"/>
  <c r="Z31" i="111" s="1"/>
  <c r="AD30" i="107"/>
  <c r="N90" i="111"/>
  <c r="AD30" i="111" s="1"/>
  <c r="V30" i="107"/>
  <c r="F90" i="111"/>
  <c r="V30" i="111" s="1"/>
  <c r="Z29" i="107"/>
  <c r="J86" i="111"/>
  <c r="Z29" i="111" s="1"/>
  <c r="AD28" i="107"/>
  <c r="N82" i="111"/>
  <c r="AD28" i="111" s="1"/>
  <c r="V28" i="107"/>
  <c r="F82" i="111"/>
  <c r="V28" i="111" s="1"/>
  <c r="Z27" i="107"/>
  <c r="J78" i="111"/>
  <c r="Z27" i="111" s="1"/>
  <c r="N74" i="111"/>
  <c r="AD26" i="111" s="1"/>
  <c r="AD26" i="107"/>
  <c r="V26" i="107"/>
  <c r="F74" i="111"/>
  <c r="V26" i="111" s="1"/>
  <c r="O72" i="111"/>
  <c r="Z25" i="107"/>
  <c r="J70" i="111"/>
  <c r="Z25" i="111" s="1"/>
  <c r="AD24" i="107"/>
  <c r="N66" i="111"/>
  <c r="AD24" i="111" s="1"/>
  <c r="V24" i="107"/>
  <c r="F66" i="111"/>
  <c r="V24" i="111" s="1"/>
  <c r="Z23" i="107"/>
  <c r="J62" i="111"/>
  <c r="Z23" i="111" s="1"/>
  <c r="AD22" i="107"/>
  <c r="N58" i="111"/>
  <c r="AD22" i="111" s="1"/>
  <c r="V22" i="107"/>
  <c r="F58" i="111"/>
  <c r="V22" i="111" s="1"/>
  <c r="C78" i="111"/>
  <c r="G90" i="111"/>
  <c r="W30" i="111" s="1"/>
  <c r="AA23" i="107"/>
  <c r="K62" i="111"/>
  <c r="W22" i="107"/>
  <c r="G58" i="111"/>
  <c r="P99" i="108"/>
  <c r="O99" i="108"/>
  <c r="P91" i="108"/>
  <c r="O91" i="108"/>
  <c r="P83" i="108"/>
  <c r="O83" i="108"/>
  <c r="P75" i="108"/>
  <c r="O75" i="108"/>
  <c r="P67" i="108"/>
  <c r="O67" i="108"/>
  <c r="P59" i="108"/>
  <c r="O59" i="108"/>
  <c r="X33" i="108"/>
  <c r="AB32" i="108"/>
  <c r="T32" i="108"/>
  <c r="X31" i="108"/>
  <c r="AB30" i="108"/>
  <c r="T30" i="108"/>
  <c r="X29" i="108"/>
  <c r="AB28" i="108"/>
  <c r="T28" i="108"/>
  <c r="AB26" i="108"/>
  <c r="T26" i="108"/>
  <c r="X25" i="108"/>
  <c r="AB24" i="108"/>
  <c r="T24" i="108"/>
  <c r="X23" i="108"/>
  <c r="AB22" i="108"/>
  <c r="T22" i="108"/>
  <c r="J67" i="111"/>
  <c r="AC24" i="107"/>
  <c r="M66" i="111"/>
  <c r="AC24" i="111" s="1"/>
  <c r="U24" i="107"/>
  <c r="E66" i="111"/>
  <c r="U24" i="111" s="1"/>
  <c r="H65" i="111"/>
  <c r="K64" i="111"/>
  <c r="P64" i="111" s="1"/>
  <c r="N63" i="111"/>
  <c r="F63" i="111"/>
  <c r="Y23" i="107"/>
  <c r="I62" i="111"/>
  <c r="L61" i="111"/>
  <c r="D61" i="111"/>
  <c r="G60" i="111"/>
  <c r="J59" i="111"/>
  <c r="O59" i="111" s="1"/>
  <c r="M58" i="111"/>
  <c r="AC22" i="111" s="1"/>
  <c r="AC22" i="107"/>
  <c r="E58" i="111"/>
  <c r="U22" i="107"/>
  <c r="O105" i="108"/>
  <c r="P105" i="108"/>
  <c r="P97" i="108"/>
  <c r="O97" i="108"/>
  <c r="P89" i="108"/>
  <c r="O89" i="108"/>
  <c r="O81" i="108"/>
  <c r="P81" i="108"/>
  <c r="P73" i="108"/>
  <c r="O73" i="108"/>
  <c r="O65" i="108"/>
  <c r="P65" i="108"/>
  <c r="AD33" i="108"/>
  <c r="V33" i="108"/>
  <c r="Z32" i="108"/>
  <c r="AD31" i="108"/>
  <c r="V31" i="108"/>
  <c r="Z30" i="108"/>
  <c r="V29" i="108"/>
  <c r="Z28" i="108"/>
  <c r="AD27" i="108"/>
  <c r="V27" i="108"/>
  <c r="Z26" i="108"/>
  <c r="AD25" i="108"/>
  <c r="V25" i="108"/>
  <c r="Z24" i="108"/>
  <c r="AD23" i="108"/>
  <c r="V23" i="108"/>
  <c r="Z22" i="108"/>
  <c r="AB24" i="107"/>
  <c r="L66" i="111"/>
  <c r="AB24" i="111" s="1"/>
  <c r="T24" i="107"/>
  <c r="D66" i="111"/>
  <c r="T24" i="111" s="1"/>
  <c r="H62" i="111"/>
  <c r="X23" i="111" s="1"/>
  <c r="X23" i="107"/>
  <c r="L58" i="111"/>
  <c r="AB22" i="111" s="1"/>
  <c r="AB22" i="107"/>
  <c r="D58" i="111"/>
  <c r="T22" i="107"/>
  <c r="O104" i="108"/>
  <c r="P104" i="108"/>
  <c r="O96" i="108"/>
  <c r="P96" i="108"/>
  <c r="O88" i="108"/>
  <c r="P80" i="108"/>
  <c r="O80" i="108"/>
  <c r="O72" i="108"/>
  <c r="P64" i="108"/>
  <c r="O64" i="108"/>
  <c r="AC33" i="108"/>
  <c r="U33" i="108"/>
  <c r="Y32" i="108"/>
  <c r="AC31" i="108"/>
  <c r="U31" i="108"/>
  <c r="Y30" i="108"/>
  <c r="AC29" i="108"/>
  <c r="U29" i="108"/>
  <c r="Y28" i="108"/>
  <c r="AC27" i="108"/>
  <c r="U27" i="108"/>
  <c r="Y26" i="108"/>
  <c r="AC25" i="108"/>
  <c r="U25" i="108"/>
  <c r="Y24" i="108"/>
  <c r="AC23" i="108"/>
  <c r="U23" i="108"/>
  <c r="H67" i="111"/>
  <c r="K66" i="111"/>
  <c r="AA24" i="111" s="1"/>
  <c r="AA24" i="107"/>
  <c r="N65" i="111"/>
  <c r="F65" i="111"/>
  <c r="I64" i="111"/>
  <c r="L63" i="111"/>
  <c r="D63" i="111"/>
  <c r="O63" i="111" s="1"/>
  <c r="G62" i="111"/>
  <c r="W23" i="111" s="1"/>
  <c r="W23" i="107"/>
  <c r="J61" i="111"/>
  <c r="M60" i="111"/>
  <c r="E60" i="111"/>
  <c r="H59" i="111"/>
  <c r="K58" i="111"/>
  <c r="AA22" i="111" s="1"/>
  <c r="AA22" i="107"/>
  <c r="P103" i="108"/>
  <c r="O103" i="108"/>
  <c r="P95" i="108"/>
  <c r="O95" i="108"/>
  <c r="P87" i="108"/>
  <c r="O87" i="108"/>
  <c r="P79" i="108"/>
  <c r="O79" i="108"/>
  <c r="P71" i="108"/>
  <c r="O71" i="108"/>
  <c r="P63" i="108"/>
  <c r="O63" i="108"/>
  <c r="AB33" i="108"/>
  <c r="T33" i="108"/>
  <c r="X32" i="108"/>
  <c r="AB31" i="108"/>
  <c r="X30" i="108"/>
  <c r="AB29" i="108"/>
  <c r="T29" i="108"/>
  <c r="X28" i="108"/>
  <c r="AB27" i="108"/>
  <c r="T27" i="108"/>
  <c r="X26" i="108"/>
  <c r="AB25" i="108"/>
  <c r="T25" i="108"/>
  <c r="X24" i="108"/>
  <c r="T23" i="108"/>
  <c r="X22" i="108"/>
  <c r="O60" i="111"/>
  <c r="Z22" i="107"/>
  <c r="J58" i="111"/>
  <c r="S33" i="108"/>
  <c r="P102" i="108"/>
  <c r="O102" i="108"/>
  <c r="AE33" i="108" s="1"/>
  <c r="S31" i="108"/>
  <c r="P94" i="108"/>
  <c r="S29" i="108"/>
  <c r="O86" i="108"/>
  <c r="P86" i="108"/>
  <c r="S27" i="108"/>
  <c r="P78" i="108"/>
  <c r="O78" i="108"/>
  <c r="AE27" i="108" s="1"/>
  <c r="O70" i="108"/>
  <c r="S25" i="108"/>
  <c r="P70" i="108"/>
  <c r="AF25" i="108" s="1"/>
  <c r="P62" i="108"/>
  <c r="O62" i="108"/>
  <c r="AE23" i="108" s="1"/>
  <c r="S23" i="108"/>
  <c r="AA33" i="108"/>
  <c r="AA31" i="108"/>
  <c r="W30" i="108"/>
  <c r="AA29" i="108"/>
  <c r="W28" i="108"/>
  <c r="AA27" i="108"/>
  <c r="W26" i="108"/>
  <c r="AA25" i="108"/>
  <c r="W24" i="108"/>
  <c r="AA23" i="108"/>
  <c r="W22" i="108"/>
  <c r="Y24" i="107"/>
  <c r="Y24" i="111"/>
  <c r="AC23" i="107"/>
  <c r="M62" i="111"/>
  <c r="AC23" i="111" s="1"/>
  <c r="U23" i="107"/>
  <c r="E62" i="111"/>
  <c r="U23" i="111" s="1"/>
  <c r="Y22" i="107"/>
  <c r="I58" i="111"/>
  <c r="Y22" i="111" s="1"/>
  <c r="P101" i="108"/>
  <c r="P93" i="108"/>
  <c r="O93" i="108"/>
  <c r="P85" i="108"/>
  <c r="O85" i="108"/>
  <c r="O77" i="108"/>
  <c r="P69" i="108"/>
  <c r="O69" i="108"/>
  <c r="O61" i="108"/>
  <c r="AD32" i="108"/>
  <c r="V32" i="108"/>
  <c r="Z31" i="108"/>
  <c r="AD30" i="108"/>
  <c r="V30" i="108"/>
  <c r="Z29" i="108"/>
  <c r="AD28" i="108"/>
  <c r="V28" i="108"/>
  <c r="Z27" i="108"/>
  <c r="AD26" i="108"/>
  <c r="V26" i="108"/>
  <c r="Z25" i="108"/>
  <c r="AD24" i="108"/>
  <c r="V24" i="108"/>
  <c r="Z23" i="108"/>
  <c r="AD22" i="108"/>
  <c r="V22" i="108"/>
  <c r="P72" i="108"/>
  <c r="P72" i="111"/>
  <c r="P68" i="111"/>
  <c r="O73" i="111"/>
  <c r="O69" i="111"/>
  <c r="O66" i="111"/>
  <c r="P104" i="111"/>
  <c r="O104" i="111"/>
  <c r="O102" i="111"/>
  <c r="P100" i="111"/>
  <c r="O100" i="111"/>
  <c r="P96" i="111"/>
  <c r="O96" i="111"/>
  <c r="O92" i="111"/>
  <c r="P88" i="111"/>
  <c r="O84" i="111"/>
  <c r="P80" i="111"/>
  <c r="O80" i="111"/>
  <c r="O78" i="111"/>
  <c r="P76" i="111"/>
  <c r="O76" i="111"/>
  <c r="O101" i="111"/>
  <c r="O95" i="111"/>
  <c r="O93" i="111"/>
  <c r="O91" i="111"/>
  <c r="O89" i="111"/>
  <c r="O85" i="111"/>
  <c r="O83" i="111"/>
  <c r="O81" i="111"/>
  <c r="O79" i="111"/>
  <c r="O77" i="111"/>
  <c r="C11" i="108"/>
  <c r="D11" i="108"/>
  <c r="E11" i="108"/>
  <c r="F11" i="108"/>
  <c r="G11" i="108"/>
  <c r="H11" i="108"/>
  <c r="I11" i="108"/>
  <c r="J11" i="108"/>
  <c r="K11" i="108"/>
  <c r="L11" i="108"/>
  <c r="M11" i="108"/>
  <c r="N11" i="108"/>
  <c r="C12" i="108"/>
  <c r="D12" i="108"/>
  <c r="E12" i="108"/>
  <c r="F12" i="108"/>
  <c r="G12" i="108"/>
  <c r="H12" i="108"/>
  <c r="I12" i="108"/>
  <c r="J12" i="108"/>
  <c r="K12" i="108"/>
  <c r="L12" i="108"/>
  <c r="M12" i="108"/>
  <c r="N12" i="108"/>
  <c r="C13" i="108"/>
  <c r="D13" i="108"/>
  <c r="E13" i="108"/>
  <c r="F13" i="108"/>
  <c r="G13" i="108"/>
  <c r="H13" i="108"/>
  <c r="I13" i="108"/>
  <c r="J13" i="108"/>
  <c r="K13" i="108"/>
  <c r="L13" i="108"/>
  <c r="M13" i="108"/>
  <c r="N13" i="108"/>
  <c r="C14" i="108"/>
  <c r="D14" i="108"/>
  <c r="E14" i="108"/>
  <c r="F14" i="108"/>
  <c r="G14" i="108"/>
  <c r="H14" i="108"/>
  <c r="I14" i="108"/>
  <c r="J14" i="108"/>
  <c r="K14" i="108"/>
  <c r="L14" i="108"/>
  <c r="M14" i="108"/>
  <c r="N14" i="108"/>
  <c r="C15" i="108"/>
  <c r="D15" i="108"/>
  <c r="E15" i="108"/>
  <c r="F15" i="108"/>
  <c r="G15" i="108"/>
  <c r="H15" i="108"/>
  <c r="I15" i="108"/>
  <c r="J15" i="108"/>
  <c r="K15" i="108"/>
  <c r="L15" i="108"/>
  <c r="M15" i="108"/>
  <c r="N15" i="108"/>
  <c r="C16" i="108"/>
  <c r="D16" i="108"/>
  <c r="E16" i="108"/>
  <c r="F16" i="108"/>
  <c r="G16" i="108"/>
  <c r="H16" i="108"/>
  <c r="I16" i="108"/>
  <c r="J16" i="108"/>
  <c r="K16" i="108"/>
  <c r="L16" i="108"/>
  <c r="M16" i="108"/>
  <c r="N16" i="108"/>
  <c r="C17" i="108"/>
  <c r="D17" i="108"/>
  <c r="E17" i="108"/>
  <c r="F17" i="108"/>
  <c r="G17" i="108"/>
  <c r="H17" i="108"/>
  <c r="I17" i="108"/>
  <c r="J17" i="108"/>
  <c r="K17" i="108"/>
  <c r="L17" i="108"/>
  <c r="M17" i="108"/>
  <c r="N17" i="108"/>
  <c r="C18" i="108"/>
  <c r="D18" i="108"/>
  <c r="E18" i="108"/>
  <c r="F18" i="108"/>
  <c r="G18" i="108"/>
  <c r="H18" i="108"/>
  <c r="I18" i="108"/>
  <c r="J18" i="108"/>
  <c r="K18" i="108"/>
  <c r="L18" i="108"/>
  <c r="M18" i="108"/>
  <c r="N18" i="108"/>
  <c r="C19" i="108"/>
  <c r="D19" i="108"/>
  <c r="E19" i="108"/>
  <c r="F19" i="108"/>
  <c r="G19" i="108"/>
  <c r="H19" i="108"/>
  <c r="I19" i="108"/>
  <c r="J19" i="108"/>
  <c r="K19" i="108"/>
  <c r="L19" i="108"/>
  <c r="M19" i="108"/>
  <c r="N19" i="108"/>
  <c r="C20" i="108"/>
  <c r="D20" i="108"/>
  <c r="E20" i="108"/>
  <c r="F20" i="108"/>
  <c r="G20" i="108"/>
  <c r="H20" i="108"/>
  <c r="I20" i="108"/>
  <c r="J20" i="108"/>
  <c r="K20" i="108"/>
  <c r="L20" i="108"/>
  <c r="M20" i="108"/>
  <c r="N20" i="108"/>
  <c r="C21" i="108"/>
  <c r="D21" i="108"/>
  <c r="E21" i="108"/>
  <c r="F21" i="108"/>
  <c r="G21" i="108"/>
  <c r="H21" i="108"/>
  <c r="I21" i="108"/>
  <c r="J21" i="108"/>
  <c r="K21" i="108"/>
  <c r="L21" i="108"/>
  <c r="M21" i="108"/>
  <c r="N21" i="108"/>
  <c r="C22" i="108"/>
  <c r="D22" i="108"/>
  <c r="E22" i="108"/>
  <c r="F22" i="108"/>
  <c r="G22" i="108"/>
  <c r="H22" i="108"/>
  <c r="I22" i="108"/>
  <c r="J22" i="108"/>
  <c r="K22" i="108"/>
  <c r="L22" i="108"/>
  <c r="M22" i="108"/>
  <c r="N22" i="108"/>
  <c r="C23" i="108"/>
  <c r="D23" i="108"/>
  <c r="E23" i="108"/>
  <c r="F23" i="108"/>
  <c r="G23" i="108"/>
  <c r="H23" i="108"/>
  <c r="I23" i="108"/>
  <c r="J23" i="108"/>
  <c r="K23" i="108"/>
  <c r="L23" i="108"/>
  <c r="M23" i="108"/>
  <c r="N23" i="108"/>
  <c r="C24" i="108"/>
  <c r="D24" i="108"/>
  <c r="E24" i="108"/>
  <c r="F24" i="108"/>
  <c r="G24" i="108"/>
  <c r="H24" i="108"/>
  <c r="I24" i="108"/>
  <c r="J24" i="108"/>
  <c r="K24" i="108"/>
  <c r="L24" i="108"/>
  <c r="M24" i="108"/>
  <c r="N24" i="108"/>
  <c r="C25" i="108"/>
  <c r="D25" i="108"/>
  <c r="E25" i="108"/>
  <c r="F25" i="108"/>
  <c r="G25" i="108"/>
  <c r="H25" i="108"/>
  <c r="I25" i="108"/>
  <c r="J25" i="108"/>
  <c r="K25" i="108"/>
  <c r="L25" i="108"/>
  <c r="M25" i="108"/>
  <c r="N25" i="108"/>
  <c r="C26" i="108"/>
  <c r="D26" i="108"/>
  <c r="E26" i="108"/>
  <c r="F26" i="108"/>
  <c r="G26" i="108"/>
  <c r="H26" i="108"/>
  <c r="I26" i="108"/>
  <c r="J26" i="108"/>
  <c r="K26" i="108"/>
  <c r="L26" i="108"/>
  <c r="M26" i="108"/>
  <c r="N26" i="108"/>
  <c r="C27" i="108"/>
  <c r="D27" i="108"/>
  <c r="E27" i="108"/>
  <c r="F27" i="108"/>
  <c r="G27" i="108"/>
  <c r="H27" i="108"/>
  <c r="I27" i="108"/>
  <c r="J27" i="108"/>
  <c r="K27" i="108"/>
  <c r="L27" i="108"/>
  <c r="M27" i="108"/>
  <c r="N27" i="108"/>
  <c r="C28" i="108"/>
  <c r="D28" i="108"/>
  <c r="E28" i="108"/>
  <c r="F28" i="108"/>
  <c r="G28" i="108"/>
  <c r="H28" i="108"/>
  <c r="I28" i="108"/>
  <c r="J28" i="108"/>
  <c r="K28" i="108"/>
  <c r="L28" i="108"/>
  <c r="M28" i="108"/>
  <c r="N28" i="108"/>
  <c r="C29" i="108"/>
  <c r="D29" i="108"/>
  <c r="E29" i="108"/>
  <c r="F29" i="108"/>
  <c r="G29" i="108"/>
  <c r="H29" i="108"/>
  <c r="I29" i="108"/>
  <c r="J29" i="108"/>
  <c r="K29" i="108"/>
  <c r="L29" i="108"/>
  <c r="M29" i="108"/>
  <c r="N29" i="108"/>
  <c r="C30" i="108"/>
  <c r="D30" i="108"/>
  <c r="E30" i="108"/>
  <c r="F30" i="108"/>
  <c r="G30" i="108"/>
  <c r="H30" i="108"/>
  <c r="I30" i="108"/>
  <c r="J30" i="108"/>
  <c r="K30" i="108"/>
  <c r="L30" i="108"/>
  <c r="M30" i="108"/>
  <c r="N30" i="108"/>
  <c r="C31" i="108"/>
  <c r="D31" i="108"/>
  <c r="E31" i="108"/>
  <c r="F31" i="108"/>
  <c r="G31" i="108"/>
  <c r="H31" i="108"/>
  <c r="I31" i="108"/>
  <c r="J31" i="108"/>
  <c r="K31" i="108"/>
  <c r="L31" i="108"/>
  <c r="M31" i="108"/>
  <c r="N31" i="108"/>
  <c r="C32" i="108"/>
  <c r="D32" i="108"/>
  <c r="E32" i="108"/>
  <c r="F32" i="108"/>
  <c r="G32" i="108"/>
  <c r="H32" i="108"/>
  <c r="I32" i="108"/>
  <c r="J32" i="108"/>
  <c r="K32" i="108"/>
  <c r="L32" i="108"/>
  <c r="M32" i="108"/>
  <c r="N32" i="108"/>
  <c r="C33" i="108"/>
  <c r="D33" i="108"/>
  <c r="E33" i="108"/>
  <c r="F33" i="108"/>
  <c r="G33" i="108"/>
  <c r="H33" i="108"/>
  <c r="I33" i="108"/>
  <c r="J33" i="108"/>
  <c r="K33" i="108"/>
  <c r="L33" i="108"/>
  <c r="M33" i="108"/>
  <c r="N33" i="108"/>
  <c r="C34" i="108"/>
  <c r="D34" i="108"/>
  <c r="E34" i="108"/>
  <c r="F34" i="108"/>
  <c r="G34" i="108"/>
  <c r="H34" i="108"/>
  <c r="I34" i="108"/>
  <c r="J34" i="108"/>
  <c r="K34" i="108"/>
  <c r="L34" i="108"/>
  <c r="M34" i="108"/>
  <c r="N34" i="108"/>
  <c r="C35" i="108"/>
  <c r="D35" i="108"/>
  <c r="E35" i="108"/>
  <c r="F35" i="108"/>
  <c r="G35" i="108"/>
  <c r="H35" i="108"/>
  <c r="I35" i="108"/>
  <c r="J35" i="108"/>
  <c r="K35" i="108"/>
  <c r="L35" i="108"/>
  <c r="M35" i="108"/>
  <c r="N35" i="108"/>
  <c r="C36" i="108"/>
  <c r="D36" i="108"/>
  <c r="E36" i="108"/>
  <c r="F36" i="108"/>
  <c r="G36" i="108"/>
  <c r="H36" i="108"/>
  <c r="I36" i="108"/>
  <c r="J36" i="108"/>
  <c r="K36" i="108"/>
  <c r="L36" i="108"/>
  <c r="M36" i="108"/>
  <c r="N36" i="108"/>
  <c r="C37" i="108"/>
  <c r="D37" i="108"/>
  <c r="E37" i="108"/>
  <c r="F37" i="108"/>
  <c r="G37" i="108"/>
  <c r="H37" i="108"/>
  <c r="I37" i="108"/>
  <c r="J37" i="108"/>
  <c r="K37" i="108"/>
  <c r="L37" i="108"/>
  <c r="M37" i="108"/>
  <c r="N37" i="108"/>
  <c r="C38" i="108"/>
  <c r="D38" i="108"/>
  <c r="E38" i="108"/>
  <c r="F38" i="108"/>
  <c r="G38" i="108"/>
  <c r="H38" i="108"/>
  <c r="I38" i="108"/>
  <c r="J38" i="108"/>
  <c r="K38" i="108"/>
  <c r="L38" i="108"/>
  <c r="M38" i="108"/>
  <c r="N38" i="108"/>
  <c r="C39" i="108"/>
  <c r="D39" i="108"/>
  <c r="E39" i="108"/>
  <c r="F39" i="108"/>
  <c r="G39" i="108"/>
  <c r="H39" i="108"/>
  <c r="I39" i="108"/>
  <c r="J39" i="108"/>
  <c r="K39" i="108"/>
  <c r="L39" i="108"/>
  <c r="M39" i="108"/>
  <c r="N39" i="108"/>
  <c r="C40" i="108"/>
  <c r="D40" i="108"/>
  <c r="E40" i="108"/>
  <c r="F40" i="108"/>
  <c r="G40" i="108"/>
  <c r="H40" i="108"/>
  <c r="I40" i="108"/>
  <c r="J40" i="108"/>
  <c r="K40" i="108"/>
  <c r="L40" i="108"/>
  <c r="M40" i="108"/>
  <c r="N40" i="108"/>
  <c r="C41" i="108"/>
  <c r="D41" i="108"/>
  <c r="E41" i="108"/>
  <c r="F41" i="108"/>
  <c r="G41" i="108"/>
  <c r="H41" i="108"/>
  <c r="I41" i="108"/>
  <c r="J41" i="108"/>
  <c r="K41" i="108"/>
  <c r="L41" i="108"/>
  <c r="M41" i="108"/>
  <c r="N41" i="108"/>
  <c r="C42" i="108"/>
  <c r="D42" i="108"/>
  <c r="E42" i="108"/>
  <c r="F42" i="108"/>
  <c r="G42" i="108"/>
  <c r="H42" i="108"/>
  <c r="I42" i="108"/>
  <c r="J42" i="108"/>
  <c r="K42" i="108"/>
  <c r="L42" i="108"/>
  <c r="M42" i="108"/>
  <c r="N42" i="108"/>
  <c r="C43" i="108"/>
  <c r="D43" i="108"/>
  <c r="E43" i="108"/>
  <c r="F43" i="108"/>
  <c r="G43" i="108"/>
  <c r="H43" i="108"/>
  <c r="I43" i="108"/>
  <c r="J43" i="108"/>
  <c r="K43" i="108"/>
  <c r="L43" i="108"/>
  <c r="M43" i="108"/>
  <c r="N43" i="108"/>
  <c r="C44" i="108"/>
  <c r="D44" i="108"/>
  <c r="E44" i="108"/>
  <c r="F44" i="108"/>
  <c r="G44" i="108"/>
  <c r="H44" i="108"/>
  <c r="I44" i="108"/>
  <c r="J44" i="108"/>
  <c r="K44" i="108"/>
  <c r="L44" i="108"/>
  <c r="M44" i="108"/>
  <c r="N44" i="108"/>
  <c r="C45" i="108"/>
  <c r="D45" i="108"/>
  <c r="E45" i="108"/>
  <c r="F45" i="108"/>
  <c r="G45" i="108"/>
  <c r="H45" i="108"/>
  <c r="I45" i="108"/>
  <c r="J45" i="108"/>
  <c r="K45" i="108"/>
  <c r="L45" i="108"/>
  <c r="M45" i="108"/>
  <c r="N45" i="108"/>
  <c r="C46" i="108"/>
  <c r="D46" i="108"/>
  <c r="E46" i="108"/>
  <c r="F46" i="108"/>
  <c r="G46" i="108"/>
  <c r="H46" i="108"/>
  <c r="I46" i="108"/>
  <c r="J46" i="108"/>
  <c r="K46" i="108"/>
  <c r="L46" i="108"/>
  <c r="M46" i="108"/>
  <c r="N46" i="108"/>
  <c r="C47" i="108"/>
  <c r="D47" i="108"/>
  <c r="E47" i="108"/>
  <c r="F47" i="108"/>
  <c r="G47" i="108"/>
  <c r="H47" i="108"/>
  <c r="I47" i="108"/>
  <c r="J47" i="108"/>
  <c r="K47" i="108"/>
  <c r="L47" i="108"/>
  <c r="M47" i="108"/>
  <c r="N47" i="108"/>
  <c r="C48" i="108"/>
  <c r="D48" i="108"/>
  <c r="E48" i="108"/>
  <c r="F48" i="108"/>
  <c r="G48" i="108"/>
  <c r="H48" i="108"/>
  <c r="I48" i="108"/>
  <c r="J48" i="108"/>
  <c r="K48" i="108"/>
  <c r="L48" i="108"/>
  <c r="M48" i="108"/>
  <c r="N48" i="108"/>
  <c r="C49" i="108"/>
  <c r="D49" i="108"/>
  <c r="E49" i="108"/>
  <c r="F49" i="108"/>
  <c r="G49" i="108"/>
  <c r="H49" i="108"/>
  <c r="I49" i="108"/>
  <c r="J49" i="108"/>
  <c r="K49" i="108"/>
  <c r="L49" i="108"/>
  <c r="M49" i="108"/>
  <c r="N49" i="108"/>
  <c r="C50" i="108"/>
  <c r="D50" i="108"/>
  <c r="E50" i="108"/>
  <c r="F50" i="108"/>
  <c r="G50" i="108"/>
  <c r="H50" i="108"/>
  <c r="I50" i="108"/>
  <c r="J50" i="108"/>
  <c r="K50" i="108"/>
  <c r="L50" i="108"/>
  <c r="M50" i="108"/>
  <c r="N50" i="108"/>
  <c r="C51" i="108"/>
  <c r="D51" i="108"/>
  <c r="E51" i="108"/>
  <c r="F51" i="108"/>
  <c r="G51" i="108"/>
  <c r="H51" i="108"/>
  <c r="I51" i="108"/>
  <c r="J51" i="108"/>
  <c r="K51" i="108"/>
  <c r="L51" i="108"/>
  <c r="M51" i="108"/>
  <c r="N51" i="108"/>
  <c r="C52" i="108"/>
  <c r="D52" i="108"/>
  <c r="E52" i="108"/>
  <c r="F52" i="108"/>
  <c r="G52" i="108"/>
  <c r="H52" i="108"/>
  <c r="I52" i="108"/>
  <c r="J52" i="108"/>
  <c r="K52" i="108"/>
  <c r="L52" i="108"/>
  <c r="M52" i="108"/>
  <c r="N52" i="108"/>
  <c r="C53" i="108"/>
  <c r="D53" i="108"/>
  <c r="E53" i="108"/>
  <c r="F53" i="108"/>
  <c r="G53" i="108"/>
  <c r="H53" i="108"/>
  <c r="I53" i="108"/>
  <c r="J53" i="108"/>
  <c r="K53" i="108"/>
  <c r="L53" i="108"/>
  <c r="M53" i="108"/>
  <c r="N53" i="108"/>
  <c r="C54" i="108"/>
  <c r="D54" i="108"/>
  <c r="E54" i="108"/>
  <c r="F54" i="108"/>
  <c r="G54" i="108"/>
  <c r="H54" i="108"/>
  <c r="I54" i="108"/>
  <c r="J54" i="108"/>
  <c r="K54" i="108"/>
  <c r="L54" i="108"/>
  <c r="M54" i="108"/>
  <c r="N54" i="108"/>
  <c r="C55" i="108"/>
  <c r="D55" i="108"/>
  <c r="E55" i="108"/>
  <c r="F55" i="108"/>
  <c r="G55" i="108"/>
  <c r="H55" i="108"/>
  <c r="I55" i="108"/>
  <c r="J55" i="108"/>
  <c r="K55" i="108"/>
  <c r="L55" i="108"/>
  <c r="M55" i="108"/>
  <c r="N55" i="108"/>
  <c r="C56" i="108"/>
  <c r="D56" i="108"/>
  <c r="E56" i="108"/>
  <c r="F56" i="108"/>
  <c r="G56" i="108"/>
  <c r="H56" i="108"/>
  <c r="I56" i="108"/>
  <c r="J56" i="108"/>
  <c r="K56" i="108"/>
  <c r="L56" i="108"/>
  <c r="M56" i="108"/>
  <c r="N56" i="108"/>
  <c r="C57" i="108"/>
  <c r="D57" i="108"/>
  <c r="E57" i="108"/>
  <c r="F57" i="108"/>
  <c r="G57" i="108"/>
  <c r="H57" i="108"/>
  <c r="I57" i="108"/>
  <c r="J57" i="108"/>
  <c r="K57" i="108"/>
  <c r="L57" i="108"/>
  <c r="M57" i="108"/>
  <c r="N57" i="108"/>
  <c r="D10" i="108"/>
  <c r="E10" i="108"/>
  <c r="F10" i="108"/>
  <c r="F106" i="108" s="1"/>
  <c r="G10" i="108"/>
  <c r="H10" i="108"/>
  <c r="H106" i="108" s="1"/>
  <c r="I10" i="108"/>
  <c r="J10" i="108"/>
  <c r="K10" i="108"/>
  <c r="L10" i="108"/>
  <c r="M10" i="108"/>
  <c r="N10" i="108"/>
  <c r="N106" i="108" s="1"/>
  <c r="C10" i="108"/>
  <c r="C11" i="107"/>
  <c r="C11" i="111" s="1"/>
  <c r="D11" i="107"/>
  <c r="D11" i="111" s="1"/>
  <c r="E11" i="107"/>
  <c r="E11" i="111" s="1"/>
  <c r="F11" i="107"/>
  <c r="F11" i="111" s="1"/>
  <c r="G11" i="107"/>
  <c r="G11" i="111" s="1"/>
  <c r="H11" i="107"/>
  <c r="H11" i="111" s="1"/>
  <c r="I11" i="107"/>
  <c r="I11" i="111" s="1"/>
  <c r="J11" i="107"/>
  <c r="J11" i="111" s="1"/>
  <c r="K11" i="107"/>
  <c r="K11" i="111" s="1"/>
  <c r="L11" i="107"/>
  <c r="L11" i="111" s="1"/>
  <c r="M11" i="107"/>
  <c r="M11" i="111" s="1"/>
  <c r="N11" i="107"/>
  <c r="N11" i="111" s="1"/>
  <c r="C12" i="107"/>
  <c r="C12" i="111" s="1"/>
  <c r="D12" i="107"/>
  <c r="D12" i="111" s="1"/>
  <c r="E12" i="107"/>
  <c r="E12" i="111" s="1"/>
  <c r="F12" i="107"/>
  <c r="F12" i="111" s="1"/>
  <c r="G12" i="107"/>
  <c r="G12" i="111" s="1"/>
  <c r="H12" i="107"/>
  <c r="H12" i="111" s="1"/>
  <c r="I12" i="107"/>
  <c r="I12" i="111" s="1"/>
  <c r="J12" i="107"/>
  <c r="J12" i="111" s="1"/>
  <c r="K12" i="107"/>
  <c r="K12" i="111" s="1"/>
  <c r="L12" i="107"/>
  <c r="L12" i="111" s="1"/>
  <c r="M12" i="107"/>
  <c r="M12" i="111" s="1"/>
  <c r="N12" i="107"/>
  <c r="N12" i="111" s="1"/>
  <c r="C13" i="107"/>
  <c r="C13" i="111" s="1"/>
  <c r="D13" i="107"/>
  <c r="D13" i="111" s="1"/>
  <c r="E13" i="107"/>
  <c r="E13" i="111" s="1"/>
  <c r="F13" i="107"/>
  <c r="F13" i="111" s="1"/>
  <c r="G13" i="107"/>
  <c r="G13" i="111" s="1"/>
  <c r="H13" i="107"/>
  <c r="H13" i="111" s="1"/>
  <c r="I13" i="107"/>
  <c r="I13" i="111" s="1"/>
  <c r="J13" i="107"/>
  <c r="J13" i="111" s="1"/>
  <c r="K13" i="107"/>
  <c r="K13" i="111" s="1"/>
  <c r="L13" i="107"/>
  <c r="L13" i="111" s="1"/>
  <c r="M13" i="107"/>
  <c r="M13" i="111" s="1"/>
  <c r="N13" i="107"/>
  <c r="N13" i="111" s="1"/>
  <c r="C14" i="107"/>
  <c r="C14" i="111" s="1"/>
  <c r="D14" i="107"/>
  <c r="D14" i="111" s="1"/>
  <c r="E14" i="107"/>
  <c r="E14" i="111" s="1"/>
  <c r="F14" i="107"/>
  <c r="F14" i="111" s="1"/>
  <c r="G14" i="107"/>
  <c r="G14" i="111" s="1"/>
  <c r="H14" i="107"/>
  <c r="H14" i="111" s="1"/>
  <c r="I14" i="107"/>
  <c r="I14" i="111" s="1"/>
  <c r="J14" i="107"/>
  <c r="J14" i="111" s="1"/>
  <c r="K14" i="107"/>
  <c r="K14" i="111" s="1"/>
  <c r="L14" i="107"/>
  <c r="L14" i="111" s="1"/>
  <c r="M14" i="107"/>
  <c r="M14" i="111" s="1"/>
  <c r="N14" i="107"/>
  <c r="N14" i="111" s="1"/>
  <c r="C15" i="107"/>
  <c r="C15" i="111" s="1"/>
  <c r="D15" i="107"/>
  <c r="D15" i="111" s="1"/>
  <c r="E15" i="107"/>
  <c r="E15" i="111" s="1"/>
  <c r="F15" i="107"/>
  <c r="F15" i="111" s="1"/>
  <c r="G15" i="107"/>
  <c r="G15" i="111" s="1"/>
  <c r="H15" i="107"/>
  <c r="H15" i="111" s="1"/>
  <c r="I15" i="107"/>
  <c r="I15" i="111" s="1"/>
  <c r="J15" i="107"/>
  <c r="J15" i="111" s="1"/>
  <c r="K15" i="107"/>
  <c r="K15" i="111" s="1"/>
  <c r="L15" i="107"/>
  <c r="L15" i="111" s="1"/>
  <c r="M15" i="107"/>
  <c r="M15" i="111" s="1"/>
  <c r="N15" i="107"/>
  <c r="N15" i="111" s="1"/>
  <c r="C16" i="107"/>
  <c r="C16" i="111" s="1"/>
  <c r="D16" i="107"/>
  <c r="D16" i="111" s="1"/>
  <c r="E16" i="107"/>
  <c r="E16" i="111" s="1"/>
  <c r="F16" i="107"/>
  <c r="F16" i="111" s="1"/>
  <c r="G16" i="107"/>
  <c r="G16" i="111" s="1"/>
  <c r="H16" i="107"/>
  <c r="H16" i="111" s="1"/>
  <c r="I16" i="107"/>
  <c r="I16" i="111" s="1"/>
  <c r="J16" i="107"/>
  <c r="J16" i="111" s="1"/>
  <c r="K16" i="107"/>
  <c r="K16" i="111" s="1"/>
  <c r="L16" i="107"/>
  <c r="L16" i="111" s="1"/>
  <c r="M16" i="107"/>
  <c r="M16" i="111" s="1"/>
  <c r="N16" i="107"/>
  <c r="N16" i="111" s="1"/>
  <c r="C17" i="107"/>
  <c r="C17" i="111" s="1"/>
  <c r="D17" i="107"/>
  <c r="D17" i="111" s="1"/>
  <c r="E17" i="107"/>
  <c r="E17" i="111" s="1"/>
  <c r="F17" i="107"/>
  <c r="F17" i="111" s="1"/>
  <c r="G17" i="107"/>
  <c r="G17" i="111" s="1"/>
  <c r="H17" i="107"/>
  <c r="H17" i="111" s="1"/>
  <c r="I17" i="107"/>
  <c r="I17" i="111" s="1"/>
  <c r="J17" i="107"/>
  <c r="J17" i="111" s="1"/>
  <c r="K17" i="107"/>
  <c r="K17" i="111" s="1"/>
  <c r="L17" i="107"/>
  <c r="L17" i="111" s="1"/>
  <c r="M17" i="107"/>
  <c r="M17" i="111" s="1"/>
  <c r="N17" i="107"/>
  <c r="N17" i="111" s="1"/>
  <c r="C18" i="107"/>
  <c r="C18" i="111" s="1"/>
  <c r="D18" i="107"/>
  <c r="D18" i="111" s="1"/>
  <c r="E18" i="107"/>
  <c r="E18" i="111" s="1"/>
  <c r="F18" i="107"/>
  <c r="F18" i="111" s="1"/>
  <c r="G18" i="107"/>
  <c r="G18" i="111" s="1"/>
  <c r="H18" i="107"/>
  <c r="H18" i="111" s="1"/>
  <c r="I18" i="107"/>
  <c r="I18" i="111" s="1"/>
  <c r="J18" i="107"/>
  <c r="J18" i="111" s="1"/>
  <c r="K18" i="107"/>
  <c r="K18" i="111" s="1"/>
  <c r="L18" i="107"/>
  <c r="L18" i="111" s="1"/>
  <c r="M18" i="107"/>
  <c r="M18" i="111" s="1"/>
  <c r="N18" i="107"/>
  <c r="N18" i="111" s="1"/>
  <c r="C19" i="107"/>
  <c r="C19" i="111" s="1"/>
  <c r="D19" i="107"/>
  <c r="D19" i="111" s="1"/>
  <c r="E19" i="107"/>
  <c r="E19" i="111" s="1"/>
  <c r="F19" i="107"/>
  <c r="F19" i="111" s="1"/>
  <c r="G19" i="107"/>
  <c r="G19" i="111" s="1"/>
  <c r="H19" i="107"/>
  <c r="H19" i="111" s="1"/>
  <c r="I19" i="107"/>
  <c r="I19" i="111" s="1"/>
  <c r="J19" i="107"/>
  <c r="J19" i="111" s="1"/>
  <c r="K19" i="107"/>
  <c r="K19" i="111" s="1"/>
  <c r="L19" i="107"/>
  <c r="L19" i="111" s="1"/>
  <c r="M19" i="107"/>
  <c r="M19" i="111" s="1"/>
  <c r="N19" i="107"/>
  <c r="N19" i="111" s="1"/>
  <c r="C20" i="107"/>
  <c r="C20" i="111" s="1"/>
  <c r="D20" i="107"/>
  <c r="D20" i="111" s="1"/>
  <c r="E20" i="107"/>
  <c r="E20" i="111" s="1"/>
  <c r="F20" i="107"/>
  <c r="F20" i="111" s="1"/>
  <c r="G20" i="107"/>
  <c r="G20" i="111" s="1"/>
  <c r="H20" i="107"/>
  <c r="H20" i="111" s="1"/>
  <c r="I20" i="107"/>
  <c r="I20" i="111" s="1"/>
  <c r="J20" i="107"/>
  <c r="J20" i="111" s="1"/>
  <c r="K20" i="107"/>
  <c r="K20" i="111" s="1"/>
  <c r="L20" i="107"/>
  <c r="L20" i="111" s="1"/>
  <c r="M20" i="107"/>
  <c r="M20" i="111" s="1"/>
  <c r="N20" i="107"/>
  <c r="N20" i="111" s="1"/>
  <c r="C21" i="107"/>
  <c r="C21" i="111" s="1"/>
  <c r="D21" i="107"/>
  <c r="D21" i="111" s="1"/>
  <c r="E21" i="107"/>
  <c r="E21" i="111" s="1"/>
  <c r="F21" i="107"/>
  <c r="F21" i="111" s="1"/>
  <c r="G21" i="107"/>
  <c r="G21" i="111" s="1"/>
  <c r="H21" i="107"/>
  <c r="H21" i="111" s="1"/>
  <c r="I21" i="107"/>
  <c r="I21" i="111" s="1"/>
  <c r="J21" i="107"/>
  <c r="J21" i="111" s="1"/>
  <c r="K21" i="107"/>
  <c r="K21" i="111" s="1"/>
  <c r="L21" i="107"/>
  <c r="L21" i="111" s="1"/>
  <c r="M21" i="107"/>
  <c r="M21" i="111" s="1"/>
  <c r="N21" i="107"/>
  <c r="N21" i="111" s="1"/>
  <c r="C22" i="107"/>
  <c r="C22" i="111" s="1"/>
  <c r="D22" i="107"/>
  <c r="D22" i="111" s="1"/>
  <c r="E22" i="107"/>
  <c r="E22" i="111" s="1"/>
  <c r="F22" i="107"/>
  <c r="F22" i="111" s="1"/>
  <c r="G22" i="107"/>
  <c r="G22" i="111" s="1"/>
  <c r="H22" i="107"/>
  <c r="H22" i="111" s="1"/>
  <c r="I22" i="107"/>
  <c r="I22" i="111" s="1"/>
  <c r="J22" i="107"/>
  <c r="J22" i="111" s="1"/>
  <c r="K22" i="107"/>
  <c r="K22" i="111" s="1"/>
  <c r="L22" i="107"/>
  <c r="L22" i="111" s="1"/>
  <c r="M22" i="107"/>
  <c r="M22" i="111" s="1"/>
  <c r="N22" i="107"/>
  <c r="N22" i="111" s="1"/>
  <c r="C23" i="107"/>
  <c r="C23" i="111" s="1"/>
  <c r="D23" i="107"/>
  <c r="D23" i="111" s="1"/>
  <c r="E23" i="107"/>
  <c r="E23" i="111" s="1"/>
  <c r="F23" i="107"/>
  <c r="F23" i="111" s="1"/>
  <c r="G23" i="107"/>
  <c r="G23" i="111" s="1"/>
  <c r="H23" i="107"/>
  <c r="H23" i="111" s="1"/>
  <c r="I23" i="107"/>
  <c r="I23" i="111" s="1"/>
  <c r="J23" i="107"/>
  <c r="J23" i="111" s="1"/>
  <c r="K23" i="107"/>
  <c r="K23" i="111" s="1"/>
  <c r="L23" i="107"/>
  <c r="L23" i="111" s="1"/>
  <c r="M23" i="107"/>
  <c r="M23" i="111" s="1"/>
  <c r="N23" i="107"/>
  <c r="N23" i="111" s="1"/>
  <c r="C24" i="107"/>
  <c r="C24" i="111" s="1"/>
  <c r="D24" i="107"/>
  <c r="D24" i="111" s="1"/>
  <c r="E24" i="107"/>
  <c r="E24" i="111" s="1"/>
  <c r="F24" i="107"/>
  <c r="F24" i="111" s="1"/>
  <c r="G24" i="107"/>
  <c r="G24" i="111" s="1"/>
  <c r="H24" i="107"/>
  <c r="H24" i="111" s="1"/>
  <c r="I24" i="107"/>
  <c r="I24" i="111" s="1"/>
  <c r="J24" i="107"/>
  <c r="J24" i="111" s="1"/>
  <c r="K24" i="107"/>
  <c r="K24" i="111" s="1"/>
  <c r="L24" i="107"/>
  <c r="L24" i="111" s="1"/>
  <c r="M24" i="107"/>
  <c r="M24" i="111" s="1"/>
  <c r="N24" i="107"/>
  <c r="N24" i="111" s="1"/>
  <c r="C25" i="107"/>
  <c r="C25" i="111" s="1"/>
  <c r="D25" i="107"/>
  <c r="D25" i="111" s="1"/>
  <c r="E25" i="107"/>
  <c r="E25" i="111" s="1"/>
  <c r="F25" i="107"/>
  <c r="F25" i="111" s="1"/>
  <c r="G25" i="107"/>
  <c r="G25" i="111" s="1"/>
  <c r="H25" i="107"/>
  <c r="H25" i="111" s="1"/>
  <c r="I25" i="107"/>
  <c r="I25" i="111" s="1"/>
  <c r="J25" i="107"/>
  <c r="J25" i="111" s="1"/>
  <c r="K25" i="107"/>
  <c r="K25" i="111" s="1"/>
  <c r="L25" i="107"/>
  <c r="L25" i="111" s="1"/>
  <c r="M25" i="107"/>
  <c r="M25" i="111" s="1"/>
  <c r="N25" i="107"/>
  <c r="N25" i="111" s="1"/>
  <c r="C26" i="107"/>
  <c r="C26" i="111" s="1"/>
  <c r="D26" i="107"/>
  <c r="D26" i="111" s="1"/>
  <c r="E26" i="107"/>
  <c r="E26" i="111" s="1"/>
  <c r="F26" i="107"/>
  <c r="F26" i="111" s="1"/>
  <c r="G26" i="107"/>
  <c r="G26" i="111" s="1"/>
  <c r="H26" i="107"/>
  <c r="H26" i="111" s="1"/>
  <c r="I26" i="107"/>
  <c r="I26" i="111" s="1"/>
  <c r="J26" i="107"/>
  <c r="J26" i="111" s="1"/>
  <c r="K26" i="107"/>
  <c r="K26" i="111" s="1"/>
  <c r="L26" i="107"/>
  <c r="L26" i="111" s="1"/>
  <c r="M26" i="107"/>
  <c r="M26" i="111" s="1"/>
  <c r="N26" i="107"/>
  <c r="N26" i="111" s="1"/>
  <c r="C27" i="107"/>
  <c r="C27" i="111" s="1"/>
  <c r="D27" i="107"/>
  <c r="D27" i="111" s="1"/>
  <c r="E27" i="107"/>
  <c r="E27" i="111" s="1"/>
  <c r="F27" i="107"/>
  <c r="F27" i="111" s="1"/>
  <c r="G27" i="107"/>
  <c r="G27" i="111" s="1"/>
  <c r="H27" i="107"/>
  <c r="H27" i="111" s="1"/>
  <c r="I27" i="107"/>
  <c r="I27" i="111" s="1"/>
  <c r="J27" i="107"/>
  <c r="J27" i="111" s="1"/>
  <c r="K27" i="107"/>
  <c r="K27" i="111" s="1"/>
  <c r="L27" i="107"/>
  <c r="L27" i="111" s="1"/>
  <c r="M27" i="107"/>
  <c r="M27" i="111" s="1"/>
  <c r="N27" i="107"/>
  <c r="N27" i="111" s="1"/>
  <c r="C28" i="107"/>
  <c r="C28" i="111" s="1"/>
  <c r="D28" i="107"/>
  <c r="D28" i="111" s="1"/>
  <c r="E28" i="107"/>
  <c r="E28" i="111" s="1"/>
  <c r="F28" i="107"/>
  <c r="F28" i="111" s="1"/>
  <c r="G28" i="107"/>
  <c r="G28" i="111" s="1"/>
  <c r="H28" i="107"/>
  <c r="H28" i="111" s="1"/>
  <c r="I28" i="107"/>
  <c r="I28" i="111" s="1"/>
  <c r="J28" i="107"/>
  <c r="J28" i="111" s="1"/>
  <c r="K28" i="107"/>
  <c r="K28" i="111" s="1"/>
  <c r="L28" i="107"/>
  <c r="L28" i="111" s="1"/>
  <c r="M28" i="107"/>
  <c r="M28" i="111" s="1"/>
  <c r="N28" i="107"/>
  <c r="N28" i="111" s="1"/>
  <c r="C29" i="107"/>
  <c r="C29" i="111" s="1"/>
  <c r="D29" i="107"/>
  <c r="D29" i="111" s="1"/>
  <c r="E29" i="107"/>
  <c r="E29" i="111" s="1"/>
  <c r="F29" i="107"/>
  <c r="F29" i="111" s="1"/>
  <c r="G29" i="107"/>
  <c r="G29" i="111" s="1"/>
  <c r="H29" i="107"/>
  <c r="H29" i="111" s="1"/>
  <c r="I29" i="107"/>
  <c r="I29" i="111" s="1"/>
  <c r="J29" i="107"/>
  <c r="J29" i="111" s="1"/>
  <c r="K29" i="107"/>
  <c r="K29" i="111" s="1"/>
  <c r="L29" i="107"/>
  <c r="L29" i="111" s="1"/>
  <c r="M29" i="107"/>
  <c r="M29" i="111" s="1"/>
  <c r="N29" i="107"/>
  <c r="N29" i="111" s="1"/>
  <c r="C30" i="107"/>
  <c r="C30" i="111" s="1"/>
  <c r="D30" i="107"/>
  <c r="D30" i="111" s="1"/>
  <c r="E30" i="107"/>
  <c r="E30" i="111" s="1"/>
  <c r="F30" i="107"/>
  <c r="F30" i="111" s="1"/>
  <c r="G30" i="107"/>
  <c r="G30" i="111" s="1"/>
  <c r="H30" i="107"/>
  <c r="H30" i="111" s="1"/>
  <c r="I30" i="107"/>
  <c r="I30" i="111" s="1"/>
  <c r="J30" i="107"/>
  <c r="J30" i="111" s="1"/>
  <c r="K30" i="107"/>
  <c r="K30" i="111" s="1"/>
  <c r="L30" i="107"/>
  <c r="L30" i="111" s="1"/>
  <c r="M30" i="107"/>
  <c r="M30" i="111" s="1"/>
  <c r="N30" i="107"/>
  <c r="N30" i="111" s="1"/>
  <c r="C31" i="107"/>
  <c r="C31" i="111" s="1"/>
  <c r="D31" i="107"/>
  <c r="D31" i="111" s="1"/>
  <c r="E31" i="107"/>
  <c r="E31" i="111" s="1"/>
  <c r="F31" i="107"/>
  <c r="F31" i="111" s="1"/>
  <c r="G31" i="107"/>
  <c r="G31" i="111" s="1"/>
  <c r="H31" i="107"/>
  <c r="H31" i="111" s="1"/>
  <c r="I31" i="107"/>
  <c r="I31" i="111" s="1"/>
  <c r="J31" i="107"/>
  <c r="J31" i="111" s="1"/>
  <c r="K31" i="107"/>
  <c r="K31" i="111" s="1"/>
  <c r="L31" i="107"/>
  <c r="L31" i="111" s="1"/>
  <c r="M31" i="107"/>
  <c r="M31" i="111" s="1"/>
  <c r="N31" i="107"/>
  <c r="N31" i="111" s="1"/>
  <c r="C32" i="107"/>
  <c r="C32" i="111" s="1"/>
  <c r="D32" i="107"/>
  <c r="D32" i="111" s="1"/>
  <c r="E32" i="107"/>
  <c r="E32" i="111" s="1"/>
  <c r="F32" i="107"/>
  <c r="F32" i="111" s="1"/>
  <c r="G32" i="107"/>
  <c r="G32" i="111" s="1"/>
  <c r="H32" i="107"/>
  <c r="H32" i="111" s="1"/>
  <c r="I32" i="107"/>
  <c r="I32" i="111" s="1"/>
  <c r="J32" i="107"/>
  <c r="J32" i="111" s="1"/>
  <c r="K32" i="107"/>
  <c r="K32" i="111" s="1"/>
  <c r="L32" i="107"/>
  <c r="L32" i="111" s="1"/>
  <c r="M32" i="107"/>
  <c r="M32" i="111" s="1"/>
  <c r="N32" i="107"/>
  <c r="N32" i="111" s="1"/>
  <c r="C33" i="107"/>
  <c r="C33" i="111" s="1"/>
  <c r="D33" i="107"/>
  <c r="D33" i="111" s="1"/>
  <c r="E33" i="107"/>
  <c r="E33" i="111" s="1"/>
  <c r="F33" i="107"/>
  <c r="F33" i="111" s="1"/>
  <c r="G33" i="107"/>
  <c r="G33" i="111" s="1"/>
  <c r="H33" i="107"/>
  <c r="H33" i="111" s="1"/>
  <c r="I33" i="107"/>
  <c r="I33" i="111" s="1"/>
  <c r="J33" i="107"/>
  <c r="J33" i="111" s="1"/>
  <c r="K33" i="107"/>
  <c r="K33" i="111" s="1"/>
  <c r="L33" i="107"/>
  <c r="L33" i="111" s="1"/>
  <c r="M33" i="107"/>
  <c r="M33" i="111" s="1"/>
  <c r="N33" i="107"/>
  <c r="N33" i="111" s="1"/>
  <c r="C34" i="107"/>
  <c r="C34" i="111" s="1"/>
  <c r="D34" i="107"/>
  <c r="D34" i="111" s="1"/>
  <c r="E34" i="107"/>
  <c r="E34" i="111" s="1"/>
  <c r="F34" i="107"/>
  <c r="F34" i="111" s="1"/>
  <c r="G34" i="107"/>
  <c r="G34" i="111" s="1"/>
  <c r="H34" i="107"/>
  <c r="H34" i="111" s="1"/>
  <c r="I34" i="107"/>
  <c r="I34" i="111" s="1"/>
  <c r="J34" i="107"/>
  <c r="J34" i="111" s="1"/>
  <c r="K34" i="107"/>
  <c r="K34" i="111" s="1"/>
  <c r="L34" i="107"/>
  <c r="L34" i="111" s="1"/>
  <c r="M34" i="107"/>
  <c r="M34" i="111" s="1"/>
  <c r="N34" i="107"/>
  <c r="N34" i="111" s="1"/>
  <c r="C35" i="107"/>
  <c r="C35" i="111" s="1"/>
  <c r="D35" i="107"/>
  <c r="D35" i="111" s="1"/>
  <c r="E35" i="107"/>
  <c r="E35" i="111" s="1"/>
  <c r="F35" i="107"/>
  <c r="F35" i="111" s="1"/>
  <c r="G35" i="107"/>
  <c r="G35" i="111" s="1"/>
  <c r="H35" i="107"/>
  <c r="H35" i="111" s="1"/>
  <c r="I35" i="107"/>
  <c r="I35" i="111" s="1"/>
  <c r="J35" i="107"/>
  <c r="J35" i="111" s="1"/>
  <c r="K35" i="107"/>
  <c r="K35" i="111" s="1"/>
  <c r="L35" i="107"/>
  <c r="L35" i="111" s="1"/>
  <c r="M35" i="107"/>
  <c r="M35" i="111" s="1"/>
  <c r="N35" i="107"/>
  <c r="N35" i="111" s="1"/>
  <c r="C36" i="107"/>
  <c r="C36" i="111" s="1"/>
  <c r="D36" i="107"/>
  <c r="D36" i="111" s="1"/>
  <c r="E36" i="107"/>
  <c r="E36" i="111" s="1"/>
  <c r="F36" i="107"/>
  <c r="F36" i="111" s="1"/>
  <c r="G36" i="107"/>
  <c r="G36" i="111" s="1"/>
  <c r="H36" i="107"/>
  <c r="H36" i="111" s="1"/>
  <c r="I36" i="107"/>
  <c r="I36" i="111" s="1"/>
  <c r="J36" i="107"/>
  <c r="J36" i="111" s="1"/>
  <c r="K36" i="107"/>
  <c r="K36" i="111" s="1"/>
  <c r="L36" i="107"/>
  <c r="L36" i="111" s="1"/>
  <c r="M36" i="107"/>
  <c r="M36" i="111" s="1"/>
  <c r="N36" i="107"/>
  <c r="N36" i="111" s="1"/>
  <c r="C37" i="107"/>
  <c r="C37" i="111" s="1"/>
  <c r="D37" i="107"/>
  <c r="D37" i="111" s="1"/>
  <c r="E37" i="107"/>
  <c r="E37" i="111" s="1"/>
  <c r="F37" i="107"/>
  <c r="F37" i="111" s="1"/>
  <c r="G37" i="107"/>
  <c r="G37" i="111" s="1"/>
  <c r="H37" i="107"/>
  <c r="H37" i="111" s="1"/>
  <c r="I37" i="107"/>
  <c r="I37" i="111" s="1"/>
  <c r="J37" i="107"/>
  <c r="J37" i="111" s="1"/>
  <c r="K37" i="107"/>
  <c r="K37" i="111" s="1"/>
  <c r="L37" i="107"/>
  <c r="L37" i="111" s="1"/>
  <c r="M37" i="107"/>
  <c r="M37" i="111" s="1"/>
  <c r="N37" i="107"/>
  <c r="N37" i="111" s="1"/>
  <c r="C38" i="107"/>
  <c r="C38" i="111" s="1"/>
  <c r="D38" i="107"/>
  <c r="D38" i="111" s="1"/>
  <c r="E38" i="107"/>
  <c r="E38" i="111" s="1"/>
  <c r="F38" i="107"/>
  <c r="F38" i="111" s="1"/>
  <c r="G38" i="107"/>
  <c r="G38" i="111" s="1"/>
  <c r="H38" i="107"/>
  <c r="H38" i="111" s="1"/>
  <c r="I38" i="107"/>
  <c r="I38" i="111" s="1"/>
  <c r="J38" i="107"/>
  <c r="J38" i="111" s="1"/>
  <c r="K38" i="107"/>
  <c r="K38" i="111" s="1"/>
  <c r="L38" i="107"/>
  <c r="L38" i="111" s="1"/>
  <c r="M38" i="107"/>
  <c r="M38" i="111" s="1"/>
  <c r="N38" i="107"/>
  <c r="N38" i="111" s="1"/>
  <c r="C39" i="107"/>
  <c r="C39" i="111" s="1"/>
  <c r="D39" i="107"/>
  <c r="D39" i="111" s="1"/>
  <c r="E39" i="107"/>
  <c r="E39" i="111" s="1"/>
  <c r="F39" i="107"/>
  <c r="F39" i="111" s="1"/>
  <c r="G39" i="107"/>
  <c r="G39" i="111" s="1"/>
  <c r="H39" i="107"/>
  <c r="H39" i="111" s="1"/>
  <c r="I39" i="107"/>
  <c r="I39" i="111" s="1"/>
  <c r="J39" i="107"/>
  <c r="J39" i="111" s="1"/>
  <c r="K39" i="107"/>
  <c r="K39" i="111" s="1"/>
  <c r="L39" i="107"/>
  <c r="L39" i="111" s="1"/>
  <c r="M39" i="107"/>
  <c r="M39" i="111" s="1"/>
  <c r="N39" i="107"/>
  <c r="N39" i="111" s="1"/>
  <c r="C40" i="107"/>
  <c r="C40" i="111" s="1"/>
  <c r="D40" i="107"/>
  <c r="D40" i="111" s="1"/>
  <c r="E40" i="107"/>
  <c r="E40" i="111" s="1"/>
  <c r="F40" i="107"/>
  <c r="F40" i="111" s="1"/>
  <c r="G40" i="107"/>
  <c r="G40" i="111" s="1"/>
  <c r="H40" i="107"/>
  <c r="H40" i="111" s="1"/>
  <c r="I40" i="107"/>
  <c r="I40" i="111" s="1"/>
  <c r="J40" i="107"/>
  <c r="J40" i="111" s="1"/>
  <c r="K40" i="107"/>
  <c r="K40" i="111" s="1"/>
  <c r="L40" i="107"/>
  <c r="L40" i="111" s="1"/>
  <c r="M40" i="107"/>
  <c r="M40" i="111" s="1"/>
  <c r="N40" i="107"/>
  <c r="N40" i="111" s="1"/>
  <c r="C41" i="107"/>
  <c r="C41" i="111" s="1"/>
  <c r="D41" i="107"/>
  <c r="D41" i="111" s="1"/>
  <c r="E41" i="107"/>
  <c r="E41" i="111" s="1"/>
  <c r="F41" i="107"/>
  <c r="F41" i="111" s="1"/>
  <c r="G41" i="107"/>
  <c r="G41" i="111" s="1"/>
  <c r="H41" i="107"/>
  <c r="H41" i="111" s="1"/>
  <c r="I41" i="107"/>
  <c r="I41" i="111" s="1"/>
  <c r="J41" i="107"/>
  <c r="J41" i="111" s="1"/>
  <c r="K41" i="107"/>
  <c r="K41" i="111" s="1"/>
  <c r="L41" i="107"/>
  <c r="L41" i="111" s="1"/>
  <c r="M41" i="107"/>
  <c r="M41" i="111" s="1"/>
  <c r="N41" i="107"/>
  <c r="N41" i="111" s="1"/>
  <c r="C42" i="107"/>
  <c r="C42" i="111" s="1"/>
  <c r="D42" i="107"/>
  <c r="D42" i="111" s="1"/>
  <c r="E42" i="107"/>
  <c r="E42" i="111" s="1"/>
  <c r="F42" i="107"/>
  <c r="F42" i="111" s="1"/>
  <c r="G42" i="107"/>
  <c r="G42" i="111" s="1"/>
  <c r="H42" i="107"/>
  <c r="H42" i="111" s="1"/>
  <c r="I42" i="107"/>
  <c r="I42" i="111" s="1"/>
  <c r="J42" i="107"/>
  <c r="J42" i="111" s="1"/>
  <c r="K42" i="107"/>
  <c r="K42" i="111" s="1"/>
  <c r="L42" i="107"/>
  <c r="L42" i="111" s="1"/>
  <c r="M42" i="107"/>
  <c r="M42" i="111" s="1"/>
  <c r="N42" i="107"/>
  <c r="N42" i="111" s="1"/>
  <c r="C43" i="107"/>
  <c r="C43" i="111" s="1"/>
  <c r="D43" i="107"/>
  <c r="D43" i="111" s="1"/>
  <c r="E43" i="107"/>
  <c r="E43" i="111" s="1"/>
  <c r="F43" i="107"/>
  <c r="F43" i="111" s="1"/>
  <c r="G43" i="107"/>
  <c r="G43" i="111" s="1"/>
  <c r="H43" i="107"/>
  <c r="H43" i="111" s="1"/>
  <c r="I43" i="107"/>
  <c r="I43" i="111" s="1"/>
  <c r="J43" i="107"/>
  <c r="J43" i="111" s="1"/>
  <c r="K43" i="107"/>
  <c r="K43" i="111" s="1"/>
  <c r="L43" i="107"/>
  <c r="L43" i="111" s="1"/>
  <c r="M43" i="107"/>
  <c r="M43" i="111" s="1"/>
  <c r="N43" i="107"/>
  <c r="N43" i="111" s="1"/>
  <c r="C44" i="107"/>
  <c r="C44" i="111" s="1"/>
  <c r="D44" i="107"/>
  <c r="D44" i="111" s="1"/>
  <c r="E44" i="107"/>
  <c r="E44" i="111" s="1"/>
  <c r="F44" i="107"/>
  <c r="F44" i="111" s="1"/>
  <c r="G44" i="107"/>
  <c r="G44" i="111" s="1"/>
  <c r="H44" i="107"/>
  <c r="H44" i="111" s="1"/>
  <c r="I44" i="107"/>
  <c r="I44" i="111" s="1"/>
  <c r="J44" i="107"/>
  <c r="J44" i="111" s="1"/>
  <c r="K44" i="107"/>
  <c r="K44" i="111" s="1"/>
  <c r="L44" i="107"/>
  <c r="L44" i="111" s="1"/>
  <c r="M44" i="107"/>
  <c r="M44" i="111" s="1"/>
  <c r="N44" i="107"/>
  <c r="N44" i="111" s="1"/>
  <c r="C45" i="107"/>
  <c r="C45" i="111" s="1"/>
  <c r="D45" i="107"/>
  <c r="D45" i="111" s="1"/>
  <c r="E45" i="107"/>
  <c r="E45" i="111" s="1"/>
  <c r="F45" i="107"/>
  <c r="F45" i="111" s="1"/>
  <c r="G45" i="107"/>
  <c r="G45" i="111" s="1"/>
  <c r="H45" i="107"/>
  <c r="H45" i="111" s="1"/>
  <c r="I45" i="107"/>
  <c r="I45" i="111" s="1"/>
  <c r="J45" i="107"/>
  <c r="J45" i="111" s="1"/>
  <c r="K45" i="107"/>
  <c r="K45" i="111" s="1"/>
  <c r="L45" i="107"/>
  <c r="L45" i="111" s="1"/>
  <c r="M45" i="107"/>
  <c r="M45" i="111" s="1"/>
  <c r="N45" i="107"/>
  <c r="N45" i="111" s="1"/>
  <c r="C46" i="107"/>
  <c r="C46" i="111" s="1"/>
  <c r="D46" i="107"/>
  <c r="D46" i="111" s="1"/>
  <c r="E46" i="107"/>
  <c r="E46" i="111" s="1"/>
  <c r="F46" i="107"/>
  <c r="F46" i="111" s="1"/>
  <c r="G46" i="107"/>
  <c r="G46" i="111" s="1"/>
  <c r="H46" i="107"/>
  <c r="H46" i="111" s="1"/>
  <c r="I46" i="107"/>
  <c r="I46" i="111" s="1"/>
  <c r="J46" i="107"/>
  <c r="J46" i="111" s="1"/>
  <c r="K46" i="107"/>
  <c r="K46" i="111" s="1"/>
  <c r="L46" i="107"/>
  <c r="L46" i="111" s="1"/>
  <c r="M46" i="107"/>
  <c r="M46" i="111" s="1"/>
  <c r="N46" i="107"/>
  <c r="N46" i="111" s="1"/>
  <c r="C47" i="107"/>
  <c r="C47" i="111" s="1"/>
  <c r="D47" i="107"/>
  <c r="D47" i="111" s="1"/>
  <c r="E47" i="107"/>
  <c r="E47" i="111" s="1"/>
  <c r="F47" i="107"/>
  <c r="F47" i="111" s="1"/>
  <c r="G47" i="107"/>
  <c r="G47" i="111" s="1"/>
  <c r="H47" i="107"/>
  <c r="H47" i="111" s="1"/>
  <c r="I47" i="107"/>
  <c r="I47" i="111" s="1"/>
  <c r="J47" i="107"/>
  <c r="J47" i="111" s="1"/>
  <c r="K47" i="107"/>
  <c r="K47" i="111" s="1"/>
  <c r="L47" i="107"/>
  <c r="L47" i="111" s="1"/>
  <c r="M47" i="107"/>
  <c r="M47" i="111" s="1"/>
  <c r="N47" i="107"/>
  <c r="N47" i="111" s="1"/>
  <c r="C48" i="107"/>
  <c r="C48" i="111" s="1"/>
  <c r="D48" i="107"/>
  <c r="D48" i="111" s="1"/>
  <c r="E48" i="107"/>
  <c r="E48" i="111" s="1"/>
  <c r="F48" i="107"/>
  <c r="F48" i="111" s="1"/>
  <c r="G48" i="107"/>
  <c r="G48" i="111" s="1"/>
  <c r="H48" i="107"/>
  <c r="H48" i="111" s="1"/>
  <c r="I48" i="107"/>
  <c r="I48" i="111" s="1"/>
  <c r="J48" i="107"/>
  <c r="J48" i="111" s="1"/>
  <c r="K48" i="107"/>
  <c r="K48" i="111" s="1"/>
  <c r="L48" i="107"/>
  <c r="L48" i="111" s="1"/>
  <c r="M48" i="107"/>
  <c r="M48" i="111" s="1"/>
  <c r="N48" i="107"/>
  <c r="N48" i="111" s="1"/>
  <c r="C49" i="107"/>
  <c r="C49" i="111" s="1"/>
  <c r="D49" i="107"/>
  <c r="D49" i="111" s="1"/>
  <c r="E49" i="107"/>
  <c r="E49" i="111" s="1"/>
  <c r="F49" i="107"/>
  <c r="F49" i="111" s="1"/>
  <c r="G49" i="107"/>
  <c r="G49" i="111" s="1"/>
  <c r="H49" i="107"/>
  <c r="H49" i="111" s="1"/>
  <c r="I49" i="107"/>
  <c r="I49" i="111" s="1"/>
  <c r="J49" i="107"/>
  <c r="J49" i="111" s="1"/>
  <c r="K49" i="107"/>
  <c r="K49" i="111" s="1"/>
  <c r="L49" i="107"/>
  <c r="L49" i="111" s="1"/>
  <c r="M49" i="107"/>
  <c r="M49" i="111" s="1"/>
  <c r="N49" i="107"/>
  <c r="N49" i="111" s="1"/>
  <c r="C50" i="107"/>
  <c r="C50" i="111" s="1"/>
  <c r="D50" i="107"/>
  <c r="D50" i="111" s="1"/>
  <c r="E50" i="107"/>
  <c r="E50" i="111" s="1"/>
  <c r="F50" i="107"/>
  <c r="F50" i="111" s="1"/>
  <c r="G50" i="107"/>
  <c r="G50" i="111" s="1"/>
  <c r="H50" i="107"/>
  <c r="H50" i="111" s="1"/>
  <c r="I50" i="107"/>
  <c r="I50" i="111" s="1"/>
  <c r="J50" i="107"/>
  <c r="J50" i="111" s="1"/>
  <c r="K50" i="107"/>
  <c r="K50" i="111" s="1"/>
  <c r="L50" i="107"/>
  <c r="L50" i="111" s="1"/>
  <c r="M50" i="107"/>
  <c r="M50" i="111" s="1"/>
  <c r="N50" i="107"/>
  <c r="N50" i="111" s="1"/>
  <c r="C51" i="107"/>
  <c r="C51" i="111" s="1"/>
  <c r="D51" i="107"/>
  <c r="D51" i="111" s="1"/>
  <c r="E51" i="107"/>
  <c r="E51" i="111" s="1"/>
  <c r="F51" i="107"/>
  <c r="F51" i="111" s="1"/>
  <c r="G51" i="107"/>
  <c r="G51" i="111" s="1"/>
  <c r="H51" i="107"/>
  <c r="H51" i="111" s="1"/>
  <c r="I51" i="107"/>
  <c r="I51" i="111" s="1"/>
  <c r="J51" i="107"/>
  <c r="J51" i="111" s="1"/>
  <c r="K51" i="107"/>
  <c r="K51" i="111" s="1"/>
  <c r="L51" i="107"/>
  <c r="L51" i="111" s="1"/>
  <c r="M51" i="107"/>
  <c r="M51" i="111" s="1"/>
  <c r="N51" i="107"/>
  <c r="N51" i="111" s="1"/>
  <c r="C52" i="107"/>
  <c r="C52" i="111" s="1"/>
  <c r="D52" i="107"/>
  <c r="D52" i="111" s="1"/>
  <c r="E52" i="107"/>
  <c r="E52" i="111" s="1"/>
  <c r="F52" i="107"/>
  <c r="F52" i="111" s="1"/>
  <c r="G52" i="107"/>
  <c r="G52" i="111" s="1"/>
  <c r="H52" i="107"/>
  <c r="H52" i="111" s="1"/>
  <c r="I52" i="107"/>
  <c r="I52" i="111" s="1"/>
  <c r="J52" i="107"/>
  <c r="J52" i="111" s="1"/>
  <c r="K52" i="107"/>
  <c r="K52" i="111" s="1"/>
  <c r="L52" i="107"/>
  <c r="L52" i="111" s="1"/>
  <c r="M52" i="107"/>
  <c r="M52" i="111" s="1"/>
  <c r="N52" i="107"/>
  <c r="N52" i="111" s="1"/>
  <c r="C53" i="107"/>
  <c r="C53" i="111" s="1"/>
  <c r="D53" i="107"/>
  <c r="D53" i="111" s="1"/>
  <c r="E53" i="107"/>
  <c r="E53" i="111" s="1"/>
  <c r="F53" i="107"/>
  <c r="F53" i="111" s="1"/>
  <c r="G53" i="107"/>
  <c r="G53" i="111" s="1"/>
  <c r="H53" i="107"/>
  <c r="H53" i="111" s="1"/>
  <c r="I53" i="107"/>
  <c r="I53" i="111" s="1"/>
  <c r="J53" i="107"/>
  <c r="J53" i="111" s="1"/>
  <c r="K53" i="107"/>
  <c r="K53" i="111" s="1"/>
  <c r="L53" i="107"/>
  <c r="L53" i="111" s="1"/>
  <c r="M53" i="107"/>
  <c r="M53" i="111" s="1"/>
  <c r="N53" i="107"/>
  <c r="N53" i="111" s="1"/>
  <c r="C54" i="107"/>
  <c r="C54" i="111" s="1"/>
  <c r="D54" i="107"/>
  <c r="D54" i="111" s="1"/>
  <c r="E54" i="107"/>
  <c r="E54" i="111" s="1"/>
  <c r="F54" i="107"/>
  <c r="F54" i="111" s="1"/>
  <c r="G54" i="107"/>
  <c r="G54" i="111" s="1"/>
  <c r="H54" i="107"/>
  <c r="H54" i="111" s="1"/>
  <c r="I54" i="107"/>
  <c r="I54" i="111" s="1"/>
  <c r="J54" i="107"/>
  <c r="J54" i="111" s="1"/>
  <c r="K54" i="107"/>
  <c r="K54" i="111" s="1"/>
  <c r="L54" i="107"/>
  <c r="L54" i="111" s="1"/>
  <c r="M54" i="107"/>
  <c r="M54" i="111" s="1"/>
  <c r="N54" i="107"/>
  <c r="N54" i="111" s="1"/>
  <c r="C55" i="107"/>
  <c r="C55" i="111" s="1"/>
  <c r="D55" i="107"/>
  <c r="D55" i="111" s="1"/>
  <c r="E55" i="107"/>
  <c r="E55" i="111" s="1"/>
  <c r="F55" i="107"/>
  <c r="F55" i="111" s="1"/>
  <c r="G55" i="107"/>
  <c r="G55" i="111" s="1"/>
  <c r="H55" i="107"/>
  <c r="H55" i="111" s="1"/>
  <c r="I55" i="107"/>
  <c r="I55" i="111" s="1"/>
  <c r="J55" i="107"/>
  <c r="J55" i="111" s="1"/>
  <c r="K55" i="107"/>
  <c r="K55" i="111" s="1"/>
  <c r="L55" i="107"/>
  <c r="L55" i="111" s="1"/>
  <c r="M55" i="107"/>
  <c r="M55" i="111" s="1"/>
  <c r="N55" i="107"/>
  <c r="N55" i="111" s="1"/>
  <c r="C56" i="107"/>
  <c r="C56" i="111" s="1"/>
  <c r="D56" i="107"/>
  <c r="D56" i="111" s="1"/>
  <c r="E56" i="107"/>
  <c r="E56" i="111" s="1"/>
  <c r="F56" i="107"/>
  <c r="F56" i="111" s="1"/>
  <c r="G56" i="107"/>
  <c r="G56" i="111" s="1"/>
  <c r="H56" i="107"/>
  <c r="H56" i="111" s="1"/>
  <c r="I56" i="107"/>
  <c r="I56" i="111" s="1"/>
  <c r="J56" i="107"/>
  <c r="J56" i="111" s="1"/>
  <c r="K56" i="107"/>
  <c r="K56" i="111" s="1"/>
  <c r="L56" i="107"/>
  <c r="L56" i="111" s="1"/>
  <c r="M56" i="107"/>
  <c r="M56" i="111" s="1"/>
  <c r="N56" i="107"/>
  <c r="N56" i="111" s="1"/>
  <c r="C57" i="107"/>
  <c r="C57" i="111" s="1"/>
  <c r="D57" i="107"/>
  <c r="D57" i="111" s="1"/>
  <c r="E57" i="107"/>
  <c r="E57" i="111" s="1"/>
  <c r="F57" i="107"/>
  <c r="F57" i="111" s="1"/>
  <c r="G57" i="107"/>
  <c r="G57" i="111" s="1"/>
  <c r="H57" i="107"/>
  <c r="H57" i="111" s="1"/>
  <c r="I57" i="107"/>
  <c r="I57" i="111" s="1"/>
  <c r="J57" i="107"/>
  <c r="J57" i="111" s="1"/>
  <c r="K57" i="107"/>
  <c r="K57" i="111" s="1"/>
  <c r="L57" i="107"/>
  <c r="L57" i="111" s="1"/>
  <c r="M57" i="107"/>
  <c r="M57" i="111" s="1"/>
  <c r="N57" i="107"/>
  <c r="N57" i="111" s="1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H10" i="111" l="1"/>
  <c r="H106" i="111" s="1"/>
  <c r="H106" i="107"/>
  <c r="O64" i="111"/>
  <c r="AF24" i="108"/>
  <c r="S30" i="111"/>
  <c r="AF22" i="107"/>
  <c r="C10" i="111"/>
  <c r="C106" i="107"/>
  <c r="G10" i="111"/>
  <c r="G106" i="107"/>
  <c r="C106" i="108"/>
  <c r="G106" i="108"/>
  <c r="O62" i="111"/>
  <c r="AE23" i="111" s="1"/>
  <c r="O71" i="111"/>
  <c r="P70" i="111"/>
  <c r="AF25" i="111" s="1"/>
  <c r="AF27" i="108"/>
  <c r="AF33" i="108"/>
  <c r="S27" i="111"/>
  <c r="AF25" i="107"/>
  <c r="AE29" i="107"/>
  <c r="AF26" i="107"/>
  <c r="AE24" i="108"/>
  <c r="AE30" i="108"/>
  <c r="AE30" i="107"/>
  <c r="AE24" i="107"/>
  <c r="F10" i="111"/>
  <c r="F106" i="111" s="1"/>
  <c r="F106" i="107"/>
  <c r="M106" i="108"/>
  <c r="E106" i="108"/>
  <c r="O97" i="111"/>
  <c r="P78" i="111"/>
  <c r="AF27" i="111" s="1"/>
  <c r="P86" i="111"/>
  <c r="AF29" i="111" s="1"/>
  <c r="P94" i="111"/>
  <c r="AF31" i="111" s="1"/>
  <c r="P102" i="111"/>
  <c r="AF33" i="111" s="1"/>
  <c r="O75" i="111"/>
  <c r="P74" i="111"/>
  <c r="AF26" i="111" s="1"/>
  <c r="AF29" i="108"/>
  <c r="Z22" i="111"/>
  <c r="S32" i="111"/>
  <c r="AF31" i="107"/>
  <c r="AF26" i="108"/>
  <c r="AF32" i="108"/>
  <c r="P58" i="111"/>
  <c r="S22" i="111"/>
  <c r="AE31" i="108"/>
  <c r="N10" i="111"/>
  <c r="N106" i="111" s="1"/>
  <c r="N106" i="107"/>
  <c r="AE28" i="107"/>
  <c r="M10" i="111"/>
  <c r="M106" i="107"/>
  <c r="L10" i="111"/>
  <c r="L106" i="111" s="1"/>
  <c r="L106" i="107"/>
  <c r="D10" i="111"/>
  <c r="D106" i="111" s="1"/>
  <c r="D106" i="107"/>
  <c r="L106" i="108"/>
  <c r="D106" i="108"/>
  <c r="O99" i="111"/>
  <c r="O61" i="111"/>
  <c r="AF23" i="108"/>
  <c r="AE29" i="108"/>
  <c r="Y23" i="111"/>
  <c r="W22" i="111"/>
  <c r="AE32" i="107"/>
  <c r="AF27" i="107"/>
  <c r="X24" i="111"/>
  <c r="S33" i="111"/>
  <c r="O86" i="111"/>
  <c r="AE29" i="111" s="1"/>
  <c r="K106" i="108"/>
  <c r="P62" i="111"/>
  <c r="U22" i="111"/>
  <c r="AF28" i="108"/>
  <c r="AE32" i="108"/>
  <c r="V23" i="111"/>
  <c r="P59" i="111"/>
  <c r="S29" i="111"/>
  <c r="AE27" i="111"/>
  <c r="O58" i="111"/>
  <c r="AE22" i="111" s="1"/>
  <c r="E10" i="111"/>
  <c r="E106" i="107"/>
  <c r="K10" i="111"/>
  <c r="K106" i="107"/>
  <c r="J10" i="111"/>
  <c r="J106" i="111" s="1"/>
  <c r="J106" i="107"/>
  <c r="J106" i="108"/>
  <c r="O87" i="111"/>
  <c r="O103" i="111"/>
  <c r="AE33" i="111" s="1"/>
  <c r="O90" i="111"/>
  <c r="AE30" i="111" s="1"/>
  <c r="O98" i="111"/>
  <c r="AE32" i="111" s="1"/>
  <c r="O74" i="111"/>
  <c r="AE26" i="111" s="1"/>
  <c r="O65" i="111"/>
  <c r="AF31" i="108"/>
  <c r="T22" i="111"/>
  <c r="AA23" i="111"/>
  <c r="AE27" i="107"/>
  <c r="AE33" i="107"/>
  <c r="AE28" i="108"/>
  <c r="X22" i="111"/>
  <c r="AD23" i="111"/>
  <c r="AE22" i="108"/>
  <c r="S31" i="111"/>
  <c r="O94" i="111"/>
  <c r="AE31" i="111" s="1"/>
  <c r="AF32" i="107"/>
  <c r="I10" i="111"/>
  <c r="I106" i="107"/>
  <c r="I106" i="108"/>
  <c r="O105" i="111"/>
  <c r="P82" i="111"/>
  <c r="AF28" i="111" s="1"/>
  <c r="P90" i="111"/>
  <c r="AF30" i="111" s="1"/>
  <c r="P98" i="111"/>
  <c r="AF32" i="111" s="1"/>
  <c r="O70" i="111"/>
  <c r="AE25" i="111" s="1"/>
  <c r="O67" i="111"/>
  <c r="AE24" i="111" s="1"/>
  <c r="P66" i="111"/>
  <c r="AF24" i="111" s="1"/>
  <c r="AE25" i="108"/>
  <c r="P63" i="111"/>
  <c r="AF23" i="107"/>
  <c r="AF29" i="107"/>
  <c r="S28" i="111"/>
  <c r="S24" i="111"/>
  <c r="AF22" i="108"/>
  <c r="S25" i="111"/>
  <c r="C106" i="111"/>
  <c r="M106" i="111"/>
  <c r="K106" i="111"/>
  <c r="I106" i="111"/>
  <c r="G106" i="111"/>
  <c r="E106" i="111"/>
  <c r="D6" i="99"/>
  <c r="C3" i="97"/>
  <c r="C58" i="97"/>
  <c r="D58" i="97"/>
  <c r="C3" i="94"/>
  <c r="C3" i="98" s="1"/>
  <c r="AF23" i="111" l="1"/>
  <c r="AF22" i="111"/>
  <c r="K6" i="98"/>
  <c r="K6" i="99" s="1"/>
  <c r="K6" i="100" s="1"/>
  <c r="K6" i="101" s="1"/>
  <c r="K6" i="109" s="1"/>
  <c r="K6" i="105" s="1"/>
  <c r="K6" i="110" s="1"/>
  <c r="K6" i="103" s="1"/>
  <c r="K5" i="98"/>
  <c r="K5" i="99" s="1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G5" i="95"/>
  <c r="K6" i="94"/>
  <c r="K5" i="94"/>
  <c r="G5" i="94"/>
  <c r="G6" i="108"/>
  <c r="G6" i="103"/>
  <c r="G6" i="107" s="1"/>
  <c r="G6" i="101"/>
  <c r="G6" i="99"/>
  <c r="D6" i="108"/>
  <c r="D6" i="103"/>
  <c r="D6" i="107" s="1"/>
  <c r="D6" i="101"/>
  <c r="D5" i="104"/>
  <c r="D5" i="110"/>
  <c r="D5" i="100"/>
  <c r="D5" i="98"/>
  <c r="D5" i="96"/>
  <c r="D5" i="94"/>
  <c r="K6" i="104" l="1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A19" i="109"/>
  <c r="Y19" i="109"/>
  <c r="Y39" i="109" s="1"/>
  <c r="W19" i="109"/>
  <c r="U19" i="109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6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Z19" i="105"/>
  <c r="Z39" i="105" s="1"/>
  <c r="Y19" i="105"/>
  <c r="X19" i="105"/>
  <c r="W19" i="105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AA39" i="101" s="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A19" i="97"/>
  <c r="Z19" i="97"/>
  <c r="Y19" i="97"/>
  <c r="X19" i="97"/>
  <c r="X27" i="97" s="1"/>
  <c r="W19" i="97"/>
  <c r="V19" i="97"/>
  <c r="V27" i="97" s="1"/>
  <c r="U19" i="97"/>
  <c r="T19" i="97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D38" i="101" l="1"/>
  <c r="T27" i="97"/>
  <c r="AB27" i="97"/>
  <c r="S27" i="103"/>
  <c r="AA27" i="103"/>
  <c r="Z27" i="97"/>
  <c r="W39" i="105"/>
  <c r="AA39" i="105"/>
  <c r="AA27" i="99"/>
  <c r="X39" i="105"/>
  <c r="U39" i="109"/>
  <c r="AC39" i="109"/>
  <c r="X26" i="98"/>
  <c r="AA26" i="9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AB15" i="95"/>
  <c r="U17" i="97"/>
  <c r="U26" i="97" s="1"/>
  <c r="P23" i="110"/>
  <c r="S13" i="110"/>
  <c r="P31" i="110"/>
  <c r="S15" i="110"/>
  <c r="X10" i="110"/>
  <c r="P13" i="110"/>
  <c r="P15" i="110"/>
  <c r="W11" i="110"/>
  <c r="AA14" i="94"/>
  <c r="AA15" i="94"/>
  <c r="AA16" i="94"/>
  <c r="AA18" i="94"/>
  <c r="P19" i="110"/>
  <c r="S12" i="110"/>
  <c r="Z13" i="109"/>
  <c r="P12" i="110"/>
  <c r="L106" i="110"/>
  <c r="P27" i="110"/>
  <c r="S14" i="110"/>
  <c r="T19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V13" i="109"/>
  <c r="AD13" i="109"/>
  <c r="V15" i="109"/>
  <c r="AD15" i="109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X26" i="103" s="1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X13" i="103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F58" i="97"/>
  <c r="H58" i="97"/>
  <c r="J58" i="97"/>
  <c r="L58" i="97"/>
  <c r="N58" i="97"/>
  <c r="T26" i="97"/>
  <c r="Z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W38" i="110" l="1"/>
  <c r="S38" i="110"/>
  <c r="X23" i="103"/>
  <c r="AF33" i="101"/>
  <c r="T26" i="103"/>
  <c r="Z26" i="95"/>
  <c r="S38" i="105"/>
  <c r="AF25" i="101"/>
  <c r="AF28" i="101"/>
  <c r="Y38" i="105"/>
  <c r="U38" i="109"/>
  <c r="U38" i="110"/>
  <c r="AD26" i="97"/>
  <c r="X36" i="101"/>
  <c r="T36" i="105"/>
  <c r="V19" i="108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S24" i="94"/>
  <c r="AD21" i="108"/>
  <c r="Z20" i="108"/>
  <c r="W27" i="95"/>
  <c r="W24" i="95"/>
  <c r="AB24" i="98"/>
  <c r="W26" i="96"/>
  <c r="V21" i="108"/>
  <c r="AD19" i="108"/>
  <c r="Z21" i="108"/>
  <c r="AD20" i="108"/>
  <c r="V20" i="108"/>
  <c r="Z19" i="108"/>
  <c r="AC26" i="97"/>
  <c r="AC23" i="97"/>
  <c r="T13" i="111"/>
  <c r="AD12" i="111"/>
  <c r="T12" i="111"/>
  <c r="AC24" i="94"/>
  <c r="Y24" i="94"/>
  <c r="S27" i="94"/>
  <c r="AA38" i="110"/>
  <c r="W24" i="94"/>
  <c r="W27" i="94"/>
  <c r="S26" i="94"/>
  <c r="U23" i="97"/>
  <c r="AA27" i="94"/>
  <c r="U27" i="95"/>
  <c r="U24" i="95"/>
  <c r="X22" i="100"/>
  <c r="AC26" i="96"/>
  <c r="V10" i="108"/>
  <c r="AB21" i="108"/>
  <c r="X21" i="108"/>
  <c r="T21" i="108"/>
  <c r="AB20" i="108"/>
  <c r="X20" i="108"/>
  <c r="T20" i="108"/>
  <c r="AB19" i="108"/>
  <c r="X19" i="108"/>
  <c r="AA35" i="110"/>
  <c r="W35" i="110"/>
  <c r="Z39" i="110"/>
  <c r="AD38" i="110"/>
  <c r="Z38" i="110"/>
  <c r="V38" i="110"/>
  <c r="X37" i="110"/>
  <c r="V12" i="108"/>
  <c r="V11" i="108"/>
  <c r="AD10" i="108"/>
  <c r="AD36" i="110"/>
  <c r="V36" i="110"/>
  <c r="AC35" i="109"/>
  <c r="AD11" i="108"/>
  <c r="AC38" i="110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Z11" i="108"/>
  <c r="AA35" i="109"/>
  <c r="U36" i="110"/>
  <c r="V35" i="109"/>
  <c r="X11" i="108"/>
  <c r="S41" i="110"/>
  <c r="Z10" i="108"/>
  <c r="Z41" i="108" s="1"/>
  <c r="W12" i="108"/>
  <c r="AF32" i="110"/>
  <c r="S35" i="109"/>
  <c r="T11" i="108"/>
  <c r="AA12" i="108"/>
  <c r="V24" i="98"/>
  <c r="X23" i="97"/>
  <c r="AD23" i="99"/>
  <c r="AB38" i="109"/>
  <c r="AD35" i="110"/>
  <c r="V35" i="110"/>
  <c r="AA40" i="110"/>
  <c r="Y36" i="110"/>
  <c r="S37" i="110"/>
  <c r="X10" i="108"/>
  <c r="W40" i="110"/>
  <c r="AD36" i="109"/>
  <c r="Z39" i="109"/>
  <c r="S26" i="97"/>
  <c r="AF33" i="110"/>
  <c r="AF31" i="110"/>
  <c r="AB35" i="110"/>
  <c r="X38" i="110"/>
  <c r="AA41" i="110"/>
  <c r="W41" i="110"/>
  <c r="T10" i="108"/>
  <c r="AB10" i="108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D13" i="108"/>
  <c r="AA24" i="94"/>
  <c r="AC23" i="96"/>
  <c r="AB36" i="105"/>
  <c r="P16" i="108"/>
  <c r="Z13" i="108"/>
  <c r="O56" i="108"/>
  <c r="S15" i="108"/>
  <c r="T17" i="108"/>
  <c r="O11" i="108"/>
  <c r="X18" i="108"/>
  <c r="AB15" i="108"/>
  <c r="O57" i="108"/>
  <c r="P40" i="108"/>
  <c r="AB17" i="108"/>
  <c r="O35" i="108"/>
  <c r="X16" i="108"/>
  <c r="T15" i="108"/>
  <c r="O10" i="108"/>
  <c r="AA26" i="94"/>
  <c r="AB18" i="108"/>
  <c r="T18" i="108"/>
  <c r="X17" i="108"/>
  <c r="AB16" i="108"/>
  <c r="T16" i="108"/>
  <c r="X15" i="108"/>
  <c r="P29" i="108"/>
  <c r="T13" i="108"/>
  <c r="AC11" i="108"/>
  <c r="Y12" i="108"/>
  <c r="O16" i="108"/>
  <c r="Y10" i="108"/>
  <c r="Y41" i="108" s="1"/>
  <c r="P49" i="108"/>
  <c r="P22" i="108"/>
  <c r="O49" i="108"/>
  <c r="P43" i="108"/>
  <c r="AD18" i="108"/>
  <c r="Z18" i="108"/>
  <c r="V18" i="108"/>
  <c r="AD16" i="108"/>
  <c r="Z16" i="108"/>
  <c r="V16" i="108"/>
  <c r="O28" i="108"/>
  <c r="W15" i="108"/>
  <c r="W19" i="108"/>
  <c r="S20" i="108"/>
  <c r="AA20" i="108"/>
  <c r="W21" i="108"/>
  <c r="O36" i="108"/>
  <c r="S13" i="108"/>
  <c r="O20" i="108"/>
  <c r="AA15" i="108"/>
  <c r="AA17" i="108"/>
  <c r="Y19" i="108"/>
  <c r="U20" i="108"/>
  <c r="AC20" i="108"/>
  <c r="Y21" i="108"/>
  <c r="P57" i="108"/>
  <c r="P55" i="108"/>
  <c r="P52" i="108"/>
  <c r="P35" i="108"/>
  <c r="P21" i="108"/>
  <c r="O13" i="108"/>
  <c r="P12" i="108"/>
  <c r="AA10" i="108"/>
  <c r="O53" i="108"/>
  <c r="O48" i="108"/>
  <c r="P46" i="108"/>
  <c r="O38" i="108"/>
  <c r="P45" i="108"/>
  <c r="P38" i="108"/>
  <c r="P32" i="108"/>
  <c r="O30" i="108"/>
  <c r="AB13" i="108"/>
  <c r="X13" i="108"/>
  <c r="O31" i="108"/>
  <c r="P24" i="108"/>
  <c r="P17" i="108"/>
  <c r="O14" i="108"/>
  <c r="O43" i="108"/>
  <c r="S11" i="108"/>
  <c r="P56" i="108"/>
  <c r="O55" i="108"/>
  <c r="P53" i="108"/>
  <c r="P51" i="108"/>
  <c r="P48" i="108"/>
  <c r="W18" i="108"/>
  <c r="O39" i="108"/>
  <c r="P37" i="108"/>
  <c r="W16" i="108"/>
  <c r="P27" i="108"/>
  <c r="AC12" i="108"/>
  <c r="U12" i="108"/>
  <c r="Y11" i="108"/>
  <c r="P13" i="108"/>
  <c r="O12" i="108"/>
  <c r="P11" i="108"/>
  <c r="AC10" i="108"/>
  <c r="P10" i="108"/>
  <c r="O52" i="108"/>
  <c r="P47" i="108"/>
  <c r="P26" i="108"/>
  <c r="U24" i="94"/>
  <c r="AC26" i="94"/>
  <c r="O51" i="108"/>
  <c r="O47" i="108"/>
  <c r="O26" i="108"/>
  <c r="O22" i="108"/>
  <c r="O18" i="108"/>
  <c r="U10" i="108"/>
  <c r="P54" i="108"/>
  <c r="O50" i="108"/>
  <c r="W14" i="108"/>
  <c r="W17" i="108"/>
  <c r="AA19" i="108"/>
  <c r="W20" i="108"/>
  <c r="S21" i="108"/>
  <c r="U19" i="108"/>
  <c r="AA14" i="108"/>
  <c r="AA16" i="108"/>
  <c r="AA18" i="108"/>
  <c r="AC19" i="108"/>
  <c r="Y20" i="108"/>
  <c r="U21" i="108"/>
  <c r="AC21" i="108"/>
  <c r="Z12" i="108"/>
  <c r="O44" i="108"/>
  <c r="AB14" i="108"/>
  <c r="X14" i="108"/>
  <c r="T14" i="108"/>
  <c r="V13" i="108"/>
  <c r="AA13" i="108"/>
  <c r="O46" i="108"/>
  <c r="S18" i="108"/>
  <c r="S16" i="108"/>
  <c r="S14" i="108"/>
  <c r="O45" i="108"/>
  <c r="P41" i="108"/>
  <c r="P39" i="108"/>
  <c r="AD17" i="108"/>
  <c r="Z17" i="108"/>
  <c r="V17" i="108"/>
  <c r="O37" i="108"/>
  <c r="O32" i="108"/>
  <c r="AD15" i="108"/>
  <c r="Z15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W13" i="108"/>
  <c r="P20" i="108"/>
  <c r="O17" i="108"/>
  <c r="P15" i="108"/>
  <c r="AA11" i="108"/>
  <c r="P14" i="108"/>
  <c r="AA21" i="108"/>
  <c r="W10" i="108"/>
  <c r="W41" i="108" s="1"/>
  <c r="S10" i="108"/>
  <c r="S19" i="108"/>
  <c r="S17" i="108"/>
  <c r="AD12" i="108"/>
  <c r="AD14" i="108"/>
  <c r="Z14" i="108"/>
  <c r="V14" i="108"/>
  <c r="X12" i="108"/>
  <c r="AC18" i="108"/>
  <c r="Y18" i="108"/>
  <c r="U18" i="108"/>
  <c r="AC17" i="108"/>
  <c r="Y17" i="108"/>
  <c r="AC16" i="108"/>
  <c r="Y16" i="108"/>
  <c r="U16" i="108"/>
  <c r="Y14" i="108"/>
  <c r="AC13" i="108"/>
  <c r="Y13" i="108"/>
  <c r="U13" i="108"/>
  <c r="W11" i="108"/>
  <c r="AB11" i="108"/>
  <c r="O41" i="108"/>
  <c r="O33" i="108"/>
  <c r="O25" i="108"/>
  <c r="V15" i="108"/>
  <c r="O23" i="108"/>
  <c r="O19" i="108"/>
  <c r="O15" i="108"/>
  <c r="P50" i="108"/>
  <c r="P42" i="108"/>
  <c r="P34" i="108"/>
  <c r="S12" i="108"/>
  <c r="O54" i="108"/>
  <c r="O42" i="108"/>
  <c r="O34" i="108"/>
  <c r="P18" i="108"/>
  <c r="AB12" i="108"/>
  <c r="T12" i="108"/>
  <c r="U17" i="108"/>
  <c r="AC15" i="108"/>
  <c r="Y15" i="108"/>
  <c r="U15" i="108"/>
  <c r="AC14" i="108"/>
  <c r="U14" i="108"/>
  <c r="U11" i="108"/>
  <c r="Z38" i="105"/>
  <c r="V38" i="105"/>
  <c r="AC15" i="107"/>
  <c r="W15" i="107"/>
  <c r="U15" i="107"/>
  <c r="AC10" i="107"/>
  <c r="W10" i="107"/>
  <c r="U10" i="107"/>
  <c r="X38" i="105"/>
  <c r="O57" i="107"/>
  <c r="Y15" i="107"/>
  <c r="Z11" i="107"/>
  <c r="AC35" i="105"/>
  <c r="U38" i="105"/>
  <c r="AD21" i="107"/>
  <c r="AB21" i="107"/>
  <c r="Z21" i="107"/>
  <c r="X21" i="107"/>
  <c r="V21" i="107"/>
  <c r="T21" i="107"/>
  <c r="AD20" i="107"/>
  <c r="Z20" i="107"/>
  <c r="V20" i="107"/>
  <c r="AB19" i="107"/>
  <c r="X19" i="107"/>
  <c r="T19" i="107"/>
  <c r="AB18" i="107"/>
  <c r="X18" i="107"/>
  <c r="V18" i="107"/>
  <c r="AD17" i="107"/>
  <c r="Z17" i="107"/>
  <c r="V17" i="107"/>
  <c r="O37" i="107"/>
  <c r="P36" i="107"/>
  <c r="P35" i="107"/>
  <c r="AB16" i="107"/>
  <c r="X16" i="107"/>
  <c r="T16" i="107"/>
  <c r="O32" i="107"/>
  <c r="P31" i="107"/>
  <c r="AB15" i="107"/>
  <c r="X15" i="107"/>
  <c r="T15" i="107"/>
  <c r="P28" i="107"/>
  <c r="AD14" i="107"/>
  <c r="Z14" i="107"/>
  <c r="V14" i="107"/>
  <c r="O25" i="107"/>
  <c r="AD13" i="107"/>
  <c r="Z13" i="107"/>
  <c r="V13" i="107"/>
  <c r="O19" i="107"/>
  <c r="AB12" i="107"/>
  <c r="Z12" i="107"/>
  <c r="V12" i="107"/>
  <c r="T12" i="107"/>
  <c r="P18" i="107"/>
  <c r="O17" i="107"/>
  <c r="O15" i="107"/>
  <c r="AD11" i="107"/>
  <c r="AB11" i="107"/>
  <c r="T11" i="107"/>
  <c r="P14" i="107"/>
  <c r="AB20" i="107"/>
  <c r="X20" i="107"/>
  <c r="T20" i="107"/>
  <c r="AD19" i="107"/>
  <c r="Z19" i="107"/>
  <c r="V19" i="107"/>
  <c r="AD18" i="107"/>
  <c r="Z18" i="107"/>
  <c r="T18" i="107"/>
  <c r="AB17" i="107"/>
  <c r="X17" i="107"/>
  <c r="T17" i="107"/>
  <c r="AD16" i="107"/>
  <c r="Z16" i="107"/>
  <c r="V16" i="107"/>
  <c r="P33" i="107"/>
  <c r="O33" i="107"/>
  <c r="AD15" i="107"/>
  <c r="Z15" i="107"/>
  <c r="V15" i="107"/>
  <c r="O29" i="107"/>
  <c r="O27" i="107"/>
  <c r="AB14" i="107"/>
  <c r="X14" i="107"/>
  <c r="T14" i="107"/>
  <c r="P24" i="107"/>
  <c r="AB13" i="107"/>
  <c r="X13" i="107"/>
  <c r="P22" i="107"/>
  <c r="T13" i="107"/>
  <c r="O22" i="107"/>
  <c r="O20" i="107"/>
  <c r="AD12" i="107"/>
  <c r="X12" i="107"/>
  <c r="X11" i="107"/>
  <c r="V11" i="107"/>
  <c r="O13" i="107"/>
  <c r="O11" i="107"/>
  <c r="AB10" i="107"/>
  <c r="Z10" i="107"/>
  <c r="X10" i="107"/>
  <c r="T10" i="107"/>
  <c r="P57" i="107"/>
  <c r="P56" i="107"/>
  <c r="O56" i="107"/>
  <c r="P55" i="107"/>
  <c r="O55" i="107"/>
  <c r="AC21" i="107"/>
  <c r="AA21" i="107"/>
  <c r="Y21" i="107"/>
  <c r="W21" i="107"/>
  <c r="U21" i="107"/>
  <c r="S21" i="107"/>
  <c r="P54" i="107"/>
  <c r="O54" i="107"/>
  <c r="P53" i="107"/>
  <c r="O53" i="107"/>
  <c r="O52" i="107"/>
  <c r="P52" i="107"/>
  <c r="O51" i="107"/>
  <c r="P51" i="107"/>
  <c r="AC20" i="107"/>
  <c r="AA20" i="107"/>
  <c r="Y20" i="107"/>
  <c r="W20" i="107"/>
  <c r="U20" i="107"/>
  <c r="O50" i="107"/>
  <c r="P50" i="107"/>
  <c r="S20" i="107"/>
  <c r="P49" i="107"/>
  <c r="O49" i="107"/>
  <c r="P48" i="107"/>
  <c r="O48" i="107"/>
  <c r="P47" i="107"/>
  <c r="O47" i="107"/>
  <c r="AC19" i="107"/>
  <c r="AA19" i="107"/>
  <c r="Y19" i="107"/>
  <c r="W19" i="107"/>
  <c r="U19" i="107"/>
  <c r="S19" i="107"/>
  <c r="S36" i="107" s="1"/>
  <c r="O46" i="107"/>
  <c r="P46" i="107"/>
  <c r="P45" i="107"/>
  <c r="O45" i="107"/>
  <c r="O44" i="107"/>
  <c r="P44" i="107"/>
  <c r="O43" i="107"/>
  <c r="P43" i="107"/>
  <c r="AC18" i="107"/>
  <c r="AA18" i="107"/>
  <c r="Y18" i="107"/>
  <c r="W18" i="107"/>
  <c r="U18" i="107"/>
  <c r="O42" i="107"/>
  <c r="P42" i="107"/>
  <c r="S18" i="107"/>
  <c r="P41" i="107"/>
  <c r="O41" i="107"/>
  <c r="P40" i="107"/>
  <c r="P39" i="107"/>
  <c r="AC17" i="107"/>
  <c r="Y17" i="107"/>
  <c r="W17" i="107"/>
  <c r="U17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AA17" i="107"/>
  <c r="S17" i="107"/>
  <c r="AC16" i="107"/>
  <c r="AA16" i="107"/>
  <c r="Y16" i="107"/>
  <c r="W16" i="107"/>
  <c r="U16" i="107"/>
  <c r="AA15" i="107"/>
  <c r="S15" i="107"/>
  <c r="AC14" i="107"/>
  <c r="AA14" i="107"/>
  <c r="Y14" i="107"/>
  <c r="W14" i="107"/>
  <c r="U14" i="107"/>
  <c r="S14" i="107"/>
  <c r="AC13" i="107"/>
  <c r="AA13" i="107"/>
  <c r="Y13" i="107"/>
  <c r="W13" i="107"/>
  <c r="U13" i="107"/>
  <c r="S13" i="107"/>
  <c r="P20" i="107"/>
  <c r="P19" i="107"/>
  <c r="AC12" i="107"/>
  <c r="AA12" i="107"/>
  <c r="Y12" i="107"/>
  <c r="W12" i="107"/>
  <c r="U12" i="107"/>
  <c r="S12" i="107"/>
  <c r="P16" i="107"/>
  <c r="P15" i="107"/>
  <c r="AC11" i="107"/>
  <c r="AA11" i="107"/>
  <c r="Y11" i="107"/>
  <c r="W11" i="107"/>
  <c r="U11" i="107"/>
  <c r="S11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S16" i="107"/>
  <c r="P34" i="107"/>
  <c r="O30" i="107"/>
  <c r="Y10" i="107"/>
  <c r="AB38" i="105"/>
  <c r="T38" i="105"/>
  <c r="AD10" i="107"/>
  <c r="AD41" i="107" s="1"/>
  <c r="V10" i="107"/>
  <c r="AA10" i="107"/>
  <c r="P10" i="107"/>
  <c r="S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C59" i="97" s="1"/>
  <c r="C60" i="97" s="1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A41" i="107" l="1"/>
  <c r="AC41" i="108"/>
  <c r="V41" i="108"/>
  <c r="V41" i="107"/>
  <c r="AD39" i="107"/>
  <c r="S41" i="108"/>
  <c r="AA41" i="108"/>
  <c r="T41" i="107"/>
  <c r="AB41" i="108"/>
  <c r="X41" i="107"/>
  <c r="U41" i="107"/>
  <c r="U41" i="108"/>
  <c r="Y34" i="108"/>
  <c r="T41" i="108"/>
  <c r="V36" i="108"/>
  <c r="O106" i="107"/>
  <c r="Y41" i="107"/>
  <c r="U36" i="107"/>
  <c r="Z41" i="107"/>
  <c r="W41" i="107"/>
  <c r="S41" i="107"/>
  <c r="AB41" i="107"/>
  <c r="AC41" i="107"/>
  <c r="AA42" i="110"/>
  <c r="AD41" i="108"/>
  <c r="P106" i="107"/>
  <c r="P106" i="108"/>
  <c r="O106" i="108"/>
  <c r="X41" i="108"/>
  <c r="U39" i="107"/>
  <c r="X42" i="109"/>
  <c r="V22" i="93"/>
  <c r="AE24" i="98"/>
  <c r="V39" i="107"/>
  <c r="AF10" i="10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D36" i="108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Z36" i="108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V39" i="108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AB36" i="108"/>
  <c r="AD37" i="108"/>
  <c r="P10" i="111"/>
  <c r="X19" i="111"/>
  <c r="W10" i="111"/>
  <c r="O22" i="111"/>
  <c r="P31" i="111"/>
  <c r="W16" i="111"/>
  <c r="V10" i="111"/>
  <c r="T10" i="111"/>
  <c r="T41" i="111" s="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AD39" i="108"/>
  <c r="Z39" i="108"/>
  <c r="O34" i="111"/>
  <c r="P17" i="111"/>
  <c r="O21" i="111"/>
  <c r="O37" i="111"/>
  <c r="P41" i="111"/>
  <c r="O42" i="111"/>
  <c r="U20" i="111"/>
  <c r="P53" i="111"/>
  <c r="X10" i="111"/>
  <c r="X41" i="111" s="1"/>
  <c r="T39" i="108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AD41" i="111" s="1"/>
  <c r="P36" i="111"/>
  <c r="O57" i="111"/>
  <c r="X36" i="108"/>
  <c r="V34" i="108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X39" i="108"/>
  <c r="T36" i="108"/>
  <c r="AB39" i="108"/>
  <c r="V37" i="108"/>
  <c r="T34" i="108"/>
  <c r="F108" i="110"/>
  <c r="AA10" i="111"/>
  <c r="H108" i="110"/>
  <c r="N108" i="110"/>
  <c r="X34" i="108"/>
  <c r="AE39" i="110"/>
  <c r="W42" i="110"/>
  <c r="Z34" i="108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AE21" i="108"/>
  <c r="AD38" i="108"/>
  <c r="AE20" i="107"/>
  <c r="T39" i="107"/>
  <c r="AB39" i="107"/>
  <c r="Z37" i="108"/>
  <c r="Z38" i="108"/>
  <c r="AF11" i="108"/>
  <c r="AC36" i="108"/>
  <c r="Y39" i="108"/>
  <c r="AF21" i="108"/>
  <c r="AC34" i="108"/>
  <c r="AE10" i="108"/>
  <c r="AF19" i="108"/>
  <c r="U39" i="108"/>
  <c r="W36" i="108"/>
  <c r="T38" i="108"/>
  <c r="Y37" i="108"/>
  <c r="AD34" i="107"/>
  <c r="S38" i="107"/>
  <c r="AC34" i="107"/>
  <c r="V34" i="107"/>
  <c r="AD40" i="108"/>
  <c r="AA39" i="108"/>
  <c r="AA35" i="108"/>
  <c r="T35" i="108"/>
  <c r="AB35" i="108"/>
  <c r="AE12" i="108"/>
  <c r="X38" i="108"/>
  <c r="AC37" i="108"/>
  <c r="X40" i="108"/>
  <c r="AE18" i="108"/>
  <c r="S37" i="108"/>
  <c r="AE19" i="108"/>
  <c r="W39" i="108"/>
  <c r="AD38" i="107"/>
  <c r="X35" i="108"/>
  <c r="AF20" i="108"/>
  <c r="AE17" i="108"/>
  <c r="AC40" i="108"/>
  <c r="AA40" i="108"/>
  <c r="AE14" i="108"/>
  <c r="AF14" i="108"/>
  <c r="AE15" i="108"/>
  <c r="V38" i="108"/>
  <c r="AF17" i="108"/>
  <c r="S35" i="108"/>
  <c r="Y36" i="108"/>
  <c r="AC39" i="108"/>
  <c r="AE20" i="108"/>
  <c r="AE13" i="108"/>
  <c r="H108" i="108"/>
  <c r="U36" i="108"/>
  <c r="V36" i="107"/>
  <c r="AD37" i="107"/>
  <c r="AD35" i="107"/>
  <c r="C107" i="107"/>
  <c r="V37" i="107"/>
  <c r="Y37" i="107"/>
  <c r="W34" i="107"/>
  <c r="U40" i="108"/>
  <c r="AF12" i="108"/>
  <c r="AF18" i="108"/>
  <c r="AA38" i="108"/>
  <c r="AE11" i="108"/>
  <c r="AD36" i="107"/>
  <c r="Y34" i="107"/>
  <c r="Z40" i="107"/>
  <c r="AB35" i="107"/>
  <c r="Z36" i="107"/>
  <c r="AD34" i="108"/>
  <c r="U37" i="108"/>
  <c r="AB38" i="108"/>
  <c r="AB40" i="108"/>
  <c r="S38" i="108"/>
  <c r="S40" i="108"/>
  <c r="AA34" i="108"/>
  <c r="Y40" i="108"/>
  <c r="Y42" i="108" s="1"/>
  <c r="V35" i="108"/>
  <c r="AD35" i="108"/>
  <c r="AF13" i="108"/>
  <c r="AF15" i="108"/>
  <c r="AE16" i="108"/>
  <c r="Z40" i="108"/>
  <c r="Z42" i="108" s="1"/>
  <c r="F107" i="105"/>
  <c r="AE12" i="107"/>
  <c r="AE16" i="107"/>
  <c r="AF18" i="107"/>
  <c r="S39" i="108"/>
  <c r="S36" i="108"/>
  <c r="W38" i="108"/>
  <c r="W35" i="108"/>
  <c r="H107" i="108"/>
  <c r="V40" i="108"/>
  <c r="Z35" i="108"/>
  <c r="U34" i="108"/>
  <c r="T40" i="108"/>
  <c r="S34" i="108"/>
  <c r="AF16" i="108"/>
  <c r="AA37" i="108"/>
  <c r="AA36" i="108"/>
  <c r="AB34" i="108"/>
  <c r="AB37" i="108"/>
  <c r="W40" i="108"/>
  <c r="W42" i="108" s="1"/>
  <c r="W37" i="108"/>
  <c r="W34" i="108"/>
  <c r="Y38" i="108"/>
  <c r="Y35" i="108"/>
  <c r="T37" i="108"/>
  <c r="X37" i="108"/>
  <c r="Y40" i="107"/>
  <c r="AE14" i="107"/>
  <c r="AE18" i="107"/>
  <c r="T38" i="107"/>
  <c r="V38" i="107"/>
  <c r="X36" i="107"/>
  <c r="U37" i="107"/>
  <c r="U38" i="108"/>
  <c r="U35" i="108"/>
  <c r="AC38" i="108"/>
  <c r="AC35" i="108"/>
  <c r="X35" i="107"/>
  <c r="T36" i="107"/>
  <c r="AB36" i="107"/>
  <c r="AC40" i="107"/>
  <c r="E107" i="105"/>
  <c r="V40" i="107"/>
  <c r="Z37" i="107"/>
  <c r="AE10" i="107"/>
  <c r="AF10" i="107"/>
  <c r="AC38" i="107"/>
  <c r="D107" i="105"/>
  <c r="C107" i="105"/>
  <c r="Z34" i="107"/>
  <c r="AE15" i="107"/>
  <c r="S35" i="107"/>
  <c r="U40" i="107"/>
  <c r="AC37" i="107"/>
  <c r="U35" i="107"/>
  <c r="Y35" i="107"/>
  <c r="AC35" i="107"/>
  <c r="AE19" i="107"/>
  <c r="AE21" i="107"/>
  <c r="X40" i="107"/>
  <c r="AB40" i="107"/>
  <c r="X38" i="107"/>
  <c r="Z35" i="107"/>
  <c r="AF35" i="105"/>
  <c r="AE17" i="107"/>
  <c r="AE13" i="107"/>
  <c r="AF15" i="107"/>
  <c r="H108" i="107"/>
  <c r="T40" i="107"/>
  <c r="AE11" i="107"/>
  <c r="V35" i="107"/>
  <c r="AD40" i="107"/>
  <c r="AD42" i="107" s="1"/>
  <c r="AB38" i="107"/>
  <c r="X39" i="107"/>
  <c r="Z39" i="107"/>
  <c r="W40" i="107"/>
  <c r="D108" i="105"/>
  <c r="F108" i="105"/>
  <c r="C108" i="105"/>
  <c r="E108" i="105"/>
  <c r="U34" i="107"/>
  <c r="T35" i="107"/>
  <c r="Z38" i="107"/>
  <c r="U38" i="107"/>
  <c r="Y38" i="107"/>
  <c r="W37" i="107"/>
  <c r="AF16" i="107"/>
  <c r="AF14" i="107"/>
  <c r="W38" i="107"/>
  <c r="W35" i="107"/>
  <c r="AA35" i="107"/>
  <c r="AA38" i="107"/>
  <c r="Y39" i="107"/>
  <c r="Y36" i="107"/>
  <c r="AC39" i="107"/>
  <c r="AC36" i="107"/>
  <c r="AF19" i="107"/>
  <c r="AF21" i="107"/>
  <c r="T37" i="107"/>
  <c r="T34" i="107"/>
  <c r="AF13" i="107"/>
  <c r="AF17" i="107"/>
  <c r="W39" i="107"/>
  <c r="W36" i="107"/>
  <c r="AA36" i="107"/>
  <c r="AA39" i="107"/>
  <c r="S39" i="107"/>
  <c r="AF20" i="107"/>
  <c r="X37" i="107"/>
  <c r="X34" i="107"/>
  <c r="AB34" i="107"/>
  <c r="AB37" i="107"/>
  <c r="AF11" i="107"/>
  <c r="AF12" i="107"/>
  <c r="AA40" i="107"/>
  <c r="AA37" i="107"/>
  <c r="AA34" i="107"/>
  <c r="S37" i="107"/>
  <c r="S40" i="107"/>
  <c r="S34" i="107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D60" i="97" s="1"/>
  <c r="F59" i="97"/>
  <c r="H59" i="97"/>
  <c r="J59" i="97"/>
  <c r="L59" i="97"/>
  <c r="N59" i="97"/>
  <c r="E59" i="97"/>
  <c r="G59" i="97"/>
  <c r="I59" i="97"/>
  <c r="K59" i="97"/>
  <c r="AF26" i="97"/>
  <c r="AF23" i="97"/>
  <c r="AE28" i="98"/>
  <c r="AE25" i="98"/>
  <c r="AE22" i="98"/>
  <c r="F60" i="97"/>
  <c r="H60" i="97"/>
  <c r="J60" i="97"/>
  <c r="L60" i="97"/>
  <c r="N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S42" i="107" l="1"/>
  <c r="T42" i="108"/>
  <c r="AA42" i="108"/>
  <c r="AF41" i="107"/>
  <c r="Y41" i="111"/>
  <c r="W41" i="111"/>
  <c r="AF41" i="108"/>
  <c r="W42" i="107"/>
  <c r="S42" i="108"/>
  <c r="AE41" i="107"/>
  <c r="Z42" i="107"/>
  <c r="U42" i="108"/>
  <c r="AA41" i="111"/>
  <c r="AB41" i="111"/>
  <c r="Z41" i="111"/>
  <c r="AD42" i="108"/>
  <c r="U42" i="107"/>
  <c r="V42" i="107"/>
  <c r="AC41" i="111"/>
  <c r="AC42" i="111" s="1"/>
  <c r="Y42" i="107"/>
  <c r="X42" i="107"/>
  <c r="U41" i="111"/>
  <c r="V41" i="111"/>
  <c r="V42" i="111" s="1"/>
  <c r="V42" i="108"/>
  <c r="AE41" i="108"/>
  <c r="S41" i="111"/>
  <c r="S42" i="111" s="1"/>
  <c r="AC42" i="107"/>
  <c r="AB42" i="108"/>
  <c r="AC42" i="108"/>
  <c r="X42" i="108"/>
  <c r="AB42" i="107"/>
  <c r="T42" i="107"/>
  <c r="AA42" i="107"/>
  <c r="O106" i="111"/>
  <c r="P106" i="111"/>
  <c r="AD37" i="11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AD42" i="111" s="1"/>
  <c r="X40" i="111"/>
  <c r="X42" i="111" s="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T42" i="111" s="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AF39" i="108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AE39" i="108"/>
  <c r="AE37" i="108"/>
  <c r="F108" i="108"/>
  <c r="AE36" i="108"/>
  <c r="AF36" i="108"/>
  <c r="AF34" i="108"/>
  <c r="C108" i="108"/>
  <c r="K108" i="108"/>
  <c r="N108" i="108"/>
  <c r="AF40" i="108"/>
  <c r="K108" i="107"/>
  <c r="L108" i="108"/>
  <c r="D108" i="108"/>
  <c r="I108" i="108"/>
  <c r="E108" i="108"/>
  <c r="J108" i="108"/>
  <c r="AF37" i="108"/>
  <c r="AE38" i="108"/>
  <c r="AE39" i="107"/>
  <c r="AF35" i="108"/>
  <c r="AE35" i="108"/>
  <c r="D107" i="107"/>
  <c r="G107" i="107"/>
  <c r="J107" i="107"/>
  <c r="N108" i="107"/>
  <c r="G108" i="107"/>
  <c r="D107" i="108"/>
  <c r="M107" i="108"/>
  <c r="K107" i="108"/>
  <c r="L108" i="107"/>
  <c r="AE40" i="108"/>
  <c r="AF40" i="107"/>
  <c r="F107" i="107"/>
  <c r="I107" i="107"/>
  <c r="E107" i="107"/>
  <c r="N107" i="107"/>
  <c r="C107" i="108"/>
  <c r="AE34" i="108"/>
  <c r="N107" i="108"/>
  <c r="F107" i="108"/>
  <c r="I107" i="108"/>
  <c r="E107" i="108"/>
  <c r="H107" i="107"/>
  <c r="AF38" i="108"/>
  <c r="AE37" i="107"/>
  <c r="AE35" i="107"/>
  <c r="AF34" i="107"/>
  <c r="AE40" i="107"/>
  <c r="AE38" i="107"/>
  <c r="AE36" i="107"/>
  <c r="AE34" i="107"/>
  <c r="D108" i="107"/>
  <c r="J108" i="107"/>
  <c r="I108" i="107"/>
  <c r="E108" i="107"/>
  <c r="AF37" i="107"/>
  <c r="AF35" i="107"/>
  <c r="AF38" i="107"/>
  <c r="AF36" i="107"/>
  <c r="AF39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4" i="111" l="1"/>
  <c r="AF41" i="111"/>
  <c r="U42" i="111"/>
  <c r="Z42" i="111"/>
  <c r="AF42" i="108"/>
  <c r="AB42" i="111"/>
  <c r="W42" i="111"/>
  <c r="AA42" i="111"/>
  <c r="Y42" i="111"/>
  <c r="AE41" i="111"/>
  <c r="AF42" i="107"/>
  <c r="AE42" i="108"/>
  <c r="AE42" i="107"/>
  <c r="AF37" i="11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  <c r="AE42" i="111" l="1"/>
  <c r="AF42" i="111"/>
</calcChain>
</file>

<file path=xl/sharedStrings.xml><?xml version="1.0" encoding="utf-8"?>
<sst xmlns="http://schemas.openxmlformats.org/spreadsheetml/2006/main" count="2358" uniqueCount="181">
  <si>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</si>
  <si>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</si>
  <si>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</si>
  <si>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</si>
  <si>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</si>
  <si>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</si>
  <si>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</si>
  <si>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</si>
  <si>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</si>
  <si>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</si>
  <si>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</si>
  <si>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</si>
  <si>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</si>
  <si>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</si>
  <si>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</si>
  <si>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</si>
  <si>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</si>
  <si>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</si>
  <si>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</si>
  <si>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</si>
  <si>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</si>
  <si>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</si>
  <si>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</si>
  <si>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</si>
  <si>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</si>
  <si>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</si>
  <si>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</si>
  <si>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</si>
  <si>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</si>
  <si>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</si>
  <si>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</si>
  <si>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</si>
  <si>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</si>
  <si>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</si>
  <si>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</si>
  <si>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</si>
  <si>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</si>
  <si>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</si>
  <si>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</si>
  <si>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</si>
  <si>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</si>
  <si>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</si>
  <si>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</si>
  <si>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</si>
  <si>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</si>
  <si>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</si>
  <si>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</si>
  <si>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</si>
  <si>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</si>
  <si>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</si>
  <si>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</si>
  <si>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</si>
  <si>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</si>
  <si>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</si>
  <si>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</si>
  <si>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</si>
  <si>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</si>
  <si>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</si>
  <si>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</si>
  <si>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</si>
  <si>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</si>
  <si>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</si>
  <si>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</si>
  <si>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</si>
  <si>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</si>
  <si>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</si>
  <si>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</si>
  <si>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</si>
  <si>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</si>
  <si>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</si>
  <si>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</si>
  <si>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</si>
  <si>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</si>
  <si>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</si>
  <si>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</si>
  <si>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</si>
  <si>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</si>
  <si>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</si>
  <si>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</si>
  <si>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</si>
  <si>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</si>
  <si>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</si>
  <si>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</si>
  <si>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</si>
  <si>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</si>
  <si>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</si>
  <si>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</si>
  <si>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</si>
  <si>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</si>
  <si>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</si>
  <si>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</si>
  <si>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</si>
  <si>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</si>
  <si>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</si>
  <si>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</si>
  <si>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</si>
  <si>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</si>
  <si>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</si>
  <si>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</si>
  <si>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</si>
  <si>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</si>
  <si>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</si>
  <si>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</si>
  <si>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</si>
  <si>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</si>
  <si>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</si>
  <si>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</si>
  <si>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</si>
  <si>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</si>
  <si>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</si>
  <si>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</si>
  <si>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</si>
  <si>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</si>
  <si>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</si>
  <si>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</si>
  <si>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</si>
  <si>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</si>
  <si>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</si>
  <si>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</si>
  <si>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</si>
  <si>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</si>
  <si>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</si>
  <si>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</si>
  <si>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</si>
  <si>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</si>
  <si>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</si>
  <si>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</si>
  <si>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</si>
  <si>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</si>
  <si>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</si>
  <si>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</si>
  <si>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</si>
  <si>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</si>
  <si>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</si>
  <si>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</si>
  <si>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</si>
  <si>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</si>
  <si>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</si>
  <si>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</si>
  <si>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</si>
  <si>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</si>
  <si>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</si>
  <si>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</si>
  <si>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</si>
  <si>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</si>
  <si>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</si>
  <si>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</si>
  <si>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</si>
  <si>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</si>
  <si>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</si>
  <si>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</si>
  <si>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</si>
  <si>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</si>
  <si>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</si>
  <si>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</si>
  <si>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</si>
  <si>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</si>
  <si>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</si>
  <si>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</si>
  <si>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</si>
  <si>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</si>
  <si>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</si>
  <si>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</si>
  <si>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25.10.2019</t>
  </si>
  <si>
    <t>ISINGIRO</t>
  </si>
  <si>
    <t>KASENYI</t>
  </si>
  <si>
    <t>MBARARA</t>
  </si>
  <si>
    <t>MIREMBE RUTH</t>
  </si>
  <si>
    <t>26.10.2019</t>
  </si>
  <si>
    <t>AMOS A</t>
  </si>
  <si>
    <t>MUSINGUZI</t>
  </si>
  <si>
    <t>27.10.2019</t>
  </si>
  <si>
    <t>MUHUMUZA I</t>
  </si>
  <si>
    <t>28.10.2019</t>
  </si>
  <si>
    <t>ATUHAIRE JAYSON</t>
  </si>
  <si>
    <t>29.10.2019</t>
  </si>
  <si>
    <t>30.10 2019</t>
  </si>
  <si>
    <t>31.10.2019</t>
  </si>
  <si>
    <t>MCC-C4-STN100A-MBARARA-ISINGIRO ROAD</t>
  </si>
  <si>
    <t>XXXX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</si>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</sst>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68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2" fillId="5" borderId="0" xfId="0" applyFont="1" applyFill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2" fillId="0" borderId="9" xfId="0" applyFont="1" applyFill="1" applyBorder="1" applyAlignment="1">
      <alignment horizontal="center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Isingiro-Mbarara'!$AE$9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Isingiro-Mbarara'!$AE$10:$AE$21</c:f>
              <c:numCache>
                <c:formatCode>0</c:formatCode>
                <c:ptCount val="12"/>
                <c:pt idx="0">
                  <c:v>80</c:v>
                </c:pt>
                <c:pt idx="1">
                  <c:v>90</c:v>
                </c:pt>
                <c:pt idx="2">
                  <c:v>94</c:v>
                </c:pt>
                <c:pt idx="3">
                  <c:v>96</c:v>
                </c:pt>
                <c:pt idx="4">
                  <c:v>97</c:v>
                </c:pt>
                <c:pt idx="5">
                  <c:v>77</c:v>
                </c:pt>
                <c:pt idx="6">
                  <c:v>89</c:v>
                </c:pt>
                <c:pt idx="7">
                  <c:v>66</c:v>
                </c:pt>
                <c:pt idx="8">
                  <c:v>73</c:v>
                </c:pt>
                <c:pt idx="9">
                  <c:v>94</c:v>
                </c:pt>
                <c:pt idx="10">
                  <c:v>93</c:v>
                </c:pt>
                <c:pt idx="11">
                  <c:v>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'25.10 Isingiro-Mbarara'!$AF$9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Isingiro-Mbarara'!$AF$10:$AF$21</c:f>
              <c:numCache>
                <c:formatCode>0</c:formatCode>
                <c:ptCount val="12"/>
                <c:pt idx="0">
                  <c:v>271</c:v>
                </c:pt>
                <c:pt idx="1">
                  <c:v>295</c:v>
                </c:pt>
                <c:pt idx="2">
                  <c:v>267</c:v>
                </c:pt>
                <c:pt idx="3">
                  <c:v>238</c:v>
                </c:pt>
                <c:pt idx="4">
                  <c:v>227</c:v>
                </c:pt>
                <c:pt idx="5">
                  <c:v>227</c:v>
                </c:pt>
                <c:pt idx="6">
                  <c:v>223</c:v>
                </c:pt>
                <c:pt idx="7">
                  <c:v>131</c:v>
                </c:pt>
                <c:pt idx="8">
                  <c:v>138</c:v>
                </c:pt>
                <c:pt idx="9">
                  <c:v>250</c:v>
                </c:pt>
                <c:pt idx="10">
                  <c:v>268</c:v>
                </c:pt>
                <c:pt idx="11">
                  <c:v>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707408"/>
        <c:axId val="-1310709040"/>
      </c:lineChart>
      <c:catAx>
        <c:axId val="-1310707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9040"/>
        <c:crosses val="autoZero"/>
        <c:auto val="1"/>
        <c:lblAlgn val="ctr"/>
        <c:lblOffset val="100"/>
        <c:noMultiLvlLbl val="0"/>
      </c:catAx>
      <c:valAx>
        <c:axId val="-131070904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Isingiro-Mbarara'!$C$59:$N$59</c:f>
              <c:numCache>
                <c:formatCode>0.0%</c:formatCode>
                <c:ptCount val="12"/>
                <c:pt idx="0">
                  <c:v>0.20064148253741981</c:v>
                </c:pt>
                <c:pt idx="1">
                  <c:v>2.7084818246614399E-2</c:v>
                </c:pt>
                <c:pt idx="2">
                  <c:v>3.5994297933000713E-2</c:v>
                </c:pt>
                <c:pt idx="3">
                  <c:v>4.7398431931575197E-2</c:v>
                </c:pt>
                <c:pt idx="4">
                  <c:v>7.1275837491090524E-4</c:v>
                </c:pt>
                <c:pt idx="5">
                  <c:v>0</c:v>
                </c:pt>
                <c:pt idx="6">
                  <c:v>3.4568781183178902E-2</c:v>
                </c:pt>
                <c:pt idx="7">
                  <c:v>1.8531717747683536E-2</c:v>
                </c:pt>
                <c:pt idx="8">
                  <c:v>2.4946543121881683E-3</c:v>
                </c:pt>
                <c:pt idx="9">
                  <c:v>3.2074126870990736E-3</c:v>
                </c:pt>
                <c:pt idx="10">
                  <c:v>0.6293656450463293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Isingiro-Mbarara'!$C$60:$N$60</c:f>
              <c:numCache>
                <c:formatCode>0.00%</c:formatCode>
                <c:ptCount val="12"/>
                <c:pt idx="0">
                  <c:v>0.54134615384615381</c:v>
                </c:pt>
                <c:pt idx="1">
                  <c:v>7.3076923076923081E-2</c:v>
                </c:pt>
                <c:pt idx="2">
                  <c:v>9.7115384615384617E-2</c:v>
                </c:pt>
                <c:pt idx="3">
                  <c:v>0.12788461538461537</c:v>
                </c:pt>
                <c:pt idx="4">
                  <c:v>1.9230769230769232E-3</c:v>
                </c:pt>
                <c:pt idx="5">
                  <c:v>0</c:v>
                </c:pt>
                <c:pt idx="6">
                  <c:v>9.3269230769230771E-2</c:v>
                </c:pt>
                <c:pt idx="7">
                  <c:v>0.05</c:v>
                </c:pt>
                <c:pt idx="8">
                  <c:v>6.7307692307692311E-3</c:v>
                </c:pt>
                <c:pt idx="9">
                  <c:v>8.6538461538461543E-3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Mbarara-Isingiro'!$AE$9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Mbarara-Isingiro'!$AE$10:$AE$21</c:f>
              <c:numCache>
                <c:formatCode>0</c:formatCode>
                <c:ptCount val="12"/>
                <c:pt idx="0">
                  <c:v>74</c:v>
                </c:pt>
                <c:pt idx="1">
                  <c:v>81</c:v>
                </c:pt>
                <c:pt idx="2">
                  <c:v>66</c:v>
                </c:pt>
                <c:pt idx="3">
                  <c:v>71</c:v>
                </c:pt>
                <c:pt idx="4">
                  <c:v>76</c:v>
                </c:pt>
                <c:pt idx="5">
                  <c:v>64</c:v>
                </c:pt>
                <c:pt idx="6">
                  <c:v>71</c:v>
                </c:pt>
                <c:pt idx="7">
                  <c:v>66</c:v>
                </c:pt>
                <c:pt idx="8">
                  <c:v>78</c:v>
                </c:pt>
                <c:pt idx="9">
                  <c:v>86</c:v>
                </c:pt>
                <c:pt idx="10">
                  <c:v>97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'25.10 Mbarara-Isingiro'!$AF$9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Mbarara-Isingiro'!$AF$10:$AF$21</c:f>
              <c:numCache>
                <c:formatCode>0</c:formatCode>
                <c:ptCount val="12"/>
                <c:pt idx="0">
                  <c:v>216</c:v>
                </c:pt>
                <c:pt idx="1">
                  <c:v>254</c:v>
                </c:pt>
                <c:pt idx="2">
                  <c:v>208</c:v>
                </c:pt>
                <c:pt idx="3">
                  <c:v>227</c:v>
                </c:pt>
                <c:pt idx="4">
                  <c:v>226</c:v>
                </c:pt>
                <c:pt idx="5">
                  <c:v>225</c:v>
                </c:pt>
                <c:pt idx="6">
                  <c:v>212</c:v>
                </c:pt>
                <c:pt idx="7">
                  <c:v>189</c:v>
                </c:pt>
                <c:pt idx="8">
                  <c:v>146</c:v>
                </c:pt>
                <c:pt idx="9">
                  <c:v>229</c:v>
                </c:pt>
                <c:pt idx="10">
                  <c:v>265</c:v>
                </c:pt>
                <c:pt idx="11">
                  <c:v>335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703600"/>
        <c:axId val="-1310705776"/>
      </c:lineChart>
      <c:catAx>
        <c:axId val="-13107036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5776"/>
        <c:crosses val="autoZero"/>
        <c:auto val="1"/>
        <c:lblAlgn val="ctr"/>
        <c:lblOffset val="100"/>
        <c:noMultiLvlLbl val="0"/>
      </c:catAx>
      <c:valAx>
        <c:axId val="-13107057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3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Mbarara-Isingiro'!$C$59:$N$59</c:f>
              <c:numCache>
                <c:formatCode>0.0%</c:formatCode>
                <c:ptCount val="12"/>
                <c:pt idx="0">
                  <c:v>0.15336749633967789</c:v>
                </c:pt>
                <c:pt idx="1">
                  <c:v>2.6720351390922402E-2</c:v>
                </c:pt>
                <c:pt idx="2">
                  <c:v>4.1727672035139093E-2</c:v>
                </c:pt>
                <c:pt idx="3">
                  <c:v>6.149341142020498E-2</c:v>
                </c:pt>
                <c:pt idx="4">
                  <c:v>7.320644216691069E-4</c:v>
                </c:pt>
                <c:pt idx="5">
                  <c:v>0</c:v>
                </c:pt>
                <c:pt idx="6">
                  <c:v>2.7086383601756955E-2</c:v>
                </c:pt>
                <c:pt idx="7">
                  <c:v>3.1478770131771597E-2</c:v>
                </c:pt>
                <c:pt idx="8">
                  <c:v>1.0980966325036604E-3</c:v>
                </c:pt>
                <c:pt idx="9">
                  <c:v>1.0980966325036604E-3</c:v>
                </c:pt>
                <c:pt idx="10">
                  <c:v>0.65519765739385061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'25.10 Mbarara-Isingiro'!$S$9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Mbarara-Isingiro'!$S$10:$S$21</c:f>
              <c:numCache>
                <c:formatCode>0</c:formatCode>
                <c:ptCount val="12"/>
                <c:pt idx="0">
                  <c:v>34</c:v>
                </c:pt>
                <c:pt idx="1">
                  <c:v>36</c:v>
                </c:pt>
                <c:pt idx="2">
                  <c:v>27</c:v>
                </c:pt>
                <c:pt idx="3">
                  <c:v>20</c:v>
                </c:pt>
                <c:pt idx="4">
                  <c:v>40</c:v>
                </c:pt>
                <c:pt idx="5">
                  <c:v>33</c:v>
                </c:pt>
                <c:pt idx="6">
                  <c:v>24</c:v>
                </c:pt>
                <c:pt idx="7">
                  <c:v>24</c:v>
                </c:pt>
                <c:pt idx="8">
                  <c:v>39</c:v>
                </c:pt>
                <c:pt idx="9">
                  <c:v>39</c:v>
                </c:pt>
                <c:pt idx="10">
                  <c:v>47</c:v>
                </c:pt>
                <c:pt idx="11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'25.10 Mbarara-Isingiro'!$T$9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'25.10 Mbarara-Isingiro'!$T$10:$T$21</c:f>
              <c:numCache>
                <c:formatCode>0</c:formatCode>
                <c:ptCount val="12"/>
                <c:pt idx="0">
                  <c:v>9</c:v>
                </c:pt>
                <c:pt idx="1">
                  <c:v>10</c:v>
                </c:pt>
                <c:pt idx="2">
                  <c:v>6</c:v>
                </c:pt>
                <c:pt idx="3">
                  <c:v>7</c:v>
                </c:pt>
                <c:pt idx="4">
                  <c:v>7</c:v>
                </c:pt>
                <c:pt idx="5">
                  <c:v>5</c:v>
                </c:pt>
                <c:pt idx="6">
                  <c:v>3</c:v>
                </c:pt>
                <c:pt idx="7">
                  <c:v>5</c:v>
                </c:pt>
                <c:pt idx="8">
                  <c:v>1</c:v>
                </c:pt>
                <c:pt idx="9">
                  <c:v>4</c:v>
                </c:pt>
                <c:pt idx="10">
                  <c:v>9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'25.10 Mbarara-Isingiro'!$U$9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Mbarara-Isingiro'!$U$10:$U$21</c:f>
              <c:numCache>
                <c:formatCode>0</c:formatCode>
                <c:ptCount val="12"/>
                <c:pt idx="0">
                  <c:v>11</c:v>
                </c:pt>
                <c:pt idx="1">
                  <c:v>15</c:v>
                </c:pt>
                <c:pt idx="2">
                  <c:v>8</c:v>
                </c:pt>
                <c:pt idx="3">
                  <c:v>14</c:v>
                </c:pt>
                <c:pt idx="4">
                  <c:v>9</c:v>
                </c:pt>
                <c:pt idx="5">
                  <c:v>3</c:v>
                </c:pt>
                <c:pt idx="6">
                  <c:v>8</c:v>
                </c:pt>
                <c:pt idx="7">
                  <c:v>6</c:v>
                </c:pt>
                <c:pt idx="8">
                  <c:v>7</c:v>
                </c:pt>
                <c:pt idx="9">
                  <c:v>6</c:v>
                </c:pt>
                <c:pt idx="10">
                  <c:v>14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'25.10 Mbarara-Isingiro'!$V$9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Mbarara-Isingiro'!$V$10:$V$21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8</c:v>
                </c:pt>
                <c:pt idx="3">
                  <c:v>14</c:v>
                </c:pt>
                <c:pt idx="4">
                  <c:v>4</c:v>
                </c:pt>
                <c:pt idx="5">
                  <c:v>13</c:v>
                </c:pt>
                <c:pt idx="6">
                  <c:v>20</c:v>
                </c:pt>
                <c:pt idx="7">
                  <c:v>20</c:v>
                </c:pt>
                <c:pt idx="8">
                  <c:v>18</c:v>
                </c:pt>
                <c:pt idx="9">
                  <c:v>23</c:v>
                </c:pt>
                <c:pt idx="10">
                  <c:v>18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'25.10 Mbarara-Isingiro'!$W$9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'25.10 Mbarara-Isingiro'!$X$9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'25.10 Mbarara-Isingiro'!$Y$9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Mbarara-Isingiro'!$Y$10:$Y$21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7</c:v>
                </c:pt>
                <c:pt idx="3">
                  <c:v>9</c:v>
                </c:pt>
                <c:pt idx="4">
                  <c:v>4</c:v>
                </c:pt>
                <c:pt idx="5">
                  <c:v>6</c:v>
                </c:pt>
                <c:pt idx="6">
                  <c:v>7</c:v>
                </c:pt>
                <c:pt idx="7">
                  <c:v>0</c:v>
                </c:pt>
                <c:pt idx="8">
                  <c:v>4</c:v>
                </c:pt>
                <c:pt idx="9">
                  <c:v>10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'25.10 Mbarara-Isingiro'!$Z$9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Mbarara-Isingiro'!$Z$10:$Z$21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9</c:v>
                </c:pt>
                <c:pt idx="3">
                  <c:v>6</c:v>
                </c:pt>
                <c:pt idx="4">
                  <c:v>12</c:v>
                </c:pt>
                <c:pt idx="5">
                  <c:v>4</c:v>
                </c:pt>
                <c:pt idx="6">
                  <c:v>8</c:v>
                </c:pt>
                <c:pt idx="7">
                  <c:v>11</c:v>
                </c:pt>
                <c:pt idx="8">
                  <c:v>9</c:v>
                </c:pt>
                <c:pt idx="9">
                  <c:v>4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'25.10 Mbarara-Isingiro'!$AA$9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'25.10 Mbarara-Isingiro'!$AB$9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'25.10 Mbarara-Isingiro'!$AC$9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Mbarara-Isingiro'!$AC$10:$AC$21</c:f>
              <c:numCache>
                <c:formatCode>0</c:formatCode>
                <c:ptCount val="12"/>
                <c:pt idx="0">
                  <c:v>142</c:v>
                </c:pt>
                <c:pt idx="1">
                  <c:v>173</c:v>
                </c:pt>
                <c:pt idx="2">
                  <c:v>142</c:v>
                </c:pt>
                <c:pt idx="3">
                  <c:v>156</c:v>
                </c:pt>
                <c:pt idx="4">
                  <c:v>150</c:v>
                </c:pt>
                <c:pt idx="5">
                  <c:v>161</c:v>
                </c:pt>
                <c:pt idx="6">
                  <c:v>141</c:v>
                </c:pt>
                <c:pt idx="7">
                  <c:v>123</c:v>
                </c:pt>
                <c:pt idx="8">
                  <c:v>68</c:v>
                </c:pt>
                <c:pt idx="9">
                  <c:v>143</c:v>
                </c:pt>
                <c:pt idx="10">
                  <c:v>168</c:v>
                </c:pt>
                <c:pt idx="11">
                  <c:v>223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'25.10 Mbarara-Isingiro'!$AD$9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'25.10 Mbarara-Isingiro'!$AD$10:$AD$21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310702512"/>
        <c:axId val="-1310701968"/>
      </c:lineChart>
      <c:catAx>
        <c:axId val="-1310702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1968"/>
        <c:crosses val="autoZero"/>
        <c:auto val="1"/>
        <c:lblAlgn val="ctr"/>
        <c:lblOffset val="100"/>
        <c:noMultiLvlLbl val="0"/>
      </c:catAx>
      <c:valAx>
        <c:axId val="-13107019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2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'25.10 Mbarara-Isingiro'!$C$60:$N$60</c:f>
              <c:numCache>
                <c:formatCode>0.00%</c:formatCode>
                <c:ptCount val="12"/>
                <c:pt idx="0">
                  <c:v>0.44479830148619959</c:v>
                </c:pt>
                <c:pt idx="1">
                  <c:v>7.749469214437367E-2</c:v>
                </c:pt>
                <c:pt idx="2">
                  <c:v>0.12101910828025478</c:v>
                </c:pt>
                <c:pt idx="3">
                  <c:v>0.17834394904458598</c:v>
                </c:pt>
                <c:pt idx="4">
                  <c:v>2.1231422505307855E-3</c:v>
                </c:pt>
                <c:pt idx="5">
                  <c:v>0</c:v>
                </c:pt>
                <c:pt idx="6">
                  <c:v>7.8556263269639062E-2</c:v>
                </c:pt>
                <c:pt idx="7">
                  <c:v>9.1295116772823773E-2</c:v>
                </c:pt>
                <c:pt idx="8">
                  <c:v>3.1847133757961785E-3</c:v>
                </c:pt>
                <c:pt idx="9">
                  <c:v>3.1847133757961785E-3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Isingiro-Mbarara-24Hr'!$AE$9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Isingiro-Mbarara-24Hr'!$R$10:$R$33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Isingiro-Mbarara-24Hr'!$AE$10:$AE$33</c:f>
              <c:numCache>
                <c:formatCode>0</c:formatCode>
                <c:ptCount val="24"/>
                <c:pt idx="0">
                  <c:v>64</c:v>
                </c:pt>
                <c:pt idx="1">
                  <c:v>89</c:v>
                </c:pt>
                <c:pt idx="2">
                  <c:v>124</c:v>
                </c:pt>
                <c:pt idx="3">
                  <c:v>96</c:v>
                </c:pt>
                <c:pt idx="4">
                  <c:v>116</c:v>
                </c:pt>
                <c:pt idx="5">
                  <c:v>91</c:v>
                </c:pt>
                <c:pt idx="6">
                  <c:v>82</c:v>
                </c:pt>
                <c:pt idx="7">
                  <c:v>125</c:v>
                </c:pt>
                <c:pt idx="8">
                  <c:v>85</c:v>
                </c:pt>
                <c:pt idx="9">
                  <c:v>123</c:v>
                </c:pt>
                <c:pt idx="10">
                  <c:v>133</c:v>
                </c:pt>
                <c:pt idx="11">
                  <c:v>88</c:v>
                </c:pt>
                <c:pt idx="12">
                  <c:v>81</c:v>
                </c:pt>
                <c:pt idx="13">
                  <c:v>75</c:v>
                </c:pt>
                <c:pt idx="14">
                  <c:v>68</c:v>
                </c:pt>
                <c:pt idx="15">
                  <c:v>53</c:v>
                </c:pt>
                <c:pt idx="16">
                  <c:v>24</c:v>
                </c:pt>
                <c:pt idx="17">
                  <c:v>12</c:v>
                </c:pt>
                <c:pt idx="18">
                  <c:v>8</c:v>
                </c:pt>
                <c:pt idx="19">
                  <c:v>6</c:v>
                </c:pt>
                <c:pt idx="20">
                  <c:v>2</c:v>
                </c:pt>
                <c:pt idx="21">
                  <c:v>5</c:v>
                </c:pt>
                <c:pt idx="22">
                  <c:v>3</c:v>
                </c:pt>
                <c:pt idx="23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'26.10 Isingiro-Mbarara-24Hr'!$AF$9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Isingiro-Mbarara-24Hr'!$R$10:$R$33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Isingiro-Mbarara-24Hr'!$AF$10:$AF$33</c:f>
              <c:numCache>
                <c:formatCode>0</c:formatCode>
                <c:ptCount val="24"/>
                <c:pt idx="0">
                  <c:v>135</c:v>
                </c:pt>
                <c:pt idx="1">
                  <c:v>288</c:v>
                </c:pt>
                <c:pt idx="2">
                  <c:v>313</c:v>
                </c:pt>
                <c:pt idx="3">
                  <c:v>277</c:v>
                </c:pt>
                <c:pt idx="4">
                  <c:v>272</c:v>
                </c:pt>
                <c:pt idx="5">
                  <c:v>251</c:v>
                </c:pt>
                <c:pt idx="6">
                  <c:v>201</c:v>
                </c:pt>
                <c:pt idx="7">
                  <c:v>273</c:v>
                </c:pt>
                <c:pt idx="8">
                  <c:v>244</c:v>
                </c:pt>
                <c:pt idx="9">
                  <c:v>291</c:v>
                </c:pt>
                <c:pt idx="10">
                  <c:v>289</c:v>
                </c:pt>
                <c:pt idx="11">
                  <c:v>186</c:v>
                </c:pt>
                <c:pt idx="12">
                  <c:v>211</c:v>
                </c:pt>
                <c:pt idx="13">
                  <c:v>152</c:v>
                </c:pt>
                <c:pt idx="14">
                  <c:v>128</c:v>
                </c:pt>
                <c:pt idx="15">
                  <c:v>81</c:v>
                </c:pt>
                <c:pt idx="16">
                  <c:v>32</c:v>
                </c:pt>
                <c:pt idx="17">
                  <c:v>14</c:v>
                </c:pt>
                <c:pt idx="18">
                  <c:v>15</c:v>
                </c:pt>
                <c:pt idx="19">
                  <c:v>7</c:v>
                </c:pt>
                <c:pt idx="20">
                  <c:v>9</c:v>
                </c:pt>
                <c:pt idx="21">
                  <c:v>13</c:v>
                </c:pt>
                <c:pt idx="22">
                  <c:v>6</c:v>
                </c:pt>
                <c:pt idx="23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310711760"/>
        <c:axId val="-1310708496"/>
      </c:lineChart>
      <c:catAx>
        <c:axId val="-13107117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08496"/>
        <c:crosses val="autoZero"/>
        <c:auto val="1"/>
        <c:lblAlgn val="ctr"/>
        <c:lblOffset val="100"/>
        <c:noMultiLvlLbl val="0"/>
      </c:catAx>
      <c:valAx>
        <c:axId val="-1310708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31071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Isingiro-Mbarara-24Hr'!$C$9:$N$9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Isingiro-Mbarara-24Hr'!$C$107:$N$107</c:f>
              <c:numCache>
                <c:formatCode>0.0%</c:formatCode>
                <c:ptCount val="12"/>
                <c:pt idx="0">
                  <c:v>0.25965665236051499</c:v>
                </c:pt>
                <c:pt idx="1">
                  <c:v>4.1040772532188838E-2</c:v>
                </c:pt>
                <c:pt idx="2">
                  <c:v>3.2188841201716736E-2</c:v>
                </c:pt>
                <c:pt idx="3">
                  <c:v>3.7285407725321885E-2</c:v>
                </c:pt>
                <c:pt idx="4">
                  <c:v>1.3412017167381974E-3</c:v>
                </c:pt>
                <c:pt idx="5">
                  <c:v>5.3648068669527897E-4</c:v>
                </c:pt>
                <c:pt idx="6">
                  <c:v>2.7360515021459229E-2</c:v>
                </c:pt>
                <c:pt idx="7">
                  <c:v>1.4753218884120171E-2</c:v>
                </c:pt>
                <c:pt idx="8">
                  <c:v>3.4871244635193135E-3</c:v>
                </c:pt>
                <c:pt idx="9">
                  <c:v>5.3648068669527897E-4</c:v>
                </c:pt>
                <c:pt idx="10">
                  <c:v>0.58181330472102999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Isingiro-Mbarara-24Hr'!$C$9:$N$9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Isingiro-Mbarara-24Hr'!$C$108:$N$108</c:f>
              <c:numCache>
                <c:formatCode>0.00%</c:formatCode>
                <c:ptCount val="12"/>
                <c:pt idx="0">
                  <c:v>0.6209108402822322</c:v>
                </c:pt>
                <c:pt idx="1">
                  <c:v>9.8139833226427192E-2</c:v>
                </c:pt>
                <c:pt idx="2">
                  <c:v>7.6972418216805644E-2</c:v>
                </c:pt>
                <c:pt idx="3">
                  <c:v>8.9159717767799865E-2</c:v>
                </c:pt>
                <c:pt idx="4">
                  <c:v>3.207184092366902E-3</c:v>
                </c:pt>
                <c:pt idx="5">
                  <c:v>1.2828736369467607E-3</c:v>
                </c:pt>
                <c:pt idx="6">
                  <c:v>6.5426555484284804E-2</c:v>
                </c:pt>
                <c:pt idx="7">
                  <c:v>3.5279025016035921E-2</c:v>
                </c:pt>
                <c:pt idx="8">
                  <c:v>8.3386786401539442E-3</c:v>
                </c:pt>
                <c:pt idx="9">
                  <c:v>1.2828736369467607E-3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'26.10 Mbarara-Isingiro-24Hr'!$AE$9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'26.10 Mbarara-Isingiro-24Hr'!$R$10:$R$33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Mbarara-Isingiro-24Hr'!$AE$10:$AE$33</c:f>
              <c:numCache>
                <c:formatCode>0</c:formatCode>
                <c:ptCount val="24"/>
                <c:pt idx="0">
                  <c:v>56</c:v>
                </c:pt>
                <c:pt idx="1">
                  <c:v>56</c:v>
                </c:pt>
                <c:pt idx="2">
                  <c:v>90</c:v>
                </c:pt>
                <c:pt idx="3">
                  <c:v>92</c:v>
                </c:pt>
                <c:pt idx="4">
                  <c:v>110</c:v>
                </c:pt>
                <c:pt idx="5">
                  <c:v>90</c:v>
                </c:pt>
                <c:pt idx="6">
                  <c:v>96</c:v>
                </c:pt>
                <c:pt idx="7">
                  <c:v>99</c:v>
                </c:pt>
                <c:pt idx="8">
                  <c:v>113</c:v>
                </c:pt>
                <c:pt idx="9">
                  <c:v>110</c:v>
                </c:pt>
                <c:pt idx="10">
                  <c:v>104</c:v>
                </c:pt>
                <c:pt idx="11">
                  <c:v>111</c:v>
                </c:pt>
                <c:pt idx="12">
                  <c:v>96</c:v>
                </c:pt>
                <c:pt idx="13">
                  <c:v>92</c:v>
                </c:pt>
                <c:pt idx="14">
                  <c:v>52</c:v>
                </c:pt>
                <c:pt idx="15">
                  <c:v>38</c:v>
                </c:pt>
                <c:pt idx="16">
                  <c:v>27</c:v>
                </c:pt>
                <c:pt idx="17">
                  <c:v>16</c:v>
                </c:pt>
                <c:pt idx="18">
                  <c:v>13</c:v>
                </c:pt>
                <c:pt idx="19">
                  <c:v>4</c:v>
                </c:pt>
                <c:pt idx="20">
                  <c:v>8</c:v>
                </c:pt>
                <c:pt idx="21">
                  <c:v>11</c:v>
                </c:pt>
                <c:pt idx="22">
                  <c:v>8</c:v>
                </c:pt>
                <c:pt idx="2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'26.10 Mbarara-Isingiro-24Hr'!$AF$9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'26.10 Mbarara-Isingiro-24Hr'!$R$10:$R$33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'26.10 Mbarara-Isingiro-24Hr'!$AF$10:$AF$33</c:f>
              <c:numCache>
                <c:formatCode>0</c:formatCode>
                <c:ptCount val="24"/>
                <c:pt idx="0">
                  <c:v>112</c:v>
                </c:pt>
                <c:pt idx="1">
                  <c:v>151</c:v>
                </c:pt>
                <c:pt idx="2">
                  <c:v>244</c:v>
                </c:pt>
                <c:pt idx="3">
                  <c:v>218</c:v>
                </c:pt>
                <c:pt idx="4">
                  <c:v>230</c:v>
                </c:pt>
                <c:pt idx="5">
                  <c:v>242</c:v>
                </c:pt>
                <c:pt idx="6">
                  <c:v>222</c:v>
                </c:pt>
                <c:pt idx="7">
                  <c:v>183</c:v>
                </c:pt>
                <c:pt idx="8">
                  <c:v>241</c:v>
                </c:pt>
                <c:pt idx="9">
                  <c:v>258</c:v>
                </c:pt>
                <c:pt idx="10">
                  <c:v>264</c:v>
                </c:pt>
                <c:pt idx="11">
                  <c:v>271</c:v>
                </c:pt>
                <c:pt idx="12">
                  <c:v>257</c:v>
                </c:pt>
                <c:pt idx="13">
                  <c:v>235</c:v>
                </c:pt>
                <c:pt idx="14">
                  <c:v>154</c:v>
                </c:pt>
                <c:pt idx="15">
                  <c:v>112</c:v>
                </c:pt>
                <c:pt idx="16">
                  <c:v>51</c:v>
                </c:pt>
                <c:pt idx="17">
                  <c:v>27</c:v>
                </c:pt>
                <c:pt idx="18">
                  <c:v>36</c:v>
                </c:pt>
                <c:pt idx="19">
                  <c:v>17</c:v>
                </c:pt>
                <c:pt idx="20">
                  <c:v>18</c:v>
                </c:pt>
                <c:pt idx="21">
                  <c:v>12</c:v>
                </c:pt>
                <c:pt idx="22">
                  <c:v>14</c:v>
                </c:pt>
                <c:pt idx="23">
                  <c:v>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4020304"/>
        <c:axId val="-1214016496"/>
      </c:lineChart>
      <c:catAx>
        <c:axId val="-12140203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16496"/>
        <c:crosses val="autoZero"/>
        <c:auto val="1"/>
        <c:lblAlgn val="ctr"/>
        <c:lblOffset val="100"/>
        <c:noMultiLvlLbl val="0"/>
      </c:catAx>
      <c:valAx>
        <c:axId val="-12140164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203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Mbarara-Isingiro-24Hr'!$C$9:$N$9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Mbarara-Isingiro-24Hr'!$C$107:$N$107</c:f>
              <c:numCache>
                <c:formatCode>0.0%</c:formatCode>
                <c:ptCount val="12"/>
                <c:pt idx="0">
                  <c:v>0.23726947426369391</c:v>
                </c:pt>
                <c:pt idx="1">
                  <c:v>2.8626479493531518E-2</c:v>
                </c:pt>
                <c:pt idx="2">
                  <c:v>3.3030553261767133E-2</c:v>
                </c:pt>
                <c:pt idx="3">
                  <c:v>6.083126892375447E-2</c:v>
                </c:pt>
                <c:pt idx="4">
                  <c:v>1.9267822736030828E-3</c:v>
                </c:pt>
                <c:pt idx="5">
                  <c:v>2.7525461051472613E-4</c:v>
                </c:pt>
                <c:pt idx="6">
                  <c:v>3.4406826314340763E-2</c:v>
                </c:pt>
                <c:pt idx="7">
                  <c:v>2.0644095788604461E-2</c:v>
                </c:pt>
                <c:pt idx="8">
                  <c:v>1.1010184420589045E-3</c:v>
                </c:pt>
                <c:pt idx="9">
                  <c:v>1.9267822736030828E-3</c:v>
                </c:pt>
                <c:pt idx="10">
                  <c:v>0.57996146435452789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'26.10 Mbarara-Isingiro-24Hr'!$C$9:$N$9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'26.10 Mbarara-Isingiro-24Hr'!$C$108:$N$108</c:f>
              <c:numCache>
                <c:formatCode>0.00%</c:formatCode>
                <c:ptCount val="12"/>
                <c:pt idx="0">
                  <c:v>0.56487549148099603</c:v>
                </c:pt>
                <c:pt idx="1">
                  <c:v>6.8152031454783754E-2</c:v>
                </c:pt>
                <c:pt idx="2">
                  <c:v>7.8636959370904327E-2</c:v>
                </c:pt>
                <c:pt idx="3">
                  <c:v>0.14482306684141547</c:v>
                </c:pt>
                <c:pt idx="4">
                  <c:v>4.5871559633027525E-3</c:v>
                </c:pt>
                <c:pt idx="5">
                  <c:v>6.5530799475753605E-4</c:v>
                </c:pt>
                <c:pt idx="6">
                  <c:v>8.1913499344692012E-2</c:v>
                </c:pt>
                <c:pt idx="7">
                  <c:v>4.9148099606815203E-2</c:v>
                </c:pt>
                <c:pt idx="8">
                  <c:v>2.6212319790301442E-3</c:v>
                </c:pt>
                <c:pt idx="9">
                  <c:v>4.5871559633027525E-3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Isingilo-Mbarara'!$AE$9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Isingilo-Mbarara'!$R$10:$R$21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Isingilo-Mbarara'!$AE$10:$AE$21</c:f>
              <c:numCache>
                <c:formatCode>0</c:formatCode>
                <c:ptCount val="12"/>
                <c:pt idx="0">
                  <c:v>42</c:v>
                </c:pt>
                <c:pt idx="1">
                  <c:v>64</c:v>
                </c:pt>
                <c:pt idx="2">
                  <c:v>65</c:v>
                </c:pt>
                <c:pt idx="3">
                  <c:v>84</c:v>
                </c:pt>
                <c:pt idx="4">
                  <c:v>60</c:v>
                </c:pt>
                <c:pt idx="5">
                  <c:v>97</c:v>
                </c:pt>
                <c:pt idx="6">
                  <c:v>67</c:v>
                </c:pt>
                <c:pt idx="7">
                  <c:v>77</c:v>
                </c:pt>
                <c:pt idx="8">
                  <c:v>53</c:v>
                </c:pt>
                <c:pt idx="9">
                  <c:v>104</c:v>
                </c:pt>
                <c:pt idx="10">
                  <c:v>96</c:v>
                </c:pt>
                <c:pt idx="11">
                  <c:v>102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'27.10 Isingilo-Mbarara'!$AF$9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Isingilo-Mbarara'!$R$10:$R$21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Isingilo-Mbarara'!$AF$10:$AF$21</c:f>
              <c:numCache>
                <c:formatCode>0</c:formatCode>
                <c:ptCount val="12"/>
                <c:pt idx="0">
                  <c:v>173</c:v>
                </c:pt>
                <c:pt idx="1">
                  <c:v>220</c:v>
                </c:pt>
                <c:pt idx="2">
                  <c:v>245</c:v>
                </c:pt>
                <c:pt idx="3">
                  <c:v>269</c:v>
                </c:pt>
                <c:pt idx="4">
                  <c:v>250</c:v>
                </c:pt>
                <c:pt idx="5">
                  <c:v>267</c:v>
                </c:pt>
                <c:pt idx="6">
                  <c:v>226</c:v>
                </c:pt>
                <c:pt idx="7">
                  <c:v>199</c:v>
                </c:pt>
                <c:pt idx="8">
                  <c:v>221</c:v>
                </c:pt>
                <c:pt idx="9">
                  <c:v>269</c:v>
                </c:pt>
                <c:pt idx="10">
                  <c:v>272</c:v>
                </c:pt>
                <c:pt idx="11">
                  <c:v>303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4007248"/>
        <c:axId val="-1214008880"/>
      </c:lineChart>
      <c:catAx>
        <c:axId val="-12140072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08880"/>
        <c:crosses val="autoZero"/>
        <c:auto val="1"/>
        <c:lblAlgn val="ctr"/>
        <c:lblOffset val="100"/>
        <c:noMultiLvlLbl val="0"/>
      </c:catAx>
      <c:valAx>
        <c:axId val="-12140088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07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Isingilo-Mbarara'!$C$9:$N$9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Isingilo-Mbarara'!$C$59:$N$59</c:f>
              <c:numCache>
                <c:formatCode>0.0%</c:formatCode>
                <c:ptCount val="12"/>
                <c:pt idx="0">
                  <c:v>0.18119423472889498</c:v>
                </c:pt>
                <c:pt idx="1">
                  <c:v>2.299245024021963E-2</c:v>
                </c:pt>
                <c:pt idx="2">
                  <c:v>2.7453671928620454E-2</c:v>
                </c:pt>
                <c:pt idx="3">
                  <c:v>3.4660260809883325E-2</c:v>
                </c:pt>
                <c:pt idx="4">
                  <c:v>3.4317089910775565E-4</c:v>
                </c:pt>
                <c:pt idx="5">
                  <c:v>0</c:v>
                </c:pt>
                <c:pt idx="6">
                  <c:v>2.4708304735758406E-2</c:v>
                </c:pt>
                <c:pt idx="7">
                  <c:v>1.7501715854495538E-2</c:v>
                </c:pt>
                <c:pt idx="8">
                  <c:v>3.4317089910775567E-3</c:v>
                </c:pt>
                <c:pt idx="9">
                  <c:v>3.4317089910775565E-4</c:v>
                </c:pt>
                <c:pt idx="10">
                  <c:v>0.68737131091283454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Isingilo-Mbarara'!$S$9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Isingilo-Mbarara'!$R$10:$R$21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Isingilo-Mbarara'!$S$10:$S$21</c:f>
              <c:numCache>
                <c:formatCode>0</c:formatCode>
                <c:ptCount val="12"/>
                <c:pt idx="0">
                  <c:v>24</c:v>
                </c:pt>
                <c:pt idx="1">
                  <c:v>31</c:v>
                </c:pt>
                <c:pt idx="2">
                  <c:v>46</c:v>
                </c:pt>
                <c:pt idx="3">
                  <c:v>52</c:v>
                </c:pt>
                <c:pt idx="4">
                  <c:v>26</c:v>
                </c:pt>
                <c:pt idx="5">
                  <c:v>55</c:v>
                </c:pt>
                <c:pt idx="6">
                  <c:v>41</c:v>
                </c:pt>
                <c:pt idx="7">
                  <c:v>43</c:v>
                </c:pt>
                <c:pt idx="8">
                  <c:v>30</c:v>
                </c:pt>
                <c:pt idx="9">
                  <c:v>59</c:v>
                </c:pt>
                <c:pt idx="10">
                  <c:v>62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'27.10 Isingilo-Mbarara'!$T$9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Isingilo-Mbarara'!$R$10:$R$21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Isingilo-Mbarara'!$T$10:$T$21</c:f>
              <c:numCache>
                <c:formatCode>0</c:formatCode>
                <c:ptCount val="12"/>
                <c:pt idx="0">
                  <c:v>1</c:v>
                </c:pt>
                <c:pt idx="1">
                  <c:v>6</c:v>
                </c:pt>
                <c:pt idx="2">
                  <c:v>6</c:v>
                </c:pt>
                <c:pt idx="3">
                  <c:v>5</c:v>
                </c:pt>
                <c:pt idx="4">
                  <c:v>8</c:v>
                </c:pt>
                <c:pt idx="5">
                  <c:v>6</c:v>
                </c:pt>
                <c:pt idx="6">
                  <c:v>2</c:v>
                </c:pt>
                <c:pt idx="7">
                  <c:v>6</c:v>
                </c:pt>
                <c:pt idx="8">
                  <c:v>4</c:v>
                </c:pt>
                <c:pt idx="9">
                  <c:v>6</c:v>
                </c:pt>
                <c:pt idx="10">
                  <c:v>7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'27.10 Isingilo-Mbarara'!$U$9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Isingilo-Mbarara'!$U$10:$U$21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5</c:v>
                </c:pt>
                <c:pt idx="3">
                  <c:v>3</c:v>
                </c:pt>
                <c:pt idx="4">
                  <c:v>8</c:v>
                </c:pt>
                <c:pt idx="5">
                  <c:v>8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9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'27.10 Isingilo-Mbarara'!$V$9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Isingilo-Mbarara'!$V$10:$V$21</c:f>
              <c:numCache>
                <c:formatCode>0</c:formatCode>
                <c:ptCount val="12"/>
                <c:pt idx="0">
                  <c:v>5</c:v>
                </c:pt>
                <c:pt idx="1">
                  <c:v>15</c:v>
                </c:pt>
                <c:pt idx="2">
                  <c:v>4</c:v>
                </c:pt>
                <c:pt idx="3">
                  <c:v>16</c:v>
                </c:pt>
                <c:pt idx="4">
                  <c:v>9</c:v>
                </c:pt>
                <c:pt idx="5">
                  <c:v>12</c:v>
                </c:pt>
                <c:pt idx="6">
                  <c:v>6</c:v>
                </c:pt>
                <c:pt idx="7">
                  <c:v>6</c:v>
                </c:pt>
                <c:pt idx="8">
                  <c:v>8</c:v>
                </c:pt>
                <c:pt idx="9">
                  <c:v>5</c:v>
                </c:pt>
                <c:pt idx="10">
                  <c:v>10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'27.10 Isingilo-Mbarara'!$W$9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'27.10 Isingilo-Mbarara'!$X$9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'27.10 Isingilo-Mbarara'!$Y$9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Isingilo-Mbarara'!$Y$10:$Y$21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1</c:v>
                </c:pt>
                <c:pt idx="3">
                  <c:v>5</c:v>
                </c:pt>
                <c:pt idx="4">
                  <c:v>4</c:v>
                </c:pt>
                <c:pt idx="5">
                  <c:v>14</c:v>
                </c:pt>
                <c:pt idx="6">
                  <c:v>8</c:v>
                </c:pt>
                <c:pt idx="7">
                  <c:v>6</c:v>
                </c:pt>
                <c:pt idx="8">
                  <c:v>2</c:v>
                </c:pt>
                <c:pt idx="9">
                  <c:v>11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'27.10 Isingilo-Mbarara'!$Z$9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3</c:v>
                </c:pt>
                <c:pt idx="3">
                  <c:v>2</c:v>
                </c:pt>
                <c:pt idx="4">
                  <c:v>4</c:v>
                </c:pt>
                <c:pt idx="5">
                  <c:v>2</c:v>
                </c:pt>
                <c:pt idx="6">
                  <c:v>2</c:v>
                </c:pt>
                <c:pt idx="7">
                  <c:v>7</c:v>
                </c:pt>
                <c:pt idx="8">
                  <c:v>1</c:v>
                </c:pt>
                <c:pt idx="9">
                  <c:v>13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'27.10 Isingilo-Mbarara'!$AA$9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Isingilo-Mbarara'!$AA$10:$AA$21</c:f>
              <c:numCache>
                <c:formatCode>0</c:formatCode>
                <c:ptCount val="12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'27.10 Isingilo-Mbarara'!$AB$9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'27.10 Isingilo-Mbarara'!$AC$9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Isingilo-Mbarara'!$AC$10:$AC$21</c:f>
              <c:numCache>
                <c:formatCode>0</c:formatCode>
                <c:ptCount val="12"/>
                <c:pt idx="0">
                  <c:v>131</c:v>
                </c:pt>
                <c:pt idx="1">
                  <c:v>156</c:v>
                </c:pt>
                <c:pt idx="2">
                  <c:v>180</c:v>
                </c:pt>
                <c:pt idx="3">
                  <c:v>185</c:v>
                </c:pt>
                <c:pt idx="4">
                  <c:v>190</c:v>
                </c:pt>
                <c:pt idx="5">
                  <c:v>170</c:v>
                </c:pt>
                <c:pt idx="6">
                  <c:v>159</c:v>
                </c:pt>
                <c:pt idx="7">
                  <c:v>122</c:v>
                </c:pt>
                <c:pt idx="8">
                  <c:v>168</c:v>
                </c:pt>
                <c:pt idx="9">
                  <c:v>165</c:v>
                </c:pt>
                <c:pt idx="10">
                  <c:v>176</c:v>
                </c:pt>
                <c:pt idx="11">
                  <c:v>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'27.10 Isingilo-Mbarara'!$AD$9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Isingilo-Mbarara'!$AD$10:$AD$21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214014864"/>
        <c:axId val="-1214014320"/>
      </c:lineChart>
      <c:catAx>
        <c:axId val="-121401486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14320"/>
        <c:crosses val="autoZero"/>
        <c:auto val="1"/>
        <c:lblAlgn val="ctr"/>
        <c:lblOffset val="100"/>
        <c:noMultiLvlLbl val="0"/>
      </c:catAx>
      <c:valAx>
        <c:axId val="-12140143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14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Isingilo-Mbarara'!$C$9:$N$9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Isingilo-Mbarara'!$C$60:$N$60</c:f>
              <c:numCache>
                <c:formatCode>0.00%</c:formatCode>
                <c:ptCount val="12"/>
                <c:pt idx="0">
                  <c:v>0.57958287596048297</c:v>
                </c:pt>
                <c:pt idx="1">
                  <c:v>7.3545554335894617E-2</c:v>
                </c:pt>
                <c:pt idx="2">
                  <c:v>8.7815587266739853E-2</c:v>
                </c:pt>
                <c:pt idx="3">
                  <c:v>0.11086717892425905</c:v>
                </c:pt>
                <c:pt idx="4">
                  <c:v>1.0976948408342481E-3</c:v>
                </c:pt>
                <c:pt idx="5">
                  <c:v>0</c:v>
                </c:pt>
                <c:pt idx="6">
                  <c:v>7.9034028540065859E-2</c:v>
                </c:pt>
                <c:pt idx="7">
                  <c:v>5.598243688254665E-2</c:v>
                </c:pt>
                <c:pt idx="8">
                  <c:v>1.0976948408342482E-2</c:v>
                </c:pt>
                <c:pt idx="9">
                  <c:v>1.0976948408342481E-3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Mbarara-Isingiro'!$AE$9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Mbarara-Isingiro'!$AE$10:$AE$21</c:f>
              <c:numCache>
                <c:formatCode>0</c:formatCode>
                <c:ptCount val="12"/>
                <c:pt idx="0">
                  <c:v>31</c:v>
                </c:pt>
                <c:pt idx="1">
                  <c:v>61</c:v>
                </c:pt>
                <c:pt idx="2">
                  <c:v>58</c:v>
                </c:pt>
                <c:pt idx="3">
                  <c:v>78</c:v>
                </c:pt>
                <c:pt idx="4">
                  <c:v>77</c:v>
                </c:pt>
                <c:pt idx="5">
                  <c:v>77</c:v>
                </c:pt>
                <c:pt idx="6">
                  <c:v>111</c:v>
                </c:pt>
                <c:pt idx="7">
                  <c:v>103</c:v>
                </c:pt>
                <c:pt idx="8">
                  <c:v>86</c:v>
                </c:pt>
                <c:pt idx="9">
                  <c:v>57</c:v>
                </c:pt>
                <c:pt idx="10">
                  <c:v>91</c:v>
                </c:pt>
                <c:pt idx="11">
                  <c:v>101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'27.10 Mbarara-Isingiro'!$AF$9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Mbarara-Isingiro'!$AF$10:$AF$21</c:f>
              <c:numCache>
                <c:formatCode>0</c:formatCode>
                <c:ptCount val="12"/>
                <c:pt idx="0">
                  <c:v>85</c:v>
                </c:pt>
                <c:pt idx="1">
                  <c:v>175</c:v>
                </c:pt>
                <c:pt idx="2">
                  <c:v>230</c:v>
                </c:pt>
                <c:pt idx="3">
                  <c:v>231</c:v>
                </c:pt>
                <c:pt idx="4">
                  <c:v>211</c:v>
                </c:pt>
                <c:pt idx="5">
                  <c:v>211</c:v>
                </c:pt>
                <c:pt idx="6">
                  <c:v>302</c:v>
                </c:pt>
                <c:pt idx="7">
                  <c:v>273</c:v>
                </c:pt>
                <c:pt idx="8">
                  <c:v>229</c:v>
                </c:pt>
                <c:pt idx="9">
                  <c:v>204</c:v>
                </c:pt>
                <c:pt idx="10">
                  <c:v>264</c:v>
                </c:pt>
                <c:pt idx="11">
                  <c:v>305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214010512"/>
        <c:axId val="-1214006160"/>
      </c:lineChart>
      <c:catAx>
        <c:axId val="-12140105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06160"/>
        <c:crosses val="autoZero"/>
        <c:auto val="1"/>
        <c:lblAlgn val="ctr"/>
        <c:lblOffset val="100"/>
        <c:noMultiLvlLbl val="0"/>
      </c:catAx>
      <c:valAx>
        <c:axId val="-12140061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214010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Mbarara-Isingiro'!$C$59:$N$59</c:f>
              <c:numCache>
                <c:formatCode>0.0%</c:formatCode>
                <c:ptCount val="12"/>
                <c:pt idx="0">
                  <c:v>0.17536764705882352</c:v>
                </c:pt>
                <c:pt idx="1">
                  <c:v>3.0147058823529412E-2</c:v>
                </c:pt>
                <c:pt idx="2">
                  <c:v>3.4558823529411767E-2</c:v>
                </c:pt>
                <c:pt idx="3">
                  <c:v>5.0367647058823531E-2</c:v>
                </c:pt>
                <c:pt idx="4">
                  <c:v>7.3529411764705881E-4</c:v>
                </c:pt>
                <c:pt idx="5">
                  <c:v>7.3529411764705881E-4</c:v>
                </c:pt>
                <c:pt idx="6">
                  <c:v>2.4264705882352942E-2</c:v>
                </c:pt>
                <c:pt idx="7">
                  <c:v>2.2426470588235294E-2</c:v>
                </c:pt>
                <c:pt idx="8">
                  <c:v>3.3088235294117647E-3</c:v>
                </c:pt>
                <c:pt idx="9">
                  <c:v>3.6764705882352941E-4</c:v>
                </c:pt>
                <c:pt idx="10">
                  <c:v>0.65772058823529411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'27.10 Mbarara-Isingiro'!$S$9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Mbarara-Isingiro'!$S$10:$S$21</c:f>
              <c:numCache>
                <c:formatCode>0</c:formatCode>
                <c:ptCount val="12"/>
                <c:pt idx="0">
                  <c:v>11</c:v>
                </c:pt>
                <c:pt idx="1">
                  <c:v>25</c:v>
                </c:pt>
                <c:pt idx="2">
                  <c:v>32</c:v>
                </c:pt>
                <c:pt idx="3">
                  <c:v>40</c:v>
                </c:pt>
                <c:pt idx="4">
                  <c:v>40</c:v>
                </c:pt>
                <c:pt idx="5">
                  <c:v>40</c:v>
                </c:pt>
                <c:pt idx="6">
                  <c:v>63</c:v>
                </c:pt>
                <c:pt idx="7">
                  <c:v>57</c:v>
                </c:pt>
                <c:pt idx="8">
                  <c:v>45</c:v>
                </c:pt>
                <c:pt idx="9">
                  <c:v>29</c:v>
                </c:pt>
                <c:pt idx="10">
                  <c:v>46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'27.10 Mbarara-Isingiro'!$T$9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'27.10 Mbarara-Isingiro'!$T$10:$T$21</c:f>
              <c:numCache>
                <c:formatCode>0</c:formatCode>
                <c:ptCount val="12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4</c:v>
                </c:pt>
                <c:pt idx="5">
                  <c:v>4</c:v>
                </c:pt>
                <c:pt idx="6">
                  <c:v>8</c:v>
                </c:pt>
                <c:pt idx="7">
                  <c:v>18</c:v>
                </c:pt>
                <c:pt idx="8">
                  <c:v>9</c:v>
                </c:pt>
                <c:pt idx="9">
                  <c:v>5</c:v>
                </c:pt>
                <c:pt idx="10">
                  <c:v>10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'27.10 Mbarara-Isingiro'!$U$9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Mbarara-Isingiro'!$U$10:$U$21</c:f>
              <c:numCache>
                <c:formatCode>0</c:formatCode>
                <c:ptCount val="12"/>
                <c:pt idx="0">
                  <c:v>6</c:v>
                </c:pt>
                <c:pt idx="1">
                  <c:v>3</c:v>
                </c:pt>
                <c:pt idx="2">
                  <c:v>11</c:v>
                </c:pt>
                <c:pt idx="3">
                  <c:v>4</c:v>
                </c:pt>
                <c:pt idx="4">
                  <c:v>9</c:v>
                </c:pt>
                <c:pt idx="5">
                  <c:v>9</c:v>
                </c:pt>
                <c:pt idx="6">
                  <c:v>10</c:v>
                </c:pt>
                <c:pt idx="7">
                  <c:v>10</c:v>
                </c:pt>
                <c:pt idx="8">
                  <c:v>6</c:v>
                </c:pt>
                <c:pt idx="9">
                  <c:v>8</c:v>
                </c:pt>
                <c:pt idx="10">
                  <c:v>8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'27.10 Mbarara-Isingiro'!$V$9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Mbarara-Isingiro'!$V$10:$V$21</c:f>
              <c:numCache>
                <c:formatCode>0</c:formatCode>
                <c:ptCount val="12"/>
                <c:pt idx="0">
                  <c:v>6</c:v>
                </c:pt>
                <c:pt idx="1">
                  <c:v>8</c:v>
                </c:pt>
                <c:pt idx="2">
                  <c:v>6</c:v>
                </c:pt>
                <c:pt idx="3">
                  <c:v>15</c:v>
                </c:pt>
                <c:pt idx="4">
                  <c:v>13</c:v>
                </c:pt>
                <c:pt idx="5">
                  <c:v>13</c:v>
                </c:pt>
                <c:pt idx="6">
                  <c:v>13</c:v>
                </c:pt>
                <c:pt idx="7">
                  <c:v>10</c:v>
                </c:pt>
                <c:pt idx="8">
                  <c:v>12</c:v>
                </c:pt>
                <c:pt idx="9">
                  <c:v>4</c:v>
                </c:pt>
                <c:pt idx="10">
                  <c:v>16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'27.10 Mbarara-Isingiro'!$W$9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'27.10 Mbarara-Isingiro'!$X$9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'27.10 Mbarara-Isingiro'!$Y$9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Mbarara-Isingiro'!$Y$10:$Y$21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3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8</c:v>
                </c:pt>
                <c:pt idx="7">
                  <c:v>2</c:v>
                </c:pt>
                <c:pt idx="8">
                  <c:v>7</c:v>
                </c:pt>
                <c:pt idx="9">
                  <c:v>3</c:v>
                </c:pt>
                <c:pt idx="10">
                  <c:v>6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'27.10 Mbarara-Isingiro'!$Z$9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Mbarara-Isingiro'!$Z$10:$Z$21</c:f>
              <c:numCache>
                <c:formatCode>0</c:formatCode>
                <c:ptCount val="12"/>
                <c:pt idx="0">
                  <c:v>3</c:v>
                </c:pt>
                <c:pt idx="1">
                  <c:v>9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  <c:pt idx="6">
                  <c:v>7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'27.10 Mbarara-Isingiro'!$AA$9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Mbarara-Isingiro'!$AA$10:$AA$21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2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'27.10 Mbarara-Isingiro'!$AB$9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'27.10 Mbarara-Isingiro'!$AC$9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Mbarara-Isingiro'!$AC$10:$AC$21</c:f>
              <c:numCache>
                <c:formatCode>0</c:formatCode>
                <c:ptCount val="12"/>
                <c:pt idx="0">
                  <c:v>54</c:v>
                </c:pt>
                <c:pt idx="1">
                  <c:v>114</c:v>
                </c:pt>
                <c:pt idx="2">
                  <c:v>172</c:v>
                </c:pt>
                <c:pt idx="3">
                  <c:v>153</c:v>
                </c:pt>
                <c:pt idx="4">
                  <c:v>134</c:v>
                </c:pt>
                <c:pt idx="5">
                  <c:v>134</c:v>
                </c:pt>
                <c:pt idx="6">
                  <c:v>191</c:v>
                </c:pt>
                <c:pt idx="7">
                  <c:v>170</c:v>
                </c:pt>
                <c:pt idx="8">
                  <c:v>143</c:v>
                </c:pt>
                <c:pt idx="9">
                  <c:v>147</c:v>
                </c:pt>
                <c:pt idx="10">
                  <c:v>173</c:v>
                </c:pt>
                <c:pt idx="11">
                  <c:v>204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'27.10 Mbarara-Isingiro'!$AD$9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'27.10 Mbarara-Isingiro'!$AD$10:$AD$21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73099120"/>
        <c:axId val="-1173109456"/>
      </c:lineChart>
      <c:catAx>
        <c:axId val="-11730991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109456"/>
        <c:crosses val="autoZero"/>
        <c:auto val="1"/>
        <c:lblAlgn val="ctr"/>
        <c:lblOffset val="100"/>
        <c:noMultiLvlLbl val="0"/>
      </c:catAx>
      <c:valAx>
        <c:axId val="-1173109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099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'27.10 Mbarara-Isingiro'!$C$60:$N$60</c:f>
              <c:numCache>
                <c:formatCode>0.00%</c:formatCode>
                <c:ptCount val="12"/>
                <c:pt idx="0">
                  <c:v>0.51235230934479059</c:v>
                </c:pt>
                <c:pt idx="1">
                  <c:v>8.8077336197636955E-2</c:v>
                </c:pt>
                <c:pt idx="2">
                  <c:v>0.10096670247046187</c:v>
                </c:pt>
                <c:pt idx="3">
                  <c:v>0.14715359828141783</c:v>
                </c:pt>
                <c:pt idx="4">
                  <c:v>2.1482277121374865E-3</c:v>
                </c:pt>
                <c:pt idx="5">
                  <c:v>2.1482277121374865E-3</c:v>
                </c:pt>
                <c:pt idx="6">
                  <c:v>7.0891514500537059E-2</c:v>
                </c:pt>
                <c:pt idx="7">
                  <c:v>6.5520945220193347E-2</c:v>
                </c:pt>
                <c:pt idx="8">
                  <c:v>9.6670247046186895E-3</c:v>
                </c:pt>
                <c:pt idx="9">
                  <c:v>1.0741138560687433E-3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Isingiro-Mbarara-24Hr'!$AE$9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Isingiro-Mbarara-24Hr'!$R$10:$R$33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Isingiro-Mbarara-24Hr'!$AE$10:$AE$33</c:f>
              <c:numCache>
                <c:formatCode>0</c:formatCode>
                <c:ptCount val="24"/>
                <c:pt idx="0">
                  <c:v>66</c:v>
                </c:pt>
                <c:pt idx="1">
                  <c:v>96</c:v>
                </c:pt>
                <c:pt idx="2">
                  <c:v>56</c:v>
                </c:pt>
                <c:pt idx="3">
                  <c:v>65</c:v>
                </c:pt>
                <c:pt idx="4">
                  <c:v>76</c:v>
                </c:pt>
                <c:pt idx="5">
                  <c:v>58</c:v>
                </c:pt>
                <c:pt idx="6">
                  <c:v>83</c:v>
                </c:pt>
                <c:pt idx="7">
                  <c:v>51</c:v>
                </c:pt>
                <c:pt idx="8">
                  <c:v>65</c:v>
                </c:pt>
                <c:pt idx="9">
                  <c:v>53</c:v>
                </c:pt>
                <c:pt idx="10">
                  <c:v>56</c:v>
                </c:pt>
                <c:pt idx="11">
                  <c:v>77</c:v>
                </c:pt>
                <c:pt idx="12">
                  <c:v>83</c:v>
                </c:pt>
                <c:pt idx="13">
                  <c:v>48</c:v>
                </c:pt>
                <c:pt idx="14">
                  <c:v>34</c:v>
                </c:pt>
                <c:pt idx="15">
                  <c:v>15</c:v>
                </c:pt>
                <c:pt idx="16">
                  <c:v>14</c:v>
                </c:pt>
                <c:pt idx="17">
                  <c:v>2</c:v>
                </c:pt>
                <c:pt idx="18">
                  <c:v>11</c:v>
                </c:pt>
                <c:pt idx="19">
                  <c:v>4</c:v>
                </c:pt>
                <c:pt idx="20">
                  <c:v>3</c:v>
                </c:pt>
                <c:pt idx="21">
                  <c:v>9</c:v>
                </c:pt>
                <c:pt idx="22">
                  <c:v>1</c:v>
                </c:pt>
                <c:pt idx="23">
                  <c:v>55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'28.10 Isingiro-Mbarara-24Hr'!$AF$9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Isingiro-Mbarara-24Hr'!$R$10:$R$33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Isingiro-Mbarara-24Hr'!$AF$10:$AF$33</c:f>
              <c:numCache>
                <c:formatCode>0</c:formatCode>
                <c:ptCount val="24"/>
                <c:pt idx="0">
                  <c:v>213</c:v>
                </c:pt>
                <c:pt idx="1">
                  <c:v>270</c:v>
                </c:pt>
                <c:pt idx="2">
                  <c:v>181</c:v>
                </c:pt>
                <c:pt idx="3">
                  <c:v>239</c:v>
                </c:pt>
                <c:pt idx="4">
                  <c:v>183</c:v>
                </c:pt>
                <c:pt idx="5">
                  <c:v>198</c:v>
                </c:pt>
                <c:pt idx="6">
                  <c:v>185</c:v>
                </c:pt>
                <c:pt idx="7">
                  <c:v>107</c:v>
                </c:pt>
                <c:pt idx="8">
                  <c:v>111</c:v>
                </c:pt>
                <c:pt idx="9">
                  <c:v>148</c:v>
                </c:pt>
                <c:pt idx="10">
                  <c:v>167</c:v>
                </c:pt>
                <c:pt idx="11">
                  <c:v>220</c:v>
                </c:pt>
                <c:pt idx="12">
                  <c:v>179</c:v>
                </c:pt>
                <c:pt idx="13">
                  <c:v>99</c:v>
                </c:pt>
                <c:pt idx="14">
                  <c:v>83</c:v>
                </c:pt>
                <c:pt idx="15">
                  <c:v>59</c:v>
                </c:pt>
                <c:pt idx="16">
                  <c:v>20</c:v>
                </c:pt>
                <c:pt idx="17">
                  <c:v>6</c:v>
                </c:pt>
                <c:pt idx="18">
                  <c:v>14</c:v>
                </c:pt>
                <c:pt idx="19">
                  <c:v>5</c:v>
                </c:pt>
                <c:pt idx="20">
                  <c:v>7</c:v>
                </c:pt>
                <c:pt idx="21">
                  <c:v>13</c:v>
                </c:pt>
                <c:pt idx="22">
                  <c:v>4</c:v>
                </c:pt>
                <c:pt idx="23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73105648"/>
        <c:axId val="-1173098576"/>
      </c:lineChart>
      <c:catAx>
        <c:axId val="-11731056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098576"/>
        <c:crosses val="autoZero"/>
        <c:auto val="1"/>
        <c:lblAlgn val="ctr"/>
        <c:lblOffset val="100"/>
        <c:noMultiLvlLbl val="0"/>
      </c:catAx>
      <c:valAx>
        <c:axId val="-1173098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1056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Isingiro-Mbarara-24Hr'!$C$9:$N$9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Isingiro-Mbarara-24Hr'!$C$107:$N$107</c:f>
              <c:numCache>
                <c:formatCode>0.0%</c:formatCode>
                <c:ptCount val="12"/>
                <c:pt idx="0">
                  <c:v>0.19032485875706215</c:v>
                </c:pt>
                <c:pt idx="1">
                  <c:v>1.7655367231638418E-3</c:v>
                </c:pt>
                <c:pt idx="2">
                  <c:v>3.1426553672316386E-2</c:v>
                </c:pt>
                <c:pt idx="3">
                  <c:v>3.2485875706214688E-2</c:v>
                </c:pt>
                <c:pt idx="4">
                  <c:v>1.7655367231638418E-3</c:v>
                </c:pt>
                <c:pt idx="5">
                  <c:v>3.5310734463276836E-3</c:v>
                </c:pt>
                <c:pt idx="6">
                  <c:v>3.6370056497175139E-2</c:v>
                </c:pt>
                <c:pt idx="7">
                  <c:v>2.1186440677966101E-2</c:v>
                </c:pt>
                <c:pt idx="8">
                  <c:v>3.8841807909604522E-3</c:v>
                </c:pt>
                <c:pt idx="9">
                  <c:v>3.1779661016949155E-3</c:v>
                </c:pt>
                <c:pt idx="10">
                  <c:v>0.6182909604519774</c:v>
                </c:pt>
                <c:pt idx="11">
                  <c:v>1.0593220338983051E-3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Isingiro-Mbarara-24Hr'!$C$9:$N$9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Isingiro-Mbarara-24Hr'!$C$108:$N$108</c:f>
              <c:numCache>
                <c:formatCode>0.00%</c:formatCode>
                <c:ptCount val="12"/>
                <c:pt idx="0">
                  <c:v>0.49861239592969475</c:v>
                </c:pt>
                <c:pt idx="1">
                  <c:v>4.6253469010175763E-3</c:v>
                </c:pt>
                <c:pt idx="2">
                  <c:v>8.2331174838112864E-2</c:v>
                </c:pt>
                <c:pt idx="3">
                  <c:v>8.5106382978723402E-2</c:v>
                </c:pt>
                <c:pt idx="4">
                  <c:v>4.6253469010175763E-3</c:v>
                </c:pt>
                <c:pt idx="5">
                  <c:v>9.2506938020351526E-3</c:v>
                </c:pt>
                <c:pt idx="6">
                  <c:v>9.5282146160962075E-2</c:v>
                </c:pt>
                <c:pt idx="7">
                  <c:v>5.5504162812210912E-2</c:v>
                </c:pt>
                <c:pt idx="8">
                  <c:v>1.0175763182238668E-2</c:v>
                </c:pt>
                <c:pt idx="9">
                  <c:v>8.3256244218316375E-3</c:v>
                </c:pt>
                <c:pt idx="11">
                  <c:v>2.7752081406105457E-3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43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'28.10 Mbarara-Isingiro-24Hr'!$AE$9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'28.10 Mbarara-Isingiro-24Hr'!$R$10:$R$33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Mbarara-Isingiro-24Hr'!$AE$10:$AE$33</c:f>
              <c:numCache>
                <c:formatCode>0</c:formatCode>
                <c:ptCount val="24"/>
                <c:pt idx="0">
                  <c:v>96</c:v>
                </c:pt>
                <c:pt idx="1">
                  <c:v>93</c:v>
                </c:pt>
                <c:pt idx="2">
                  <c:v>90</c:v>
                </c:pt>
                <c:pt idx="3">
                  <c:v>75</c:v>
                </c:pt>
                <c:pt idx="4">
                  <c:v>89</c:v>
                </c:pt>
                <c:pt idx="5">
                  <c:v>75</c:v>
                </c:pt>
                <c:pt idx="6">
                  <c:v>69</c:v>
                </c:pt>
                <c:pt idx="7">
                  <c:v>113</c:v>
                </c:pt>
                <c:pt idx="8">
                  <c:v>70</c:v>
                </c:pt>
                <c:pt idx="9">
                  <c:v>108</c:v>
                </c:pt>
                <c:pt idx="10">
                  <c:v>108</c:v>
                </c:pt>
                <c:pt idx="11">
                  <c:v>130</c:v>
                </c:pt>
                <c:pt idx="12">
                  <c:v>76</c:v>
                </c:pt>
                <c:pt idx="13">
                  <c:v>40</c:v>
                </c:pt>
                <c:pt idx="14">
                  <c:v>21</c:v>
                </c:pt>
                <c:pt idx="15">
                  <c:v>27</c:v>
                </c:pt>
                <c:pt idx="16">
                  <c:v>17</c:v>
                </c:pt>
                <c:pt idx="17">
                  <c:v>9</c:v>
                </c:pt>
                <c:pt idx="18">
                  <c:v>6</c:v>
                </c:pt>
                <c:pt idx="19">
                  <c:v>4</c:v>
                </c:pt>
                <c:pt idx="20">
                  <c:v>10</c:v>
                </c:pt>
                <c:pt idx="21">
                  <c:v>8</c:v>
                </c:pt>
                <c:pt idx="22">
                  <c:v>14</c:v>
                </c:pt>
                <c:pt idx="23">
                  <c:v>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'28.10 Mbarara-Isingiro-24Hr'!$AF$9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'28.10 Mbarara-Isingiro-24Hr'!$R$10:$R$33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'28.10 Mbarara-Isingiro-24Hr'!$AF$10:$AF$33</c:f>
              <c:numCache>
                <c:formatCode>0</c:formatCode>
                <c:ptCount val="24"/>
                <c:pt idx="0">
                  <c:v>237</c:v>
                </c:pt>
                <c:pt idx="1">
                  <c:v>251</c:v>
                </c:pt>
                <c:pt idx="2">
                  <c:v>252</c:v>
                </c:pt>
                <c:pt idx="3">
                  <c:v>205</c:v>
                </c:pt>
                <c:pt idx="4">
                  <c:v>275</c:v>
                </c:pt>
                <c:pt idx="5">
                  <c:v>240</c:v>
                </c:pt>
                <c:pt idx="6">
                  <c:v>197</c:v>
                </c:pt>
                <c:pt idx="7">
                  <c:v>164</c:v>
                </c:pt>
                <c:pt idx="8">
                  <c:v>149</c:v>
                </c:pt>
                <c:pt idx="9">
                  <c:v>292</c:v>
                </c:pt>
                <c:pt idx="10">
                  <c:v>306</c:v>
                </c:pt>
                <c:pt idx="11">
                  <c:v>324</c:v>
                </c:pt>
                <c:pt idx="12">
                  <c:v>247</c:v>
                </c:pt>
                <c:pt idx="13">
                  <c:v>150</c:v>
                </c:pt>
                <c:pt idx="14">
                  <c:v>71</c:v>
                </c:pt>
                <c:pt idx="15">
                  <c:v>77</c:v>
                </c:pt>
                <c:pt idx="16">
                  <c:v>41</c:v>
                </c:pt>
                <c:pt idx="17">
                  <c:v>18</c:v>
                </c:pt>
                <c:pt idx="18">
                  <c:v>14</c:v>
                </c:pt>
                <c:pt idx="19">
                  <c:v>6</c:v>
                </c:pt>
                <c:pt idx="20">
                  <c:v>11</c:v>
                </c:pt>
                <c:pt idx="21">
                  <c:v>10</c:v>
                </c:pt>
                <c:pt idx="22">
                  <c:v>16</c:v>
                </c:pt>
                <c:pt idx="23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73108912"/>
        <c:axId val="-1173111632"/>
      </c:lineChart>
      <c:catAx>
        <c:axId val="-1173108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111632"/>
        <c:crosses val="autoZero"/>
        <c:auto val="1"/>
        <c:lblAlgn val="ctr"/>
        <c:lblOffset val="100"/>
        <c:noMultiLvlLbl val="0"/>
      </c:catAx>
      <c:valAx>
        <c:axId val="-1173111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108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Mbarara-Isingiro-24Hr'!$C$9:$N$9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Mbarara-Isingiro-24Hr'!$C$107:$N$107</c:f>
              <c:numCache>
                <c:formatCode>0.0%</c:formatCode>
                <c:ptCount val="12"/>
                <c:pt idx="0">
                  <c:v>0.20397460667954734</c:v>
                </c:pt>
                <c:pt idx="1">
                  <c:v>3.0637593154844052E-2</c:v>
                </c:pt>
                <c:pt idx="2">
                  <c:v>3.0361578802097708E-2</c:v>
                </c:pt>
                <c:pt idx="3">
                  <c:v>5.1338669610819759E-2</c:v>
                </c:pt>
                <c:pt idx="4">
                  <c:v>5.5202870549268563E-4</c:v>
                </c:pt>
                <c:pt idx="5">
                  <c:v>5.5202870549268563E-4</c:v>
                </c:pt>
                <c:pt idx="6">
                  <c:v>4.2230195970190447E-2</c:v>
                </c:pt>
                <c:pt idx="7">
                  <c:v>1.7388904223019596E-2</c:v>
                </c:pt>
                <c:pt idx="8">
                  <c:v>1.9321004692243997E-3</c:v>
                </c:pt>
                <c:pt idx="9">
                  <c:v>1.6560861164780568E-3</c:v>
                </c:pt>
                <c:pt idx="10">
                  <c:v>0.61937620756279321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'28.10 Mbarara-Isingiro-24Hr'!$C$9:$N$9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'28.10 Mbarara-Isingiro-24Hr'!$C$108:$N$108</c:f>
              <c:numCache>
                <c:formatCode>0.00%</c:formatCode>
                <c:ptCount val="12"/>
                <c:pt idx="0">
                  <c:v>0.53589557650471353</c:v>
                </c:pt>
                <c:pt idx="1">
                  <c:v>8.0493110949963739E-2</c:v>
                </c:pt>
                <c:pt idx="2">
                  <c:v>7.9767947788252358E-2</c:v>
                </c:pt>
                <c:pt idx="3">
                  <c:v>0.13488034807831761</c:v>
                </c:pt>
                <c:pt idx="4">
                  <c:v>1.4503263234227702E-3</c:v>
                </c:pt>
                <c:pt idx="5">
                  <c:v>1.4503263234227702E-3</c:v>
                </c:pt>
                <c:pt idx="6">
                  <c:v>0.11094996374184192</c:v>
                </c:pt>
                <c:pt idx="7">
                  <c:v>4.5685279187817257E-2</c:v>
                </c:pt>
                <c:pt idx="8">
                  <c:v>5.076142131979695E-3</c:v>
                </c:pt>
                <c:pt idx="9">
                  <c:v>4.3509789702683103E-3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Isingiro-Mbarara'!$AE$9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Isingiro-Mbarara'!$AE$10:$AE$21</c:f>
              <c:numCache>
                <c:formatCode>0</c:formatCode>
                <c:ptCount val="12"/>
                <c:pt idx="0">
                  <c:v>88</c:v>
                </c:pt>
                <c:pt idx="1">
                  <c:v>87</c:v>
                </c:pt>
                <c:pt idx="2">
                  <c:v>92</c:v>
                </c:pt>
                <c:pt idx="3">
                  <c:v>72</c:v>
                </c:pt>
                <c:pt idx="4">
                  <c:v>75</c:v>
                </c:pt>
                <c:pt idx="5">
                  <c:v>60</c:v>
                </c:pt>
                <c:pt idx="6">
                  <c:v>72</c:v>
                </c:pt>
                <c:pt idx="7">
                  <c:v>69</c:v>
                </c:pt>
                <c:pt idx="8">
                  <c:v>88</c:v>
                </c:pt>
                <c:pt idx="9">
                  <c:v>64</c:v>
                </c:pt>
                <c:pt idx="10">
                  <c:v>113</c:v>
                </c:pt>
                <c:pt idx="11">
                  <c:v>112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'29.10 Isingiro-Mbarara'!$AF$9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Isingiro-Mbarara'!$AF$10:$AF$21</c:f>
              <c:numCache>
                <c:formatCode>0</c:formatCode>
                <c:ptCount val="12"/>
                <c:pt idx="0">
                  <c:v>245</c:v>
                </c:pt>
                <c:pt idx="1">
                  <c:v>292</c:v>
                </c:pt>
                <c:pt idx="2">
                  <c:v>245</c:v>
                </c:pt>
                <c:pt idx="3">
                  <c:v>244</c:v>
                </c:pt>
                <c:pt idx="4">
                  <c:v>243</c:v>
                </c:pt>
                <c:pt idx="5">
                  <c:v>166</c:v>
                </c:pt>
                <c:pt idx="6">
                  <c:v>218</c:v>
                </c:pt>
                <c:pt idx="7">
                  <c:v>211</c:v>
                </c:pt>
                <c:pt idx="8">
                  <c:v>193</c:v>
                </c:pt>
                <c:pt idx="9">
                  <c:v>200</c:v>
                </c:pt>
                <c:pt idx="10">
                  <c:v>273</c:v>
                </c:pt>
                <c:pt idx="11">
                  <c:v>290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73104560"/>
        <c:axId val="-1173106192"/>
      </c:lineChart>
      <c:catAx>
        <c:axId val="-117310456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106192"/>
        <c:crosses val="autoZero"/>
        <c:auto val="1"/>
        <c:lblAlgn val="ctr"/>
        <c:lblOffset val="100"/>
        <c:noMultiLvlLbl val="0"/>
      </c:catAx>
      <c:valAx>
        <c:axId val="-11731061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3104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Isingiro-Mbarara'!$C$59:$N$59</c:f>
              <c:numCache>
                <c:formatCode>0.0%</c:formatCode>
                <c:ptCount val="12"/>
                <c:pt idx="0">
                  <c:v>0.18865248226950354</c:v>
                </c:pt>
                <c:pt idx="1">
                  <c:v>2.6241134751773049E-2</c:v>
                </c:pt>
                <c:pt idx="2">
                  <c:v>3.1914893617021274E-2</c:v>
                </c:pt>
                <c:pt idx="3">
                  <c:v>4.5744680851063826E-2</c:v>
                </c:pt>
                <c:pt idx="4">
                  <c:v>1.0638297872340426E-3</c:v>
                </c:pt>
                <c:pt idx="5">
                  <c:v>3.5460992907801421E-4</c:v>
                </c:pt>
                <c:pt idx="6">
                  <c:v>3.4751773049645392E-2</c:v>
                </c:pt>
                <c:pt idx="7">
                  <c:v>1.9503546099290781E-2</c:v>
                </c:pt>
                <c:pt idx="8">
                  <c:v>1.4184397163120568E-3</c:v>
                </c:pt>
                <c:pt idx="9">
                  <c:v>1.7730496453900709E-3</c:v>
                </c:pt>
                <c:pt idx="10">
                  <c:v>0.64822695035460998</c:v>
                </c:pt>
                <c:pt idx="11">
                  <c:v>3.5460992907801421E-4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Isingiro-Mbarara'!$C$60:$N$60</c:f>
              <c:numCache>
                <c:formatCode>0.00%</c:formatCode>
                <c:ptCount val="12"/>
                <c:pt idx="0">
                  <c:v>0.53629032258064513</c:v>
                </c:pt>
                <c:pt idx="1">
                  <c:v>7.459677419354839E-2</c:v>
                </c:pt>
                <c:pt idx="2">
                  <c:v>9.0725806451612906E-2</c:v>
                </c:pt>
                <c:pt idx="3">
                  <c:v>0.13004032258064516</c:v>
                </c:pt>
                <c:pt idx="4">
                  <c:v>3.0241935483870967E-3</c:v>
                </c:pt>
                <c:pt idx="5">
                  <c:v>1.0080645161290322E-3</c:v>
                </c:pt>
                <c:pt idx="6">
                  <c:v>9.8790322580645157E-2</c:v>
                </c:pt>
                <c:pt idx="7">
                  <c:v>5.5443548387096774E-2</c:v>
                </c:pt>
                <c:pt idx="8">
                  <c:v>4.0322580645161289E-3</c:v>
                </c:pt>
                <c:pt idx="9">
                  <c:v>5.0403225806451612E-3</c:v>
                </c:pt>
                <c:pt idx="11">
                  <c:v>1.0080645161290322E-3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Mbarara-Isingiro'!$AE$9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'29.10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Mbarara-Isingiro'!$AE$10:$AE$21</c:f>
              <c:numCache>
                <c:formatCode>0</c:formatCode>
                <c:ptCount val="12"/>
                <c:pt idx="0">
                  <c:v>81</c:v>
                </c:pt>
                <c:pt idx="1">
                  <c:v>85</c:v>
                </c:pt>
                <c:pt idx="2">
                  <c:v>89</c:v>
                </c:pt>
                <c:pt idx="3">
                  <c:v>78</c:v>
                </c:pt>
                <c:pt idx="4">
                  <c:v>59</c:v>
                </c:pt>
                <c:pt idx="5">
                  <c:v>68</c:v>
                </c:pt>
                <c:pt idx="6">
                  <c:v>76</c:v>
                </c:pt>
                <c:pt idx="7">
                  <c:v>72</c:v>
                </c:pt>
                <c:pt idx="8">
                  <c:v>83</c:v>
                </c:pt>
                <c:pt idx="9">
                  <c:v>100</c:v>
                </c:pt>
                <c:pt idx="10">
                  <c:v>83</c:v>
                </c:pt>
                <c:pt idx="11">
                  <c:v>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'29.10 Mbarara-Isingiro'!$AF$9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'29.10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Mbarara-Isingiro'!$AF$10:$AF$21</c:f>
              <c:numCache>
                <c:formatCode>0</c:formatCode>
                <c:ptCount val="12"/>
                <c:pt idx="0">
                  <c:v>185</c:v>
                </c:pt>
                <c:pt idx="1">
                  <c:v>228</c:v>
                </c:pt>
                <c:pt idx="2">
                  <c:v>222</c:v>
                </c:pt>
                <c:pt idx="3">
                  <c:v>259</c:v>
                </c:pt>
                <c:pt idx="4">
                  <c:v>198</c:v>
                </c:pt>
                <c:pt idx="5">
                  <c:v>174</c:v>
                </c:pt>
                <c:pt idx="6">
                  <c:v>228</c:v>
                </c:pt>
                <c:pt idx="7">
                  <c:v>214</c:v>
                </c:pt>
                <c:pt idx="8">
                  <c:v>218</c:v>
                </c:pt>
                <c:pt idx="9">
                  <c:v>245</c:v>
                </c:pt>
                <c:pt idx="10">
                  <c:v>253</c:v>
                </c:pt>
                <c:pt idx="11">
                  <c:v>264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71131040"/>
        <c:axId val="-1171138112"/>
      </c:lineChart>
      <c:catAx>
        <c:axId val="-11711310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38112"/>
        <c:crosses val="autoZero"/>
        <c:auto val="1"/>
        <c:lblAlgn val="ctr"/>
        <c:lblOffset val="100"/>
        <c:noMultiLvlLbl val="0"/>
      </c:catAx>
      <c:valAx>
        <c:axId val="-11711381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31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Mbarara-Isingiro'!$C$59:$N$59</c:f>
              <c:numCache>
                <c:formatCode>0.0%</c:formatCode>
                <c:ptCount val="12"/>
                <c:pt idx="0">
                  <c:v>0.16703869047619047</c:v>
                </c:pt>
                <c:pt idx="1">
                  <c:v>3.5342261904761904E-2</c:v>
                </c:pt>
                <c:pt idx="2">
                  <c:v>4.0178571428571432E-2</c:v>
                </c:pt>
                <c:pt idx="3">
                  <c:v>4.3526785714285712E-2</c:v>
                </c:pt>
                <c:pt idx="4">
                  <c:v>3.720238095238095E-4</c:v>
                </c:pt>
                <c:pt idx="5">
                  <c:v>3.720238095238095E-4</c:v>
                </c:pt>
                <c:pt idx="6">
                  <c:v>2.5669642857142856E-2</c:v>
                </c:pt>
                <c:pt idx="7">
                  <c:v>3.1622023809523808E-2</c:v>
                </c:pt>
                <c:pt idx="8">
                  <c:v>4.464285714285714E-3</c:v>
                </c:pt>
                <c:pt idx="9">
                  <c:v>4.464285714285714E-3</c:v>
                </c:pt>
                <c:pt idx="10">
                  <c:v>0.64694940476190477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'29.10 Mbarara-Isingiro'!$S$9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'29.10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Mbarara-Isingiro'!$S$10:$S$21</c:f>
              <c:numCache>
                <c:formatCode>0</c:formatCode>
                <c:ptCount val="12"/>
                <c:pt idx="0">
                  <c:v>39</c:v>
                </c:pt>
                <c:pt idx="1">
                  <c:v>30</c:v>
                </c:pt>
                <c:pt idx="2">
                  <c:v>31</c:v>
                </c:pt>
                <c:pt idx="3">
                  <c:v>35</c:v>
                </c:pt>
                <c:pt idx="4">
                  <c:v>30</c:v>
                </c:pt>
                <c:pt idx="5">
                  <c:v>29</c:v>
                </c:pt>
                <c:pt idx="6">
                  <c:v>32</c:v>
                </c:pt>
                <c:pt idx="7">
                  <c:v>32</c:v>
                </c:pt>
                <c:pt idx="8">
                  <c:v>42</c:v>
                </c:pt>
                <c:pt idx="9">
                  <c:v>56</c:v>
                </c:pt>
                <c:pt idx="10">
                  <c:v>51</c:v>
                </c:pt>
                <c:pt idx="11">
                  <c:v>42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'29.10 Mbarara-Isingiro'!$T$9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'29.10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'29.10 Mbarara-Isingiro'!$T$10:$T$21</c:f>
              <c:numCache>
                <c:formatCode>0</c:formatCode>
                <c:ptCount val="12"/>
                <c:pt idx="0">
                  <c:v>12</c:v>
                </c:pt>
                <c:pt idx="1">
                  <c:v>8</c:v>
                </c:pt>
                <c:pt idx="2">
                  <c:v>10</c:v>
                </c:pt>
                <c:pt idx="3">
                  <c:v>8</c:v>
                </c:pt>
                <c:pt idx="4">
                  <c:v>6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6</c:v>
                </c:pt>
                <c:pt idx="9">
                  <c:v>9</c:v>
                </c:pt>
                <c:pt idx="10">
                  <c:v>9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'29.10 Mbarara-Isingiro'!$U$9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Mbarara-Isingiro'!$U$10:$U$21</c:f>
              <c:numCache>
                <c:formatCode>0</c:formatCode>
                <c:ptCount val="12"/>
                <c:pt idx="0">
                  <c:v>5</c:v>
                </c:pt>
                <c:pt idx="1">
                  <c:v>21</c:v>
                </c:pt>
                <c:pt idx="2">
                  <c:v>19</c:v>
                </c:pt>
                <c:pt idx="3">
                  <c:v>6</c:v>
                </c:pt>
                <c:pt idx="4">
                  <c:v>5</c:v>
                </c:pt>
                <c:pt idx="5">
                  <c:v>10</c:v>
                </c:pt>
                <c:pt idx="6">
                  <c:v>12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2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'29.10 Mbarara-Isingiro'!$V$9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Mbarara-Isingiro'!$V$10:$V$21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10</c:v>
                </c:pt>
                <c:pt idx="3">
                  <c:v>9</c:v>
                </c:pt>
                <c:pt idx="4">
                  <c:v>7</c:v>
                </c:pt>
                <c:pt idx="5">
                  <c:v>11</c:v>
                </c:pt>
                <c:pt idx="6">
                  <c:v>10</c:v>
                </c:pt>
                <c:pt idx="7">
                  <c:v>10</c:v>
                </c:pt>
                <c:pt idx="8">
                  <c:v>13</c:v>
                </c:pt>
                <c:pt idx="9">
                  <c:v>14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'29.10 Mbarara-Isingiro'!$W$9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'29.10 Mbarara-Isingiro'!$X$9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'29.10 Mbarara-Isingiro'!$Y$9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Mbarara-Isingiro'!$Y$10:$Y$21</c:f>
              <c:numCache>
                <c:formatCode>0</c:formatCode>
                <c:ptCount val="12"/>
                <c:pt idx="0">
                  <c:v>3</c:v>
                </c:pt>
                <c:pt idx="1">
                  <c:v>12</c:v>
                </c:pt>
                <c:pt idx="2">
                  <c:v>7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5</c:v>
                </c:pt>
                <c:pt idx="7">
                  <c:v>8</c:v>
                </c:pt>
                <c:pt idx="8">
                  <c:v>4</c:v>
                </c:pt>
                <c:pt idx="9">
                  <c:v>4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'29.10 Mbarara-Isingiro'!$Z$9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Mbarara-Isingiro'!$Z$10:$Z$21</c:f>
              <c:numCache>
                <c:formatCode>0</c:formatCode>
                <c:ptCount val="12"/>
                <c:pt idx="0">
                  <c:v>10</c:v>
                </c:pt>
                <c:pt idx="1">
                  <c:v>6</c:v>
                </c:pt>
                <c:pt idx="2">
                  <c:v>8</c:v>
                </c:pt>
                <c:pt idx="3">
                  <c:v>7</c:v>
                </c:pt>
                <c:pt idx="4">
                  <c:v>4</c:v>
                </c:pt>
                <c:pt idx="5">
                  <c:v>8</c:v>
                </c:pt>
                <c:pt idx="6">
                  <c:v>8</c:v>
                </c:pt>
                <c:pt idx="7">
                  <c:v>5</c:v>
                </c:pt>
                <c:pt idx="8">
                  <c:v>10</c:v>
                </c:pt>
                <c:pt idx="9">
                  <c:v>8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'29.10 Mbarara-Isingiro'!$AA$9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7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'29.10 Mbarara-Isingiro'!$AB$9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Mbarara-Isingiro'!$AB$10:$AB$21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3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'29.10 Mbarara-Isingiro'!$AC$9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Mbarara-Isingiro'!$AC$10:$AC$21</c:f>
              <c:numCache>
                <c:formatCode>0</c:formatCode>
                <c:ptCount val="12"/>
                <c:pt idx="0">
                  <c:v>104</c:v>
                </c:pt>
                <c:pt idx="1">
                  <c:v>143</c:v>
                </c:pt>
                <c:pt idx="2">
                  <c:v>133</c:v>
                </c:pt>
                <c:pt idx="3">
                  <c:v>181</c:v>
                </c:pt>
                <c:pt idx="4">
                  <c:v>139</c:v>
                </c:pt>
                <c:pt idx="5">
                  <c:v>106</c:v>
                </c:pt>
                <c:pt idx="6">
                  <c:v>152</c:v>
                </c:pt>
                <c:pt idx="7">
                  <c:v>142</c:v>
                </c:pt>
                <c:pt idx="8">
                  <c:v>135</c:v>
                </c:pt>
                <c:pt idx="9">
                  <c:v>145</c:v>
                </c:pt>
                <c:pt idx="10">
                  <c:v>170</c:v>
                </c:pt>
                <c:pt idx="11">
                  <c:v>189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'29.10 Mbarara-Isingiro'!$AD$9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'29.10 Mbarara-Isingiro'!$AD$10:$AD$21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71137024"/>
        <c:axId val="-1171129408"/>
      </c:lineChart>
      <c:catAx>
        <c:axId val="-11711370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29408"/>
        <c:crosses val="autoZero"/>
        <c:auto val="1"/>
        <c:lblAlgn val="ctr"/>
        <c:lblOffset val="100"/>
        <c:noMultiLvlLbl val="0"/>
      </c:catAx>
      <c:valAx>
        <c:axId val="-117112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370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'29.10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'29.10 Mbarara-Isingiro'!$C$60:$N$60</c:f>
              <c:numCache>
                <c:formatCode>0.0%</c:formatCode>
                <c:ptCount val="12"/>
                <c:pt idx="0">
                  <c:v>6.2142369968820854E-5</c:v>
                </c:pt>
                <c:pt idx="1">
                  <c:v>1.3148162910997733E-5</c:v>
                </c:pt>
                <c:pt idx="2" formatCode="0.00%">
                  <c:v>0.11380400421496312</c:v>
                </c:pt>
                <c:pt idx="3" formatCode="0.00%">
                  <c:v>0.12328767123287671</c:v>
                </c:pt>
                <c:pt idx="4" formatCode="0.00%">
                  <c:v>1.053740779768177E-3</c:v>
                </c:pt>
                <c:pt idx="5" formatCode="0.00%">
                  <c:v>1.053740779768177E-3</c:v>
                </c:pt>
                <c:pt idx="6" formatCode="0.00%">
                  <c:v>7.2708113804004215E-2</c:v>
                </c:pt>
                <c:pt idx="7" formatCode="0.00%">
                  <c:v>8.956796628029505E-2</c:v>
                </c:pt>
                <c:pt idx="8" formatCode="0.00%">
                  <c:v>1.2644889357218124E-2</c:v>
                </c:pt>
                <c:pt idx="9" formatCode="0.00%">
                  <c:v>1.2644889357218124E-2</c:v>
                </c:pt>
                <c:pt idx="11" formatCode="0.00%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Isingiro-Mbarara'!$AE$9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Isingiro-Mbarara'!$AE$10:$AE$21</c:f>
              <c:numCache>
                <c:formatCode>0</c:formatCode>
                <c:ptCount val="12"/>
                <c:pt idx="0">
                  <c:v>75</c:v>
                </c:pt>
                <c:pt idx="1">
                  <c:v>81</c:v>
                </c:pt>
                <c:pt idx="2">
                  <c:v>78</c:v>
                </c:pt>
                <c:pt idx="3">
                  <c:v>82</c:v>
                </c:pt>
                <c:pt idx="4">
                  <c:v>70</c:v>
                </c:pt>
                <c:pt idx="5">
                  <c:v>66</c:v>
                </c:pt>
                <c:pt idx="6">
                  <c:v>66</c:v>
                </c:pt>
                <c:pt idx="7">
                  <c:v>59</c:v>
                </c:pt>
                <c:pt idx="8">
                  <c:v>81</c:v>
                </c:pt>
                <c:pt idx="9">
                  <c:v>84</c:v>
                </c:pt>
                <c:pt idx="10">
                  <c:v>72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'30.10 Isingiro-Mbarara'!$AF$9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Isingiro-Mbarara'!$AF$10:$AF$21</c:f>
              <c:numCache>
                <c:formatCode>0</c:formatCode>
                <c:ptCount val="12"/>
                <c:pt idx="0">
                  <c:v>283</c:v>
                </c:pt>
                <c:pt idx="1">
                  <c:v>230</c:v>
                </c:pt>
                <c:pt idx="2">
                  <c:v>234</c:v>
                </c:pt>
                <c:pt idx="3">
                  <c:v>233</c:v>
                </c:pt>
                <c:pt idx="4">
                  <c:v>250</c:v>
                </c:pt>
                <c:pt idx="5">
                  <c:v>233</c:v>
                </c:pt>
                <c:pt idx="6">
                  <c:v>184</c:v>
                </c:pt>
                <c:pt idx="7">
                  <c:v>168</c:v>
                </c:pt>
                <c:pt idx="8">
                  <c:v>218</c:v>
                </c:pt>
                <c:pt idx="9">
                  <c:v>217</c:v>
                </c:pt>
                <c:pt idx="10">
                  <c:v>237</c:v>
                </c:pt>
                <c:pt idx="11">
                  <c:v>277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71140288"/>
        <c:axId val="-1171139744"/>
      </c:lineChart>
      <c:catAx>
        <c:axId val="-1171140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39744"/>
        <c:crosses val="autoZero"/>
        <c:auto val="1"/>
        <c:lblAlgn val="ctr"/>
        <c:lblOffset val="100"/>
        <c:noMultiLvlLbl val="0"/>
      </c:catAx>
      <c:valAx>
        <c:axId val="-11711397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4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Isingiro-Mbarara'!$C$59:$N$59</c:f>
              <c:numCache>
                <c:formatCode>0.0%</c:formatCode>
                <c:ptCount val="12"/>
                <c:pt idx="0">
                  <c:v>0.17583212735166426</c:v>
                </c:pt>
                <c:pt idx="1">
                  <c:v>2.6049204052098408E-2</c:v>
                </c:pt>
                <c:pt idx="2">
                  <c:v>3.4732272069464547E-2</c:v>
                </c:pt>
                <c:pt idx="3">
                  <c:v>4.6671490593342982E-2</c:v>
                </c:pt>
                <c:pt idx="4">
                  <c:v>3.6179450072358897E-4</c:v>
                </c:pt>
                <c:pt idx="5">
                  <c:v>0</c:v>
                </c:pt>
                <c:pt idx="6">
                  <c:v>2.9667149059334298E-2</c:v>
                </c:pt>
                <c:pt idx="7">
                  <c:v>1.9898697539797394E-2</c:v>
                </c:pt>
                <c:pt idx="8">
                  <c:v>1.0853835021707671E-3</c:v>
                </c:pt>
                <c:pt idx="9">
                  <c:v>3.256150506512301E-3</c:v>
                </c:pt>
                <c:pt idx="10">
                  <c:v>0.66244573082489144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Isingiro-Mbarara'!$S$9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Isingiro-Mbarara'!$S$10:$S$21</c:f>
              <c:numCache>
                <c:formatCode>0</c:formatCode>
                <c:ptCount val="12"/>
                <c:pt idx="0">
                  <c:v>51</c:v>
                </c:pt>
                <c:pt idx="1">
                  <c:v>42</c:v>
                </c:pt>
                <c:pt idx="2">
                  <c:v>42</c:v>
                </c:pt>
                <c:pt idx="3">
                  <c:v>41</c:v>
                </c:pt>
                <c:pt idx="4">
                  <c:v>37</c:v>
                </c:pt>
                <c:pt idx="5">
                  <c:v>34</c:v>
                </c:pt>
                <c:pt idx="6">
                  <c:v>43</c:v>
                </c:pt>
                <c:pt idx="7">
                  <c:v>28</c:v>
                </c:pt>
                <c:pt idx="8">
                  <c:v>31</c:v>
                </c:pt>
                <c:pt idx="9">
                  <c:v>39</c:v>
                </c:pt>
                <c:pt idx="10">
                  <c:v>30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'30.10 Isingiro-Mbarara'!$T$9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Isingiro-Mbarara'!$T$10:$T$21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10</c:v>
                </c:pt>
                <c:pt idx="9">
                  <c:v>8</c:v>
                </c:pt>
                <c:pt idx="10">
                  <c:v>8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'30.10 Isingiro-Mbarara'!$U$9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Isingiro-Mbarara'!$U$10:$U$21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8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6</c:v>
                </c:pt>
                <c:pt idx="7">
                  <c:v>8</c:v>
                </c:pt>
                <c:pt idx="8">
                  <c:v>10</c:v>
                </c:pt>
                <c:pt idx="9">
                  <c:v>11</c:v>
                </c:pt>
                <c:pt idx="10">
                  <c:v>11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'30.10 Isingiro-Mbarara'!$V$9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Isingiro-Mbarara'!$V$10:$V$21</c:f>
              <c:numCache>
                <c:formatCode>0</c:formatCode>
                <c:ptCount val="12"/>
                <c:pt idx="0">
                  <c:v>11</c:v>
                </c:pt>
                <c:pt idx="1">
                  <c:v>25</c:v>
                </c:pt>
                <c:pt idx="2">
                  <c:v>15</c:v>
                </c:pt>
                <c:pt idx="3">
                  <c:v>17</c:v>
                </c:pt>
                <c:pt idx="4">
                  <c:v>10</c:v>
                </c:pt>
                <c:pt idx="5">
                  <c:v>8</c:v>
                </c:pt>
                <c:pt idx="6">
                  <c:v>6</c:v>
                </c:pt>
                <c:pt idx="7">
                  <c:v>5</c:v>
                </c:pt>
                <c:pt idx="8">
                  <c:v>8</c:v>
                </c:pt>
                <c:pt idx="9">
                  <c:v>10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'30.10 Isingiro-Mbarara'!$W$9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'30.10 Isingiro-Mbarara'!$X$9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'30.10 Isingiro-Mbarara'!$Y$9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Isingiro-Mbarara'!$Y$10:$Y$21</c:f>
              <c:numCache>
                <c:formatCode>0</c:formatCode>
                <c:ptCount val="12"/>
                <c:pt idx="0">
                  <c:v>5</c:v>
                </c:pt>
                <c:pt idx="1">
                  <c:v>6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  <c:pt idx="5">
                  <c:v>2</c:v>
                </c:pt>
                <c:pt idx="6">
                  <c:v>6</c:v>
                </c:pt>
                <c:pt idx="7">
                  <c:v>9</c:v>
                </c:pt>
                <c:pt idx="8">
                  <c:v>11</c:v>
                </c:pt>
                <c:pt idx="9">
                  <c:v>13</c:v>
                </c:pt>
                <c:pt idx="10">
                  <c:v>5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'30.10 Isingiro-Mbarara'!$Z$9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Isingiro-Mbarara'!$Z$10:$Z$21</c:f>
              <c:numCache>
                <c:formatCode>0</c:formatCode>
                <c:ptCount val="12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3</c:v>
                </c:pt>
                <c:pt idx="4">
                  <c:v>5</c:v>
                </c:pt>
                <c:pt idx="5">
                  <c:v>5</c:v>
                </c:pt>
                <c:pt idx="6">
                  <c:v>2</c:v>
                </c:pt>
                <c:pt idx="7">
                  <c:v>5</c:v>
                </c:pt>
                <c:pt idx="8">
                  <c:v>7</c:v>
                </c:pt>
                <c:pt idx="9">
                  <c:v>3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'30.10 Isingiro-Mbarara'!$AA$9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'30.10 Isingiro-Mbarara'!$AB$9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'30.10 Isingiro-Mbarara'!$AC$9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Isingiro-Mbarara'!$AC$10:$AC$21</c:f>
              <c:numCache>
                <c:formatCode>0</c:formatCode>
                <c:ptCount val="12"/>
                <c:pt idx="0">
                  <c:v>208</c:v>
                </c:pt>
                <c:pt idx="1">
                  <c:v>149</c:v>
                </c:pt>
                <c:pt idx="2">
                  <c:v>156</c:v>
                </c:pt>
                <c:pt idx="3">
                  <c:v>151</c:v>
                </c:pt>
                <c:pt idx="4">
                  <c:v>180</c:v>
                </c:pt>
                <c:pt idx="5">
                  <c:v>167</c:v>
                </c:pt>
                <c:pt idx="6">
                  <c:v>118</c:v>
                </c:pt>
                <c:pt idx="7">
                  <c:v>109</c:v>
                </c:pt>
                <c:pt idx="8">
                  <c:v>137</c:v>
                </c:pt>
                <c:pt idx="9">
                  <c:v>133</c:v>
                </c:pt>
                <c:pt idx="10">
                  <c:v>165</c:v>
                </c:pt>
                <c:pt idx="11">
                  <c:v>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'30.10 Isingiro-Mbarara'!$AD$9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Isingiro-Mbarara'!$AD$10:$AD$21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71133216"/>
        <c:axId val="-1171132672"/>
      </c:lineChart>
      <c:catAx>
        <c:axId val="-11711332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32672"/>
        <c:crosses val="autoZero"/>
        <c:auto val="1"/>
        <c:lblAlgn val="ctr"/>
        <c:lblOffset val="100"/>
        <c:noMultiLvlLbl val="0"/>
      </c:catAx>
      <c:valAx>
        <c:axId val="-117113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71133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Isingiro-Mbarara'!$C$60:$N$60</c:f>
              <c:numCache>
                <c:formatCode>0.00%</c:formatCode>
                <c:ptCount val="12"/>
                <c:pt idx="0">
                  <c:v>0.52090032154340837</c:v>
                </c:pt>
                <c:pt idx="1">
                  <c:v>7.7170418006430874E-2</c:v>
                </c:pt>
                <c:pt idx="2">
                  <c:v>0.10289389067524116</c:v>
                </c:pt>
                <c:pt idx="3">
                  <c:v>0.13826366559485531</c:v>
                </c:pt>
                <c:pt idx="4">
                  <c:v>1.0718113612004287E-3</c:v>
                </c:pt>
                <c:pt idx="5">
                  <c:v>0</c:v>
                </c:pt>
                <c:pt idx="6">
                  <c:v>8.7888531618435156E-2</c:v>
                </c:pt>
                <c:pt idx="7">
                  <c:v>5.8949624866023578E-2</c:v>
                </c:pt>
                <c:pt idx="8">
                  <c:v>3.2154340836012861E-3</c:v>
                </c:pt>
                <c:pt idx="9">
                  <c:v>9.6463022508038593E-3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Mbarara-Isingiro'!$AE$9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'30.10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Mbarara-Isingiro'!$AE$10:$AE$21</c:f>
              <c:numCache>
                <c:formatCode>0</c:formatCode>
                <c:ptCount val="12"/>
                <c:pt idx="0">
                  <c:v>64</c:v>
                </c:pt>
                <c:pt idx="1">
                  <c:v>81</c:v>
                </c:pt>
                <c:pt idx="2">
                  <c:v>77</c:v>
                </c:pt>
                <c:pt idx="3">
                  <c:v>86</c:v>
                </c:pt>
                <c:pt idx="4">
                  <c:v>88</c:v>
                </c:pt>
                <c:pt idx="5">
                  <c:v>73</c:v>
                </c:pt>
                <c:pt idx="6">
                  <c:v>77</c:v>
                </c:pt>
                <c:pt idx="7">
                  <c:v>66</c:v>
                </c:pt>
                <c:pt idx="8">
                  <c:v>62</c:v>
                </c:pt>
                <c:pt idx="9">
                  <c:v>85</c:v>
                </c:pt>
                <c:pt idx="10">
                  <c:v>64</c:v>
                </c:pt>
                <c:pt idx="11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'30.10 Mbarara-Isingiro'!$AF$9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'30.10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Mbarara-Isingiro'!$AF$10:$AF$21</c:f>
              <c:numCache>
                <c:formatCode>0</c:formatCode>
                <c:ptCount val="12"/>
                <c:pt idx="0">
                  <c:v>208</c:v>
                </c:pt>
                <c:pt idx="1">
                  <c:v>207</c:v>
                </c:pt>
                <c:pt idx="2">
                  <c:v>157</c:v>
                </c:pt>
                <c:pt idx="3">
                  <c:v>209</c:v>
                </c:pt>
                <c:pt idx="4">
                  <c:v>244</c:v>
                </c:pt>
                <c:pt idx="5">
                  <c:v>220</c:v>
                </c:pt>
                <c:pt idx="6">
                  <c:v>219</c:v>
                </c:pt>
                <c:pt idx="7">
                  <c:v>198</c:v>
                </c:pt>
                <c:pt idx="8">
                  <c:v>193</c:v>
                </c:pt>
                <c:pt idx="9">
                  <c:v>256</c:v>
                </c:pt>
                <c:pt idx="10">
                  <c:v>251</c:v>
                </c:pt>
                <c:pt idx="11">
                  <c:v>271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68630400"/>
        <c:axId val="-1168633120"/>
      </c:lineChart>
      <c:catAx>
        <c:axId val="-116863040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33120"/>
        <c:crosses val="autoZero"/>
        <c:auto val="1"/>
        <c:lblAlgn val="ctr"/>
        <c:lblOffset val="100"/>
        <c:noMultiLvlLbl val="0"/>
      </c:catAx>
      <c:valAx>
        <c:axId val="-11686331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30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Mbarara-Isingiro'!$C$59:$N$59</c:f>
              <c:numCache>
                <c:formatCode>0.0%</c:formatCode>
                <c:ptCount val="12"/>
                <c:pt idx="0">
                  <c:v>0.15039878465628562</c:v>
                </c:pt>
                <c:pt idx="1">
                  <c:v>3.7979491074819599E-2</c:v>
                </c:pt>
                <c:pt idx="2">
                  <c:v>3.4941131788834033E-2</c:v>
                </c:pt>
                <c:pt idx="3">
                  <c:v>5.3551082415495631E-2</c:v>
                </c:pt>
                <c:pt idx="4">
                  <c:v>7.5958982149639193E-4</c:v>
                </c:pt>
                <c:pt idx="5">
                  <c:v>0</c:v>
                </c:pt>
                <c:pt idx="6">
                  <c:v>3.0763387770603876E-2</c:v>
                </c:pt>
                <c:pt idx="7">
                  <c:v>3.4941131788834033E-2</c:v>
                </c:pt>
                <c:pt idx="8">
                  <c:v>1.5191796429927839E-3</c:v>
                </c:pt>
                <c:pt idx="9">
                  <c:v>7.5958982149639193E-4</c:v>
                </c:pt>
                <c:pt idx="10">
                  <c:v>0.65438663121914165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'30.10 Mbarara-Isingiro'!$S$9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'30.10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Mbarara-Isingiro'!$S$10:$S$21</c:f>
              <c:numCache>
                <c:formatCode>0</c:formatCode>
                <c:ptCount val="12"/>
                <c:pt idx="0">
                  <c:v>36</c:v>
                </c:pt>
                <c:pt idx="1">
                  <c:v>29</c:v>
                </c:pt>
                <c:pt idx="2">
                  <c:v>31</c:v>
                </c:pt>
                <c:pt idx="3">
                  <c:v>44</c:v>
                </c:pt>
                <c:pt idx="4">
                  <c:v>39</c:v>
                </c:pt>
                <c:pt idx="5">
                  <c:v>23</c:v>
                </c:pt>
                <c:pt idx="6">
                  <c:v>35</c:v>
                </c:pt>
                <c:pt idx="7">
                  <c:v>26</c:v>
                </c:pt>
                <c:pt idx="8">
                  <c:v>31</c:v>
                </c:pt>
                <c:pt idx="9">
                  <c:v>30</c:v>
                </c:pt>
                <c:pt idx="10">
                  <c:v>23</c:v>
                </c:pt>
                <c:pt idx="11">
                  <c:v>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'30.10 Mbarara-Isingiro'!$T$9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'30.10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'30.10 Mbarara-Isingiro'!$T$10:$T$21</c:f>
              <c:numCache>
                <c:formatCode>0</c:formatCode>
                <c:ptCount val="12"/>
                <c:pt idx="0">
                  <c:v>5</c:v>
                </c:pt>
                <c:pt idx="1">
                  <c:v>16</c:v>
                </c:pt>
                <c:pt idx="2">
                  <c:v>9</c:v>
                </c:pt>
                <c:pt idx="3">
                  <c:v>10</c:v>
                </c:pt>
                <c:pt idx="4">
                  <c:v>6</c:v>
                </c:pt>
                <c:pt idx="5">
                  <c:v>10</c:v>
                </c:pt>
                <c:pt idx="6">
                  <c:v>6</c:v>
                </c:pt>
                <c:pt idx="7">
                  <c:v>12</c:v>
                </c:pt>
                <c:pt idx="8">
                  <c:v>4</c:v>
                </c:pt>
                <c:pt idx="9">
                  <c:v>8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'30.10 Mbarara-Isingiro'!$U$9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Mbarara-Isingiro'!$U$10:$U$21</c:f>
              <c:numCache>
                <c:formatCode>0</c:formatCode>
                <c:ptCount val="12"/>
                <c:pt idx="0">
                  <c:v>4</c:v>
                </c:pt>
                <c:pt idx="1">
                  <c:v>15</c:v>
                </c:pt>
                <c:pt idx="2">
                  <c:v>9</c:v>
                </c:pt>
                <c:pt idx="3">
                  <c:v>6</c:v>
                </c:pt>
                <c:pt idx="4">
                  <c:v>13</c:v>
                </c:pt>
                <c:pt idx="5">
                  <c:v>3</c:v>
                </c:pt>
                <c:pt idx="6">
                  <c:v>9</c:v>
                </c:pt>
                <c:pt idx="7">
                  <c:v>4</c:v>
                </c:pt>
                <c:pt idx="8">
                  <c:v>6</c:v>
                </c:pt>
                <c:pt idx="9">
                  <c:v>7</c:v>
                </c:pt>
                <c:pt idx="10">
                  <c:v>10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'30.10 Mbarara-Isingiro'!$V$9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Mbarara-Isingiro'!$V$10:$V$21</c:f>
              <c:numCache>
                <c:formatCode>0</c:formatCode>
                <c:ptCount val="12"/>
                <c:pt idx="0">
                  <c:v>7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18</c:v>
                </c:pt>
                <c:pt idx="6">
                  <c:v>13</c:v>
                </c:pt>
                <c:pt idx="7">
                  <c:v>13</c:v>
                </c:pt>
                <c:pt idx="8">
                  <c:v>10</c:v>
                </c:pt>
                <c:pt idx="9">
                  <c:v>21</c:v>
                </c:pt>
                <c:pt idx="10">
                  <c:v>12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'30.10 Mbarara-Isingiro'!$W$9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'30.10 Mbarara-Isingiro'!$X$9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'30.10 Mbarara-Isingiro'!$Y$9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Mbarara-Isingiro'!$Y$10:$Y$21</c:f>
              <c:numCache>
                <c:formatCode>0</c:formatCode>
                <c:ptCount val="12"/>
                <c:pt idx="0">
                  <c:v>4</c:v>
                </c:pt>
                <c:pt idx="1">
                  <c:v>1</c:v>
                </c:pt>
                <c:pt idx="2">
                  <c:v>11</c:v>
                </c:pt>
                <c:pt idx="3">
                  <c:v>9</c:v>
                </c:pt>
                <c:pt idx="4">
                  <c:v>12</c:v>
                </c:pt>
                <c:pt idx="5">
                  <c:v>5</c:v>
                </c:pt>
                <c:pt idx="6">
                  <c:v>6</c:v>
                </c:pt>
                <c:pt idx="7">
                  <c:v>6</c:v>
                </c:pt>
                <c:pt idx="8">
                  <c:v>3</c:v>
                </c:pt>
                <c:pt idx="9">
                  <c:v>11</c:v>
                </c:pt>
                <c:pt idx="10">
                  <c:v>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'30.10 Mbarara-Isingiro'!$Z$9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Mbarara-Isingiro'!$Z$10:$Z$21</c:f>
              <c:numCache>
                <c:formatCode>0</c:formatCode>
                <c:ptCount val="12"/>
                <c:pt idx="0">
                  <c:v>8</c:v>
                </c:pt>
                <c:pt idx="1">
                  <c:v>12</c:v>
                </c:pt>
                <c:pt idx="2">
                  <c:v>7</c:v>
                </c:pt>
                <c:pt idx="3">
                  <c:v>8</c:v>
                </c:pt>
                <c:pt idx="4">
                  <c:v>8</c:v>
                </c:pt>
                <c:pt idx="5">
                  <c:v>12</c:v>
                </c:pt>
                <c:pt idx="6">
                  <c:v>8</c:v>
                </c:pt>
                <c:pt idx="7">
                  <c:v>5</c:v>
                </c:pt>
                <c:pt idx="8">
                  <c:v>6</c:v>
                </c:pt>
                <c:pt idx="9">
                  <c:v>8</c:v>
                </c:pt>
                <c:pt idx="10">
                  <c:v>8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'30.10 Mbarara-Isingiro'!$AA$9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'30.10 Mbarara-Isingiro'!$AB$9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'30.10 Mbarara-Isingiro'!$AC$9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Mbarara-Isingiro'!$AC$10:$AC$21</c:f>
              <c:numCache>
                <c:formatCode>0</c:formatCode>
                <c:ptCount val="12"/>
                <c:pt idx="0">
                  <c:v>144</c:v>
                </c:pt>
                <c:pt idx="1">
                  <c:v>126</c:v>
                </c:pt>
                <c:pt idx="2">
                  <c:v>80</c:v>
                </c:pt>
                <c:pt idx="3">
                  <c:v>123</c:v>
                </c:pt>
                <c:pt idx="4">
                  <c:v>156</c:v>
                </c:pt>
                <c:pt idx="5">
                  <c:v>147</c:v>
                </c:pt>
                <c:pt idx="6">
                  <c:v>142</c:v>
                </c:pt>
                <c:pt idx="7">
                  <c:v>132</c:v>
                </c:pt>
                <c:pt idx="8">
                  <c:v>131</c:v>
                </c:pt>
                <c:pt idx="9">
                  <c:v>171</c:v>
                </c:pt>
                <c:pt idx="10">
                  <c:v>187</c:v>
                </c:pt>
                <c:pt idx="11">
                  <c:v>184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'30.10 Mbarara-Isingiro'!$AD$9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'30.10 Mbarara-Isingiro'!$AD$10:$AD$21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68628768"/>
        <c:axId val="-1168627136"/>
      </c:lineChart>
      <c:catAx>
        <c:axId val="-11686287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27136"/>
        <c:crosses val="autoZero"/>
        <c:auto val="1"/>
        <c:lblAlgn val="ctr"/>
        <c:lblOffset val="100"/>
        <c:noMultiLvlLbl val="0"/>
      </c:catAx>
      <c:valAx>
        <c:axId val="-116862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2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'30.10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'30.10 Mbarara-Isingiro'!$C$60:$N$60</c:f>
              <c:numCache>
                <c:formatCode>0.00%</c:formatCode>
                <c:ptCount val="12"/>
                <c:pt idx="0">
                  <c:v>0.43516483516483517</c:v>
                </c:pt>
                <c:pt idx="1">
                  <c:v>0.10989010989010989</c:v>
                </c:pt>
                <c:pt idx="2">
                  <c:v>0.1010989010989011</c:v>
                </c:pt>
                <c:pt idx="3">
                  <c:v>0.15494505494505495</c:v>
                </c:pt>
                <c:pt idx="4">
                  <c:v>2.1978021978021978E-3</c:v>
                </c:pt>
                <c:pt idx="5">
                  <c:v>0</c:v>
                </c:pt>
                <c:pt idx="6">
                  <c:v>8.9010989010989014E-2</c:v>
                </c:pt>
                <c:pt idx="7">
                  <c:v>0.1010989010989011</c:v>
                </c:pt>
                <c:pt idx="8">
                  <c:v>4.3956043956043956E-3</c:v>
                </c:pt>
                <c:pt idx="9">
                  <c:v>2.1978021978021978E-3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Isingiro-Mbarara'!$AE$9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Isingiro-Mbarara'!$AE$10:$AE$21</c:f>
              <c:numCache>
                <c:formatCode>0</c:formatCode>
                <c:ptCount val="12"/>
                <c:pt idx="0">
                  <c:v>58</c:v>
                </c:pt>
                <c:pt idx="1">
                  <c:v>80</c:v>
                </c:pt>
                <c:pt idx="2">
                  <c:v>89</c:v>
                </c:pt>
                <c:pt idx="3">
                  <c:v>103</c:v>
                </c:pt>
                <c:pt idx="4">
                  <c:v>68</c:v>
                </c:pt>
                <c:pt idx="5">
                  <c:v>56</c:v>
                </c:pt>
                <c:pt idx="6">
                  <c:v>51</c:v>
                </c:pt>
                <c:pt idx="7">
                  <c:v>71</c:v>
                </c:pt>
                <c:pt idx="8">
                  <c:v>76</c:v>
                </c:pt>
                <c:pt idx="9">
                  <c:v>77</c:v>
                </c:pt>
                <c:pt idx="10">
                  <c:v>95</c:v>
                </c:pt>
                <c:pt idx="11">
                  <c:v>104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'31.10 Isingiro-Mbarara'!$AF$9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Isingiro-Mbarara'!$AF$10:$AF$21</c:f>
              <c:numCache>
                <c:formatCode>0</c:formatCode>
                <c:ptCount val="12"/>
                <c:pt idx="0">
                  <c:v>259</c:v>
                </c:pt>
                <c:pt idx="1">
                  <c:v>285</c:v>
                </c:pt>
                <c:pt idx="2">
                  <c:v>259</c:v>
                </c:pt>
                <c:pt idx="3">
                  <c:v>233</c:v>
                </c:pt>
                <c:pt idx="4">
                  <c:v>121</c:v>
                </c:pt>
                <c:pt idx="5">
                  <c:v>122</c:v>
                </c:pt>
                <c:pt idx="6">
                  <c:v>148</c:v>
                </c:pt>
                <c:pt idx="7">
                  <c:v>243</c:v>
                </c:pt>
                <c:pt idx="8">
                  <c:v>269</c:v>
                </c:pt>
                <c:pt idx="9">
                  <c:v>252</c:v>
                </c:pt>
                <c:pt idx="10">
                  <c:v>266</c:v>
                </c:pt>
                <c:pt idx="11">
                  <c:v>318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68618976"/>
        <c:axId val="-1168624416"/>
      </c:lineChart>
      <c:catAx>
        <c:axId val="-11686189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24416"/>
        <c:crosses val="autoZero"/>
        <c:auto val="1"/>
        <c:lblAlgn val="ctr"/>
        <c:lblOffset val="100"/>
        <c:noMultiLvlLbl val="0"/>
      </c:catAx>
      <c:valAx>
        <c:axId val="-11686244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1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Isingiro-Mbarara'!$C$59:$N$59</c:f>
              <c:numCache>
                <c:formatCode>0.0%</c:formatCode>
                <c:ptCount val="12"/>
                <c:pt idx="0">
                  <c:v>0.16864864864864865</c:v>
                </c:pt>
                <c:pt idx="1">
                  <c:v>2.7747747747747749E-2</c:v>
                </c:pt>
                <c:pt idx="2">
                  <c:v>2.8108108108108109E-2</c:v>
                </c:pt>
                <c:pt idx="3">
                  <c:v>5.4054054054054057E-2</c:v>
                </c:pt>
                <c:pt idx="4">
                  <c:v>3.6036036036036037E-4</c:v>
                </c:pt>
                <c:pt idx="5">
                  <c:v>0</c:v>
                </c:pt>
                <c:pt idx="6">
                  <c:v>2.6666666666666668E-2</c:v>
                </c:pt>
                <c:pt idx="7">
                  <c:v>2.4144144144144144E-2</c:v>
                </c:pt>
                <c:pt idx="8">
                  <c:v>1.4414414414414415E-3</c:v>
                </c:pt>
                <c:pt idx="9">
                  <c:v>2.8828828828828829E-3</c:v>
                </c:pt>
                <c:pt idx="10">
                  <c:v>0.66558558558558556</c:v>
                </c:pt>
                <c:pt idx="11">
                  <c:v>3.6036036036036037E-4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Isingiro-Mbarara'!$S$9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Isingiro-Mbarara'!$S$10:$S$21</c:f>
              <c:numCache>
                <c:formatCode>0</c:formatCode>
                <c:ptCount val="12"/>
                <c:pt idx="0">
                  <c:v>36</c:v>
                </c:pt>
                <c:pt idx="1">
                  <c:v>45</c:v>
                </c:pt>
                <c:pt idx="2">
                  <c:v>43</c:v>
                </c:pt>
                <c:pt idx="3">
                  <c:v>47</c:v>
                </c:pt>
                <c:pt idx="4">
                  <c:v>31</c:v>
                </c:pt>
                <c:pt idx="5">
                  <c:v>30</c:v>
                </c:pt>
                <c:pt idx="6">
                  <c:v>27</c:v>
                </c:pt>
                <c:pt idx="7">
                  <c:v>37</c:v>
                </c:pt>
                <c:pt idx="8">
                  <c:v>37</c:v>
                </c:pt>
                <c:pt idx="9">
                  <c:v>33</c:v>
                </c:pt>
                <c:pt idx="10">
                  <c:v>45</c:v>
                </c:pt>
                <c:pt idx="11">
                  <c:v>57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'31.10 Isingiro-Mbarara'!$T$9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Isingiro-Mbarara'!$R$10:$R$21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Isingiro-Mbarara'!$T$10:$T$21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7</c:v>
                </c:pt>
                <c:pt idx="8">
                  <c:v>6</c:v>
                </c:pt>
                <c:pt idx="9">
                  <c:v>12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'31.10 Isingiro-Mbarara'!$U$9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Isingiro-Mbarara'!$U$10:$U$21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9</c:v>
                </c:pt>
                <c:pt idx="3">
                  <c:v>8</c:v>
                </c:pt>
                <c:pt idx="4">
                  <c:v>6</c:v>
                </c:pt>
                <c:pt idx="5">
                  <c:v>6</c:v>
                </c:pt>
                <c:pt idx="6">
                  <c:v>4</c:v>
                </c:pt>
                <c:pt idx="7">
                  <c:v>9</c:v>
                </c:pt>
                <c:pt idx="8">
                  <c:v>8</c:v>
                </c:pt>
                <c:pt idx="9">
                  <c:v>10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'31.10 Isingiro-Mbarara'!$V$9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Isingiro-Mbarara'!$V$10:$V$21</c:f>
              <c:numCache>
                <c:formatCode>0</c:formatCode>
                <c:ptCount val="12"/>
                <c:pt idx="0">
                  <c:v>9</c:v>
                </c:pt>
                <c:pt idx="1">
                  <c:v>21</c:v>
                </c:pt>
                <c:pt idx="2">
                  <c:v>24</c:v>
                </c:pt>
                <c:pt idx="3">
                  <c:v>23</c:v>
                </c:pt>
                <c:pt idx="4">
                  <c:v>12</c:v>
                </c:pt>
                <c:pt idx="5">
                  <c:v>6</c:v>
                </c:pt>
                <c:pt idx="6">
                  <c:v>5</c:v>
                </c:pt>
                <c:pt idx="7">
                  <c:v>9</c:v>
                </c:pt>
                <c:pt idx="8">
                  <c:v>12</c:v>
                </c:pt>
                <c:pt idx="9">
                  <c:v>8</c:v>
                </c:pt>
                <c:pt idx="10">
                  <c:v>12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'31.10 Isingiro-Mbarara'!$W$9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'31.10 Isingiro-Mbarara'!$X$9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'31.10 Isingiro-Mbarara'!$Y$9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Isingiro-Mbarara'!$Y$10:$Y$21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5</c:v>
                </c:pt>
                <c:pt idx="3">
                  <c:v>7</c:v>
                </c:pt>
                <c:pt idx="4">
                  <c:v>5</c:v>
                </c:pt>
                <c:pt idx="5">
                  <c:v>4</c:v>
                </c:pt>
                <c:pt idx="6">
                  <c:v>8</c:v>
                </c:pt>
                <c:pt idx="7">
                  <c:v>6</c:v>
                </c:pt>
                <c:pt idx="8">
                  <c:v>8</c:v>
                </c:pt>
                <c:pt idx="9">
                  <c:v>6</c:v>
                </c:pt>
                <c:pt idx="10">
                  <c:v>7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'31.10 Isingiro-Mbarara'!$Z$9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Isingiro-Mbarara'!$Z$10:$Z$21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11</c:v>
                </c:pt>
                <c:pt idx="4">
                  <c:v>5</c:v>
                </c:pt>
                <c:pt idx="5">
                  <c:v>4</c:v>
                </c:pt>
                <c:pt idx="6">
                  <c:v>2</c:v>
                </c:pt>
                <c:pt idx="7">
                  <c:v>3</c:v>
                </c:pt>
                <c:pt idx="8">
                  <c:v>5</c:v>
                </c:pt>
                <c:pt idx="9">
                  <c:v>5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'31.10 Isingiro-Mbarara'!$AA$9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'31.10 Isingiro-Mbarara'!$AB$9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'31.10 Isingiro-Mbarara'!$AC$9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Isingiro-Mbarara'!$AC$10:$AC$21</c:f>
              <c:numCache>
                <c:formatCode>0</c:formatCode>
                <c:ptCount val="12"/>
                <c:pt idx="0">
                  <c:v>201</c:v>
                </c:pt>
                <c:pt idx="1">
                  <c:v>205</c:v>
                </c:pt>
                <c:pt idx="2">
                  <c:v>170</c:v>
                </c:pt>
                <c:pt idx="3">
                  <c:v>130</c:v>
                </c:pt>
                <c:pt idx="4">
                  <c:v>53</c:v>
                </c:pt>
                <c:pt idx="5">
                  <c:v>66</c:v>
                </c:pt>
                <c:pt idx="6">
                  <c:v>97</c:v>
                </c:pt>
                <c:pt idx="7">
                  <c:v>172</c:v>
                </c:pt>
                <c:pt idx="8">
                  <c:v>193</c:v>
                </c:pt>
                <c:pt idx="9">
                  <c:v>175</c:v>
                </c:pt>
                <c:pt idx="10">
                  <c:v>171</c:v>
                </c:pt>
                <c:pt idx="11">
                  <c:v>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'31.10 Isingiro-Mbarara'!$AD$9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Isingiro-Mbarara'!$AD$10:$AD$21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68620608"/>
        <c:axId val="-1168618432"/>
      </c:lineChart>
      <c:catAx>
        <c:axId val="-1168620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18432"/>
        <c:crosses val="autoZero"/>
        <c:auto val="1"/>
        <c:lblAlgn val="ctr"/>
        <c:lblOffset val="100"/>
        <c:noMultiLvlLbl val="0"/>
      </c:catAx>
      <c:valAx>
        <c:axId val="-11686184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206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Isingiro-Mbarara'!$C$60:$N$60</c:f>
              <c:numCache>
                <c:formatCode>0.00%</c:formatCode>
                <c:ptCount val="12"/>
                <c:pt idx="0">
                  <c:v>0.50431034482758619</c:v>
                </c:pt>
                <c:pt idx="1">
                  <c:v>8.2974137931034489E-2</c:v>
                </c:pt>
                <c:pt idx="2">
                  <c:v>8.4051724137931036E-2</c:v>
                </c:pt>
                <c:pt idx="3">
                  <c:v>0.16163793103448276</c:v>
                </c:pt>
                <c:pt idx="4">
                  <c:v>1.0775862068965517E-3</c:v>
                </c:pt>
                <c:pt idx="5">
                  <c:v>0</c:v>
                </c:pt>
                <c:pt idx="6">
                  <c:v>7.9741379310344834E-2</c:v>
                </c:pt>
                <c:pt idx="7">
                  <c:v>7.2198275862068964E-2</c:v>
                </c:pt>
                <c:pt idx="8">
                  <c:v>4.3103448275862068E-3</c:v>
                </c:pt>
                <c:pt idx="9">
                  <c:v>8.6206896551724137E-3</c:v>
                </c:pt>
                <c:pt idx="11">
                  <c:v>1.0775862068965517E-3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Mbarara-Isingiro'!$AE$9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'31.10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Mbarara-Isingiro'!$AE$10:$AE$21</c:f>
              <c:numCache>
                <c:formatCode>0</c:formatCode>
                <c:ptCount val="12"/>
                <c:pt idx="0">
                  <c:v>69</c:v>
                </c:pt>
                <c:pt idx="1">
                  <c:v>85</c:v>
                </c:pt>
                <c:pt idx="2">
                  <c:v>92</c:v>
                </c:pt>
                <c:pt idx="3">
                  <c:v>80</c:v>
                </c:pt>
                <c:pt idx="4">
                  <c:v>66</c:v>
                </c:pt>
                <c:pt idx="5">
                  <c:v>42</c:v>
                </c:pt>
                <c:pt idx="6">
                  <c:v>74</c:v>
                </c:pt>
                <c:pt idx="7">
                  <c:v>64</c:v>
                </c:pt>
                <c:pt idx="8">
                  <c:v>78</c:v>
                </c:pt>
                <c:pt idx="9">
                  <c:v>90</c:v>
                </c:pt>
                <c:pt idx="10">
                  <c:v>87</c:v>
                </c:pt>
                <c:pt idx="11">
                  <c:v>119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'31.10 Mbarara-Isingiro'!$AF$9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'31.10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Mbarara-Isingiro'!$AF$10:$AF$21</c:f>
              <c:numCache>
                <c:formatCode>0</c:formatCode>
                <c:ptCount val="12"/>
                <c:pt idx="0">
                  <c:v>221</c:v>
                </c:pt>
                <c:pt idx="1">
                  <c:v>232</c:v>
                </c:pt>
                <c:pt idx="2">
                  <c:v>235</c:v>
                </c:pt>
                <c:pt idx="3">
                  <c:v>235</c:v>
                </c:pt>
                <c:pt idx="4">
                  <c:v>115</c:v>
                </c:pt>
                <c:pt idx="5">
                  <c:v>107</c:v>
                </c:pt>
                <c:pt idx="6">
                  <c:v>209</c:v>
                </c:pt>
                <c:pt idx="7">
                  <c:v>200</c:v>
                </c:pt>
                <c:pt idx="8">
                  <c:v>242</c:v>
                </c:pt>
                <c:pt idx="9">
                  <c:v>278</c:v>
                </c:pt>
                <c:pt idx="10">
                  <c:v>261</c:v>
                </c:pt>
                <c:pt idx="11">
                  <c:v>343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68625504"/>
        <c:axId val="-1168623872"/>
      </c:lineChart>
      <c:catAx>
        <c:axId val="-116862550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23872"/>
        <c:crosses val="autoZero"/>
        <c:auto val="1"/>
        <c:lblAlgn val="ctr"/>
        <c:lblOffset val="100"/>
        <c:noMultiLvlLbl val="0"/>
      </c:catAx>
      <c:valAx>
        <c:axId val="-1168623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86255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Mbarara-Isingiro'!$C$59:$N$59</c:f>
              <c:numCache>
                <c:formatCode>0.0%</c:formatCode>
                <c:ptCount val="12"/>
                <c:pt idx="0">
                  <c:v>0.1654219566840926</c:v>
                </c:pt>
                <c:pt idx="1">
                  <c:v>3.5100821508588502E-2</c:v>
                </c:pt>
                <c:pt idx="2">
                  <c:v>3.4353995519044063E-2</c:v>
                </c:pt>
                <c:pt idx="3">
                  <c:v>5.3398058252427182E-2</c:v>
                </c:pt>
                <c:pt idx="4">
                  <c:v>3.734129947722181E-4</c:v>
                </c:pt>
                <c:pt idx="5">
                  <c:v>3.734129947722181E-4</c:v>
                </c:pt>
                <c:pt idx="6">
                  <c:v>2.725914861837192E-2</c:v>
                </c:pt>
                <c:pt idx="7">
                  <c:v>3.4353995519044063E-2</c:v>
                </c:pt>
                <c:pt idx="8">
                  <c:v>1.4936519790888724E-3</c:v>
                </c:pt>
                <c:pt idx="9">
                  <c:v>1.1202389843166542E-3</c:v>
                </c:pt>
                <c:pt idx="10">
                  <c:v>0.64675130694548166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65"/>
          <c:y val="2.29602266373237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'31.10 Mbarara-Isingiro'!$S$9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'31.10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Mbarara-Isingiro'!$S$10:$S$21</c:f>
              <c:numCache>
                <c:formatCode>0</c:formatCode>
                <c:ptCount val="12"/>
                <c:pt idx="0">
                  <c:v>40</c:v>
                </c:pt>
                <c:pt idx="1">
                  <c:v>37</c:v>
                </c:pt>
                <c:pt idx="2">
                  <c:v>40</c:v>
                </c:pt>
                <c:pt idx="3">
                  <c:v>27</c:v>
                </c:pt>
                <c:pt idx="4">
                  <c:v>22</c:v>
                </c:pt>
                <c:pt idx="5">
                  <c:v>24</c:v>
                </c:pt>
                <c:pt idx="6">
                  <c:v>41</c:v>
                </c:pt>
                <c:pt idx="7">
                  <c:v>30</c:v>
                </c:pt>
                <c:pt idx="8">
                  <c:v>32</c:v>
                </c:pt>
                <c:pt idx="9">
                  <c:v>39</c:v>
                </c:pt>
                <c:pt idx="10">
                  <c:v>43</c:v>
                </c:pt>
                <c:pt idx="11">
                  <c:v>68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'31.10 Mbarara-Isingiro'!$T$9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'31.10 Mbarara-Isingiro'!$R$10:$R$21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'31.10 Mbarara-Isingiro'!$T$10:$T$21</c:f>
              <c:numCache>
                <c:formatCode>0</c:formatCode>
                <c:ptCount val="12"/>
                <c:pt idx="0">
                  <c:v>4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11</c:v>
                </c:pt>
                <c:pt idx="5">
                  <c:v>4</c:v>
                </c:pt>
                <c:pt idx="6">
                  <c:v>7</c:v>
                </c:pt>
                <c:pt idx="7">
                  <c:v>5</c:v>
                </c:pt>
                <c:pt idx="8">
                  <c:v>7</c:v>
                </c:pt>
                <c:pt idx="9">
                  <c:v>4</c:v>
                </c:pt>
                <c:pt idx="10">
                  <c:v>9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'31.10 Mbarara-Isingiro'!$U$9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Mbarara-Isingiro'!$U$10:$U$21</c:f>
              <c:numCache>
                <c:formatCode>0</c:formatCode>
                <c:ptCount val="12"/>
                <c:pt idx="0">
                  <c:v>2</c:v>
                </c:pt>
                <c:pt idx="1">
                  <c:v>9</c:v>
                </c:pt>
                <c:pt idx="2">
                  <c:v>12</c:v>
                </c:pt>
                <c:pt idx="3">
                  <c:v>11</c:v>
                </c:pt>
                <c:pt idx="4">
                  <c:v>7</c:v>
                </c:pt>
                <c:pt idx="5">
                  <c:v>3</c:v>
                </c:pt>
                <c:pt idx="6">
                  <c:v>5</c:v>
                </c:pt>
                <c:pt idx="7">
                  <c:v>10</c:v>
                </c:pt>
                <c:pt idx="8">
                  <c:v>8</c:v>
                </c:pt>
                <c:pt idx="9">
                  <c:v>6</c:v>
                </c:pt>
                <c:pt idx="10">
                  <c:v>6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'31.10 Mbarara-Isingiro'!$V$9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Mbarara-Isingiro'!$V$10:$V$21</c:f>
              <c:numCache>
                <c:formatCode>0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7</c:v>
                </c:pt>
                <c:pt idx="3">
                  <c:v>9</c:v>
                </c:pt>
                <c:pt idx="4">
                  <c:v>14</c:v>
                </c:pt>
                <c:pt idx="5">
                  <c:v>5</c:v>
                </c:pt>
                <c:pt idx="6">
                  <c:v>12</c:v>
                </c:pt>
                <c:pt idx="7">
                  <c:v>10</c:v>
                </c:pt>
                <c:pt idx="8">
                  <c:v>18</c:v>
                </c:pt>
                <c:pt idx="9">
                  <c:v>17</c:v>
                </c:pt>
                <c:pt idx="10">
                  <c:v>16</c:v>
                </c:pt>
                <c:pt idx="11">
                  <c:v>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'31.10 Mbarara-Isingiro'!$W$9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'31.10 Mbarara-Isingiro'!$X$9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'31.10 Mbarara-Isingiro'!$Y$9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Mbarara-Isingiro'!$Y$10:$Y$21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3</c:v>
                </c:pt>
                <c:pt idx="5">
                  <c:v>2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9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'31.10 Mbarara-Isingiro'!$Z$9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Mbarara-Isingiro'!$Z$10:$Z$21</c:f>
              <c:numCache>
                <c:formatCode>0</c:formatCode>
                <c:ptCount val="12"/>
                <c:pt idx="0">
                  <c:v>6</c:v>
                </c:pt>
                <c:pt idx="1">
                  <c:v>6</c:v>
                </c:pt>
                <c:pt idx="2">
                  <c:v>10</c:v>
                </c:pt>
                <c:pt idx="3">
                  <c:v>13</c:v>
                </c:pt>
                <c:pt idx="4">
                  <c:v>8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9</c:v>
                </c:pt>
                <c:pt idx="9">
                  <c:v>14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'31.10 Mbarara-Isingiro'!$AA$9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Mbarara-Isingiro'!$AA$10:$AA$21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'31.10 Mbarara-Isingiro'!$AB$9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Mbarara-Isingiro'!$AB$10:$AB$21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'31.10 Mbarara-Isingiro'!$AC$9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Mbarara-Isingiro'!$AC$10:$AC$21</c:f>
              <c:numCache>
                <c:formatCode>0</c:formatCode>
                <c:ptCount val="12"/>
                <c:pt idx="0">
                  <c:v>152</c:v>
                </c:pt>
                <c:pt idx="1">
                  <c:v>147</c:v>
                </c:pt>
                <c:pt idx="2">
                  <c:v>143</c:v>
                </c:pt>
                <c:pt idx="3">
                  <c:v>155</c:v>
                </c:pt>
                <c:pt idx="4">
                  <c:v>49</c:v>
                </c:pt>
                <c:pt idx="5">
                  <c:v>65</c:v>
                </c:pt>
                <c:pt idx="6">
                  <c:v>135</c:v>
                </c:pt>
                <c:pt idx="7">
                  <c:v>136</c:v>
                </c:pt>
                <c:pt idx="8">
                  <c:v>164</c:v>
                </c:pt>
                <c:pt idx="9">
                  <c:v>188</c:v>
                </c:pt>
                <c:pt idx="10">
                  <c:v>174</c:v>
                </c:pt>
                <c:pt idx="11">
                  <c:v>224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'31.10 Mbarara-Isingiro'!$AD$9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'31.10 Mbarara-Isingiro'!$AD$10:$AD$21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167848992"/>
        <c:axId val="-1167851712"/>
      </c:lineChart>
      <c:catAx>
        <c:axId val="-11678489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7851712"/>
        <c:crosses val="autoZero"/>
        <c:auto val="1"/>
        <c:lblAlgn val="ctr"/>
        <c:lblOffset val="100"/>
        <c:noMultiLvlLbl val="0"/>
      </c:catAx>
      <c:valAx>
        <c:axId val="-1167851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7848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'31.10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'31.10 Mbarara-Isingiro'!$C$60:$N$60</c:f>
              <c:numCache>
                <c:formatCode>0.00%</c:formatCode>
                <c:ptCount val="12"/>
                <c:pt idx="0">
                  <c:v>0.46828752642706128</c:v>
                </c:pt>
                <c:pt idx="1">
                  <c:v>9.9365750528541227E-2</c:v>
                </c:pt>
                <c:pt idx="2">
                  <c:v>9.7251585623678652E-2</c:v>
                </c:pt>
                <c:pt idx="3">
                  <c:v>0.15116279069767441</c:v>
                </c:pt>
                <c:pt idx="4">
                  <c:v>1.0570824524312897E-3</c:v>
                </c:pt>
                <c:pt idx="5">
                  <c:v>1.0570824524312897E-3</c:v>
                </c:pt>
                <c:pt idx="6">
                  <c:v>7.7167019027484143E-2</c:v>
                </c:pt>
                <c:pt idx="7">
                  <c:v>9.7251585623678652E-2</c:v>
                </c:pt>
                <c:pt idx="8">
                  <c:v>4.2283298097251587E-3</c:v>
                </c:pt>
                <c:pt idx="9">
                  <c:v>3.1712473572938688E-3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Isingiro-Mbarara'!$AE$9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Isingiro-Mbarara'!$R$10:$R$33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Isingiro-Mbarara'!$AE$10:$AE$33</c:f>
              <c:numCache>
                <c:formatCode>0</c:formatCode>
                <c:ptCount val="24"/>
                <c:pt idx="0">
                  <c:v>67.571428571428555</c:v>
                </c:pt>
                <c:pt idx="1">
                  <c:v>83.857142857142861</c:v>
                </c:pt>
                <c:pt idx="2">
                  <c:v>85.428571428571431</c:v>
                </c:pt>
                <c:pt idx="3">
                  <c:v>85.428571428571416</c:v>
                </c:pt>
                <c:pt idx="4">
                  <c:v>80.285714285714278</c:v>
                </c:pt>
                <c:pt idx="5">
                  <c:v>72.142857142857139</c:v>
                </c:pt>
                <c:pt idx="6">
                  <c:v>72.857142857142861</c:v>
                </c:pt>
                <c:pt idx="7">
                  <c:v>73.999999999999986</c:v>
                </c:pt>
                <c:pt idx="8">
                  <c:v>74.428571428571416</c:v>
                </c:pt>
                <c:pt idx="9">
                  <c:v>85.571428571428555</c:v>
                </c:pt>
                <c:pt idx="10">
                  <c:v>93.999999999999986</c:v>
                </c:pt>
                <c:pt idx="11">
                  <c:v>98.999999999999986</c:v>
                </c:pt>
                <c:pt idx="12">
                  <c:v>82</c:v>
                </c:pt>
                <c:pt idx="13">
                  <c:v>61.5</c:v>
                </c:pt>
                <c:pt idx="14">
                  <c:v>51</c:v>
                </c:pt>
                <c:pt idx="15">
                  <c:v>34</c:v>
                </c:pt>
                <c:pt idx="16">
                  <c:v>19</c:v>
                </c:pt>
                <c:pt idx="17">
                  <c:v>7</c:v>
                </c:pt>
                <c:pt idx="18">
                  <c:v>9.5</c:v>
                </c:pt>
                <c:pt idx="19">
                  <c:v>5</c:v>
                </c:pt>
                <c:pt idx="20">
                  <c:v>2.5</c:v>
                </c:pt>
                <c:pt idx="21">
                  <c:v>7</c:v>
                </c:pt>
                <c:pt idx="22">
                  <c:v>2</c:v>
                </c:pt>
                <c:pt idx="23">
                  <c:v>30.5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Isingiro-Mbarara'!$AF$9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Isingiro-Mbarara'!$R$10:$R$33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Isingiro-Mbarara'!$AF$10:$AF$33</c:f>
              <c:numCache>
                <c:formatCode>0</c:formatCode>
                <c:ptCount val="24"/>
                <c:pt idx="0">
                  <c:v>225.57142857142856</c:v>
                </c:pt>
                <c:pt idx="1">
                  <c:v>268.57142857142861</c:v>
                </c:pt>
                <c:pt idx="2">
                  <c:v>249.14285714285714</c:v>
                </c:pt>
                <c:pt idx="3">
                  <c:v>247.57142857142856</c:v>
                </c:pt>
                <c:pt idx="4">
                  <c:v>220.85714285714286</c:v>
                </c:pt>
                <c:pt idx="5">
                  <c:v>209.14285714285711</c:v>
                </c:pt>
                <c:pt idx="6">
                  <c:v>197.85714285714286</c:v>
                </c:pt>
                <c:pt idx="7">
                  <c:v>190.28571428571428</c:v>
                </c:pt>
                <c:pt idx="8">
                  <c:v>199.14285714285711</c:v>
                </c:pt>
                <c:pt idx="9">
                  <c:v>232.42857142857142</c:v>
                </c:pt>
                <c:pt idx="10">
                  <c:v>253.14285714285717</c:v>
                </c:pt>
                <c:pt idx="11">
                  <c:v>266.42857142857144</c:v>
                </c:pt>
                <c:pt idx="12">
                  <c:v>195</c:v>
                </c:pt>
                <c:pt idx="13">
                  <c:v>125.5</c:v>
                </c:pt>
                <c:pt idx="14">
                  <c:v>105.5</c:v>
                </c:pt>
                <c:pt idx="15">
                  <c:v>70</c:v>
                </c:pt>
                <c:pt idx="16">
                  <c:v>26</c:v>
                </c:pt>
                <c:pt idx="17">
                  <c:v>10</c:v>
                </c:pt>
                <c:pt idx="18">
                  <c:v>14.5</c:v>
                </c:pt>
                <c:pt idx="19">
                  <c:v>6</c:v>
                </c:pt>
                <c:pt idx="20">
                  <c:v>8</c:v>
                </c:pt>
                <c:pt idx="21">
                  <c:v>13</c:v>
                </c:pt>
                <c:pt idx="22">
                  <c:v>5</c:v>
                </c:pt>
                <c:pt idx="23">
                  <c:v>80.5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67845184"/>
        <c:axId val="-1167853344"/>
      </c:lineChart>
      <c:catAx>
        <c:axId val="-1167845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7853344"/>
        <c:crosses val="autoZero"/>
        <c:auto val="1"/>
        <c:lblAlgn val="ctr"/>
        <c:lblOffset val="100"/>
        <c:noMultiLvlLbl val="0"/>
      </c:catAx>
      <c:valAx>
        <c:axId val="-116785334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7845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Isingiro-Mbarara'!$C$107:$N$107</c:f>
              <c:numCache>
                <c:formatCode>0.0%</c:formatCode>
                <c:ptCount val="12"/>
                <c:pt idx="0">
                  <c:v>0.20917941004428836</c:v>
                </c:pt>
                <c:pt idx="1">
                  <c:v>3.2861201637837387E-2</c:v>
                </c:pt>
                <c:pt idx="2">
                  <c:v>3.2234478148240979E-2</c:v>
                </c:pt>
                <c:pt idx="3">
                  <c:v>4.0757917606751896E-2</c:v>
                </c:pt>
                <c:pt idx="4">
                  <c:v>8.5652210244839945E-4</c:v>
                </c:pt>
                <c:pt idx="5">
                  <c:v>6.4761427258293617E-4</c:v>
                </c:pt>
                <c:pt idx="6">
                  <c:v>3.2506058327066101E-2</c:v>
                </c:pt>
                <c:pt idx="7">
                  <c:v>2.1830868220940915E-2</c:v>
                </c:pt>
                <c:pt idx="8">
                  <c:v>2.7993649201972087E-3</c:v>
                </c:pt>
                <c:pt idx="9">
                  <c:v>2.1099690816411801E-3</c:v>
                </c:pt>
                <c:pt idx="10">
                  <c:v>0.62400768780813887</c:v>
                </c:pt>
                <c:pt idx="11">
                  <c:v>2.0890782986546328E-4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Isingiro-Mbarara'!$C$9:$N$9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Isingiro-Mbarara'!$C$108:$N$108</c:f>
              <c:numCache>
                <c:formatCode>0.00%</c:formatCode>
                <c:ptCount val="12"/>
                <c:pt idx="0">
                  <c:v>0.55633959328814309</c:v>
                </c:pt>
                <c:pt idx="1">
                  <c:v>8.7398599844427188E-2</c:v>
                </c:pt>
                <c:pt idx="2">
                  <c:v>8.5731747971996869E-2</c:v>
                </c:pt>
                <c:pt idx="3">
                  <c:v>0.10840093343704857</c:v>
                </c:pt>
                <c:pt idx="4">
                  <c:v>2.2780308923213686E-3</c:v>
                </c:pt>
                <c:pt idx="5">
                  <c:v>1.722413601511279E-3</c:v>
                </c:pt>
                <c:pt idx="6">
                  <c:v>8.645405045005003E-2</c:v>
                </c:pt>
                <c:pt idx="7">
                  <c:v>5.8062006889654412E-2</c:v>
                </c:pt>
                <c:pt idx="8">
                  <c:v>7.4452716968552079E-3</c:v>
                </c:pt>
                <c:pt idx="9">
                  <c:v>5.6117346371819116E-3</c:v>
                </c:pt>
                <c:pt idx="11">
                  <c:v>5.5561729081008999E-4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203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Mbarara-Isingiro'!$AE$9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Mbarara-Isingiro'!$R$10:$R$32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</c:strCache>
            </c:strRef>
          </c:cat>
          <c:val>
            <c:numRef>
              <c:f>'Avg Week Mbarara-Isingiro'!$AE$10:$AE$32</c:f>
              <c:numCache>
                <c:formatCode>0</c:formatCode>
                <c:ptCount val="23"/>
                <c:pt idx="0">
                  <c:v>67.285714285714278</c:v>
                </c:pt>
                <c:pt idx="1">
                  <c:v>77.428571428571431</c:v>
                </c:pt>
                <c:pt idx="2">
                  <c:v>80.285714285714292</c:v>
                </c:pt>
                <c:pt idx="3">
                  <c:v>80</c:v>
                </c:pt>
                <c:pt idx="4">
                  <c:v>80.714285714285722</c:v>
                </c:pt>
                <c:pt idx="5">
                  <c:v>69.857142857142861</c:v>
                </c:pt>
                <c:pt idx="6">
                  <c:v>82</c:v>
                </c:pt>
                <c:pt idx="7">
                  <c:v>83.285714285714278</c:v>
                </c:pt>
                <c:pt idx="8">
                  <c:v>81.428571428571431</c:v>
                </c:pt>
                <c:pt idx="9">
                  <c:v>90.857142857142861</c:v>
                </c:pt>
                <c:pt idx="10">
                  <c:v>90.571428571428569</c:v>
                </c:pt>
                <c:pt idx="11">
                  <c:v>105</c:v>
                </c:pt>
                <c:pt idx="12">
                  <c:v>86</c:v>
                </c:pt>
                <c:pt idx="13">
                  <c:v>66</c:v>
                </c:pt>
                <c:pt idx="14">
                  <c:v>36.5</c:v>
                </c:pt>
                <c:pt idx="15">
                  <c:v>32.5</c:v>
                </c:pt>
                <c:pt idx="16">
                  <c:v>22</c:v>
                </c:pt>
                <c:pt idx="17">
                  <c:v>12.5</c:v>
                </c:pt>
                <c:pt idx="18">
                  <c:v>9.5</c:v>
                </c:pt>
                <c:pt idx="19">
                  <c:v>4</c:v>
                </c:pt>
                <c:pt idx="20">
                  <c:v>9</c:v>
                </c:pt>
                <c:pt idx="21">
                  <c:v>9.5</c:v>
                </c:pt>
                <c:pt idx="22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Mbarara-Isingiro'!$AF$9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Mbarara-Isingiro'!$R$10:$R$32</c:f>
              <c:strCache>
                <c:ptCount val="23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</c:strCache>
            </c:strRef>
          </c:cat>
          <c:val>
            <c:numRef>
              <c:f>'Avg Week Mbarara-Isingiro'!$AF$10:$AF$32</c:f>
              <c:numCache>
                <c:formatCode>0</c:formatCode>
                <c:ptCount val="23"/>
                <c:pt idx="0">
                  <c:v>180.57142857142856</c:v>
                </c:pt>
                <c:pt idx="1">
                  <c:v>214</c:v>
                </c:pt>
                <c:pt idx="2">
                  <c:v>221.14285714285717</c:v>
                </c:pt>
                <c:pt idx="3">
                  <c:v>226.28571428571428</c:v>
                </c:pt>
                <c:pt idx="4">
                  <c:v>214.14285714285714</c:v>
                </c:pt>
                <c:pt idx="5">
                  <c:v>202.71428571428572</c:v>
                </c:pt>
                <c:pt idx="6">
                  <c:v>227</c:v>
                </c:pt>
                <c:pt idx="7">
                  <c:v>203</c:v>
                </c:pt>
                <c:pt idx="8">
                  <c:v>202.57142857142858</c:v>
                </c:pt>
                <c:pt idx="9">
                  <c:v>251.71428571428569</c:v>
                </c:pt>
                <c:pt idx="10">
                  <c:v>266.28571428571433</c:v>
                </c:pt>
                <c:pt idx="11">
                  <c:v>301.85714285714283</c:v>
                </c:pt>
                <c:pt idx="12">
                  <c:v>252</c:v>
                </c:pt>
                <c:pt idx="13">
                  <c:v>192.5</c:v>
                </c:pt>
                <c:pt idx="14">
                  <c:v>112.5</c:v>
                </c:pt>
                <c:pt idx="15">
                  <c:v>94.5</c:v>
                </c:pt>
                <c:pt idx="16">
                  <c:v>46</c:v>
                </c:pt>
                <c:pt idx="17">
                  <c:v>22.5</c:v>
                </c:pt>
                <c:pt idx="18">
                  <c:v>25</c:v>
                </c:pt>
                <c:pt idx="19">
                  <c:v>11.5</c:v>
                </c:pt>
                <c:pt idx="20">
                  <c:v>14.5</c:v>
                </c:pt>
                <c:pt idx="21">
                  <c:v>11</c:v>
                </c:pt>
                <c:pt idx="22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1167840288"/>
        <c:axId val="-1167855520"/>
      </c:lineChart>
      <c:catAx>
        <c:axId val="-11678402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7855520"/>
        <c:crosses val="autoZero"/>
        <c:auto val="1"/>
        <c:lblAlgn val="ctr"/>
        <c:lblOffset val="100"/>
        <c:noMultiLvlLbl val="0"/>
      </c:catAx>
      <c:valAx>
        <c:axId val="-11678555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-11678402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6.986195253600358E-2"/>
          <c:y val="0.15070413401122063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Mbarara-Isingiro'!$C$107:$N$107</c:f>
              <c:numCache>
                <c:formatCode>0.0%</c:formatCode>
                <c:ptCount val="12"/>
                <c:pt idx="0">
                  <c:v>0.18839653174571463</c:v>
                </c:pt>
                <c:pt idx="1">
                  <c:v>3.1126383505813718E-2</c:v>
                </c:pt>
                <c:pt idx="2">
                  <c:v>3.2964398449674352E-2</c:v>
                </c:pt>
                <c:pt idx="3">
                  <c:v>5.2163663243696812E-2</c:v>
                </c:pt>
                <c:pt idx="4">
                  <c:v>8.790506253246493E-4</c:v>
                </c:pt>
                <c:pt idx="5">
                  <c:v>2.7969792623966112E-4</c:v>
                </c:pt>
                <c:pt idx="6">
                  <c:v>3.2205218364166704E-2</c:v>
                </c:pt>
                <c:pt idx="7">
                  <c:v>2.6631238262676313E-2</c:v>
                </c:pt>
                <c:pt idx="8">
                  <c:v>2.0178207535861276E-3</c:v>
                </c:pt>
                <c:pt idx="9">
                  <c:v>2.4573460662484516E-3</c:v>
                </c:pt>
                <c:pt idx="10">
                  <c:v>0.6308786510568587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Mbarara-Isingiro'!$C$9:$N$9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Mbarara-Isingiro'!$C$108:$N$108</c:f>
              <c:numCache>
                <c:formatCode>0.00%</c:formatCode>
                <c:ptCount val="12"/>
                <c:pt idx="0">
                  <c:v>0.51039185970989387</c:v>
                </c:pt>
                <c:pt idx="1">
                  <c:v>8.4325611604243331E-2</c:v>
                </c:pt>
                <c:pt idx="2">
                  <c:v>8.9305044381900844E-2</c:v>
                </c:pt>
                <c:pt idx="3">
                  <c:v>0.14131846720069277</c:v>
                </c:pt>
                <c:pt idx="4">
                  <c:v>2.3814678501840221E-3</c:v>
                </c:pt>
                <c:pt idx="5">
                  <c:v>7.5773977051309788E-4</c:v>
                </c:pt>
                <c:pt idx="6">
                  <c:v>8.7248322147651006E-2</c:v>
                </c:pt>
                <c:pt idx="7">
                  <c:v>7.2147651006711416E-2</c:v>
                </c:pt>
                <c:pt idx="8">
                  <c:v>5.4665512015587801E-3</c:v>
                </c:pt>
                <c:pt idx="9">
                  <c:v>6.6572851266507894E-3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Isingiro-Mbarara-2Dir'!$C$9:$N$9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Isingiro-Mbarara-2Dir'!$C$107:$N$107</c:f>
              <c:numCache>
                <c:formatCode>0.0%</c:formatCode>
                <c:ptCount val="12"/>
                <c:pt idx="0">
                  <c:v>0.19855599354588338</c:v>
                </c:pt>
                <c:pt idx="1">
                  <c:v>3.1974428626866266E-2</c:v>
                </c:pt>
                <c:pt idx="2">
                  <c:v>3.2607585629378474E-2</c:v>
                </c:pt>
                <c:pt idx="3">
                  <c:v>4.6588100733236638E-2</c:v>
                </c:pt>
                <c:pt idx="4">
                  <c:v>8.6803782602479489E-4</c:v>
                </c:pt>
                <c:pt idx="5">
                  <c:v>4.5954943730724436E-4</c:v>
                </c:pt>
                <c:pt idx="6">
                  <c:v>3.235228038643001E-2</c:v>
                </c:pt>
                <c:pt idx="7">
                  <c:v>2.4284634709258384E-2</c:v>
                </c:pt>
                <c:pt idx="8">
                  <c:v>2.3998692837156094E-3</c:v>
                </c:pt>
                <c:pt idx="9">
                  <c:v>2.2875349768182833E-3</c:v>
                </c:pt>
                <c:pt idx="10">
                  <c:v>0.62751986274790095</c:v>
                </c:pt>
                <c:pt idx="11">
                  <c:v>1.0212209717938763E-4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704E-2"/>
                  <c:y val="-3.24340800032951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Isingiro-Mbarara-2Dir'!$C$9:$N$9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Isingiro-Mbarara-2Dir'!$C$108:$N$108</c:f>
              <c:numCache>
                <c:formatCode>0.00%</c:formatCode>
                <c:ptCount val="12"/>
                <c:pt idx="0">
                  <c:v>0.53306464879091942</c:v>
                </c:pt>
                <c:pt idx="1">
                  <c:v>8.5841969622196604E-2</c:v>
                </c:pt>
                <c:pt idx="2">
                  <c:v>8.7541810604814377E-2</c:v>
                </c:pt>
                <c:pt idx="3">
                  <c:v>0.12507539617261609</c:v>
                </c:pt>
                <c:pt idx="4">
                  <c:v>2.3304271535888568E-3</c:v>
                </c:pt>
                <c:pt idx="5">
                  <c:v>1.2337555518999832E-3</c:v>
                </c:pt>
                <c:pt idx="6">
                  <c:v>8.6856390853758833E-2</c:v>
                </c:pt>
                <c:pt idx="7">
                  <c:v>6.5197126720403564E-2</c:v>
                </c:pt>
                <c:pt idx="8">
                  <c:v>6.4429456599221346E-3</c:v>
                </c:pt>
                <c:pt idx="9">
                  <c:v>6.1413609694576949E-3</c:v>
                </c:pt>
                <c:pt idx="11">
                  <c:v>2.7416790042221847E-4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Isingiro-Mbarara-2Dir'!$AE$9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Isingiro-Mbarara-2Dir'!$R$10:$R$33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Isingiro-Mbarara-2Dir'!$AE$10:$AE$33</c:f>
              <c:numCache>
                <c:formatCode>0</c:formatCode>
                <c:ptCount val="24"/>
                <c:pt idx="0">
                  <c:v>134.85714285714283</c:v>
                </c:pt>
                <c:pt idx="1">
                  <c:v>161.28571428571428</c:v>
                </c:pt>
                <c:pt idx="2">
                  <c:v>165.71428571428572</c:v>
                </c:pt>
                <c:pt idx="3">
                  <c:v>165.42857142857147</c:v>
                </c:pt>
                <c:pt idx="4">
                  <c:v>161</c:v>
                </c:pt>
                <c:pt idx="5">
                  <c:v>142</c:v>
                </c:pt>
                <c:pt idx="6">
                  <c:v>154.85714285714286</c:v>
                </c:pt>
                <c:pt idx="7">
                  <c:v>157.28571428571431</c:v>
                </c:pt>
                <c:pt idx="8">
                  <c:v>155.85714285714289</c:v>
                </c:pt>
                <c:pt idx="9">
                  <c:v>176.42857142857144</c:v>
                </c:pt>
                <c:pt idx="10">
                  <c:v>184.57142857142861</c:v>
                </c:pt>
                <c:pt idx="11">
                  <c:v>204</c:v>
                </c:pt>
                <c:pt idx="12">
                  <c:v>168</c:v>
                </c:pt>
                <c:pt idx="13">
                  <c:v>127.5</c:v>
                </c:pt>
                <c:pt idx="14">
                  <c:v>87.5</c:v>
                </c:pt>
                <c:pt idx="15">
                  <c:v>66.5</c:v>
                </c:pt>
                <c:pt idx="16">
                  <c:v>41</c:v>
                </c:pt>
                <c:pt idx="17">
                  <c:v>19.5</c:v>
                </c:pt>
                <c:pt idx="18">
                  <c:v>19</c:v>
                </c:pt>
                <c:pt idx="19">
                  <c:v>9</c:v>
                </c:pt>
                <c:pt idx="20">
                  <c:v>11.5</c:v>
                </c:pt>
                <c:pt idx="21">
                  <c:v>16.5</c:v>
                </c:pt>
                <c:pt idx="22">
                  <c:v>13</c:v>
                </c:pt>
                <c:pt idx="23">
                  <c:v>63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CA7-4678-8BF0-E7535CA4A0C7}"/>
            </c:ext>
          </c:extLst>
        </c:ser>
        <c:ser>
          <c:idx val="1"/>
          <c:order val="1"/>
          <c:tx>
            <c:strRef>
              <c:f>'Avg Week Isingiro-Mbarara-2Dir'!$AF$9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Isingiro-Mbarara-2Dir'!$R$10:$R$33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Isingiro-Mbarara-2Dir'!$AF$10:$AF$33</c:f>
              <c:numCache>
                <c:formatCode>0</c:formatCode>
                <c:ptCount val="24"/>
                <c:pt idx="0">
                  <c:v>406.14285714285711</c:v>
                </c:pt>
                <c:pt idx="1">
                  <c:v>482.57142857142856</c:v>
                </c:pt>
                <c:pt idx="2">
                  <c:v>470.28571428571433</c:v>
                </c:pt>
                <c:pt idx="3">
                  <c:v>473.85714285714289</c:v>
                </c:pt>
                <c:pt idx="4">
                  <c:v>435</c:v>
                </c:pt>
                <c:pt idx="5">
                  <c:v>411.85714285714289</c:v>
                </c:pt>
                <c:pt idx="6">
                  <c:v>424.85714285714289</c:v>
                </c:pt>
                <c:pt idx="7">
                  <c:v>393.28571428571433</c:v>
                </c:pt>
                <c:pt idx="8">
                  <c:v>401.71428571428572</c:v>
                </c:pt>
                <c:pt idx="9">
                  <c:v>484.14285714285711</c:v>
                </c:pt>
                <c:pt idx="10">
                  <c:v>519.42857142857144</c:v>
                </c:pt>
                <c:pt idx="11">
                  <c:v>568.28571428571433</c:v>
                </c:pt>
                <c:pt idx="12">
                  <c:v>447</c:v>
                </c:pt>
                <c:pt idx="13">
                  <c:v>318</c:v>
                </c:pt>
                <c:pt idx="14">
                  <c:v>218</c:v>
                </c:pt>
                <c:pt idx="15">
                  <c:v>164.5</c:v>
                </c:pt>
                <c:pt idx="16">
                  <c:v>72</c:v>
                </c:pt>
                <c:pt idx="17">
                  <c:v>32.5</c:v>
                </c:pt>
                <c:pt idx="18">
                  <c:v>39.5</c:v>
                </c:pt>
                <c:pt idx="19">
                  <c:v>17.5</c:v>
                </c:pt>
                <c:pt idx="20">
                  <c:v>22.5</c:v>
                </c:pt>
                <c:pt idx="21">
                  <c:v>24</c:v>
                </c:pt>
                <c:pt idx="22">
                  <c:v>20</c:v>
                </c:pt>
                <c:pt idx="23">
                  <c:v>147.5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CA7-4678-8BF0-E7535CA4A0C7}"/>
            </c:ext>
          </c:extLst>
        </c:ser>
        <c:ser>
          <c:idx val="5"/>
          <c:order val="2"/>
          <c:tx>
            <c:strRef>
              <c:f>'Avg Week Isingiro-Mbarara-2Dir'!$AC$9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Isingiro-Mbarara-2Dir'!$R$10:$R$33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Isingiro-Mbarara-2Dir'!$AC$10:$AC$33</c:f>
              <c:numCache>
                <c:formatCode>0</c:formatCode>
                <c:ptCount val="24"/>
                <c:pt idx="0">
                  <c:v>271.28571428571422</c:v>
                </c:pt>
                <c:pt idx="1">
                  <c:v>321.28571428571433</c:v>
                </c:pt>
                <c:pt idx="2">
                  <c:v>304.57142857142861</c:v>
                </c:pt>
                <c:pt idx="3">
                  <c:v>308.42857142857144</c:v>
                </c:pt>
                <c:pt idx="4">
                  <c:v>274</c:v>
                </c:pt>
                <c:pt idx="5">
                  <c:v>269.85714285714289</c:v>
                </c:pt>
                <c:pt idx="6">
                  <c:v>270</c:v>
                </c:pt>
                <c:pt idx="7">
                  <c:v>236</c:v>
                </c:pt>
                <c:pt idx="8">
                  <c:v>245.85714285714286</c:v>
                </c:pt>
                <c:pt idx="9">
                  <c:v>307.71428571428572</c:v>
                </c:pt>
                <c:pt idx="10">
                  <c:v>334.85714285714289</c:v>
                </c:pt>
                <c:pt idx="11">
                  <c:v>364.28571428571433</c:v>
                </c:pt>
                <c:pt idx="12">
                  <c:v>279</c:v>
                </c:pt>
                <c:pt idx="13">
                  <c:v>190.5</c:v>
                </c:pt>
                <c:pt idx="14">
                  <c:v>130.5</c:v>
                </c:pt>
                <c:pt idx="15">
                  <c:v>98</c:v>
                </c:pt>
                <c:pt idx="16">
                  <c:v>31</c:v>
                </c:pt>
                <c:pt idx="17">
                  <c:v>13</c:v>
                </c:pt>
                <c:pt idx="18">
                  <c:v>20.5</c:v>
                </c:pt>
                <c:pt idx="19">
                  <c:v>8.5</c:v>
                </c:pt>
                <c:pt idx="20">
                  <c:v>11</c:v>
                </c:pt>
                <c:pt idx="21">
                  <c:v>7.5</c:v>
                </c:pt>
                <c:pt idx="22">
                  <c:v>7</c:v>
                </c:pt>
                <c:pt idx="23">
                  <c:v>84.5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CA7-4678-8BF0-E7535CA4A0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Isingiro-Mbarara-2Dir'!$S$9:$AF$9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Isingiro-Mbarara-2Dir'!$S$41:$AF$41</c:f>
              <c:numCache>
                <c:formatCode>_(* #,##0_);_(* \(#,##0\);_(* "-"_);_(@_)</c:formatCode>
                <c:ptCount val="14"/>
                <c:pt idx="0">
                  <c:v>1388.7857142857144</c:v>
                </c:pt>
                <c:pt idx="1">
                  <c:v>223.64285714285717</c:v>
                </c:pt>
                <c:pt idx="2">
                  <c:v>228.07142857142856</c:v>
                </c:pt>
                <c:pt idx="3">
                  <c:v>325.85714285714283</c:v>
                </c:pt>
                <c:pt idx="4">
                  <c:v>6.0714285714285703</c:v>
                </c:pt>
                <c:pt idx="5">
                  <c:v>3.214285714285714</c:v>
                </c:pt>
                <c:pt idx="6">
                  <c:v>226.28571428571428</c:v>
                </c:pt>
                <c:pt idx="7">
                  <c:v>169.85714285714283</c:v>
                </c:pt>
                <c:pt idx="8">
                  <c:v>16.785714285714285</c:v>
                </c:pt>
                <c:pt idx="9">
                  <c:v>16</c:v>
                </c:pt>
                <c:pt idx="10">
                  <c:v>4389.1428571428569</c:v>
                </c:pt>
                <c:pt idx="11">
                  <c:v>0.71428571428571419</c:v>
                </c:pt>
                <c:pt idx="12">
                  <c:v>2605.2857142857147</c:v>
                </c:pt>
                <c:pt idx="13">
                  <c:v>6994.4285714285725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EC-4E2D-A2EC-5A5D6FC5315F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Isingiro-Mbarara-2Dir'!$S$9:$AF$9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Isingiro-Mbarara-2Dir'!$S$42:$AF$42</c:f>
              <c:numCache>
                <c:formatCode>0.000</c:formatCode>
                <c:ptCount val="14"/>
                <c:pt idx="0">
                  <c:v>1.3638468013468013</c:v>
                </c:pt>
                <c:pt idx="1">
                  <c:v>1.2554129911788292</c:v>
                </c:pt>
                <c:pt idx="2">
                  <c:v>1.229022324865281</c:v>
                </c:pt>
                <c:pt idx="3">
                  <c:v>1.2210920770877944</c:v>
                </c:pt>
                <c:pt idx="4">
                  <c:v>1.328125</c:v>
                </c:pt>
                <c:pt idx="5">
                  <c:v>1.1842105263157896</c:v>
                </c:pt>
                <c:pt idx="6">
                  <c:v>1.3858267716535433</c:v>
                </c:pt>
                <c:pt idx="7">
                  <c:v>1.3939038686987104</c:v>
                </c:pt>
                <c:pt idx="8">
                  <c:v>1.3662790697674421</c:v>
                </c:pt>
                <c:pt idx="9">
                  <c:v>1.7777777777777777</c:v>
                </c:pt>
                <c:pt idx="10">
                  <c:v>1.2511300240257359</c:v>
                </c:pt>
                <c:pt idx="11">
                  <c:v>1</c:v>
                </c:pt>
                <c:pt idx="12">
                  <c:v>1.3270028378083389</c:v>
                </c:pt>
                <c:pt idx="13">
                  <c:v>1.278355091383812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BD-405F-9109-A8EFC2D89A8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5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1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1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2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7.xml"/><Relationship Id="rId1" Type="http://schemas.openxmlformats.org/officeDocument/2006/relationships/chart" Target="../charts/chart1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5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8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21.xml"/><Relationship Id="rId1" Type="http://schemas.openxmlformats.org/officeDocument/2006/relationships/chart" Target="../charts/chart1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9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5.xml"/><Relationship Id="rId6" Type="http://schemas.openxmlformats.org/officeDocument/2006/relationships/image" Target="../media/image5.emf"/><Relationship Id="rId11" Type="http://schemas.openxmlformats.org/officeDocument/2006/relationships/image" Target="../media/image16.jpeg"/><Relationship Id="rId5" Type="http://schemas.openxmlformats.org/officeDocument/2006/relationships/image" Target="../media/image4.emf"/><Relationship Id="rId15" Type="http://schemas.openxmlformats.org/officeDocument/2006/relationships/chart" Target="../charts/chart2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6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28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3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9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4.xml"/><Relationship Id="rId1" Type="http://schemas.openxmlformats.org/officeDocument/2006/relationships/chart" Target="../charts/chart3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2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9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jpe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7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15874</xdr:colOff>
      <xdr:row>42</xdr:row>
      <xdr:rowOff>269875</xdr:rowOff>
    </xdr:from>
    <xdr:to>
      <xdr:col>28</xdr:col>
      <xdr:colOff>15874</xdr:colOff>
      <xdr:row>58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58</xdr:row>
      <xdr:rowOff>15875</xdr:rowOff>
    </xdr:from>
    <xdr:to>
      <xdr:col>23</xdr:col>
      <xdr:colOff>682625</xdr:colOff>
      <xdr:row>71</xdr:row>
      <xdr:rowOff>254000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682626</xdr:colOff>
      <xdr:row>58</xdr:row>
      <xdr:rowOff>15874</xdr:rowOff>
    </xdr:from>
    <xdr:to>
      <xdr:col>30</xdr:col>
      <xdr:colOff>0</xdr:colOff>
      <xdr:row>71</xdr:row>
      <xdr:rowOff>285749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4086</xdr:colOff>
      <xdr:row>43</xdr:row>
      <xdr:rowOff>6349</xdr:rowOff>
    </xdr:from>
    <xdr:to>
      <xdr:col>28</xdr:col>
      <xdr:colOff>15875</xdr:colOff>
      <xdr:row>58</xdr:row>
      <xdr:rowOff>15875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15875</xdr:colOff>
      <xdr:row>58</xdr:row>
      <xdr:rowOff>25401</xdr:rowOff>
    </xdr:from>
    <xdr:to>
      <xdr:col>30</xdr:col>
      <xdr:colOff>0</xdr:colOff>
      <xdr:row>72</xdr:row>
      <xdr:rowOff>63501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16</xdr:col>
      <xdr:colOff>149224</xdr:colOff>
      <xdr:row>58</xdr:row>
      <xdr:rowOff>31750</xdr:rowOff>
    </xdr:from>
    <xdr:to>
      <xdr:col>23</xdr:col>
      <xdr:colOff>714374</xdr:colOff>
      <xdr:row>72</xdr:row>
      <xdr:rowOff>63499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59</xdr:row>
      <xdr:rowOff>9525</xdr:rowOff>
    </xdr:from>
    <xdr:to>
      <xdr:col>23</xdr:col>
      <xdr:colOff>650874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15875</xdr:rowOff>
    </xdr:from>
    <xdr:to>
      <xdr:col>23</xdr:col>
      <xdr:colOff>666750</xdr:colOff>
      <xdr:row>91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1</xdr:rowOff>
    </xdr:from>
    <xdr:to>
      <xdr:col>28</xdr:col>
      <xdr:colOff>15875</xdr:colOff>
      <xdr:row>58</xdr:row>
      <xdr:rowOff>15875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666749</xdr:colOff>
      <xdr:row>59</xdr:row>
      <xdr:rowOff>31752</xdr:rowOff>
    </xdr:from>
    <xdr:to>
      <xdr:col>30</xdr:col>
      <xdr:colOff>698499</xdr:colOff>
      <xdr:row>74</xdr:row>
      <xdr:rowOff>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682624</xdr:colOff>
      <xdr:row>74</xdr:row>
      <xdr:rowOff>15875</xdr:rowOff>
    </xdr:from>
    <xdr:to>
      <xdr:col>31</xdr:col>
      <xdr:colOff>31750</xdr:colOff>
      <xdr:row>91</xdr:row>
      <xdr:rowOff>0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zoomScale="60" workbookViewId="0">
      <selection activeCell="F6" sqref="F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1" t="s">
        <v>96</v>
      </c>
      <c r="C3" s="60" t="s">
        <v>178</v>
      </c>
      <c r="D3" s="60"/>
      <c r="E3" s="60"/>
      <c r="F3" s="60"/>
      <c r="G3" s="60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163</v>
      </c>
      <c r="E5" s="3"/>
      <c r="F5" s="41" t="s">
        <v>1</v>
      </c>
      <c r="G5" s="55" t="s">
        <v>165</v>
      </c>
      <c r="H5" s="56"/>
      <c r="I5" s="14"/>
      <c r="J5" s="2" t="s">
        <v>5</v>
      </c>
      <c r="K5" s="55" t="s">
        <v>167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164</v>
      </c>
      <c r="E6" s="56"/>
      <c r="F6" s="2" t="s">
        <v>2</v>
      </c>
      <c r="G6" s="55" t="s">
        <v>166</v>
      </c>
      <c r="H6" s="56"/>
      <c r="J6" s="2" t="s">
        <v>21</v>
      </c>
      <c r="K6" s="55" t="s">
        <v>167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12</v>
      </c>
      <c r="D10" s="50">
        <v>0</v>
      </c>
      <c r="E10" s="50">
        <v>0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60</v>
      </c>
      <c r="R10" s="1" t="s">
        <v>6</v>
      </c>
      <c r="S10" s="17">
        <f t="shared" ref="S10:AF10" si="2">SUM(C10:C13)</f>
        <v>50</v>
      </c>
      <c r="T10" s="17">
        <f t="shared" si="2"/>
        <v>5</v>
      </c>
      <c r="U10" s="17">
        <f t="shared" si="2"/>
        <v>4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191</v>
      </c>
      <c r="AD10" s="17">
        <f t="shared" si="2"/>
        <v>0</v>
      </c>
      <c r="AE10" s="31">
        <f t="shared" si="2"/>
        <v>80</v>
      </c>
      <c r="AF10" s="31">
        <f t="shared" si="2"/>
        <v>271</v>
      </c>
    </row>
    <row r="11" spans="2:32" s="6" customFormat="1" ht="23.1" customHeight="1" x14ac:dyDescent="0.25">
      <c r="B11" s="23" t="s">
        <v>38</v>
      </c>
      <c r="C11" s="50">
        <v>8</v>
      </c>
      <c r="D11" s="50">
        <v>1</v>
      </c>
      <c r="E11" s="50">
        <v>1</v>
      </c>
      <c r="F11" s="50">
        <v>0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55</v>
      </c>
      <c r="N11" s="50">
        <v>0</v>
      </c>
      <c r="O11" s="15">
        <f t="shared" si="0"/>
        <v>12</v>
      </c>
      <c r="P11" s="15">
        <f t="shared" si="1"/>
        <v>67</v>
      </c>
      <c r="R11" s="1" t="s">
        <v>7</v>
      </c>
      <c r="S11" s="17">
        <f t="shared" ref="S11:AF11" si="3">SUM(C14:C17)</f>
        <v>47</v>
      </c>
      <c r="T11" s="17">
        <f t="shared" si="3"/>
        <v>4</v>
      </c>
      <c r="U11" s="17">
        <f t="shared" si="3"/>
        <v>4</v>
      </c>
      <c r="V11" s="17">
        <f t="shared" si="3"/>
        <v>25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1</v>
      </c>
      <c r="AA11" s="17">
        <f t="shared" si="3"/>
        <v>1</v>
      </c>
      <c r="AB11" s="17">
        <f t="shared" si="3"/>
        <v>0</v>
      </c>
      <c r="AC11" s="17">
        <f t="shared" si="3"/>
        <v>205</v>
      </c>
      <c r="AD11" s="17">
        <f t="shared" si="3"/>
        <v>0</v>
      </c>
      <c r="AE11" s="31">
        <f t="shared" si="3"/>
        <v>90</v>
      </c>
      <c r="AF11" s="31">
        <f t="shared" si="3"/>
        <v>295</v>
      </c>
    </row>
    <row r="12" spans="2:32" ht="23.1" customHeight="1" x14ac:dyDescent="0.25">
      <c r="B12" s="23" t="s">
        <v>39</v>
      </c>
      <c r="C12" s="50">
        <v>15</v>
      </c>
      <c r="D12" s="50">
        <v>1</v>
      </c>
      <c r="E12" s="50">
        <v>2</v>
      </c>
      <c r="F12" s="50">
        <v>4</v>
      </c>
      <c r="G12" s="50">
        <v>0</v>
      </c>
      <c r="H12" s="50">
        <v>0</v>
      </c>
      <c r="I12" s="50">
        <v>3</v>
      </c>
      <c r="J12" s="50">
        <v>1</v>
      </c>
      <c r="K12" s="50">
        <v>0</v>
      </c>
      <c r="L12" s="50">
        <v>0</v>
      </c>
      <c r="M12" s="50">
        <v>51</v>
      </c>
      <c r="N12" s="50">
        <v>0</v>
      </c>
      <c r="O12" s="15">
        <f t="shared" si="0"/>
        <v>26</v>
      </c>
      <c r="P12" s="15">
        <f t="shared" si="1"/>
        <v>77</v>
      </c>
      <c r="R12" s="1" t="s">
        <v>8</v>
      </c>
      <c r="S12" s="17">
        <f t="shared" ref="S12:AF12" si="4">SUM(C18:C21)</f>
        <v>53</v>
      </c>
      <c r="T12" s="17">
        <f t="shared" si="4"/>
        <v>4</v>
      </c>
      <c r="U12" s="17">
        <f t="shared" si="4"/>
        <v>9</v>
      </c>
      <c r="V12" s="17">
        <f t="shared" si="4"/>
        <v>17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173</v>
      </c>
      <c r="AD12" s="17">
        <f t="shared" si="4"/>
        <v>0</v>
      </c>
      <c r="AE12" s="31">
        <f t="shared" si="4"/>
        <v>94</v>
      </c>
      <c r="AF12" s="31">
        <f t="shared" si="4"/>
        <v>267</v>
      </c>
    </row>
    <row r="13" spans="2:32" ht="23.1" customHeight="1" x14ac:dyDescent="0.25">
      <c r="B13" s="23" t="s">
        <v>40</v>
      </c>
      <c r="C13" s="50">
        <v>15</v>
      </c>
      <c r="D13" s="50">
        <v>3</v>
      </c>
      <c r="E13" s="50">
        <v>1</v>
      </c>
      <c r="F13" s="50">
        <v>7</v>
      </c>
      <c r="G13" s="50">
        <v>0</v>
      </c>
      <c r="H13" s="50">
        <v>0</v>
      </c>
      <c r="I13" s="50">
        <v>0</v>
      </c>
      <c r="J13" s="50">
        <v>1</v>
      </c>
      <c r="K13" s="50">
        <v>0</v>
      </c>
      <c r="L13" s="50">
        <v>0</v>
      </c>
      <c r="M13" s="50">
        <v>40</v>
      </c>
      <c r="N13" s="50">
        <v>0</v>
      </c>
      <c r="O13" s="15">
        <f t="shared" si="0"/>
        <v>27</v>
      </c>
      <c r="P13" s="15">
        <f t="shared" si="1"/>
        <v>67</v>
      </c>
      <c r="R13" s="1" t="s">
        <v>9</v>
      </c>
      <c r="S13" s="17">
        <f t="shared" ref="S13:AF13" si="5">SUM(C22:C25)</f>
        <v>50</v>
      </c>
      <c r="T13" s="17">
        <f t="shared" si="5"/>
        <v>5</v>
      </c>
      <c r="U13" s="17">
        <f t="shared" si="5"/>
        <v>11</v>
      </c>
      <c r="V13" s="17">
        <f t="shared" si="5"/>
        <v>17</v>
      </c>
      <c r="W13" s="17">
        <f t="shared" si="5"/>
        <v>1</v>
      </c>
      <c r="X13" s="17">
        <f t="shared" si="5"/>
        <v>0</v>
      </c>
      <c r="Y13" s="17">
        <f t="shared" si="5"/>
        <v>6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142</v>
      </c>
      <c r="AD13" s="17">
        <f t="shared" si="5"/>
        <v>0</v>
      </c>
      <c r="AE13" s="31">
        <f t="shared" si="5"/>
        <v>96</v>
      </c>
      <c r="AF13" s="31">
        <f t="shared" si="5"/>
        <v>238</v>
      </c>
    </row>
    <row r="14" spans="2:32" ht="23.1" customHeight="1" x14ac:dyDescent="0.25">
      <c r="B14" s="23" t="s">
        <v>41</v>
      </c>
      <c r="C14" s="50">
        <v>13</v>
      </c>
      <c r="D14" s="50">
        <v>0</v>
      </c>
      <c r="E14" s="50">
        <v>0</v>
      </c>
      <c r="F14" s="50">
        <v>6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43</v>
      </c>
      <c r="N14" s="50">
        <v>0</v>
      </c>
      <c r="O14" s="15">
        <f t="shared" si="0"/>
        <v>21</v>
      </c>
      <c r="P14" s="15">
        <f t="shared" si="1"/>
        <v>64</v>
      </c>
      <c r="R14" s="1" t="s">
        <v>10</v>
      </c>
      <c r="S14" s="17">
        <f t="shared" ref="S14:AF14" si="6">SUM(C26:C29)</f>
        <v>52</v>
      </c>
      <c r="T14" s="17">
        <f t="shared" si="6"/>
        <v>7</v>
      </c>
      <c r="U14" s="17">
        <f t="shared" si="6"/>
        <v>9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6</v>
      </c>
      <c r="AA14" s="17">
        <f t="shared" si="6"/>
        <v>0</v>
      </c>
      <c r="AB14" s="17">
        <f t="shared" si="6"/>
        <v>3</v>
      </c>
      <c r="AC14" s="17">
        <f t="shared" si="6"/>
        <v>130</v>
      </c>
      <c r="AD14" s="17">
        <f t="shared" si="6"/>
        <v>0</v>
      </c>
      <c r="AE14" s="31">
        <f t="shared" si="6"/>
        <v>97</v>
      </c>
      <c r="AF14" s="31">
        <f t="shared" si="6"/>
        <v>227</v>
      </c>
    </row>
    <row r="15" spans="2:32" ht="23.1" customHeight="1" x14ac:dyDescent="0.25">
      <c r="B15" s="23" t="s">
        <v>42</v>
      </c>
      <c r="C15" s="50">
        <v>13</v>
      </c>
      <c r="D15" s="50">
        <v>2</v>
      </c>
      <c r="E15" s="50">
        <v>1</v>
      </c>
      <c r="F15" s="50">
        <v>7</v>
      </c>
      <c r="G15" s="50">
        <v>0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54</v>
      </c>
      <c r="N15" s="50">
        <v>0</v>
      </c>
      <c r="O15" s="15">
        <f t="shared" si="0"/>
        <v>26</v>
      </c>
      <c r="P15" s="15">
        <f t="shared" si="1"/>
        <v>80</v>
      </c>
      <c r="R15" s="1" t="s">
        <v>11</v>
      </c>
      <c r="S15" s="17">
        <f t="shared" ref="S15:AF15" si="7">SUM(C30:C33)</f>
        <v>37</v>
      </c>
      <c r="T15" s="17">
        <f t="shared" si="7"/>
        <v>3</v>
      </c>
      <c r="U15" s="17">
        <f t="shared" si="7"/>
        <v>15</v>
      </c>
      <c r="V15" s="17">
        <f t="shared" si="7"/>
        <v>8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4</v>
      </c>
      <c r="AA15" s="17">
        <f t="shared" si="7"/>
        <v>2</v>
      </c>
      <c r="AB15" s="17">
        <f t="shared" si="7"/>
        <v>1</v>
      </c>
      <c r="AC15" s="17">
        <f t="shared" si="7"/>
        <v>150</v>
      </c>
      <c r="AD15" s="17">
        <f t="shared" si="7"/>
        <v>0</v>
      </c>
      <c r="AE15" s="31">
        <f t="shared" si="7"/>
        <v>77</v>
      </c>
      <c r="AF15" s="31">
        <f t="shared" si="7"/>
        <v>227</v>
      </c>
    </row>
    <row r="16" spans="2:32" ht="23.1" customHeight="1" x14ac:dyDescent="0.25">
      <c r="B16" s="23" t="s">
        <v>43</v>
      </c>
      <c r="C16" s="50">
        <v>7</v>
      </c>
      <c r="D16" s="50">
        <v>1</v>
      </c>
      <c r="E16" s="50">
        <v>3</v>
      </c>
      <c r="F16" s="50">
        <v>8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65</v>
      </c>
      <c r="N16" s="50">
        <v>0</v>
      </c>
      <c r="O16" s="15">
        <f t="shared" si="0"/>
        <v>23</v>
      </c>
      <c r="P16" s="15">
        <f t="shared" si="1"/>
        <v>88</v>
      </c>
      <c r="R16" s="1" t="s">
        <v>12</v>
      </c>
      <c r="S16" s="17">
        <f t="shared" ref="S16:AF16" si="8">SUM(C34:C37)</f>
        <v>41</v>
      </c>
      <c r="T16" s="17">
        <f t="shared" si="8"/>
        <v>6</v>
      </c>
      <c r="U16" s="17">
        <f t="shared" si="8"/>
        <v>9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9</v>
      </c>
      <c r="AA16" s="17">
        <f t="shared" si="8"/>
        <v>0</v>
      </c>
      <c r="AB16" s="17">
        <f t="shared" si="8"/>
        <v>1</v>
      </c>
      <c r="AC16" s="17">
        <f t="shared" si="8"/>
        <v>134</v>
      </c>
      <c r="AD16" s="17">
        <f t="shared" si="8"/>
        <v>0</v>
      </c>
      <c r="AE16" s="31">
        <f t="shared" si="8"/>
        <v>89</v>
      </c>
      <c r="AF16" s="31">
        <f t="shared" si="8"/>
        <v>223</v>
      </c>
    </row>
    <row r="17" spans="2:32" ht="23.1" customHeight="1" x14ac:dyDescent="0.25">
      <c r="B17" s="23" t="s">
        <v>44</v>
      </c>
      <c r="C17" s="50">
        <v>14</v>
      </c>
      <c r="D17" s="50">
        <v>1</v>
      </c>
      <c r="E17" s="50">
        <v>0</v>
      </c>
      <c r="F17" s="50">
        <v>4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43</v>
      </c>
      <c r="N17" s="50">
        <v>0</v>
      </c>
      <c r="O17" s="15">
        <f t="shared" si="0"/>
        <v>20</v>
      </c>
      <c r="P17" s="15">
        <f t="shared" si="1"/>
        <v>63</v>
      </c>
      <c r="R17" s="1" t="s">
        <v>13</v>
      </c>
      <c r="S17" s="17">
        <f t="shared" ref="S17:AF17" si="9">SUM(C38:C41)</f>
        <v>40</v>
      </c>
      <c r="T17" s="17">
        <f t="shared" si="9"/>
        <v>5</v>
      </c>
      <c r="U17" s="17">
        <f t="shared" si="9"/>
        <v>8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6</v>
      </c>
      <c r="AA17" s="17">
        <f t="shared" si="9"/>
        <v>1</v>
      </c>
      <c r="AB17" s="17">
        <f t="shared" si="9"/>
        <v>2</v>
      </c>
      <c r="AC17" s="17">
        <f t="shared" si="9"/>
        <v>65</v>
      </c>
      <c r="AD17" s="17">
        <f t="shared" si="9"/>
        <v>0</v>
      </c>
      <c r="AE17" s="31">
        <f t="shared" si="9"/>
        <v>66</v>
      </c>
      <c r="AF17" s="31">
        <f t="shared" si="9"/>
        <v>131</v>
      </c>
    </row>
    <row r="18" spans="2:32" ht="23.1" customHeight="1" x14ac:dyDescent="0.25">
      <c r="B18" s="23" t="s">
        <v>45</v>
      </c>
      <c r="C18" s="50">
        <v>15</v>
      </c>
      <c r="D18" s="50">
        <v>0</v>
      </c>
      <c r="E18" s="50">
        <v>0</v>
      </c>
      <c r="F18" s="50">
        <v>6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65</v>
      </c>
      <c r="N18" s="50">
        <v>0</v>
      </c>
      <c r="O18" s="15">
        <f t="shared" si="0"/>
        <v>23</v>
      </c>
      <c r="P18" s="15">
        <f t="shared" si="1"/>
        <v>88</v>
      </c>
      <c r="R18" s="1" t="s">
        <v>14</v>
      </c>
      <c r="S18" s="17">
        <f t="shared" ref="S18:AF18" si="10">SUM(C42:C45)</f>
        <v>35</v>
      </c>
      <c r="T18" s="17">
        <f t="shared" si="10"/>
        <v>9</v>
      </c>
      <c r="U18" s="17">
        <f t="shared" si="10"/>
        <v>10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9</v>
      </c>
      <c r="Z18" s="17">
        <f t="shared" si="10"/>
        <v>3</v>
      </c>
      <c r="AA18" s="17">
        <f t="shared" si="10"/>
        <v>0</v>
      </c>
      <c r="AB18" s="17">
        <f t="shared" si="10"/>
        <v>0</v>
      </c>
      <c r="AC18" s="17">
        <f t="shared" si="10"/>
        <v>65</v>
      </c>
      <c r="AD18" s="17">
        <f t="shared" si="10"/>
        <v>0</v>
      </c>
      <c r="AE18" s="31">
        <f t="shared" si="10"/>
        <v>73</v>
      </c>
      <c r="AF18" s="31">
        <f t="shared" si="10"/>
        <v>138</v>
      </c>
    </row>
    <row r="19" spans="2:32" ht="23.1" customHeight="1" x14ac:dyDescent="0.25">
      <c r="B19" s="23" t="s">
        <v>46</v>
      </c>
      <c r="C19" s="50">
        <v>19</v>
      </c>
      <c r="D19" s="50">
        <v>2</v>
      </c>
      <c r="E19" s="50">
        <v>1</v>
      </c>
      <c r="F19" s="50">
        <v>1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36</v>
      </c>
      <c r="N19" s="50">
        <v>0</v>
      </c>
      <c r="O19" s="15">
        <f t="shared" si="0"/>
        <v>25</v>
      </c>
      <c r="P19" s="15">
        <f t="shared" si="1"/>
        <v>61</v>
      </c>
      <c r="R19" s="1" t="s">
        <v>15</v>
      </c>
      <c r="S19" s="17">
        <f t="shared" ref="S19:AF19" si="11">SUM(C46:C49)</f>
        <v>48</v>
      </c>
      <c r="T19" s="17">
        <f t="shared" si="11"/>
        <v>13</v>
      </c>
      <c r="U19" s="17">
        <f t="shared" si="11"/>
        <v>7</v>
      </c>
      <c r="V19" s="17">
        <f t="shared" si="11"/>
        <v>6</v>
      </c>
      <c r="W19" s="17">
        <f t="shared" si="11"/>
        <v>1</v>
      </c>
      <c r="X19" s="17">
        <f t="shared" si="11"/>
        <v>0</v>
      </c>
      <c r="Y19" s="17">
        <f t="shared" si="11"/>
        <v>10</v>
      </c>
      <c r="Z19" s="17">
        <f t="shared" si="11"/>
        <v>7</v>
      </c>
      <c r="AA19" s="17">
        <f t="shared" si="11"/>
        <v>1</v>
      </c>
      <c r="AB19" s="17">
        <f t="shared" si="11"/>
        <v>1</v>
      </c>
      <c r="AC19" s="17">
        <f t="shared" si="11"/>
        <v>156</v>
      </c>
      <c r="AD19" s="17">
        <f t="shared" si="11"/>
        <v>0</v>
      </c>
      <c r="AE19" s="31">
        <f t="shared" si="11"/>
        <v>94</v>
      </c>
      <c r="AF19" s="31">
        <f t="shared" si="11"/>
        <v>250</v>
      </c>
    </row>
    <row r="20" spans="2:32" ht="23.1" customHeight="1" x14ac:dyDescent="0.25">
      <c r="B20" s="23" t="s">
        <v>47</v>
      </c>
      <c r="C20" s="50">
        <v>13</v>
      </c>
      <c r="D20" s="50">
        <v>0</v>
      </c>
      <c r="E20" s="50">
        <v>4</v>
      </c>
      <c r="F20" s="50">
        <v>1</v>
      </c>
      <c r="G20" s="50">
        <v>0</v>
      </c>
      <c r="H20" s="50">
        <v>0</v>
      </c>
      <c r="I20" s="50">
        <v>4</v>
      </c>
      <c r="J20" s="50">
        <v>0</v>
      </c>
      <c r="K20" s="50">
        <v>0</v>
      </c>
      <c r="L20" s="50">
        <v>0</v>
      </c>
      <c r="M20" s="50">
        <v>42</v>
      </c>
      <c r="N20" s="50">
        <v>0</v>
      </c>
      <c r="O20" s="15">
        <f t="shared" si="0"/>
        <v>22</v>
      </c>
      <c r="P20" s="15">
        <f t="shared" si="1"/>
        <v>64</v>
      </c>
      <c r="R20" s="1" t="s">
        <v>16</v>
      </c>
      <c r="S20" s="17">
        <f t="shared" ref="S20:AF20" si="12">SUM(C50:C53)</f>
        <v>53</v>
      </c>
      <c r="T20" s="17">
        <f t="shared" si="12"/>
        <v>10</v>
      </c>
      <c r="U20" s="17">
        <f t="shared" si="12"/>
        <v>7</v>
      </c>
      <c r="V20" s="17">
        <f t="shared" si="12"/>
        <v>5</v>
      </c>
      <c r="W20" s="17">
        <f t="shared" si="12"/>
        <v>0</v>
      </c>
      <c r="X20" s="17">
        <f t="shared" si="12"/>
        <v>0</v>
      </c>
      <c r="Y20" s="17">
        <f t="shared" si="12"/>
        <v>12</v>
      </c>
      <c r="Z20" s="17">
        <f t="shared" si="12"/>
        <v>4</v>
      </c>
      <c r="AA20" s="17">
        <f t="shared" si="12"/>
        <v>1</v>
      </c>
      <c r="AB20" s="17">
        <f t="shared" si="12"/>
        <v>1</v>
      </c>
      <c r="AC20" s="17">
        <f t="shared" si="12"/>
        <v>175</v>
      </c>
      <c r="AD20" s="17">
        <f t="shared" si="12"/>
        <v>0</v>
      </c>
      <c r="AE20" s="31">
        <f t="shared" si="12"/>
        <v>93</v>
      </c>
      <c r="AF20" s="31">
        <f t="shared" si="12"/>
        <v>268</v>
      </c>
    </row>
    <row r="21" spans="2:32" ht="23.1" customHeight="1" x14ac:dyDescent="0.25">
      <c r="B21" s="23" t="s">
        <v>48</v>
      </c>
      <c r="C21" s="50">
        <v>6</v>
      </c>
      <c r="D21" s="50">
        <v>2</v>
      </c>
      <c r="E21" s="50">
        <v>4</v>
      </c>
      <c r="F21" s="50">
        <v>9</v>
      </c>
      <c r="G21" s="50">
        <v>0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30</v>
      </c>
      <c r="N21" s="50">
        <v>0</v>
      </c>
      <c r="O21" s="15">
        <f t="shared" si="0"/>
        <v>24</v>
      </c>
      <c r="P21" s="15">
        <f t="shared" si="1"/>
        <v>54</v>
      </c>
      <c r="R21" s="36" t="s">
        <v>20</v>
      </c>
      <c r="S21" s="34">
        <f t="shared" ref="S21:AF21" si="13">SUM(C54:C57)</f>
        <v>57</v>
      </c>
      <c r="T21" s="17">
        <f t="shared" si="13"/>
        <v>5</v>
      </c>
      <c r="U21" s="17">
        <f t="shared" si="13"/>
        <v>8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4</v>
      </c>
      <c r="AA21" s="17">
        <f t="shared" si="13"/>
        <v>1</v>
      </c>
      <c r="AB21" s="17">
        <f t="shared" si="13"/>
        <v>0</v>
      </c>
      <c r="AC21" s="17">
        <f t="shared" si="13"/>
        <v>180</v>
      </c>
      <c r="AD21" s="17">
        <f t="shared" si="13"/>
        <v>0</v>
      </c>
      <c r="AE21" s="31">
        <f t="shared" si="13"/>
        <v>91</v>
      </c>
      <c r="AF21" s="31">
        <f t="shared" si="13"/>
        <v>271</v>
      </c>
    </row>
    <row r="22" spans="2:32" ht="23.1" customHeight="1" x14ac:dyDescent="0.25">
      <c r="B22" s="23" t="s">
        <v>49</v>
      </c>
      <c r="C22" s="50">
        <v>16</v>
      </c>
      <c r="D22" s="50">
        <v>1</v>
      </c>
      <c r="E22" s="50">
        <v>1</v>
      </c>
      <c r="F22" s="50">
        <v>10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39</v>
      </c>
      <c r="N22" s="50">
        <v>0</v>
      </c>
      <c r="O22" s="15">
        <f t="shared" si="0"/>
        <v>29</v>
      </c>
      <c r="P22" s="15">
        <f t="shared" si="1"/>
        <v>68</v>
      </c>
      <c r="R22" s="38" t="s">
        <v>90</v>
      </c>
      <c r="S22" s="39">
        <f>MAX(S10:S12)</f>
        <v>53</v>
      </c>
      <c r="T22" s="39">
        <f t="shared" ref="T22:AF22" si="14">MAX(T10:T12)</f>
        <v>5</v>
      </c>
      <c r="U22" s="39">
        <f t="shared" si="14"/>
        <v>9</v>
      </c>
      <c r="V22" s="39">
        <f t="shared" si="14"/>
        <v>25</v>
      </c>
      <c r="W22" s="39">
        <f t="shared" si="14"/>
        <v>0</v>
      </c>
      <c r="X22" s="39">
        <f t="shared" si="14"/>
        <v>0</v>
      </c>
      <c r="Y22" s="39">
        <f t="shared" si="14"/>
        <v>11</v>
      </c>
      <c r="Z22" s="39">
        <f t="shared" si="14"/>
        <v>2</v>
      </c>
      <c r="AA22" s="39">
        <f t="shared" si="14"/>
        <v>1</v>
      </c>
      <c r="AB22" s="39">
        <f t="shared" si="14"/>
        <v>0</v>
      </c>
      <c r="AC22" s="39">
        <f t="shared" si="14"/>
        <v>205</v>
      </c>
      <c r="AD22" s="39">
        <f t="shared" si="14"/>
        <v>0</v>
      </c>
      <c r="AE22" s="40">
        <f t="shared" si="14"/>
        <v>94</v>
      </c>
      <c r="AF22" s="40">
        <f t="shared" si="14"/>
        <v>295</v>
      </c>
    </row>
    <row r="23" spans="2:32" ht="23.1" customHeight="1" x14ac:dyDescent="0.25">
      <c r="B23" s="23" t="s">
        <v>50</v>
      </c>
      <c r="C23" s="50">
        <v>9</v>
      </c>
      <c r="D23" s="50">
        <v>2</v>
      </c>
      <c r="E23" s="50">
        <v>4</v>
      </c>
      <c r="F23" s="50">
        <v>0</v>
      </c>
      <c r="G23" s="50">
        <v>0</v>
      </c>
      <c r="H23" s="50">
        <v>0</v>
      </c>
      <c r="I23" s="50">
        <v>0</v>
      </c>
      <c r="J23" s="50">
        <v>1</v>
      </c>
      <c r="K23" s="50">
        <v>0</v>
      </c>
      <c r="L23" s="50">
        <v>0</v>
      </c>
      <c r="M23" s="50">
        <v>29</v>
      </c>
      <c r="N23" s="50">
        <v>0</v>
      </c>
      <c r="O23" s="15">
        <f t="shared" si="0"/>
        <v>16</v>
      </c>
      <c r="P23" s="15">
        <f t="shared" si="1"/>
        <v>45</v>
      </c>
      <c r="R23" s="38" t="s">
        <v>91</v>
      </c>
      <c r="S23" s="39">
        <f>MAX(S13:S18)</f>
        <v>52</v>
      </c>
      <c r="T23" s="39">
        <f t="shared" ref="T23:AF23" si="15">MAX(T13:T18)</f>
        <v>9</v>
      </c>
      <c r="U23" s="39">
        <f t="shared" si="15"/>
        <v>15</v>
      </c>
      <c r="V23" s="39">
        <f t="shared" si="15"/>
        <v>17</v>
      </c>
      <c r="W23" s="39">
        <f t="shared" si="15"/>
        <v>1</v>
      </c>
      <c r="X23" s="39">
        <f t="shared" si="15"/>
        <v>0</v>
      </c>
      <c r="Y23" s="39">
        <f t="shared" si="15"/>
        <v>12</v>
      </c>
      <c r="Z23" s="39">
        <f t="shared" si="15"/>
        <v>9</v>
      </c>
      <c r="AA23" s="39">
        <f t="shared" si="15"/>
        <v>2</v>
      </c>
      <c r="AB23" s="39">
        <f t="shared" si="15"/>
        <v>3</v>
      </c>
      <c r="AC23" s="39">
        <f t="shared" si="15"/>
        <v>150</v>
      </c>
      <c r="AD23" s="39">
        <f t="shared" si="15"/>
        <v>0</v>
      </c>
      <c r="AE23" s="40">
        <f t="shared" si="15"/>
        <v>97</v>
      </c>
      <c r="AF23" s="40">
        <f t="shared" si="15"/>
        <v>238</v>
      </c>
    </row>
    <row r="24" spans="2:32" ht="23.1" customHeight="1" x14ac:dyDescent="0.25">
      <c r="B24" s="23" t="s">
        <v>51</v>
      </c>
      <c r="C24" s="50">
        <v>13</v>
      </c>
      <c r="D24" s="50">
        <v>0</v>
      </c>
      <c r="E24" s="50">
        <v>3</v>
      </c>
      <c r="F24" s="50">
        <v>6</v>
      </c>
      <c r="G24" s="50">
        <v>0</v>
      </c>
      <c r="H24" s="50">
        <v>0</v>
      </c>
      <c r="I24" s="50">
        <v>5</v>
      </c>
      <c r="J24" s="50">
        <v>1</v>
      </c>
      <c r="K24" s="50">
        <v>0</v>
      </c>
      <c r="L24" s="50">
        <v>0</v>
      </c>
      <c r="M24" s="50">
        <v>30</v>
      </c>
      <c r="N24" s="50">
        <v>0</v>
      </c>
      <c r="O24" s="15">
        <f t="shared" si="0"/>
        <v>28</v>
      </c>
      <c r="P24" s="15">
        <f t="shared" si="1"/>
        <v>58</v>
      </c>
      <c r="R24" s="38" t="s">
        <v>92</v>
      </c>
      <c r="S24" s="39">
        <f>MAX(S19:S21)</f>
        <v>57</v>
      </c>
      <c r="T24" s="39">
        <f t="shared" ref="T24:AF24" si="16">MAX(T19:T21)</f>
        <v>13</v>
      </c>
      <c r="U24" s="39">
        <f t="shared" si="16"/>
        <v>8</v>
      </c>
      <c r="V24" s="39">
        <f t="shared" si="16"/>
        <v>8</v>
      </c>
      <c r="W24" s="39">
        <f t="shared" si="16"/>
        <v>1</v>
      </c>
      <c r="X24" s="39">
        <f t="shared" si="16"/>
        <v>0</v>
      </c>
      <c r="Y24" s="39">
        <f t="shared" si="16"/>
        <v>12</v>
      </c>
      <c r="Z24" s="39">
        <f t="shared" si="16"/>
        <v>7</v>
      </c>
      <c r="AA24" s="39">
        <f t="shared" si="16"/>
        <v>1</v>
      </c>
      <c r="AB24" s="39">
        <f t="shared" si="16"/>
        <v>1</v>
      </c>
      <c r="AC24" s="39">
        <f t="shared" si="16"/>
        <v>180</v>
      </c>
      <c r="AD24" s="39">
        <f t="shared" si="16"/>
        <v>0</v>
      </c>
      <c r="AE24" s="40">
        <f t="shared" si="16"/>
        <v>94</v>
      </c>
      <c r="AF24" s="40">
        <f t="shared" si="16"/>
        <v>271</v>
      </c>
    </row>
    <row r="25" spans="2:32" ht="23.1" customHeight="1" x14ac:dyDescent="0.25">
      <c r="B25" s="23" t="s">
        <v>52</v>
      </c>
      <c r="C25" s="50">
        <v>12</v>
      </c>
      <c r="D25" s="50">
        <v>2</v>
      </c>
      <c r="E25" s="50">
        <v>3</v>
      </c>
      <c r="F25" s="50">
        <v>1</v>
      </c>
      <c r="G25" s="50">
        <v>1</v>
      </c>
      <c r="H25" s="50">
        <v>0</v>
      </c>
      <c r="I25" s="50">
        <v>1</v>
      </c>
      <c r="J25" s="50">
        <v>3</v>
      </c>
      <c r="K25" s="50">
        <v>0</v>
      </c>
      <c r="L25" s="50">
        <v>0</v>
      </c>
      <c r="M25" s="50">
        <v>44</v>
      </c>
      <c r="N25" s="50">
        <v>0</v>
      </c>
      <c r="O25" s="15">
        <f t="shared" si="0"/>
        <v>23</v>
      </c>
      <c r="P25" s="15">
        <f t="shared" si="1"/>
        <v>67</v>
      </c>
      <c r="R25" s="37" t="s">
        <v>85</v>
      </c>
      <c r="S25" s="35">
        <f t="shared" ref="S25:AF25" si="17">SUM(S10:S12)</f>
        <v>150</v>
      </c>
      <c r="T25" s="16">
        <f t="shared" si="17"/>
        <v>13</v>
      </c>
      <c r="U25" s="16">
        <f t="shared" si="17"/>
        <v>17</v>
      </c>
      <c r="V25" s="16">
        <f t="shared" si="17"/>
        <v>56</v>
      </c>
      <c r="W25" s="16">
        <f t="shared" si="17"/>
        <v>0</v>
      </c>
      <c r="X25" s="16">
        <f t="shared" si="17"/>
        <v>0</v>
      </c>
      <c r="Y25" s="16">
        <f t="shared" si="17"/>
        <v>24</v>
      </c>
      <c r="Z25" s="16">
        <f t="shared" si="17"/>
        <v>3</v>
      </c>
      <c r="AA25" s="16">
        <f t="shared" si="17"/>
        <v>1</v>
      </c>
      <c r="AB25" s="16">
        <f t="shared" si="17"/>
        <v>0</v>
      </c>
      <c r="AC25" s="16">
        <f t="shared" si="17"/>
        <v>569</v>
      </c>
      <c r="AD25" s="16">
        <f t="shared" si="17"/>
        <v>0</v>
      </c>
      <c r="AE25" s="32">
        <f t="shared" si="17"/>
        <v>264</v>
      </c>
      <c r="AF25" s="32">
        <f t="shared" si="17"/>
        <v>833</v>
      </c>
    </row>
    <row r="26" spans="2:32" ht="23.1" customHeight="1" x14ac:dyDescent="0.25">
      <c r="B26" s="23" t="s">
        <v>53</v>
      </c>
      <c r="C26" s="50">
        <v>17</v>
      </c>
      <c r="D26" s="50">
        <v>5</v>
      </c>
      <c r="E26" s="50">
        <v>2</v>
      </c>
      <c r="F26" s="50">
        <v>3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44</v>
      </c>
      <c r="N26" s="50">
        <v>0</v>
      </c>
      <c r="O26" s="15">
        <f t="shared" si="0"/>
        <v>31</v>
      </c>
      <c r="P26" s="15">
        <f t="shared" si="1"/>
        <v>75</v>
      </c>
      <c r="R26" s="28" t="s">
        <v>86</v>
      </c>
      <c r="S26" s="16">
        <f t="shared" ref="S26:AF26" si="18">SUM(S13:S18)</f>
        <v>255</v>
      </c>
      <c r="T26" s="16">
        <f t="shared" si="18"/>
        <v>35</v>
      </c>
      <c r="U26" s="16">
        <f t="shared" si="18"/>
        <v>62</v>
      </c>
      <c r="V26" s="16">
        <f t="shared" si="18"/>
        <v>58</v>
      </c>
      <c r="W26" s="16">
        <f t="shared" si="18"/>
        <v>1</v>
      </c>
      <c r="X26" s="16">
        <f t="shared" si="18"/>
        <v>0</v>
      </c>
      <c r="Y26" s="16">
        <f t="shared" si="18"/>
        <v>43</v>
      </c>
      <c r="Z26" s="16">
        <f t="shared" si="18"/>
        <v>34</v>
      </c>
      <c r="AA26" s="16">
        <f t="shared" si="18"/>
        <v>3</v>
      </c>
      <c r="AB26" s="16">
        <f t="shared" si="18"/>
        <v>7</v>
      </c>
      <c r="AC26" s="16">
        <f t="shared" si="18"/>
        <v>686</v>
      </c>
      <c r="AD26" s="16">
        <f t="shared" si="18"/>
        <v>0</v>
      </c>
      <c r="AE26" s="32">
        <f t="shared" si="18"/>
        <v>498</v>
      </c>
      <c r="AF26" s="32">
        <f t="shared" si="18"/>
        <v>1184</v>
      </c>
    </row>
    <row r="27" spans="2:32" ht="23.1" customHeight="1" x14ac:dyDescent="0.25">
      <c r="B27" s="23" t="s">
        <v>54</v>
      </c>
      <c r="C27" s="50">
        <v>9</v>
      </c>
      <c r="D27" s="50">
        <v>1</v>
      </c>
      <c r="E27" s="50">
        <v>4</v>
      </c>
      <c r="F27" s="50">
        <v>4</v>
      </c>
      <c r="G27" s="50">
        <v>0</v>
      </c>
      <c r="H27" s="50">
        <v>0</v>
      </c>
      <c r="I27" s="50">
        <v>6</v>
      </c>
      <c r="J27" s="50">
        <v>1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25</v>
      </c>
      <c r="P27" s="15">
        <f t="shared" si="1"/>
        <v>55</v>
      </c>
      <c r="R27" s="29" t="s">
        <v>87</v>
      </c>
      <c r="S27" s="16">
        <f t="shared" ref="S27:AF27" si="19">SUM(S19:S21)</f>
        <v>158</v>
      </c>
      <c r="T27" s="16">
        <f t="shared" si="19"/>
        <v>28</v>
      </c>
      <c r="U27" s="16">
        <f t="shared" si="19"/>
        <v>22</v>
      </c>
      <c r="V27" s="16">
        <f t="shared" si="19"/>
        <v>19</v>
      </c>
      <c r="W27" s="16">
        <f t="shared" si="19"/>
        <v>1</v>
      </c>
      <c r="X27" s="16">
        <f t="shared" si="19"/>
        <v>0</v>
      </c>
      <c r="Y27" s="16">
        <f t="shared" si="19"/>
        <v>30</v>
      </c>
      <c r="Z27" s="16">
        <f t="shared" si="19"/>
        <v>15</v>
      </c>
      <c r="AA27" s="16">
        <f t="shared" si="19"/>
        <v>3</v>
      </c>
      <c r="AB27" s="16">
        <f t="shared" si="19"/>
        <v>2</v>
      </c>
      <c r="AC27" s="16">
        <f t="shared" si="19"/>
        <v>511</v>
      </c>
      <c r="AD27" s="16">
        <f t="shared" si="19"/>
        <v>0</v>
      </c>
      <c r="AE27" s="32">
        <f t="shared" si="19"/>
        <v>278</v>
      </c>
      <c r="AF27" s="32">
        <f t="shared" si="19"/>
        <v>789</v>
      </c>
    </row>
    <row r="28" spans="2:32" ht="23.1" customHeight="1" x14ac:dyDescent="0.25">
      <c r="B28" s="23" t="s">
        <v>55</v>
      </c>
      <c r="C28" s="50">
        <v>9</v>
      </c>
      <c r="D28" s="50">
        <v>0</v>
      </c>
      <c r="E28" s="50">
        <v>1</v>
      </c>
      <c r="F28" s="50">
        <v>4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24</v>
      </c>
      <c r="N28" s="50">
        <v>0</v>
      </c>
      <c r="O28" s="15">
        <f t="shared" si="0"/>
        <v>15</v>
      </c>
      <c r="P28" s="15">
        <f t="shared" si="1"/>
        <v>39</v>
      </c>
      <c r="R28" s="5" t="s">
        <v>17</v>
      </c>
      <c r="S28" s="16">
        <f t="shared" ref="S28:AF28" si="20">SUM(S10:S21)</f>
        <v>563</v>
      </c>
      <c r="T28" s="16">
        <f t="shared" si="20"/>
        <v>76</v>
      </c>
      <c r="U28" s="16">
        <f t="shared" si="20"/>
        <v>101</v>
      </c>
      <c r="V28" s="16">
        <f t="shared" si="20"/>
        <v>133</v>
      </c>
      <c r="W28" s="16">
        <f t="shared" si="20"/>
        <v>2</v>
      </c>
      <c r="X28" s="16">
        <f t="shared" si="20"/>
        <v>0</v>
      </c>
      <c r="Y28" s="16">
        <f t="shared" si="20"/>
        <v>97</v>
      </c>
      <c r="Z28" s="16">
        <f t="shared" si="20"/>
        <v>52</v>
      </c>
      <c r="AA28" s="16">
        <f t="shared" si="20"/>
        <v>7</v>
      </c>
      <c r="AB28" s="16">
        <f t="shared" si="20"/>
        <v>9</v>
      </c>
      <c r="AC28" s="16">
        <f t="shared" si="20"/>
        <v>1766</v>
      </c>
      <c r="AD28" s="16">
        <f t="shared" si="20"/>
        <v>0</v>
      </c>
      <c r="AE28" s="32">
        <f t="shared" si="20"/>
        <v>1040</v>
      </c>
      <c r="AF28" s="32">
        <f t="shared" si="20"/>
        <v>2806</v>
      </c>
    </row>
    <row r="29" spans="2:32" ht="23.1" customHeight="1" x14ac:dyDescent="0.25">
      <c r="B29" s="23" t="s">
        <v>56</v>
      </c>
      <c r="C29" s="50">
        <v>17</v>
      </c>
      <c r="D29" s="50">
        <v>1</v>
      </c>
      <c r="E29" s="50">
        <v>2</v>
      </c>
      <c r="F29" s="50">
        <v>1</v>
      </c>
      <c r="G29" s="50">
        <v>0</v>
      </c>
      <c r="H29" s="50">
        <v>0</v>
      </c>
      <c r="I29" s="50">
        <v>0</v>
      </c>
      <c r="J29" s="50">
        <v>2</v>
      </c>
      <c r="K29" s="50">
        <v>0</v>
      </c>
      <c r="L29" s="50">
        <v>3</v>
      </c>
      <c r="M29" s="50">
        <v>32</v>
      </c>
      <c r="N29" s="50">
        <v>0</v>
      </c>
      <c r="O29" s="15">
        <f t="shared" si="0"/>
        <v>26</v>
      </c>
      <c r="P29" s="15">
        <f t="shared" si="1"/>
        <v>58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2</v>
      </c>
      <c r="E30" s="50">
        <v>2</v>
      </c>
      <c r="F30" s="50">
        <v>1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23</v>
      </c>
      <c r="N30" s="50">
        <v>0</v>
      </c>
      <c r="O30" s="15">
        <f t="shared" si="0"/>
        <v>15</v>
      </c>
      <c r="P30" s="15">
        <f t="shared" si="1"/>
        <v>38</v>
      </c>
    </row>
    <row r="31" spans="2:32" ht="23.1" customHeight="1" x14ac:dyDescent="0.25">
      <c r="B31" s="24" t="s">
        <v>58</v>
      </c>
      <c r="C31" s="50">
        <v>9</v>
      </c>
      <c r="D31" s="50">
        <v>0</v>
      </c>
      <c r="E31" s="50">
        <v>4</v>
      </c>
      <c r="F31" s="50">
        <v>2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0</v>
      </c>
      <c r="M31" s="50">
        <v>44</v>
      </c>
      <c r="N31" s="50">
        <v>0</v>
      </c>
      <c r="O31" s="15">
        <f t="shared" si="0"/>
        <v>16</v>
      </c>
      <c r="P31" s="15">
        <f t="shared" si="1"/>
        <v>60</v>
      </c>
    </row>
    <row r="32" spans="2:32" ht="23.1" customHeight="1" x14ac:dyDescent="0.25">
      <c r="B32" s="24" t="s">
        <v>59</v>
      </c>
      <c r="C32" s="50">
        <v>13</v>
      </c>
      <c r="D32" s="50">
        <v>1</v>
      </c>
      <c r="E32" s="50">
        <v>5</v>
      </c>
      <c r="F32" s="50">
        <v>5</v>
      </c>
      <c r="G32" s="50">
        <v>0</v>
      </c>
      <c r="H32" s="50">
        <v>0</v>
      </c>
      <c r="I32" s="50">
        <v>0</v>
      </c>
      <c r="J32" s="50">
        <v>0</v>
      </c>
      <c r="K32" s="50">
        <v>2</v>
      </c>
      <c r="L32" s="50">
        <v>0</v>
      </c>
      <c r="M32" s="50">
        <v>43</v>
      </c>
      <c r="N32" s="50">
        <v>0</v>
      </c>
      <c r="O32" s="15">
        <f t="shared" si="0"/>
        <v>26</v>
      </c>
      <c r="P32" s="15">
        <f t="shared" si="1"/>
        <v>69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4</v>
      </c>
      <c r="F33" s="50">
        <v>0</v>
      </c>
      <c r="G33" s="50">
        <v>0</v>
      </c>
      <c r="H33" s="50">
        <v>0</v>
      </c>
      <c r="I33" s="50">
        <v>4</v>
      </c>
      <c r="J33" s="50">
        <v>4</v>
      </c>
      <c r="K33" s="50">
        <v>0</v>
      </c>
      <c r="L33" s="50">
        <v>1</v>
      </c>
      <c r="M33" s="50">
        <v>40</v>
      </c>
      <c r="N33" s="50">
        <v>0</v>
      </c>
      <c r="O33" s="15">
        <f t="shared" si="0"/>
        <v>20</v>
      </c>
      <c r="P33" s="15">
        <f t="shared" si="1"/>
        <v>60</v>
      </c>
    </row>
    <row r="34" spans="2:20" ht="23.1" customHeight="1" x14ac:dyDescent="0.25">
      <c r="B34" s="24" t="s">
        <v>61</v>
      </c>
      <c r="C34" s="50">
        <v>12</v>
      </c>
      <c r="D34" s="50">
        <v>1</v>
      </c>
      <c r="E34" s="50">
        <v>1</v>
      </c>
      <c r="F34" s="50">
        <v>3</v>
      </c>
      <c r="G34" s="50">
        <v>0</v>
      </c>
      <c r="H34" s="50">
        <v>0</v>
      </c>
      <c r="I34" s="50">
        <v>2</v>
      </c>
      <c r="J34" s="50">
        <v>4</v>
      </c>
      <c r="K34" s="50">
        <v>0</v>
      </c>
      <c r="L34" s="50">
        <v>0</v>
      </c>
      <c r="M34" s="50">
        <v>39</v>
      </c>
      <c r="N34" s="50">
        <v>0</v>
      </c>
      <c r="O34" s="15">
        <f t="shared" si="0"/>
        <v>23</v>
      </c>
      <c r="P34" s="15">
        <f t="shared" si="1"/>
        <v>62</v>
      </c>
    </row>
    <row r="35" spans="2:20" ht="23.1" customHeight="1" x14ac:dyDescent="0.25">
      <c r="B35" s="24" t="s">
        <v>62</v>
      </c>
      <c r="C35" s="50">
        <v>7</v>
      </c>
      <c r="D35" s="50">
        <v>1</v>
      </c>
      <c r="E35" s="50">
        <v>3</v>
      </c>
      <c r="F35" s="50">
        <v>1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1</v>
      </c>
      <c r="M35" s="50">
        <v>33</v>
      </c>
      <c r="N35" s="50">
        <v>0</v>
      </c>
      <c r="O35" s="15">
        <f t="shared" si="0"/>
        <v>18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11</v>
      </c>
      <c r="D36" s="50">
        <v>3</v>
      </c>
      <c r="E36" s="50">
        <v>4</v>
      </c>
      <c r="F36" s="50">
        <v>3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30</v>
      </c>
      <c r="N36" s="50">
        <v>0</v>
      </c>
      <c r="O36" s="15">
        <f t="shared" si="0"/>
        <v>24</v>
      </c>
      <c r="P36" s="15">
        <f t="shared" si="1"/>
        <v>54</v>
      </c>
    </row>
    <row r="37" spans="2:20" ht="23.1" customHeight="1" x14ac:dyDescent="0.25">
      <c r="B37" s="23" t="s">
        <v>64</v>
      </c>
      <c r="C37" s="50">
        <v>11</v>
      </c>
      <c r="D37" s="50">
        <v>1</v>
      </c>
      <c r="E37" s="50">
        <v>1</v>
      </c>
      <c r="F37" s="50">
        <v>4</v>
      </c>
      <c r="G37" s="50">
        <v>0</v>
      </c>
      <c r="H37" s="50">
        <v>0</v>
      </c>
      <c r="I37" s="50">
        <v>4</v>
      </c>
      <c r="J37" s="50">
        <v>3</v>
      </c>
      <c r="K37" s="50">
        <v>0</v>
      </c>
      <c r="L37" s="50">
        <v>0</v>
      </c>
      <c r="M37" s="50">
        <v>32</v>
      </c>
      <c r="N37" s="50">
        <v>0</v>
      </c>
      <c r="O37" s="15">
        <f t="shared" si="0"/>
        <v>24</v>
      </c>
      <c r="P37" s="15">
        <f t="shared" si="1"/>
        <v>56</v>
      </c>
    </row>
    <row r="38" spans="2:20" ht="23.1" customHeight="1" x14ac:dyDescent="0.25">
      <c r="B38" s="24" t="s">
        <v>65</v>
      </c>
      <c r="C38" s="50">
        <v>7</v>
      </c>
      <c r="D38" s="50">
        <v>0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13</v>
      </c>
      <c r="N38" s="50">
        <v>0</v>
      </c>
      <c r="O38" s="15">
        <f t="shared" si="0"/>
        <v>9</v>
      </c>
      <c r="P38" s="15">
        <f t="shared" si="1"/>
        <v>22</v>
      </c>
    </row>
    <row r="39" spans="2:20" ht="23.1" customHeight="1" x14ac:dyDescent="0.25">
      <c r="B39" s="24" t="s">
        <v>66</v>
      </c>
      <c r="C39" s="50">
        <v>14</v>
      </c>
      <c r="D39" s="50">
        <v>2</v>
      </c>
      <c r="E39" s="50">
        <v>4</v>
      </c>
      <c r="F39" s="50">
        <v>1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1</v>
      </c>
      <c r="M39" s="50">
        <v>19</v>
      </c>
      <c r="N39" s="50">
        <v>0</v>
      </c>
      <c r="O39" s="15">
        <f t="shared" si="0"/>
        <v>24</v>
      </c>
      <c r="P39" s="15">
        <f t="shared" si="1"/>
        <v>43</v>
      </c>
    </row>
    <row r="40" spans="2:20" ht="23.1" customHeight="1" x14ac:dyDescent="0.25">
      <c r="B40" s="24" t="s">
        <v>67</v>
      </c>
      <c r="C40" s="50">
        <v>8</v>
      </c>
      <c r="D40" s="50">
        <v>2</v>
      </c>
      <c r="E40" s="50">
        <v>3</v>
      </c>
      <c r="F40" s="50">
        <v>0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0</v>
      </c>
      <c r="M40" s="50">
        <v>21</v>
      </c>
      <c r="N40" s="50">
        <v>0</v>
      </c>
      <c r="O40" s="15">
        <f t="shared" si="0"/>
        <v>16</v>
      </c>
      <c r="P40" s="15">
        <f t="shared" si="1"/>
        <v>37</v>
      </c>
    </row>
    <row r="41" spans="2:20" ht="23.1" customHeight="1" x14ac:dyDescent="0.25">
      <c r="B41" s="23" t="s">
        <v>68</v>
      </c>
      <c r="C41" s="50">
        <v>11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1</v>
      </c>
      <c r="M41" s="50">
        <v>12</v>
      </c>
      <c r="N41" s="50">
        <v>0</v>
      </c>
      <c r="O41" s="15">
        <f t="shared" si="0"/>
        <v>17</v>
      </c>
      <c r="P41" s="15">
        <f t="shared" si="1"/>
        <v>29</v>
      </c>
    </row>
    <row r="42" spans="2:20" ht="23.1" customHeight="1" x14ac:dyDescent="0.25">
      <c r="B42" s="24" t="s">
        <v>69</v>
      </c>
      <c r="C42" s="50">
        <v>5</v>
      </c>
      <c r="D42" s="50">
        <v>1</v>
      </c>
      <c r="E42" s="50">
        <v>0</v>
      </c>
      <c r="F42" s="50">
        <v>0</v>
      </c>
      <c r="G42" s="50">
        <v>0</v>
      </c>
      <c r="H42" s="50">
        <v>0</v>
      </c>
      <c r="I42" s="50">
        <v>1</v>
      </c>
      <c r="J42" s="50">
        <v>0</v>
      </c>
      <c r="K42" s="50">
        <v>0</v>
      </c>
      <c r="L42" s="50">
        <v>0</v>
      </c>
      <c r="M42" s="50">
        <v>8</v>
      </c>
      <c r="N42" s="50">
        <v>0</v>
      </c>
      <c r="O42" s="15">
        <f t="shared" si="0"/>
        <v>7</v>
      </c>
      <c r="P42" s="15">
        <f t="shared" si="1"/>
        <v>15</v>
      </c>
    </row>
    <row r="43" spans="2:20" ht="23.1" customHeight="1" x14ac:dyDescent="0.25">
      <c r="B43" s="23" t="s">
        <v>70</v>
      </c>
      <c r="C43" s="50">
        <v>8</v>
      </c>
      <c r="D43" s="50">
        <v>2</v>
      </c>
      <c r="E43" s="50">
        <v>0</v>
      </c>
      <c r="F43" s="50">
        <v>3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6</v>
      </c>
      <c r="N43" s="50">
        <v>0</v>
      </c>
      <c r="O43" s="15">
        <f t="shared" si="0"/>
        <v>15</v>
      </c>
      <c r="P43" s="15">
        <f t="shared" si="1"/>
        <v>21</v>
      </c>
    </row>
    <row r="44" spans="2:20" ht="23.1" customHeight="1" x14ac:dyDescent="0.25">
      <c r="B44" s="25" t="s">
        <v>71</v>
      </c>
      <c r="C44" s="50">
        <v>12</v>
      </c>
      <c r="D44" s="50">
        <v>3</v>
      </c>
      <c r="E44" s="50">
        <v>6</v>
      </c>
      <c r="F44" s="50">
        <v>2</v>
      </c>
      <c r="G44" s="50">
        <v>0</v>
      </c>
      <c r="H44" s="50">
        <v>0</v>
      </c>
      <c r="I44" s="50">
        <v>4</v>
      </c>
      <c r="J44" s="50">
        <v>1</v>
      </c>
      <c r="K44" s="50">
        <v>0</v>
      </c>
      <c r="L44" s="50">
        <v>0</v>
      </c>
      <c r="M44" s="50">
        <v>14</v>
      </c>
      <c r="N44" s="50">
        <v>0</v>
      </c>
      <c r="O44" s="15">
        <f t="shared" si="0"/>
        <v>28</v>
      </c>
      <c r="P44" s="15">
        <f t="shared" si="1"/>
        <v>42</v>
      </c>
    </row>
    <row r="45" spans="2:20" ht="23.1" customHeight="1" x14ac:dyDescent="0.25">
      <c r="B45" s="23" t="s">
        <v>72</v>
      </c>
      <c r="C45" s="50">
        <v>10</v>
      </c>
      <c r="D45" s="50">
        <v>3</v>
      </c>
      <c r="E45" s="50">
        <v>4</v>
      </c>
      <c r="F45" s="50">
        <v>2</v>
      </c>
      <c r="G45" s="50">
        <v>0</v>
      </c>
      <c r="H45" s="50">
        <v>0</v>
      </c>
      <c r="I45" s="50">
        <v>3</v>
      </c>
      <c r="J45" s="50">
        <v>1</v>
      </c>
      <c r="K45" s="50">
        <v>0</v>
      </c>
      <c r="L45" s="50">
        <v>0</v>
      </c>
      <c r="M45" s="50">
        <v>37</v>
      </c>
      <c r="N45" s="50">
        <v>0</v>
      </c>
      <c r="O45" s="15">
        <f t="shared" si="0"/>
        <v>23</v>
      </c>
      <c r="P45" s="15">
        <f t="shared" si="1"/>
        <v>60</v>
      </c>
    </row>
    <row r="46" spans="2:20" ht="23.1" customHeight="1" x14ac:dyDescent="0.25">
      <c r="B46" s="24" t="s">
        <v>73</v>
      </c>
      <c r="C46" s="50">
        <v>15</v>
      </c>
      <c r="D46" s="50">
        <v>2</v>
      </c>
      <c r="E46" s="50">
        <v>4</v>
      </c>
      <c r="F46" s="50">
        <v>2</v>
      </c>
      <c r="G46" s="50">
        <v>1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35</v>
      </c>
      <c r="N46" s="50">
        <v>0</v>
      </c>
      <c r="O46" s="15">
        <f t="shared" si="0"/>
        <v>28</v>
      </c>
      <c r="P46" s="15">
        <f t="shared" si="1"/>
        <v>63</v>
      </c>
      <c r="R46" s="8"/>
      <c r="T46"/>
    </row>
    <row r="47" spans="2:20" ht="23.1" customHeight="1" x14ac:dyDescent="0.25">
      <c r="B47" s="24" t="s">
        <v>74</v>
      </c>
      <c r="C47" s="50">
        <v>8</v>
      </c>
      <c r="D47" s="50">
        <v>2</v>
      </c>
      <c r="E47" s="50">
        <v>0</v>
      </c>
      <c r="F47" s="50">
        <v>1</v>
      </c>
      <c r="G47" s="50">
        <v>0</v>
      </c>
      <c r="H47" s="50">
        <v>0</v>
      </c>
      <c r="I47" s="50">
        <v>1</v>
      </c>
      <c r="J47" s="50">
        <v>2</v>
      </c>
      <c r="K47" s="50">
        <v>0</v>
      </c>
      <c r="L47" s="50">
        <v>1</v>
      </c>
      <c r="M47" s="50">
        <v>37</v>
      </c>
      <c r="N47" s="50">
        <v>0</v>
      </c>
      <c r="O47" s="15">
        <f t="shared" si="0"/>
        <v>15</v>
      </c>
      <c r="P47" s="15">
        <f t="shared" si="1"/>
        <v>52</v>
      </c>
      <c r="R47" s="8"/>
      <c r="T47"/>
    </row>
    <row r="48" spans="2:20" ht="23.1" customHeight="1" x14ac:dyDescent="0.25">
      <c r="B48" s="24" t="s">
        <v>75</v>
      </c>
      <c r="C48" s="50">
        <v>11</v>
      </c>
      <c r="D48" s="50">
        <v>4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3</v>
      </c>
      <c r="K48" s="50">
        <v>0</v>
      </c>
      <c r="L48" s="50">
        <v>0</v>
      </c>
      <c r="M48" s="50">
        <v>44</v>
      </c>
      <c r="N48" s="50">
        <v>0</v>
      </c>
      <c r="O48" s="15">
        <f t="shared" si="0"/>
        <v>23</v>
      </c>
      <c r="P48" s="15">
        <f t="shared" si="1"/>
        <v>67</v>
      </c>
      <c r="R48" s="8"/>
      <c r="T48"/>
    </row>
    <row r="49" spans="2:20" ht="23.1" customHeight="1" x14ac:dyDescent="0.25">
      <c r="B49" s="23" t="s">
        <v>76</v>
      </c>
      <c r="C49" s="50">
        <v>14</v>
      </c>
      <c r="D49" s="50">
        <v>5</v>
      </c>
      <c r="E49" s="50">
        <v>1</v>
      </c>
      <c r="F49" s="50">
        <v>2</v>
      </c>
      <c r="G49" s="50">
        <v>0</v>
      </c>
      <c r="H49" s="50">
        <v>0</v>
      </c>
      <c r="I49" s="50">
        <v>4</v>
      </c>
      <c r="J49" s="50">
        <v>1</v>
      </c>
      <c r="K49" s="50">
        <v>1</v>
      </c>
      <c r="L49" s="50">
        <v>0</v>
      </c>
      <c r="M49" s="50">
        <v>40</v>
      </c>
      <c r="N49" s="50">
        <v>0</v>
      </c>
      <c r="O49" s="15">
        <f t="shared" si="0"/>
        <v>28</v>
      </c>
      <c r="P49" s="15">
        <f t="shared" si="1"/>
        <v>68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3</v>
      </c>
      <c r="E50" s="50">
        <v>2</v>
      </c>
      <c r="F50" s="50">
        <v>1</v>
      </c>
      <c r="G50" s="50">
        <v>0</v>
      </c>
      <c r="H50" s="50">
        <v>0</v>
      </c>
      <c r="I50" s="50">
        <v>5</v>
      </c>
      <c r="J50" s="50">
        <v>0</v>
      </c>
      <c r="K50" s="50">
        <v>0</v>
      </c>
      <c r="L50" s="50">
        <v>0</v>
      </c>
      <c r="M50" s="50">
        <v>39</v>
      </c>
      <c r="N50" s="50">
        <v>0</v>
      </c>
      <c r="O50" s="15">
        <f t="shared" si="0"/>
        <v>21</v>
      </c>
      <c r="P50" s="15">
        <f t="shared" si="1"/>
        <v>60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1</v>
      </c>
      <c r="E51" s="50">
        <v>3</v>
      </c>
      <c r="F51" s="50">
        <v>2</v>
      </c>
      <c r="G51" s="50">
        <v>0</v>
      </c>
      <c r="H51" s="50">
        <v>0</v>
      </c>
      <c r="I51" s="50">
        <v>2</v>
      </c>
      <c r="J51" s="50">
        <v>1</v>
      </c>
      <c r="K51" s="50">
        <v>1</v>
      </c>
      <c r="L51" s="50">
        <v>1</v>
      </c>
      <c r="M51" s="50">
        <v>55</v>
      </c>
      <c r="N51" s="50">
        <v>0</v>
      </c>
      <c r="O51" s="15">
        <f t="shared" si="0"/>
        <v>23</v>
      </c>
      <c r="P51" s="15">
        <f t="shared" si="1"/>
        <v>78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2</v>
      </c>
      <c r="E52" s="50">
        <v>2</v>
      </c>
      <c r="F52" s="50">
        <v>2</v>
      </c>
      <c r="G52" s="50">
        <v>0</v>
      </c>
      <c r="H52" s="50">
        <v>0</v>
      </c>
      <c r="I52" s="50">
        <v>3</v>
      </c>
      <c r="J52" s="50">
        <v>2</v>
      </c>
      <c r="K52" s="50">
        <v>0</v>
      </c>
      <c r="L52" s="50">
        <v>0</v>
      </c>
      <c r="M52" s="50">
        <v>44</v>
      </c>
      <c r="N52" s="50">
        <v>0</v>
      </c>
      <c r="O52" s="15">
        <f t="shared" si="0"/>
        <v>27</v>
      </c>
      <c r="P52" s="15">
        <f t="shared" si="1"/>
        <v>71</v>
      </c>
      <c r="R52" s="8"/>
      <c r="T52"/>
    </row>
    <row r="53" spans="2:20" ht="23.1" customHeight="1" x14ac:dyDescent="0.25">
      <c r="B53" s="23" t="s">
        <v>80</v>
      </c>
      <c r="C53" s="50">
        <v>15</v>
      </c>
      <c r="D53" s="50">
        <v>4</v>
      </c>
      <c r="E53" s="50">
        <v>0</v>
      </c>
      <c r="F53" s="50">
        <v>0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37</v>
      </c>
      <c r="N53" s="50">
        <v>0</v>
      </c>
      <c r="O53" s="15">
        <f t="shared" si="0"/>
        <v>22</v>
      </c>
      <c r="P53" s="15">
        <f t="shared" si="1"/>
        <v>59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2</v>
      </c>
      <c r="E54" s="50">
        <v>3</v>
      </c>
      <c r="F54" s="50">
        <v>2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39</v>
      </c>
      <c r="N54" s="50">
        <v>0</v>
      </c>
      <c r="O54" s="15">
        <f t="shared" si="0"/>
        <v>25</v>
      </c>
      <c r="P54" s="15">
        <f t="shared" si="1"/>
        <v>64</v>
      </c>
      <c r="R54" s="8"/>
      <c r="T54"/>
    </row>
    <row r="55" spans="2:20" ht="23.1" customHeight="1" x14ac:dyDescent="0.25">
      <c r="B55" s="23" t="s">
        <v>82</v>
      </c>
      <c r="C55" s="50">
        <v>19</v>
      </c>
      <c r="D55" s="50">
        <v>1</v>
      </c>
      <c r="E55" s="50">
        <v>1</v>
      </c>
      <c r="F55" s="50">
        <v>4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48</v>
      </c>
      <c r="N55" s="50">
        <v>0</v>
      </c>
      <c r="O55" s="15">
        <f t="shared" si="0"/>
        <v>26</v>
      </c>
      <c r="P55" s="15">
        <f t="shared" si="1"/>
        <v>74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2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49</v>
      </c>
      <c r="N56" s="50">
        <v>0</v>
      </c>
      <c r="O56" s="15">
        <f t="shared" si="0"/>
        <v>18</v>
      </c>
      <c r="P56" s="15">
        <f t="shared" si="1"/>
        <v>67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0</v>
      </c>
      <c r="E57" s="50">
        <v>3</v>
      </c>
      <c r="F57" s="50">
        <v>1</v>
      </c>
      <c r="G57" s="50">
        <v>0</v>
      </c>
      <c r="H57" s="50">
        <v>0</v>
      </c>
      <c r="I57" s="50">
        <v>4</v>
      </c>
      <c r="J57" s="50">
        <v>2</v>
      </c>
      <c r="K57" s="50">
        <v>1</v>
      </c>
      <c r="L57" s="50">
        <v>0</v>
      </c>
      <c r="M57" s="50">
        <v>44</v>
      </c>
      <c r="N57" s="50">
        <v>0</v>
      </c>
      <c r="O57" s="15">
        <f t="shared" si="0"/>
        <v>22</v>
      </c>
      <c r="P57" s="15">
        <f t="shared" si="1"/>
        <v>66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563</v>
      </c>
      <c r="D58" s="16">
        <f t="shared" si="21"/>
        <v>76</v>
      </c>
      <c r="E58" s="16">
        <f t="shared" si="21"/>
        <v>101</v>
      </c>
      <c r="F58" s="16">
        <f t="shared" si="21"/>
        <v>133</v>
      </c>
      <c r="G58" s="16">
        <f t="shared" si="21"/>
        <v>2</v>
      </c>
      <c r="H58" s="16">
        <f t="shared" si="21"/>
        <v>0</v>
      </c>
      <c r="I58" s="16">
        <f t="shared" si="21"/>
        <v>97</v>
      </c>
      <c r="J58" s="16">
        <f t="shared" si="21"/>
        <v>52</v>
      </c>
      <c r="K58" s="16">
        <f t="shared" si="21"/>
        <v>7</v>
      </c>
      <c r="L58" s="16">
        <f t="shared" si="21"/>
        <v>9</v>
      </c>
      <c r="M58" s="16">
        <f t="shared" si="21"/>
        <v>1766</v>
      </c>
      <c r="N58" s="16">
        <f t="shared" si="21"/>
        <v>0</v>
      </c>
      <c r="O58" s="16">
        <f t="shared" si="21"/>
        <v>1040</v>
      </c>
      <c r="P58" s="16">
        <f t="shared" si="21"/>
        <v>2806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0.20064148253741981</v>
      </c>
      <c r="D59" s="43">
        <f t="shared" si="22"/>
        <v>2.7084818246614399E-2</v>
      </c>
      <c r="E59" s="43">
        <f t="shared" si="22"/>
        <v>3.5994297933000713E-2</v>
      </c>
      <c r="F59" s="43">
        <f t="shared" si="22"/>
        <v>4.7398431931575197E-2</v>
      </c>
      <c r="G59" s="43">
        <f t="shared" si="22"/>
        <v>7.1275837491090524E-4</v>
      </c>
      <c r="H59" s="43">
        <f t="shared" si="22"/>
        <v>0</v>
      </c>
      <c r="I59" s="43">
        <f t="shared" si="22"/>
        <v>3.4568781183178902E-2</v>
      </c>
      <c r="J59" s="43">
        <f t="shared" si="22"/>
        <v>1.8531717747683536E-2</v>
      </c>
      <c r="K59" s="43">
        <f t="shared" si="22"/>
        <v>2.4946543121881683E-3</v>
      </c>
      <c r="L59" s="43">
        <f t="shared" si="22"/>
        <v>3.2074126870990736E-3</v>
      </c>
      <c r="M59" s="43">
        <f t="shared" si="22"/>
        <v>0.6293656450463293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0.54134615384615381</v>
      </c>
      <c r="D60" s="44">
        <f t="shared" ref="D60:N60" si="23">D58/$O$58</f>
        <v>7.3076923076923081E-2</v>
      </c>
      <c r="E60" s="44">
        <f t="shared" si="23"/>
        <v>9.7115384615384617E-2</v>
      </c>
      <c r="F60" s="44">
        <f t="shared" si="23"/>
        <v>0.12788461538461537</v>
      </c>
      <c r="G60" s="44">
        <f t="shared" si="23"/>
        <v>1.9230769230769232E-3</v>
      </c>
      <c r="H60" s="44">
        <f t="shared" si="23"/>
        <v>0</v>
      </c>
      <c r="I60" s="44">
        <f t="shared" si="23"/>
        <v>9.3269230769230771E-2</v>
      </c>
      <c r="J60" s="44">
        <f t="shared" si="23"/>
        <v>0.05</v>
      </c>
      <c r="K60" s="44">
        <f t="shared" si="23"/>
        <v>6.7307692307692311E-3</v>
      </c>
      <c r="L60" s="44">
        <f t="shared" si="23"/>
        <v>8.6538461538461543E-3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zoomScale="60" workbookViewId="0">
      <selection activeCell="E10" sqref="E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'25.10 Isingiro-Mbarara'!D5</f>
        <v>25.10.2019</v>
      </c>
      <c r="E5" s="3"/>
      <c r="F5" s="41" t="s">
        <v>1</v>
      </c>
      <c r="G5" s="55" t="str">
        <f>'25.10 Isingiro-Mbarara'!G5:H5</f>
        <v>KASENYI</v>
      </c>
      <c r="H5" s="56"/>
      <c r="I5" s="14"/>
      <c r="J5" s="2" t="s">
        <v>5</v>
      </c>
      <c r="K5" s="55" t="str">
        <f>'25.10 Isingiro-Mbarara'!K5:L5</f>
        <v>MIREMBE RUTH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'25.10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2</v>
      </c>
      <c r="E10" s="50">
        <v>2</v>
      </c>
      <c r="F10" s="50">
        <v>2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28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40</v>
      </c>
      <c r="R10" s="1" t="s">
        <v>6</v>
      </c>
      <c r="S10" s="17">
        <f t="shared" ref="S10:AF10" si="2">SUM(C10:C13)</f>
        <v>34</v>
      </c>
      <c r="T10" s="17">
        <f t="shared" si="2"/>
        <v>9</v>
      </c>
      <c r="U10" s="17">
        <f t="shared" si="2"/>
        <v>11</v>
      </c>
      <c r="V10" s="17">
        <f t="shared" si="2"/>
        <v>5</v>
      </c>
      <c r="W10" s="17">
        <f t="shared" si="2"/>
        <v>1</v>
      </c>
      <c r="X10" s="17">
        <f t="shared" si="2"/>
        <v>0</v>
      </c>
      <c r="Y10" s="17">
        <f t="shared" si="2"/>
        <v>6</v>
      </c>
      <c r="Z10" s="17">
        <f t="shared" si="2"/>
        <v>5</v>
      </c>
      <c r="AA10" s="17">
        <f t="shared" si="2"/>
        <v>1</v>
      </c>
      <c r="AB10" s="17">
        <f t="shared" si="2"/>
        <v>2</v>
      </c>
      <c r="AC10" s="17">
        <f t="shared" si="2"/>
        <v>142</v>
      </c>
      <c r="AD10" s="17">
        <f t="shared" si="2"/>
        <v>0</v>
      </c>
      <c r="AE10" s="31">
        <f t="shared" si="2"/>
        <v>74</v>
      </c>
      <c r="AF10" s="31">
        <f t="shared" si="2"/>
        <v>216</v>
      </c>
    </row>
    <row r="11" spans="2:32" s="6" customFormat="1" ht="23.1" customHeight="1" x14ac:dyDescent="0.25">
      <c r="B11" s="23" t="s">
        <v>38</v>
      </c>
      <c r="C11" s="50">
        <v>13</v>
      </c>
      <c r="D11" s="50">
        <v>1</v>
      </c>
      <c r="E11" s="50">
        <v>3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20</v>
      </c>
      <c r="P11" s="15">
        <f t="shared" si="1"/>
        <v>65</v>
      </c>
      <c r="R11" s="1" t="s">
        <v>7</v>
      </c>
      <c r="S11" s="17">
        <f t="shared" ref="S11:AF11" si="3">SUM(C14:C17)</f>
        <v>36</v>
      </c>
      <c r="T11" s="17">
        <f t="shared" si="3"/>
        <v>10</v>
      </c>
      <c r="U11" s="17">
        <f t="shared" si="3"/>
        <v>15</v>
      </c>
      <c r="V11" s="17">
        <f t="shared" si="3"/>
        <v>4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9</v>
      </c>
      <c r="AA11" s="17">
        <f t="shared" si="3"/>
        <v>0</v>
      </c>
      <c r="AB11" s="17">
        <f t="shared" si="3"/>
        <v>0</v>
      </c>
      <c r="AC11" s="17">
        <f t="shared" si="3"/>
        <v>173</v>
      </c>
      <c r="AD11" s="17">
        <f t="shared" si="3"/>
        <v>0</v>
      </c>
      <c r="AE11" s="31">
        <f t="shared" si="3"/>
        <v>81</v>
      </c>
      <c r="AF11" s="31">
        <f t="shared" si="3"/>
        <v>254</v>
      </c>
    </row>
    <row r="12" spans="2:32" ht="23.1" customHeight="1" x14ac:dyDescent="0.25">
      <c r="B12" s="23" t="s">
        <v>39</v>
      </c>
      <c r="C12" s="50">
        <v>8</v>
      </c>
      <c r="D12" s="50">
        <v>3</v>
      </c>
      <c r="E12" s="50">
        <v>1</v>
      </c>
      <c r="F12" s="50">
        <v>0</v>
      </c>
      <c r="G12" s="50">
        <v>0</v>
      </c>
      <c r="H12" s="50">
        <v>0</v>
      </c>
      <c r="I12" s="50">
        <v>2</v>
      </c>
      <c r="J12" s="50">
        <v>2</v>
      </c>
      <c r="K12" s="50">
        <v>1</v>
      </c>
      <c r="L12" s="50">
        <v>0</v>
      </c>
      <c r="M12" s="50">
        <v>33</v>
      </c>
      <c r="N12" s="50">
        <v>0</v>
      </c>
      <c r="O12" s="15">
        <f t="shared" si="0"/>
        <v>17</v>
      </c>
      <c r="P12" s="15">
        <f t="shared" si="1"/>
        <v>50</v>
      </c>
      <c r="R12" s="1" t="s">
        <v>8</v>
      </c>
      <c r="S12" s="17">
        <f t="shared" ref="S12:AF12" si="4">SUM(C18:C21)</f>
        <v>27</v>
      </c>
      <c r="T12" s="17">
        <f t="shared" si="4"/>
        <v>6</v>
      </c>
      <c r="U12" s="17">
        <f t="shared" si="4"/>
        <v>8</v>
      </c>
      <c r="V12" s="17">
        <f t="shared" si="4"/>
        <v>8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9</v>
      </c>
      <c r="AA12" s="17">
        <f t="shared" si="4"/>
        <v>1</v>
      </c>
      <c r="AB12" s="17">
        <f t="shared" si="4"/>
        <v>0</v>
      </c>
      <c r="AC12" s="17">
        <f t="shared" si="4"/>
        <v>142</v>
      </c>
      <c r="AD12" s="17">
        <f t="shared" si="4"/>
        <v>0</v>
      </c>
      <c r="AE12" s="31">
        <f t="shared" si="4"/>
        <v>66</v>
      </c>
      <c r="AF12" s="31">
        <f t="shared" si="4"/>
        <v>208</v>
      </c>
    </row>
    <row r="13" spans="2:32" ht="23.1" customHeight="1" x14ac:dyDescent="0.25">
      <c r="B13" s="23" t="s">
        <v>40</v>
      </c>
      <c r="C13" s="50">
        <v>10</v>
      </c>
      <c r="D13" s="50">
        <v>3</v>
      </c>
      <c r="E13" s="50">
        <v>5</v>
      </c>
      <c r="F13" s="50">
        <v>2</v>
      </c>
      <c r="G13" s="50">
        <v>1</v>
      </c>
      <c r="H13" s="50">
        <v>0</v>
      </c>
      <c r="I13" s="50">
        <v>1</v>
      </c>
      <c r="J13" s="50">
        <v>1</v>
      </c>
      <c r="K13" s="50">
        <v>0</v>
      </c>
      <c r="L13" s="50">
        <v>2</v>
      </c>
      <c r="M13" s="50">
        <v>36</v>
      </c>
      <c r="N13" s="50">
        <v>0</v>
      </c>
      <c r="O13" s="15">
        <f t="shared" si="0"/>
        <v>25</v>
      </c>
      <c r="P13" s="15">
        <f t="shared" si="1"/>
        <v>61</v>
      </c>
      <c r="R13" s="1" t="s">
        <v>9</v>
      </c>
      <c r="S13" s="17">
        <f t="shared" ref="S13:AF13" si="5">SUM(C22:C25)</f>
        <v>20</v>
      </c>
      <c r="T13" s="17">
        <f t="shared" si="5"/>
        <v>7</v>
      </c>
      <c r="U13" s="17">
        <f t="shared" si="5"/>
        <v>14</v>
      </c>
      <c r="V13" s="17">
        <f t="shared" si="5"/>
        <v>14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6</v>
      </c>
      <c r="AA13" s="17">
        <f t="shared" si="5"/>
        <v>0</v>
      </c>
      <c r="AB13" s="17">
        <f t="shared" si="5"/>
        <v>1</v>
      </c>
      <c r="AC13" s="17">
        <f t="shared" si="5"/>
        <v>156</v>
      </c>
      <c r="AD13" s="17">
        <f t="shared" si="5"/>
        <v>0</v>
      </c>
      <c r="AE13" s="31">
        <f t="shared" si="5"/>
        <v>71</v>
      </c>
      <c r="AF13" s="31">
        <f t="shared" si="5"/>
        <v>227</v>
      </c>
    </row>
    <row r="14" spans="2:32" ht="23.1" customHeight="1" x14ac:dyDescent="0.25">
      <c r="B14" s="23" t="s">
        <v>41</v>
      </c>
      <c r="C14" s="50">
        <v>11</v>
      </c>
      <c r="D14" s="50">
        <v>1</v>
      </c>
      <c r="E14" s="50">
        <v>4</v>
      </c>
      <c r="F14" s="50">
        <v>1</v>
      </c>
      <c r="G14" s="50">
        <v>0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40</v>
      </c>
      <c r="N14" s="50">
        <v>0</v>
      </c>
      <c r="O14" s="15">
        <f t="shared" si="0"/>
        <v>22</v>
      </c>
      <c r="P14" s="15">
        <f t="shared" si="1"/>
        <v>62</v>
      </c>
      <c r="R14" s="1" t="s">
        <v>10</v>
      </c>
      <c r="S14" s="17">
        <f t="shared" ref="S14:AF14" si="6">SUM(C26:C29)</f>
        <v>40</v>
      </c>
      <c r="T14" s="17">
        <f t="shared" si="6"/>
        <v>7</v>
      </c>
      <c r="U14" s="17">
        <f t="shared" si="6"/>
        <v>9</v>
      </c>
      <c r="V14" s="17">
        <f t="shared" si="6"/>
        <v>4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12</v>
      </c>
      <c r="AA14" s="17">
        <f t="shared" si="6"/>
        <v>0</v>
      </c>
      <c r="AB14" s="17">
        <f t="shared" si="6"/>
        <v>0</v>
      </c>
      <c r="AC14" s="17">
        <f t="shared" si="6"/>
        <v>150</v>
      </c>
      <c r="AD14" s="17">
        <f t="shared" si="6"/>
        <v>0</v>
      </c>
      <c r="AE14" s="31">
        <f t="shared" si="6"/>
        <v>76</v>
      </c>
      <c r="AF14" s="31">
        <f t="shared" si="6"/>
        <v>226</v>
      </c>
    </row>
    <row r="15" spans="2:32" ht="23.1" customHeight="1" x14ac:dyDescent="0.25">
      <c r="B15" s="23" t="s">
        <v>42</v>
      </c>
      <c r="C15" s="50">
        <v>9</v>
      </c>
      <c r="D15" s="50">
        <v>3</v>
      </c>
      <c r="E15" s="50">
        <v>3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66</v>
      </c>
      <c r="N15" s="50">
        <v>0</v>
      </c>
      <c r="O15" s="15">
        <f t="shared" si="0"/>
        <v>16</v>
      </c>
      <c r="P15" s="15">
        <f t="shared" si="1"/>
        <v>82</v>
      </c>
      <c r="R15" s="1" t="s">
        <v>11</v>
      </c>
      <c r="S15" s="17">
        <f t="shared" ref="S15:AF15" si="7">SUM(C30:C33)</f>
        <v>33</v>
      </c>
      <c r="T15" s="17">
        <f t="shared" si="7"/>
        <v>5</v>
      </c>
      <c r="U15" s="17">
        <f t="shared" si="7"/>
        <v>3</v>
      </c>
      <c r="V15" s="17">
        <f t="shared" si="7"/>
        <v>13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161</v>
      </c>
      <c r="AD15" s="17">
        <f t="shared" si="7"/>
        <v>0</v>
      </c>
      <c r="AE15" s="31">
        <f t="shared" si="7"/>
        <v>64</v>
      </c>
      <c r="AF15" s="31">
        <f t="shared" si="7"/>
        <v>225</v>
      </c>
    </row>
    <row r="16" spans="2:32" ht="23.1" customHeight="1" x14ac:dyDescent="0.25">
      <c r="B16" s="23" t="s">
        <v>43</v>
      </c>
      <c r="C16" s="50">
        <v>6</v>
      </c>
      <c r="D16" s="50">
        <v>2</v>
      </c>
      <c r="E16" s="50">
        <v>2</v>
      </c>
      <c r="F16" s="50">
        <v>1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30</v>
      </c>
      <c r="N16" s="50">
        <v>0</v>
      </c>
      <c r="O16" s="15">
        <f t="shared" si="0"/>
        <v>13</v>
      </c>
      <c r="P16" s="15">
        <f t="shared" si="1"/>
        <v>43</v>
      </c>
      <c r="R16" s="1" t="s">
        <v>12</v>
      </c>
      <c r="S16" s="17">
        <f t="shared" ref="S16:AF16" si="8">SUM(C34:C37)</f>
        <v>24</v>
      </c>
      <c r="T16" s="17">
        <f t="shared" si="8"/>
        <v>3</v>
      </c>
      <c r="U16" s="17">
        <f t="shared" si="8"/>
        <v>8</v>
      </c>
      <c r="V16" s="17">
        <f t="shared" si="8"/>
        <v>20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8</v>
      </c>
      <c r="AA16" s="17">
        <f t="shared" si="8"/>
        <v>0</v>
      </c>
      <c r="AB16" s="17">
        <f t="shared" si="8"/>
        <v>0</v>
      </c>
      <c r="AC16" s="17">
        <f t="shared" si="8"/>
        <v>141</v>
      </c>
      <c r="AD16" s="17">
        <f t="shared" si="8"/>
        <v>0</v>
      </c>
      <c r="AE16" s="31">
        <f t="shared" si="8"/>
        <v>71</v>
      </c>
      <c r="AF16" s="31">
        <f t="shared" si="8"/>
        <v>212</v>
      </c>
    </row>
    <row r="17" spans="2:32" ht="23.1" customHeight="1" x14ac:dyDescent="0.25">
      <c r="B17" s="23" t="s">
        <v>44</v>
      </c>
      <c r="C17" s="50">
        <v>10</v>
      </c>
      <c r="D17" s="50">
        <v>4</v>
      </c>
      <c r="E17" s="50">
        <v>6</v>
      </c>
      <c r="F17" s="50">
        <v>1</v>
      </c>
      <c r="G17" s="50">
        <v>0</v>
      </c>
      <c r="H17" s="50">
        <v>0</v>
      </c>
      <c r="I17" s="50">
        <v>2</v>
      </c>
      <c r="J17" s="50">
        <v>7</v>
      </c>
      <c r="K17" s="50">
        <v>0</v>
      </c>
      <c r="L17" s="50">
        <v>0</v>
      </c>
      <c r="M17" s="50">
        <v>37</v>
      </c>
      <c r="N17" s="50">
        <v>0</v>
      </c>
      <c r="O17" s="15">
        <f t="shared" si="0"/>
        <v>30</v>
      </c>
      <c r="P17" s="15">
        <f t="shared" si="1"/>
        <v>67</v>
      </c>
      <c r="R17" s="1" t="s">
        <v>13</v>
      </c>
      <c r="S17" s="17">
        <f t="shared" ref="S17:AF17" si="9">SUM(C38:C41)</f>
        <v>24</v>
      </c>
      <c r="T17" s="17">
        <f t="shared" si="9"/>
        <v>5</v>
      </c>
      <c r="U17" s="17">
        <f t="shared" si="9"/>
        <v>6</v>
      </c>
      <c r="V17" s="17">
        <f t="shared" si="9"/>
        <v>20</v>
      </c>
      <c r="W17" s="17">
        <f t="shared" si="9"/>
        <v>0</v>
      </c>
      <c r="X17" s="17">
        <f t="shared" si="9"/>
        <v>0</v>
      </c>
      <c r="Y17" s="17">
        <f t="shared" si="9"/>
        <v>0</v>
      </c>
      <c r="Z17" s="17">
        <f t="shared" si="9"/>
        <v>11</v>
      </c>
      <c r="AA17" s="17">
        <f t="shared" si="9"/>
        <v>0</v>
      </c>
      <c r="AB17" s="17">
        <f t="shared" si="9"/>
        <v>0</v>
      </c>
      <c r="AC17" s="17">
        <f t="shared" si="9"/>
        <v>123</v>
      </c>
      <c r="AD17" s="17">
        <f t="shared" si="9"/>
        <v>0</v>
      </c>
      <c r="AE17" s="31">
        <f t="shared" si="9"/>
        <v>66</v>
      </c>
      <c r="AF17" s="31">
        <f t="shared" si="9"/>
        <v>189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4</v>
      </c>
      <c r="F18" s="50">
        <v>2</v>
      </c>
      <c r="G18" s="50">
        <v>0</v>
      </c>
      <c r="H18" s="50">
        <v>0</v>
      </c>
      <c r="I18" s="50">
        <v>4</v>
      </c>
      <c r="J18" s="50">
        <v>3</v>
      </c>
      <c r="K18" s="50">
        <v>0</v>
      </c>
      <c r="L18" s="50">
        <v>0</v>
      </c>
      <c r="M18" s="50">
        <v>34</v>
      </c>
      <c r="N18" s="50">
        <v>0</v>
      </c>
      <c r="O18" s="15">
        <f t="shared" si="0"/>
        <v>15</v>
      </c>
      <c r="P18" s="15">
        <f t="shared" si="1"/>
        <v>49</v>
      </c>
      <c r="R18" s="1" t="s">
        <v>14</v>
      </c>
      <c r="S18" s="17">
        <f t="shared" ref="S18:AF18" si="10">SUM(C42:C45)</f>
        <v>39</v>
      </c>
      <c r="T18" s="17">
        <f t="shared" si="10"/>
        <v>1</v>
      </c>
      <c r="U18" s="17">
        <f t="shared" si="10"/>
        <v>7</v>
      </c>
      <c r="V18" s="17">
        <f t="shared" si="10"/>
        <v>18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9</v>
      </c>
      <c r="AA18" s="17">
        <f t="shared" si="10"/>
        <v>0</v>
      </c>
      <c r="AB18" s="17">
        <f t="shared" si="10"/>
        <v>0</v>
      </c>
      <c r="AC18" s="17">
        <f t="shared" si="10"/>
        <v>68</v>
      </c>
      <c r="AD18" s="17">
        <f t="shared" si="10"/>
        <v>0</v>
      </c>
      <c r="AE18" s="31">
        <f t="shared" si="10"/>
        <v>78</v>
      </c>
      <c r="AF18" s="31">
        <f t="shared" si="10"/>
        <v>146</v>
      </c>
    </row>
    <row r="19" spans="2:32" ht="23.1" customHeight="1" x14ac:dyDescent="0.25">
      <c r="B19" s="23" t="s">
        <v>46</v>
      </c>
      <c r="C19" s="50">
        <v>10</v>
      </c>
      <c r="D19" s="50">
        <v>3</v>
      </c>
      <c r="E19" s="50">
        <v>1</v>
      </c>
      <c r="F19" s="50">
        <v>3</v>
      </c>
      <c r="G19" s="50">
        <v>0</v>
      </c>
      <c r="H19" s="50">
        <v>0</v>
      </c>
      <c r="I19" s="50">
        <v>2</v>
      </c>
      <c r="J19" s="50">
        <v>3</v>
      </c>
      <c r="K19" s="50">
        <v>0</v>
      </c>
      <c r="L19" s="50">
        <v>0</v>
      </c>
      <c r="M19" s="50">
        <v>30</v>
      </c>
      <c r="N19" s="50">
        <v>0</v>
      </c>
      <c r="O19" s="15">
        <f t="shared" si="0"/>
        <v>22</v>
      </c>
      <c r="P19" s="15">
        <f t="shared" si="1"/>
        <v>52</v>
      </c>
      <c r="R19" s="1" t="s">
        <v>15</v>
      </c>
      <c r="S19" s="17">
        <f t="shared" ref="S19:AF19" si="11">SUM(C46:C49)</f>
        <v>39</v>
      </c>
      <c r="T19" s="17">
        <f t="shared" si="11"/>
        <v>4</v>
      </c>
      <c r="U19" s="17">
        <f t="shared" si="11"/>
        <v>6</v>
      </c>
      <c r="V19" s="17">
        <f t="shared" si="11"/>
        <v>23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4</v>
      </c>
      <c r="AA19" s="17">
        <f t="shared" si="11"/>
        <v>0</v>
      </c>
      <c r="AB19" s="17">
        <f t="shared" si="11"/>
        <v>0</v>
      </c>
      <c r="AC19" s="17">
        <f t="shared" si="11"/>
        <v>143</v>
      </c>
      <c r="AD19" s="17">
        <f t="shared" si="11"/>
        <v>0</v>
      </c>
      <c r="AE19" s="31">
        <f t="shared" si="11"/>
        <v>86</v>
      </c>
      <c r="AF19" s="31">
        <f t="shared" si="11"/>
        <v>229</v>
      </c>
    </row>
    <row r="20" spans="2:32" ht="23.1" customHeight="1" x14ac:dyDescent="0.25">
      <c r="B20" s="23" t="s">
        <v>47</v>
      </c>
      <c r="C20" s="50">
        <v>11</v>
      </c>
      <c r="D20" s="50">
        <v>2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0"/>
        <v>19</v>
      </c>
      <c r="P20" s="15">
        <f t="shared" si="1"/>
        <v>74</v>
      </c>
      <c r="R20" s="1" t="s">
        <v>16</v>
      </c>
      <c r="S20" s="17">
        <f t="shared" ref="S20:AF20" si="12">SUM(C50:C53)</f>
        <v>47</v>
      </c>
      <c r="T20" s="17">
        <f t="shared" si="12"/>
        <v>9</v>
      </c>
      <c r="U20" s="17">
        <f t="shared" si="12"/>
        <v>14</v>
      </c>
      <c r="V20" s="17">
        <f t="shared" si="12"/>
        <v>18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168</v>
      </c>
      <c r="AD20" s="17">
        <f t="shared" si="12"/>
        <v>0</v>
      </c>
      <c r="AE20" s="31">
        <f t="shared" si="12"/>
        <v>97</v>
      </c>
      <c r="AF20" s="31">
        <f t="shared" si="12"/>
        <v>265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1</v>
      </c>
      <c r="F21" s="50">
        <v>2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23</v>
      </c>
      <c r="N21" s="50">
        <v>0</v>
      </c>
      <c r="O21" s="15">
        <f t="shared" si="0"/>
        <v>10</v>
      </c>
      <c r="P21" s="15">
        <f t="shared" si="1"/>
        <v>33</v>
      </c>
      <c r="R21" s="36" t="s">
        <v>20</v>
      </c>
      <c r="S21" s="34">
        <f t="shared" ref="S21:AF21" si="13">SUM(C54:C57)</f>
        <v>56</v>
      </c>
      <c r="T21" s="17">
        <f t="shared" si="13"/>
        <v>7</v>
      </c>
      <c r="U21" s="17">
        <f t="shared" si="13"/>
        <v>13</v>
      </c>
      <c r="V21" s="17">
        <f t="shared" si="13"/>
        <v>21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223</v>
      </c>
      <c r="AD21" s="17">
        <f t="shared" si="13"/>
        <v>0</v>
      </c>
      <c r="AE21" s="31">
        <f t="shared" si="13"/>
        <v>112</v>
      </c>
      <c r="AF21" s="31">
        <f t="shared" si="13"/>
        <v>335</v>
      </c>
    </row>
    <row r="22" spans="2:32" ht="23.1" customHeight="1" x14ac:dyDescent="0.25">
      <c r="B22" s="23" t="s">
        <v>49</v>
      </c>
      <c r="C22" s="50">
        <v>1</v>
      </c>
      <c r="D22" s="50">
        <v>2</v>
      </c>
      <c r="E22" s="50">
        <v>4</v>
      </c>
      <c r="F22" s="50">
        <v>7</v>
      </c>
      <c r="G22" s="50">
        <v>0</v>
      </c>
      <c r="H22" s="50">
        <v>0</v>
      </c>
      <c r="I22" s="50">
        <v>3</v>
      </c>
      <c r="J22" s="50">
        <v>1</v>
      </c>
      <c r="K22" s="50">
        <v>0</v>
      </c>
      <c r="L22" s="50">
        <v>1</v>
      </c>
      <c r="M22" s="50">
        <v>35</v>
      </c>
      <c r="N22" s="50">
        <v>0</v>
      </c>
      <c r="O22" s="15">
        <f t="shared" si="0"/>
        <v>19</v>
      </c>
      <c r="P22" s="15">
        <f t="shared" si="1"/>
        <v>54</v>
      </c>
      <c r="R22" s="38" t="s">
        <v>90</v>
      </c>
      <c r="S22" s="39">
        <f>MAX(S10:S12)</f>
        <v>36</v>
      </c>
      <c r="T22" s="39">
        <f t="shared" ref="T22:AF22" si="14">MAX(T10:T12)</f>
        <v>10</v>
      </c>
      <c r="U22" s="39">
        <f t="shared" si="14"/>
        <v>15</v>
      </c>
      <c r="V22" s="39">
        <f t="shared" si="14"/>
        <v>8</v>
      </c>
      <c r="W22" s="39">
        <f t="shared" si="14"/>
        <v>1</v>
      </c>
      <c r="X22" s="39">
        <f t="shared" si="14"/>
        <v>0</v>
      </c>
      <c r="Y22" s="39">
        <f t="shared" si="14"/>
        <v>7</v>
      </c>
      <c r="Z22" s="39">
        <f t="shared" si="14"/>
        <v>9</v>
      </c>
      <c r="AA22" s="39">
        <f t="shared" si="14"/>
        <v>1</v>
      </c>
      <c r="AB22" s="39">
        <f t="shared" si="14"/>
        <v>2</v>
      </c>
      <c r="AC22" s="39">
        <f t="shared" si="14"/>
        <v>173</v>
      </c>
      <c r="AD22" s="39">
        <f t="shared" si="14"/>
        <v>0</v>
      </c>
      <c r="AE22" s="40">
        <f t="shared" si="14"/>
        <v>81</v>
      </c>
      <c r="AF22" s="40">
        <f t="shared" si="14"/>
        <v>254</v>
      </c>
    </row>
    <row r="23" spans="2:32" ht="23.1" customHeight="1" x14ac:dyDescent="0.25">
      <c r="B23" s="23" t="s">
        <v>50</v>
      </c>
      <c r="C23" s="50">
        <v>7</v>
      </c>
      <c r="D23" s="50">
        <v>1</v>
      </c>
      <c r="E23" s="50">
        <v>8</v>
      </c>
      <c r="F23" s="50">
        <v>0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33</v>
      </c>
      <c r="N23" s="50">
        <v>0</v>
      </c>
      <c r="O23" s="15">
        <f t="shared" si="0"/>
        <v>18</v>
      </c>
      <c r="P23" s="15">
        <f t="shared" si="1"/>
        <v>51</v>
      </c>
      <c r="R23" s="38" t="s">
        <v>91</v>
      </c>
      <c r="S23" s="39">
        <f>MAX(S13:S18)</f>
        <v>40</v>
      </c>
      <c r="T23" s="39">
        <f t="shared" ref="T23:AF23" si="15">MAX(T13:T18)</f>
        <v>7</v>
      </c>
      <c r="U23" s="39">
        <f t="shared" si="15"/>
        <v>14</v>
      </c>
      <c r="V23" s="39">
        <f t="shared" si="15"/>
        <v>20</v>
      </c>
      <c r="W23" s="39">
        <f t="shared" si="15"/>
        <v>1</v>
      </c>
      <c r="X23" s="39">
        <f t="shared" si="15"/>
        <v>0</v>
      </c>
      <c r="Y23" s="39">
        <f t="shared" si="15"/>
        <v>9</v>
      </c>
      <c r="Z23" s="39">
        <f t="shared" si="15"/>
        <v>12</v>
      </c>
      <c r="AA23" s="39">
        <f t="shared" si="15"/>
        <v>0</v>
      </c>
      <c r="AB23" s="39">
        <f t="shared" si="15"/>
        <v>1</v>
      </c>
      <c r="AC23" s="39">
        <f t="shared" si="15"/>
        <v>161</v>
      </c>
      <c r="AD23" s="39">
        <f t="shared" si="15"/>
        <v>0</v>
      </c>
      <c r="AE23" s="40">
        <f t="shared" si="15"/>
        <v>78</v>
      </c>
      <c r="AF23" s="40">
        <f t="shared" si="15"/>
        <v>227</v>
      </c>
    </row>
    <row r="24" spans="2:32" ht="23.1" customHeight="1" x14ac:dyDescent="0.25">
      <c r="B24" s="23" t="s">
        <v>51</v>
      </c>
      <c r="C24" s="50">
        <v>6</v>
      </c>
      <c r="D24" s="50">
        <v>2</v>
      </c>
      <c r="E24" s="50">
        <v>1</v>
      </c>
      <c r="F24" s="50">
        <v>2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49</v>
      </c>
      <c r="N24" s="50">
        <v>0</v>
      </c>
      <c r="O24" s="15">
        <f t="shared" si="0"/>
        <v>15</v>
      </c>
      <c r="P24" s="15">
        <f t="shared" si="1"/>
        <v>64</v>
      </c>
      <c r="R24" s="38" t="s">
        <v>92</v>
      </c>
      <c r="S24" s="39">
        <f>MAX(S19:S21)</f>
        <v>56</v>
      </c>
      <c r="T24" s="39">
        <f t="shared" ref="T24:AF24" si="16">MAX(T19:T21)</f>
        <v>9</v>
      </c>
      <c r="U24" s="39">
        <f t="shared" si="16"/>
        <v>14</v>
      </c>
      <c r="V24" s="39">
        <f t="shared" si="16"/>
        <v>23</v>
      </c>
      <c r="W24" s="39">
        <f t="shared" si="16"/>
        <v>0</v>
      </c>
      <c r="X24" s="39">
        <f t="shared" si="16"/>
        <v>0</v>
      </c>
      <c r="Y24" s="39">
        <f t="shared" si="16"/>
        <v>10</v>
      </c>
      <c r="Z24" s="39">
        <f t="shared" si="16"/>
        <v>6</v>
      </c>
      <c r="AA24" s="39">
        <f t="shared" si="16"/>
        <v>1</v>
      </c>
      <c r="AB24" s="39">
        <f t="shared" si="16"/>
        <v>0</v>
      </c>
      <c r="AC24" s="39">
        <f t="shared" si="16"/>
        <v>223</v>
      </c>
      <c r="AD24" s="39">
        <f t="shared" si="16"/>
        <v>0</v>
      </c>
      <c r="AE24" s="40">
        <f t="shared" si="16"/>
        <v>112</v>
      </c>
      <c r="AF24" s="40">
        <f t="shared" si="16"/>
        <v>335</v>
      </c>
    </row>
    <row r="25" spans="2:32" ht="23.1" customHeight="1" x14ac:dyDescent="0.25">
      <c r="B25" s="23" t="s">
        <v>52</v>
      </c>
      <c r="C25" s="50">
        <v>6</v>
      </c>
      <c r="D25" s="50">
        <v>2</v>
      </c>
      <c r="E25" s="50">
        <v>1</v>
      </c>
      <c r="F25" s="50">
        <v>5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39</v>
      </c>
      <c r="N25" s="50">
        <v>0</v>
      </c>
      <c r="O25" s="15">
        <f t="shared" si="0"/>
        <v>19</v>
      </c>
      <c r="P25" s="15">
        <f t="shared" si="1"/>
        <v>58</v>
      </c>
      <c r="R25" s="37" t="s">
        <v>85</v>
      </c>
      <c r="S25" s="35">
        <f t="shared" ref="S25:AF25" si="17">SUM(S10:S12)</f>
        <v>97</v>
      </c>
      <c r="T25" s="16">
        <f t="shared" si="17"/>
        <v>25</v>
      </c>
      <c r="U25" s="16">
        <f t="shared" si="17"/>
        <v>34</v>
      </c>
      <c r="V25" s="16">
        <f t="shared" si="17"/>
        <v>17</v>
      </c>
      <c r="W25" s="16">
        <f t="shared" si="17"/>
        <v>1</v>
      </c>
      <c r="X25" s="16">
        <f t="shared" si="17"/>
        <v>0</v>
      </c>
      <c r="Y25" s="16">
        <f t="shared" si="17"/>
        <v>20</v>
      </c>
      <c r="Z25" s="16">
        <f t="shared" si="17"/>
        <v>23</v>
      </c>
      <c r="AA25" s="16">
        <f t="shared" si="17"/>
        <v>2</v>
      </c>
      <c r="AB25" s="16">
        <f t="shared" si="17"/>
        <v>2</v>
      </c>
      <c r="AC25" s="16">
        <f t="shared" si="17"/>
        <v>457</v>
      </c>
      <c r="AD25" s="16">
        <f t="shared" si="17"/>
        <v>0</v>
      </c>
      <c r="AE25" s="32">
        <f t="shared" si="17"/>
        <v>221</v>
      </c>
      <c r="AF25" s="32">
        <f t="shared" si="17"/>
        <v>678</v>
      </c>
    </row>
    <row r="26" spans="2:32" ht="23.1" customHeight="1" x14ac:dyDescent="0.25">
      <c r="B26" s="23" t="s">
        <v>53</v>
      </c>
      <c r="C26" s="50">
        <v>14</v>
      </c>
      <c r="D26" s="50">
        <v>5</v>
      </c>
      <c r="E26" s="50">
        <v>2</v>
      </c>
      <c r="F26" s="50">
        <v>1</v>
      </c>
      <c r="G26" s="50">
        <v>0</v>
      </c>
      <c r="H26" s="50">
        <v>0</v>
      </c>
      <c r="I26" s="50">
        <v>1</v>
      </c>
      <c r="J26" s="50">
        <v>5</v>
      </c>
      <c r="K26" s="50">
        <v>0</v>
      </c>
      <c r="L26" s="50">
        <v>0</v>
      </c>
      <c r="M26" s="50">
        <v>50</v>
      </c>
      <c r="N26" s="50">
        <v>0</v>
      </c>
      <c r="O26" s="15">
        <f t="shared" si="0"/>
        <v>28</v>
      </c>
      <c r="P26" s="15">
        <f t="shared" si="1"/>
        <v>78</v>
      </c>
      <c r="R26" s="28" t="s">
        <v>86</v>
      </c>
      <c r="S26" s="16">
        <f t="shared" ref="S26:AF26" si="18">SUM(S13:S18)</f>
        <v>180</v>
      </c>
      <c r="T26" s="16">
        <f t="shared" si="18"/>
        <v>28</v>
      </c>
      <c r="U26" s="16">
        <f t="shared" si="18"/>
        <v>47</v>
      </c>
      <c r="V26" s="16">
        <f t="shared" si="18"/>
        <v>89</v>
      </c>
      <c r="W26" s="16">
        <f t="shared" si="18"/>
        <v>1</v>
      </c>
      <c r="X26" s="16">
        <f t="shared" si="18"/>
        <v>0</v>
      </c>
      <c r="Y26" s="16">
        <f t="shared" si="18"/>
        <v>30</v>
      </c>
      <c r="Z26" s="16">
        <f t="shared" si="18"/>
        <v>50</v>
      </c>
      <c r="AA26" s="16">
        <f t="shared" si="18"/>
        <v>0</v>
      </c>
      <c r="AB26" s="16">
        <f t="shared" si="18"/>
        <v>1</v>
      </c>
      <c r="AC26" s="16">
        <f t="shared" si="18"/>
        <v>799</v>
      </c>
      <c r="AD26" s="16">
        <f t="shared" si="18"/>
        <v>0</v>
      </c>
      <c r="AE26" s="32">
        <f t="shared" si="18"/>
        <v>426</v>
      </c>
      <c r="AF26" s="32">
        <f t="shared" si="18"/>
        <v>1225</v>
      </c>
    </row>
    <row r="27" spans="2:32" ht="23.1" customHeight="1" x14ac:dyDescent="0.25">
      <c r="B27" s="23" t="s">
        <v>54</v>
      </c>
      <c r="C27" s="50">
        <v>8</v>
      </c>
      <c r="D27" s="50">
        <v>2</v>
      </c>
      <c r="E27" s="50">
        <v>1</v>
      </c>
      <c r="F27" s="50">
        <v>1</v>
      </c>
      <c r="G27" s="50">
        <v>0</v>
      </c>
      <c r="H27" s="50">
        <v>0</v>
      </c>
      <c r="I27" s="50">
        <v>1</v>
      </c>
      <c r="J27" s="50">
        <v>4</v>
      </c>
      <c r="K27" s="50">
        <v>0</v>
      </c>
      <c r="L27" s="50">
        <v>0</v>
      </c>
      <c r="M27" s="50">
        <v>47</v>
      </c>
      <c r="N27" s="50">
        <v>0</v>
      </c>
      <c r="O27" s="15">
        <f t="shared" si="0"/>
        <v>17</v>
      </c>
      <c r="P27" s="15">
        <f t="shared" si="1"/>
        <v>64</v>
      </c>
      <c r="R27" s="29" t="s">
        <v>87</v>
      </c>
      <c r="S27" s="16">
        <f t="shared" ref="S27:AF27" si="19">SUM(S19:S21)</f>
        <v>142</v>
      </c>
      <c r="T27" s="16">
        <f t="shared" si="19"/>
        <v>20</v>
      </c>
      <c r="U27" s="16">
        <f t="shared" si="19"/>
        <v>33</v>
      </c>
      <c r="V27" s="16">
        <f t="shared" si="19"/>
        <v>62</v>
      </c>
      <c r="W27" s="16">
        <f t="shared" si="19"/>
        <v>0</v>
      </c>
      <c r="X27" s="16">
        <f t="shared" si="19"/>
        <v>0</v>
      </c>
      <c r="Y27" s="16">
        <f t="shared" si="19"/>
        <v>24</v>
      </c>
      <c r="Z27" s="16">
        <f t="shared" si="19"/>
        <v>13</v>
      </c>
      <c r="AA27" s="16">
        <f t="shared" si="19"/>
        <v>1</v>
      </c>
      <c r="AB27" s="16">
        <f t="shared" si="19"/>
        <v>0</v>
      </c>
      <c r="AC27" s="16">
        <f t="shared" si="19"/>
        <v>534</v>
      </c>
      <c r="AD27" s="16">
        <f t="shared" si="19"/>
        <v>0</v>
      </c>
      <c r="AE27" s="32">
        <f t="shared" si="19"/>
        <v>295</v>
      </c>
      <c r="AF27" s="32">
        <f t="shared" si="19"/>
        <v>829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3</v>
      </c>
      <c r="F28" s="50">
        <v>1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20</v>
      </c>
      <c r="N28" s="50">
        <v>0</v>
      </c>
      <c r="O28" s="15">
        <f t="shared" si="0"/>
        <v>12</v>
      </c>
      <c r="P28" s="15">
        <f t="shared" si="1"/>
        <v>32</v>
      </c>
      <c r="R28" s="5" t="s">
        <v>17</v>
      </c>
      <c r="S28" s="16">
        <f t="shared" ref="S28:AF28" si="20">SUM(S10:S21)</f>
        <v>419</v>
      </c>
      <c r="T28" s="16">
        <f t="shared" si="20"/>
        <v>73</v>
      </c>
      <c r="U28" s="16">
        <f t="shared" si="20"/>
        <v>114</v>
      </c>
      <c r="V28" s="16">
        <f t="shared" si="20"/>
        <v>168</v>
      </c>
      <c r="W28" s="16">
        <f t="shared" si="20"/>
        <v>2</v>
      </c>
      <c r="X28" s="16">
        <f t="shared" si="20"/>
        <v>0</v>
      </c>
      <c r="Y28" s="16">
        <f t="shared" si="20"/>
        <v>74</v>
      </c>
      <c r="Z28" s="16">
        <f t="shared" si="20"/>
        <v>86</v>
      </c>
      <c r="AA28" s="16">
        <f t="shared" si="20"/>
        <v>3</v>
      </c>
      <c r="AB28" s="16">
        <f t="shared" si="20"/>
        <v>3</v>
      </c>
      <c r="AC28" s="16">
        <f t="shared" si="20"/>
        <v>1790</v>
      </c>
      <c r="AD28" s="16">
        <f t="shared" si="20"/>
        <v>0</v>
      </c>
      <c r="AE28" s="32">
        <f t="shared" si="20"/>
        <v>942</v>
      </c>
      <c r="AF28" s="32">
        <f t="shared" si="20"/>
        <v>2732</v>
      </c>
    </row>
    <row r="29" spans="2:32" ht="23.1" customHeight="1" x14ac:dyDescent="0.25">
      <c r="B29" s="23" t="s">
        <v>56</v>
      </c>
      <c r="C29" s="50">
        <v>11</v>
      </c>
      <c r="D29" s="50">
        <v>0</v>
      </c>
      <c r="E29" s="50">
        <v>3</v>
      </c>
      <c r="F29" s="50">
        <v>1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0</v>
      </c>
      <c r="M29" s="50">
        <v>33</v>
      </c>
      <c r="N29" s="50">
        <v>0</v>
      </c>
      <c r="O29" s="15">
        <f t="shared" si="0"/>
        <v>19</v>
      </c>
      <c r="P29" s="15">
        <f t="shared" si="1"/>
        <v>52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1</v>
      </c>
      <c r="E30" s="50">
        <v>1</v>
      </c>
      <c r="F30" s="50">
        <v>2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43</v>
      </c>
      <c r="N30" s="50">
        <v>0</v>
      </c>
      <c r="O30" s="15">
        <f t="shared" si="0"/>
        <v>17</v>
      </c>
      <c r="P30" s="15">
        <f t="shared" si="1"/>
        <v>60</v>
      </c>
    </row>
    <row r="31" spans="2:32" ht="23.1" customHeight="1" x14ac:dyDescent="0.25">
      <c r="B31" s="24" t="s">
        <v>58</v>
      </c>
      <c r="C31" s="50">
        <v>6</v>
      </c>
      <c r="D31" s="50">
        <v>1</v>
      </c>
      <c r="E31" s="50">
        <v>0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37</v>
      </c>
      <c r="N31" s="50">
        <v>0</v>
      </c>
      <c r="O31" s="15">
        <f t="shared" si="0"/>
        <v>11</v>
      </c>
      <c r="P31" s="15">
        <f t="shared" si="1"/>
        <v>48</v>
      </c>
    </row>
    <row r="32" spans="2:32" ht="23.1" customHeight="1" x14ac:dyDescent="0.25">
      <c r="B32" s="24" t="s">
        <v>59</v>
      </c>
      <c r="C32" s="50">
        <v>9</v>
      </c>
      <c r="D32" s="50">
        <v>0</v>
      </c>
      <c r="E32" s="50">
        <v>0</v>
      </c>
      <c r="F32" s="50">
        <v>6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45</v>
      </c>
      <c r="N32" s="50">
        <v>0</v>
      </c>
      <c r="O32" s="15">
        <f t="shared" si="0"/>
        <v>16</v>
      </c>
      <c r="P32" s="15">
        <f t="shared" si="1"/>
        <v>61</v>
      </c>
    </row>
    <row r="33" spans="2:20" ht="23.1" customHeight="1" x14ac:dyDescent="0.25">
      <c r="B33" s="23" t="s">
        <v>60</v>
      </c>
      <c r="C33" s="50">
        <v>9</v>
      </c>
      <c r="D33" s="50">
        <v>3</v>
      </c>
      <c r="E33" s="50">
        <v>2</v>
      </c>
      <c r="F33" s="50">
        <v>3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36</v>
      </c>
      <c r="N33" s="50">
        <v>0</v>
      </c>
      <c r="O33" s="15">
        <f t="shared" si="0"/>
        <v>20</v>
      </c>
      <c r="P33" s="15">
        <f t="shared" si="1"/>
        <v>56</v>
      </c>
    </row>
    <row r="34" spans="2:20" ht="23.1" customHeight="1" x14ac:dyDescent="0.25">
      <c r="B34" s="24" t="s">
        <v>61</v>
      </c>
      <c r="C34" s="50">
        <v>6</v>
      </c>
      <c r="D34" s="50">
        <v>0</v>
      </c>
      <c r="E34" s="50">
        <v>4</v>
      </c>
      <c r="F34" s="50">
        <v>1</v>
      </c>
      <c r="G34" s="50">
        <v>1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24</v>
      </c>
      <c r="N34" s="50">
        <v>0</v>
      </c>
      <c r="O34" s="15">
        <f t="shared" si="0"/>
        <v>15</v>
      </c>
      <c r="P34" s="15">
        <f t="shared" si="1"/>
        <v>39</v>
      </c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2</v>
      </c>
      <c r="F35" s="50">
        <v>7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44</v>
      </c>
      <c r="N35" s="50">
        <v>0</v>
      </c>
      <c r="O35" s="15">
        <f t="shared" si="0"/>
        <v>23</v>
      </c>
      <c r="P35" s="15">
        <f t="shared" si="1"/>
        <v>67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1</v>
      </c>
      <c r="F36" s="50">
        <v>7</v>
      </c>
      <c r="G36" s="50">
        <v>0</v>
      </c>
      <c r="H36" s="50">
        <v>0</v>
      </c>
      <c r="I36" s="50">
        <v>3</v>
      </c>
      <c r="J36" s="50">
        <v>1</v>
      </c>
      <c r="K36" s="50">
        <v>0</v>
      </c>
      <c r="L36" s="50">
        <v>0</v>
      </c>
      <c r="M36" s="50">
        <v>30</v>
      </c>
      <c r="N36" s="50">
        <v>0</v>
      </c>
      <c r="O36" s="15">
        <f t="shared" si="0"/>
        <v>16</v>
      </c>
      <c r="P36" s="15">
        <f t="shared" si="1"/>
        <v>46</v>
      </c>
    </row>
    <row r="37" spans="2:20" ht="23.1" customHeight="1" x14ac:dyDescent="0.25">
      <c r="B37" s="23" t="s">
        <v>64</v>
      </c>
      <c r="C37" s="50">
        <v>7</v>
      </c>
      <c r="D37" s="50">
        <v>1</v>
      </c>
      <c r="E37" s="50">
        <v>1</v>
      </c>
      <c r="F37" s="50">
        <v>5</v>
      </c>
      <c r="G37" s="50">
        <v>0</v>
      </c>
      <c r="H37" s="50">
        <v>0</v>
      </c>
      <c r="I37" s="50">
        <v>0</v>
      </c>
      <c r="J37" s="50">
        <v>3</v>
      </c>
      <c r="K37" s="50">
        <v>0</v>
      </c>
      <c r="L37" s="50">
        <v>0</v>
      </c>
      <c r="M37" s="50">
        <v>43</v>
      </c>
      <c r="N37" s="50">
        <v>0</v>
      </c>
      <c r="O37" s="15">
        <f t="shared" si="0"/>
        <v>17</v>
      </c>
      <c r="P37" s="15">
        <f t="shared" si="1"/>
        <v>60</v>
      </c>
    </row>
    <row r="38" spans="2:20" ht="23.1" customHeight="1" x14ac:dyDescent="0.25">
      <c r="B38" s="24" t="s">
        <v>65</v>
      </c>
      <c r="C38" s="50">
        <v>6</v>
      </c>
      <c r="D38" s="50">
        <v>4</v>
      </c>
      <c r="E38" s="50">
        <v>2</v>
      </c>
      <c r="F38" s="50">
        <v>6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37</v>
      </c>
      <c r="N38" s="50">
        <v>0</v>
      </c>
      <c r="O38" s="15">
        <f t="shared" si="0"/>
        <v>18</v>
      </c>
      <c r="P38" s="15">
        <f t="shared" si="1"/>
        <v>55</v>
      </c>
    </row>
    <row r="39" spans="2:20" ht="23.1" customHeight="1" x14ac:dyDescent="0.25">
      <c r="B39" s="24" t="s">
        <v>66</v>
      </c>
      <c r="C39" s="50">
        <v>2</v>
      </c>
      <c r="D39" s="50">
        <v>1</v>
      </c>
      <c r="E39" s="50">
        <v>3</v>
      </c>
      <c r="F39" s="50">
        <v>3</v>
      </c>
      <c r="G39" s="50">
        <v>0</v>
      </c>
      <c r="H39" s="50">
        <v>0</v>
      </c>
      <c r="I39" s="50">
        <v>0</v>
      </c>
      <c r="J39" s="50">
        <v>3</v>
      </c>
      <c r="K39" s="50">
        <v>0</v>
      </c>
      <c r="L39" s="50">
        <v>0</v>
      </c>
      <c r="M39" s="50">
        <v>39</v>
      </c>
      <c r="N39" s="50">
        <v>0</v>
      </c>
      <c r="O39" s="15">
        <f t="shared" si="0"/>
        <v>12</v>
      </c>
      <c r="P39" s="15">
        <f t="shared" si="1"/>
        <v>51</v>
      </c>
    </row>
    <row r="40" spans="2:20" ht="23.1" customHeight="1" x14ac:dyDescent="0.25">
      <c r="B40" s="24" t="s">
        <v>67</v>
      </c>
      <c r="C40" s="50">
        <v>8</v>
      </c>
      <c r="D40" s="50">
        <v>0</v>
      </c>
      <c r="E40" s="50">
        <v>1</v>
      </c>
      <c r="F40" s="50">
        <v>8</v>
      </c>
      <c r="G40" s="50">
        <v>0</v>
      </c>
      <c r="H40" s="50">
        <v>0</v>
      </c>
      <c r="I40" s="50">
        <v>0</v>
      </c>
      <c r="J40" s="50">
        <v>4</v>
      </c>
      <c r="K40" s="50">
        <v>0</v>
      </c>
      <c r="L40" s="50">
        <v>0</v>
      </c>
      <c r="M40" s="50">
        <v>38</v>
      </c>
      <c r="N40" s="50">
        <v>0</v>
      </c>
      <c r="O40" s="15">
        <f t="shared" si="0"/>
        <v>21</v>
      </c>
      <c r="P40" s="15">
        <f t="shared" si="1"/>
        <v>59</v>
      </c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0</v>
      </c>
      <c r="F41" s="50">
        <v>3</v>
      </c>
      <c r="G41" s="50">
        <v>0</v>
      </c>
      <c r="H41" s="50">
        <v>0</v>
      </c>
      <c r="I41" s="50">
        <v>0</v>
      </c>
      <c r="J41" s="50">
        <v>4</v>
      </c>
      <c r="K41" s="50">
        <v>0</v>
      </c>
      <c r="L41" s="50">
        <v>0</v>
      </c>
      <c r="M41" s="50">
        <v>9</v>
      </c>
      <c r="N41" s="50">
        <v>0</v>
      </c>
      <c r="O41" s="15">
        <f t="shared" si="0"/>
        <v>15</v>
      </c>
      <c r="P41" s="15">
        <f t="shared" si="1"/>
        <v>24</v>
      </c>
    </row>
    <row r="42" spans="2:20" ht="23.1" customHeight="1" x14ac:dyDescent="0.25">
      <c r="B42" s="24" t="s">
        <v>69</v>
      </c>
      <c r="C42" s="50">
        <v>10</v>
      </c>
      <c r="D42" s="50">
        <v>0</v>
      </c>
      <c r="E42" s="50">
        <v>3</v>
      </c>
      <c r="F42" s="50">
        <v>5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14</v>
      </c>
      <c r="N42" s="50">
        <v>0</v>
      </c>
      <c r="O42" s="15">
        <f t="shared" si="0"/>
        <v>21</v>
      </c>
      <c r="P42" s="15">
        <f t="shared" si="1"/>
        <v>35</v>
      </c>
    </row>
    <row r="43" spans="2:20" ht="23.1" customHeight="1" x14ac:dyDescent="0.25">
      <c r="B43" s="23" t="s">
        <v>70</v>
      </c>
      <c r="C43" s="50">
        <v>4</v>
      </c>
      <c r="D43" s="50">
        <v>0</v>
      </c>
      <c r="E43" s="50">
        <v>1</v>
      </c>
      <c r="F43" s="50">
        <v>4</v>
      </c>
      <c r="G43" s="50">
        <v>0</v>
      </c>
      <c r="H43" s="50">
        <v>0</v>
      </c>
      <c r="I43" s="50">
        <v>0</v>
      </c>
      <c r="J43" s="50">
        <v>3</v>
      </c>
      <c r="K43" s="50">
        <v>0</v>
      </c>
      <c r="L43" s="50">
        <v>0</v>
      </c>
      <c r="M43" s="50">
        <v>9</v>
      </c>
      <c r="N43" s="50">
        <v>0</v>
      </c>
      <c r="O43" s="15">
        <f t="shared" si="0"/>
        <v>12</v>
      </c>
      <c r="P43" s="15">
        <f t="shared" si="1"/>
        <v>21</v>
      </c>
    </row>
    <row r="44" spans="2:20" ht="23.1" customHeight="1" x14ac:dyDescent="0.25">
      <c r="B44" s="25" t="s">
        <v>71</v>
      </c>
      <c r="C44" s="50">
        <v>7</v>
      </c>
      <c r="D44" s="50">
        <v>1</v>
      </c>
      <c r="E44" s="50">
        <v>1</v>
      </c>
      <c r="F44" s="50">
        <v>3</v>
      </c>
      <c r="G44" s="50">
        <v>0</v>
      </c>
      <c r="H44" s="50">
        <v>0</v>
      </c>
      <c r="I44" s="50">
        <v>2</v>
      </c>
      <c r="J44" s="50">
        <v>4</v>
      </c>
      <c r="K44" s="50">
        <v>0</v>
      </c>
      <c r="L44" s="50">
        <v>0</v>
      </c>
      <c r="M44" s="50">
        <v>24</v>
      </c>
      <c r="N44" s="50">
        <v>0</v>
      </c>
      <c r="O44" s="15">
        <f t="shared" si="0"/>
        <v>18</v>
      </c>
      <c r="P44" s="15">
        <f t="shared" si="1"/>
        <v>42</v>
      </c>
    </row>
    <row r="45" spans="2:20" ht="23.1" customHeight="1" x14ac:dyDescent="0.25">
      <c r="B45" s="23" t="s">
        <v>72</v>
      </c>
      <c r="C45" s="50">
        <v>18</v>
      </c>
      <c r="D45" s="50">
        <v>0</v>
      </c>
      <c r="E45" s="50">
        <v>2</v>
      </c>
      <c r="F45" s="50">
        <v>6</v>
      </c>
      <c r="G45" s="50">
        <v>0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21</v>
      </c>
      <c r="N45" s="50">
        <v>0</v>
      </c>
      <c r="O45" s="15">
        <f t="shared" si="0"/>
        <v>27</v>
      </c>
      <c r="P45" s="15">
        <f t="shared" si="1"/>
        <v>48</v>
      </c>
    </row>
    <row r="46" spans="2:20" ht="23.1" customHeight="1" x14ac:dyDescent="0.25">
      <c r="B46" s="24" t="s">
        <v>73</v>
      </c>
      <c r="C46" s="50">
        <v>8</v>
      </c>
      <c r="D46" s="50">
        <v>0</v>
      </c>
      <c r="E46" s="50">
        <v>1</v>
      </c>
      <c r="F46" s="50">
        <v>5</v>
      </c>
      <c r="G46" s="50">
        <v>0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29</v>
      </c>
      <c r="N46" s="50">
        <v>0</v>
      </c>
      <c r="O46" s="15">
        <f t="shared" si="0"/>
        <v>14</v>
      </c>
      <c r="P46" s="15">
        <f t="shared" si="1"/>
        <v>43</v>
      </c>
      <c r="R46" s="8"/>
      <c r="T46"/>
    </row>
    <row r="47" spans="2:20" ht="23.1" customHeight="1" x14ac:dyDescent="0.25">
      <c r="B47" s="24" t="s">
        <v>74</v>
      </c>
      <c r="C47" s="50">
        <v>14</v>
      </c>
      <c r="D47" s="50">
        <v>1</v>
      </c>
      <c r="E47" s="50">
        <v>1</v>
      </c>
      <c r="F47" s="50">
        <v>5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41</v>
      </c>
      <c r="N47" s="50">
        <v>0</v>
      </c>
      <c r="O47" s="15">
        <f t="shared" si="0"/>
        <v>26</v>
      </c>
      <c r="P47" s="15">
        <f t="shared" si="1"/>
        <v>67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2</v>
      </c>
      <c r="E48" s="50">
        <v>3</v>
      </c>
      <c r="F48" s="50">
        <v>2</v>
      </c>
      <c r="G48" s="50">
        <v>0</v>
      </c>
      <c r="H48" s="50">
        <v>0</v>
      </c>
      <c r="I48" s="50">
        <v>5</v>
      </c>
      <c r="J48" s="50">
        <v>1</v>
      </c>
      <c r="K48" s="50">
        <v>0</v>
      </c>
      <c r="L48" s="50">
        <v>0</v>
      </c>
      <c r="M48" s="50">
        <v>28</v>
      </c>
      <c r="N48" s="50">
        <v>0</v>
      </c>
      <c r="O48" s="15">
        <f t="shared" si="0"/>
        <v>23</v>
      </c>
      <c r="P48" s="15">
        <f t="shared" si="1"/>
        <v>51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1</v>
      </c>
      <c r="E49" s="50">
        <v>1</v>
      </c>
      <c r="F49" s="50">
        <v>11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45</v>
      </c>
      <c r="N49" s="50">
        <v>0</v>
      </c>
      <c r="O49" s="15">
        <f t="shared" si="0"/>
        <v>23</v>
      </c>
      <c r="P49" s="15">
        <f t="shared" si="1"/>
        <v>68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3</v>
      </c>
      <c r="E50" s="50">
        <v>4</v>
      </c>
      <c r="F50" s="50">
        <v>2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34</v>
      </c>
      <c r="N50" s="50">
        <v>0</v>
      </c>
      <c r="O50" s="15">
        <f t="shared" si="0"/>
        <v>18</v>
      </c>
      <c r="P50" s="15">
        <f t="shared" si="1"/>
        <v>52</v>
      </c>
      <c r="R50" s="8"/>
      <c r="T50"/>
    </row>
    <row r="51" spans="2:20" ht="23.1" customHeight="1" x14ac:dyDescent="0.25">
      <c r="B51" s="24" t="s">
        <v>78</v>
      </c>
      <c r="C51" s="50">
        <v>17</v>
      </c>
      <c r="D51" s="50">
        <v>3</v>
      </c>
      <c r="E51" s="50">
        <v>3</v>
      </c>
      <c r="F51" s="50">
        <v>3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43</v>
      </c>
      <c r="N51" s="50">
        <v>0</v>
      </c>
      <c r="O51" s="15">
        <f t="shared" si="0"/>
        <v>27</v>
      </c>
      <c r="P51" s="15">
        <f t="shared" si="1"/>
        <v>70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3</v>
      </c>
      <c r="E52" s="50">
        <v>3</v>
      </c>
      <c r="F52" s="50">
        <v>6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49</v>
      </c>
      <c r="N52" s="50">
        <v>0</v>
      </c>
      <c r="O52" s="15">
        <f t="shared" si="0"/>
        <v>23</v>
      </c>
      <c r="P52" s="15">
        <f t="shared" si="1"/>
        <v>72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0</v>
      </c>
      <c r="E53" s="50">
        <v>4</v>
      </c>
      <c r="F53" s="50">
        <v>7</v>
      </c>
      <c r="G53" s="50">
        <v>0</v>
      </c>
      <c r="H53" s="50">
        <v>0</v>
      </c>
      <c r="I53" s="50">
        <v>3</v>
      </c>
      <c r="J53" s="50">
        <v>2</v>
      </c>
      <c r="K53" s="50">
        <v>1</v>
      </c>
      <c r="L53" s="50">
        <v>0</v>
      </c>
      <c r="M53" s="50">
        <v>42</v>
      </c>
      <c r="N53" s="50">
        <v>0</v>
      </c>
      <c r="O53" s="15">
        <f t="shared" si="0"/>
        <v>29</v>
      </c>
      <c r="P53" s="15">
        <f t="shared" si="1"/>
        <v>71</v>
      </c>
      <c r="R53" s="8"/>
      <c r="T53"/>
    </row>
    <row r="54" spans="2:20" ht="23.1" customHeight="1" x14ac:dyDescent="0.25">
      <c r="B54" s="23" t="s">
        <v>81</v>
      </c>
      <c r="C54" s="50">
        <v>14</v>
      </c>
      <c r="D54" s="50">
        <v>4</v>
      </c>
      <c r="E54" s="50">
        <v>5</v>
      </c>
      <c r="F54" s="50">
        <v>4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49</v>
      </c>
      <c r="N54" s="50">
        <v>0</v>
      </c>
      <c r="O54" s="15">
        <f t="shared" si="0"/>
        <v>28</v>
      </c>
      <c r="P54" s="15">
        <f t="shared" si="1"/>
        <v>77</v>
      </c>
      <c r="R54" s="8"/>
      <c r="T54"/>
    </row>
    <row r="55" spans="2:20" ht="23.1" customHeight="1" x14ac:dyDescent="0.25">
      <c r="B55" s="23" t="s">
        <v>82</v>
      </c>
      <c r="C55" s="50">
        <v>11</v>
      </c>
      <c r="D55" s="50">
        <v>0</v>
      </c>
      <c r="E55" s="50">
        <v>4</v>
      </c>
      <c r="F55" s="50">
        <v>5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66</v>
      </c>
      <c r="N55" s="50">
        <v>0</v>
      </c>
      <c r="O55" s="15">
        <f t="shared" si="0"/>
        <v>23</v>
      </c>
      <c r="P55" s="15">
        <f t="shared" si="1"/>
        <v>89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2</v>
      </c>
      <c r="E56" s="50">
        <v>1</v>
      </c>
      <c r="F56" s="50">
        <v>7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53</v>
      </c>
      <c r="N56" s="50">
        <v>0</v>
      </c>
      <c r="O56" s="15">
        <f t="shared" si="0"/>
        <v>26</v>
      </c>
      <c r="P56" s="15">
        <f t="shared" si="1"/>
        <v>79</v>
      </c>
      <c r="R56" s="8"/>
      <c r="T56"/>
    </row>
    <row r="57" spans="2:20" ht="23.1" customHeight="1" x14ac:dyDescent="0.25">
      <c r="B57" s="23" t="s">
        <v>84</v>
      </c>
      <c r="C57" s="50">
        <v>18</v>
      </c>
      <c r="D57" s="50">
        <v>1</v>
      </c>
      <c r="E57" s="50">
        <v>3</v>
      </c>
      <c r="F57" s="50">
        <v>5</v>
      </c>
      <c r="G57" s="50">
        <v>0</v>
      </c>
      <c r="H57" s="50">
        <v>0</v>
      </c>
      <c r="I57" s="50">
        <v>6</v>
      </c>
      <c r="J57" s="50">
        <v>2</v>
      </c>
      <c r="K57" s="50">
        <v>0</v>
      </c>
      <c r="L57" s="50">
        <v>0</v>
      </c>
      <c r="M57" s="50">
        <v>55</v>
      </c>
      <c r="N57" s="50">
        <v>0</v>
      </c>
      <c r="O57" s="15">
        <f t="shared" si="0"/>
        <v>35</v>
      </c>
      <c r="P57" s="15">
        <f t="shared" si="1"/>
        <v>90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419</v>
      </c>
      <c r="D58" s="16">
        <f t="shared" si="21"/>
        <v>73</v>
      </c>
      <c r="E58" s="16">
        <f t="shared" si="21"/>
        <v>114</v>
      </c>
      <c r="F58" s="16">
        <f t="shared" si="21"/>
        <v>168</v>
      </c>
      <c r="G58" s="16">
        <f t="shared" si="21"/>
        <v>2</v>
      </c>
      <c r="H58" s="16">
        <f t="shared" si="21"/>
        <v>0</v>
      </c>
      <c r="I58" s="16">
        <f t="shared" si="21"/>
        <v>74</v>
      </c>
      <c r="J58" s="16">
        <f t="shared" si="21"/>
        <v>86</v>
      </c>
      <c r="K58" s="16">
        <f t="shared" si="21"/>
        <v>3</v>
      </c>
      <c r="L58" s="16">
        <f t="shared" si="21"/>
        <v>3</v>
      </c>
      <c r="M58" s="16">
        <f t="shared" si="21"/>
        <v>1790</v>
      </c>
      <c r="N58" s="16">
        <f t="shared" si="21"/>
        <v>0</v>
      </c>
      <c r="O58" s="16">
        <f t="shared" si="21"/>
        <v>942</v>
      </c>
      <c r="P58" s="16">
        <f t="shared" si="21"/>
        <v>2732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0.15336749633967789</v>
      </c>
      <c r="D59" s="43">
        <f t="shared" si="22"/>
        <v>2.6720351390922402E-2</v>
      </c>
      <c r="E59" s="43">
        <f t="shared" si="22"/>
        <v>4.1727672035139093E-2</v>
      </c>
      <c r="F59" s="43">
        <f t="shared" si="22"/>
        <v>6.149341142020498E-2</v>
      </c>
      <c r="G59" s="43">
        <f t="shared" si="22"/>
        <v>7.320644216691069E-4</v>
      </c>
      <c r="H59" s="43">
        <f t="shared" si="22"/>
        <v>0</v>
      </c>
      <c r="I59" s="43">
        <f t="shared" si="22"/>
        <v>2.7086383601756955E-2</v>
      </c>
      <c r="J59" s="43">
        <f t="shared" si="22"/>
        <v>3.1478770131771597E-2</v>
      </c>
      <c r="K59" s="43">
        <f t="shared" si="22"/>
        <v>1.0980966325036604E-3</v>
      </c>
      <c r="L59" s="43">
        <f t="shared" si="22"/>
        <v>1.0980966325036604E-3</v>
      </c>
      <c r="M59" s="43">
        <f t="shared" si="22"/>
        <v>0.65519765739385061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0.44479830148619959</v>
      </c>
      <c r="D60" s="44">
        <f t="shared" ref="D60:N60" si="23">D58/$O$58</f>
        <v>7.749469214437367E-2</v>
      </c>
      <c r="E60" s="44">
        <f t="shared" si="23"/>
        <v>0.12101910828025478</v>
      </c>
      <c r="F60" s="44">
        <f t="shared" si="23"/>
        <v>0.17834394904458598</v>
      </c>
      <c r="G60" s="44">
        <f t="shared" si="23"/>
        <v>2.1231422505307855E-3</v>
      </c>
      <c r="H60" s="44">
        <f t="shared" si="23"/>
        <v>0</v>
      </c>
      <c r="I60" s="44">
        <f t="shared" si="23"/>
        <v>7.8556263269639062E-2</v>
      </c>
      <c r="J60" s="44">
        <f t="shared" si="23"/>
        <v>9.1295116772823773E-2</v>
      </c>
      <c r="K60" s="44">
        <f t="shared" si="23"/>
        <v>3.1847133757961785E-3</v>
      </c>
      <c r="L60" s="44">
        <f t="shared" si="23"/>
        <v>3.1847133757961785E-3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2" tint="-0.249977111117893"/>
  </sheetPr>
  <dimension ref="B1:AF174"/>
  <sheetViews>
    <sheetView view="pageBreakPreview" topLeftCell="A49" zoomScale="60" workbookViewId="0">
      <selection activeCell="R94" sqref="R9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55" t="str">
        <f>'30.10 Mbarara-Isingiro'!G5:H5</f>
        <v>KASENYI</v>
      </c>
      <c r="H5" s="56"/>
      <c r="I5" s="14"/>
      <c r="J5" s="2" t="s">
        <v>5</v>
      </c>
      <c r="K5" s="55" t="s">
        <v>170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'25.10 Isingiro-Mbarara'!D6:E6</f>
        <v>ISINGIRO</v>
      </c>
      <c r="E6" s="56"/>
      <c r="F6" s="2" t="s">
        <v>2</v>
      </c>
      <c r="G6" s="55" t="str">
        <f>'25.10 Isingiro-Mbarara'!G6:H6</f>
        <v>MBARARA</v>
      </c>
      <c r="H6" s="56"/>
      <c r="J6" s="2" t="s">
        <v>21</v>
      </c>
      <c r="K6" s="55" t="str">
        <f>'30.10 Mbarara-Isingiro'!K6:L6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2</v>
      </c>
      <c r="F10" s="50">
        <v>8</v>
      </c>
      <c r="G10" s="50">
        <v>0</v>
      </c>
      <c r="H10" s="50">
        <v>0</v>
      </c>
      <c r="I10" s="50">
        <v>4</v>
      </c>
      <c r="J10" s="50">
        <v>2</v>
      </c>
      <c r="K10" s="50">
        <v>0</v>
      </c>
      <c r="L10" s="50">
        <v>0</v>
      </c>
      <c r="M10" s="50">
        <v>12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17</v>
      </c>
      <c r="T10" s="17">
        <f t="shared" si="2"/>
        <v>12</v>
      </c>
      <c r="U10" s="17">
        <f t="shared" si="2"/>
        <v>6</v>
      </c>
      <c r="V10" s="17">
        <f t="shared" si="2"/>
        <v>18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71</v>
      </c>
      <c r="AD10" s="17">
        <f t="shared" si="2"/>
        <v>0</v>
      </c>
      <c r="AE10" s="31">
        <f t="shared" si="2"/>
        <v>64</v>
      </c>
      <c r="AF10" s="31">
        <f t="shared" si="2"/>
        <v>135</v>
      </c>
    </row>
    <row r="11" spans="2:32" s="6" customFormat="1" ht="23.1" customHeight="1" x14ac:dyDescent="0.25">
      <c r="B11" s="45" t="s">
        <v>38</v>
      </c>
      <c r="C11" s="50">
        <v>5</v>
      </c>
      <c r="D11" s="50">
        <v>2</v>
      </c>
      <c r="E11" s="50">
        <v>1</v>
      </c>
      <c r="F11" s="50">
        <v>3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21</v>
      </c>
      <c r="N11" s="50">
        <v>0</v>
      </c>
      <c r="O11" s="15">
        <f t="shared" si="0"/>
        <v>14</v>
      </c>
      <c r="P11" s="15">
        <f t="shared" si="1"/>
        <v>35</v>
      </c>
      <c r="R11" s="1" t="s">
        <v>7</v>
      </c>
      <c r="S11" s="17">
        <f t="shared" ref="S11:AF11" si="3">SUM(C14:C17)</f>
        <v>61</v>
      </c>
      <c r="T11" s="17">
        <f t="shared" si="3"/>
        <v>14</v>
      </c>
      <c r="U11" s="17">
        <f t="shared" si="3"/>
        <v>3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199</v>
      </c>
      <c r="AD11" s="17">
        <f t="shared" si="3"/>
        <v>0</v>
      </c>
      <c r="AE11" s="31">
        <f t="shared" si="3"/>
        <v>89</v>
      </c>
      <c r="AF11" s="31">
        <f t="shared" si="3"/>
        <v>288</v>
      </c>
    </row>
    <row r="12" spans="2:32" ht="23.1" customHeight="1" x14ac:dyDescent="0.25">
      <c r="B12" s="45" t="s">
        <v>39</v>
      </c>
      <c r="C12" s="50">
        <v>2</v>
      </c>
      <c r="D12" s="50">
        <v>8</v>
      </c>
      <c r="E12" s="50">
        <v>3</v>
      </c>
      <c r="F12" s="50">
        <v>5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20</v>
      </c>
      <c r="N12" s="50">
        <v>0</v>
      </c>
      <c r="O12" s="15">
        <f t="shared" si="0"/>
        <v>20</v>
      </c>
      <c r="P12" s="15">
        <f t="shared" si="1"/>
        <v>40</v>
      </c>
      <c r="R12" s="1" t="s">
        <v>8</v>
      </c>
      <c r="S12" s="17">
        <f t="shared" ref="S12:AF12" si="4">SUM(C18:C21)</f>
        <v>87</v>
      </c>
      <c r="T12" s="17">
        <f t="shared" si="4"/>
        <v>5</v>
      </c>
      <c r="U12" s="17">
        <f t="shared" si="4"/>
        <v>7</v>
      </c>
      <c r="V12" s="17">
        <f t="shared" si="4"/>
        <v>19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189</v>
      </c>
      <c r="AD12" s="17">
        <f t="shared" si="4"/>
        <v>0</v>
      </c>
      <c r="AE12" s="31">
        <f t="shared" si="4"/>
        <v>124</v>
      </c>
      <c r="AF12" s="31">
        <f t="shared" si="4"/>
        <v>313</v>
      </c>
    </row>
    <row r="13" spans="2:32" ht="23.1" customHeight="1" x14ac:dyDescent="0.25">
      <c r="B13" s="45" t="s">
        <v>40</v>
      </c>
      <c r="C13" s="50">
        <v>8</v>
      </c>
      <c r="D13" s="50">
        <v>2</v>
      </c>
      <c r="E13" s="50">
        <v>0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12</v>
      </c>
      <c r="P13" s="15">
        <f t="shared" si="1"/>
        <v>30</v>
      </c>
      <c r="R13" s="1" t="s">
        <v>9</v>
      </c>
      <c r="S13" s="17">
        <f t="shared" ref="S13:AF13" si="5">SUM(C22:C25)</f>
        <v>74</v>
      </c>
      <c r="T13" s="17">
        <f t="shared" si="5"/>
        <v>4</v>
      </c>
      <c r="U13" s="17">
        <f t="shared" si="5"/>
        <v>3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181</v>
      </c>
      <c r="AD13" s="17">
        <f t="shared" si="5"/>
        <v>0</v>
      </c>
      <c r="AE13" s="31">
        <f t="shared" si="5"/>
        <v>96</v>
      </c>
      <c r="AF13" s="31">
        <f t="shared" si="5"/>
        <v>277</v>
      </c>
    </row>
    <row r="14" spans="2:32" ht="23.1" customHeight="1" x14ac:dyDescent="0.25">
      <c r="B14" s="45" t="s">
        <v>41</v>
      </c>
      <c r="C14" s="50">
        <v>21</v>
      </c>
      <c r="D14" s="50">
        <v>4</v>
      </c>
      <c r="E14" s="50">
        <v>0</v>
      </c>
      <c r="F14" s="50">
        <v>2</v>
      </c>
      <c r="G14" s="50">
        <v>0</v>
      </c>
      <c r="H14" s="50">
        <v>0</v>
      </c>
      <c r="I14" s="50">
        <v>4</v>
      </c>
      <c r="J14" s="50">
        <v>0</v>
      </c>
      <c r="K14" s="50">
        <v>0</v>
      </c>
      <c r="L14" s="50">
        <v>0</v>
      </c>
      <c r="M14" s="50">
        <v>36</v>
      </c>
      <c r="N14" s="50">
        <v>0</v>
      </c>
      <c r="O14" s="15">
        <f t="shared" si="0"/>
        <v>31</v>
      </c>
      <c r="P14" s="15">
        <f t="shared" si="1"/>
        <v>67</v>
      </c>
      <c r="R14" s="1" t="s">
        <v>10</v>
      </c>
      <c r="S14" s="17">
        <f t="shared" ref="S14:AF14" si="6">SUM(C26:C29)</f>
        <v>68</v>
      </c>
      <c r="T14" s="17">
        <f t="shared" si="6"/>
        <v>21</v>
      </c>
      <c r="U14" s="17">
        <f t="shared" si="6"/>
        <v>11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156</v>
      </c>
      <c r="AD14" s="17">
        <f t="shared" si="6"/>
        <v>0</v>
      </c>
      <c r="AE14" s="31">
        <f t="shared" si="6"/>
        <v>116</v>
      </c>
      <c r="AF14" s="31">
        <f t="shared" si="6"/>
        <v>272</v>
      </c>
    </row>
    <row r="15" spans="2:32" ht="23.1" customHeight="1" x14ac:dyDescent="0.25">
      <c r="B15" s="45" t="s">
        <v>42</v>
      </c>
      <c r="C15" s="50">
        <v>8</v>
      </c>
      <c r="D15" s="50">
        <v>8</v>
      </c>
      <c r="E15" s="50">
        <v>2</v>
      </c>
      <c r="F15" s="50">
        <v>4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52</v>
      </c>
      <c r="N15" s="50">
        <v>0</v>
      </c>
      <c r="O15" s="15">
        <f t="shared" si="0"/>
        <v>22</v>
      </c>
      <c r="P15" s="15">
        <f t="shared" si="1"/>
        <v>74</v>
      </c>
      <c r="R15" s="1" t="s">
        <v>11</v>
      </c>
      <c r="S15" s="17">
        <f t="shared" ref="S15:AF15" si="7">SUM(C30:C33)</f>
        <v>60</v>
      </c>
      <c r="T15" s="17">
        <f t="shared" si="7"/>
        <v>6</v>
      </c>
      <c r="U15" s="17">
        <f t="shared" si="7"/>
        <v>6</v>
      </c>
      <c r="V15" s="17">
        <f t="shared" si="7"/>
        <v>12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160</v>
      </c>
      <c r="AD15" s="17">
        <f t="shared" si="7"/>
        <v>0</v>
      </c>
      <c r="AE15" s="31">
        <f t="shared" si="7"/>
        <v>91</v>
      </c>
      <c r="AF15" s="31">
        <f t="shared" si="7"/>
        <v>251</v>
      </c>
    </row>
    <row r="16" spans="2:32" ht="23.1" customHeight="1" x14ac:dyDescent="0.25">
      <c r="B16" s="45" t="s">
        <v>43</v>
      </c>
      <c r="C16" s="50">
        <v>14</v>
      </c>
      <c r="D16" s="50">
        <v>2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47</v>
      </c>
      <c r="N16" s="50">
        <v>0</v>
      </c>
      <c r="O16" s="15">
        <f t="shared" si="0"/>
        <v>17</v>
      </c>
      <c r="P16" s="15">
        <f t="shared" si="1"/>
        <v>64</v>
      </c>
      <c r="R16" s="1" t="s">
        <v>12</v>
      </c>
      <c r="S16" s="17">
        <f t="shared" ref="S16:AF16" si="8">SUM(C34:C37)</f>
        <v>51</v>
      </c>
      <c r="T16" s="17">
        <f t="shared" si="8"/>
        <v>7</v>
      </c>
      <c r="U16" s="17">
        <f t="shared" si="8"/>
        <v>9</v>
      </c>
      <c r="V16" s="17">
        <f t="shared" si="8"/>
        <v>5</v>
      </c>
      <c r="W16" s="17">
        <f t="shared" si="8"/>
        <v>1</v>
      </c>
      <c r="X16" s="17">
        <f t="shared" si="8"/>
        <v>0</v>
      </c>
      <c r="Y16" s="17">
        <f t="shared" si="8"/>
        <v>3</v>
      </c>
      <c r="Z16" s="17">
        <f t="shared" si="8"/>
        <v>6</v>
      </c>
      <c r="AA16" s="17">
        <f t="shared" si="8"/>
        <v>0</v>
      </c>
      <c r="AB16" s="17">
        <f t="shared" si="8"/>
        <v>0</v>
      </c>
      <c r="AC16" s="17">
        <f t="shared" si="8"/>
        <v>119</v>
      </c>
      <c r="AD16" s="17">
        <f t="shared" si="8"/>
        <v>0</v>
      </c>
      <c r="AE16" s="31">
        <f t="shared" si="8"/>
        <v>82</v>
      </c>
      <c r="AF16" s="31">
        <f t="shared" si="8"/>
        <v>201</v>
      </c>
    </row>
    <row r="17" spans="2:32" ht="23.1" customHeight="1" x14ac:dyDescent="0.25">
      <c r="B17" s="45" t="s">
        <v>44</v>
      </c>
      <c r="C17" s="50">
        <v>18</v>
      </c>
      <c r="D17" s="50">
        <v>0</v>
      </c>
      <c r="E17" s="50">
        <v>1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64</v>
      </c>
      <c r="N17" s="50">
        <v>0</v>
      </c>
      <c r="O17" s="15">
        <f t="shared" si="0"/>
        <v>19</v>
      </c>
      <c r="P17" s="15">
        <f t="shared" si="1"/>
        <v>83</v>
      </c>
      <c r="R17" s="1" t="s">
        <v>13</v>
      </c>
      <c r="S17" s="17">
        <f t="shared" ref="S17:AF17" si="9">SUM(C38:C41)</f>
        <v>76</v>
      </c>
      <c r="T17" s="17">
        <f t="shared" si="9"/>
        <v>18</v>
      </c>
      <c r="U17" s="17">
        <f t="shared" si="9"/>
        <v>11</v>
      </c>
      <c r="V17" s="17">
        <f t="shared" si="9"/>
        <v>7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148</v>
      </c>
      <c r="AD17" s="17">
        <f t="shared" si="9"/>
        <v>0</v>
      </c>
      <c r="AE17" s="31">
        <f t="shared" si="9"/>
        <v>125</v>
      </c>
      <c r="AF17" s="31">
        <f t="shared" si="9"/>
        <v>273</v>
      </c>
    </row>
    <row r="18" spans="2:32" ht="23.1" customHeight="1" x14ac:dyDescent="0.25">
      <c r="B18" s="45" t="s">
        <v>45</v>
      </c>
      <c r="C18" s="50">
        <v>18</v>
      </c>
      <c r="D18" s="50">
        <v>0</v>
      </c>
      <c r="E18" s="50">
        <v>3</v>
      </c>
      <c r="F18" s="50">
        <v>6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60</v>
      </c>
      <c r="N18" s="50">
        <v>0</v>
      </c>
      <c r="O18" s="15">
        <f t="shared" si="0"/>
        <v>28</v>
      </c>
      <c r="P18" s="15">
        <f t="shared" si="1"/>
        <v>88</v>
      </c>
      <c r="R18" s="1" t="s">
        <v>14</v>
      </c>
      <c r="S18" s="17">
        <f t="shared" ref="S18:AF18" si="10">SUM(C42:C45)</f>
        <v>39</v>
      </c>
      <c r="T18" s="17">
        <f t="shared" si="10"/>
        <v>15</v>
      </c>
      <c r="U18" s="17">
        <f t="shared" si="10"/>
        <v>9</v>
      </c>
      <c r="V18" s="17">
        <f t="shared" si="10"/>
        <v>5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5</v>
      </c>
      <c r="AA18" s="17">
        <f t="shared" si="10"/>
        <v>4</v>
      </c>
      <c r="AB18" s="17">
        <f t="shared" si="10"/>
        <v>0</v>
      </c>
      <c r="AC18" s="17">
        <f t="shared" si="10"/>
        <v>159</v>
      </c>
      <c r="AD18" s="17">
        <f t="shared" si="10"/>
        <v>0</v>
      </c>
      <c r="AE18" s="31">
        <f t="shared" si="10"/>
        <v>85</v>
      </c>
      <c r="AF18" s="31">
        <f t="shared" si="10"/>
        <v>244</v>
      </c>
    </row>
    <row r="19" spans="2:32" ht="23.1" customHeight="1" x14ac:dyDescent="0.25">
      <c r="B19" s="45" t="s">
        <v>46</v>
      </c>
      <c r="C19" s="50">
        <v>31</v>
      </c>
      <c r="D19" s="50">
        <v>3</v>
      </c>
      <c r="E19" s="50">
        <v>0</v>
      </c>
      <c r="F19" s="50">
        <v>3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72</v>
      </c>
      <c r="N19" s="50">
        <v>0</v>
      </c>
      <c r="O19" s="15">
        <f t="shared" si="0"/>
        <v>39</v>
      </c>
      <c r="P19" s="15">
        <f t="shared" si="1"/>
        <v>111</v>
      </c>
      <c r="R19" s="1" t="s">
        <v>15</v>
      </c>
      <c r="S19" s="17">
        <f t="shared" ref="S19:AF19" si="11">SUM(C46:C49)</f>
        <v>81</v>
      </c>
      <c r="T19" s="17">
        <f t="shared" si="11"/>
        <v>20</v>
      </c>
      <c r="U19" s="17">
        <f t="shared" si="11"/>
        <v>8</v>
      </c>
      <c r="V19" s="17">
        <f t="shared" si="11"/>
        <v>7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2</v>
      </c>
      <c r="AA19" s="17">
        <f t="shared" si="11"/>
        <v>0</v>
      </c>
      <c r="AB19" s="17">
        <f t="shared" si="11"/>
        <v>1</v>
      </c>
      <c r="AC19" s="17">
        <f t="shared" si="11"/>
        <v>168</v>
      </c>
      <c r="AD19" s="17">
        <f t="shared" si="11"/>
        <v>0</v>
      </c>
      <c r="AE19" s="31">
        <f t="shared" si="11"/>
        <v>123</v>
      </c>
      <c r="AF19" s="31">
        <f t="shared" si="11"/>
        <v>291</v>
      </c>
    </row>
    <row r="20" spans="2:32" ht="23.1" customHeight="1" x14ac:dyDescent="0.25">
      <c r="B20" s="45" t="s">
        <v>47</v>
      </c>
      <c r="C20" s="50">
        <v>30</v>
      </c>
      <c r="D20" s="50">
        <v>1</v>
      </c>
      <c r="E20" s="50">
        <v>3</v>
      </c>
      <c r="F20" s="50">
        <v>8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26</v>
      </c>
      <c r="N20" s="50">
        <v>0</v>
      </c>
      <c r="O20" s="15">
        <f t="shared" si="0"/>
        <v>43</v>
      </c>
      <c r="P20" s="15">
        <f t="shared" si="1"/>
        <v>69</v>
      </c>
      <c r="R20" s="1" t="s">
        <v>16</v>
      </c>
      <c r="S20" s="17">
        <f t="shared" ref="S20:AF20" si="12">SUM(C50:C53)</f>
        <v>81</v>
      </c>
      <c r="T20" s="17">
        <f t="shared" si="12"/>
        <v>6</v>
      </c>
      <c r="U20" s="17">
        <f t="shared" si="12"/>
        <v>12</v>
      </c>
      <c r="V20" s="17">
        <f t="shared" si="12"/>
        <v>16</v>
      </c>
      <c r="W20" s="17">
        <f t="shared" si="12"/>
        <v>0</v>
      </c>
      <c r="X20" s="17">
        <f t="shared" si="12"/>
        <v>1</v>
      </c>
      <c r="Y20" s="17">
        <f t="shared" si="12"/>
        <v>10</v>
      </c>
      <c r="Z20" s="17">
        <f t="shared" si="12"/>
        <v>1</v>
      </c>
      <c r="AA20" s="17">
        <f t="shared" si="12"/>
        <v>6</v>
      </c>
      <c r="AB20" s="17">
        <f t="shared" si="12"/>
        <v>0</v>
      </c>
      <c r="AC20" s="17">
        <f t="shared" si="12"/>
        <v>156</v>
      </c>
      <c r="AD20" s="17">
        <f t="shared" si="12"/>
        <v>0</v>
      </c>
      <c r="AE20" s="31">
        <f t="shared" si="12"/>
        <v>133</v>
      </c>
      <c r="AF20" s="31">
        <f t="shared" si="12"/>
        <v>289</v>
      </c>
    </row>
    <row r="21" spans="2:32" ht="23.1" customHeight="1" x14ac:dyDescent="0.25">
      <c r="B21" s="45" t="s">
        <v>48</v>
      </c>
      <c r="C21" s="50">
        <v>8</v>
      </c>
      <c r="D21" s="50">
        <v>1</v>
      </c>
      <c r="E21" s="50">
        <v>1</v>
      </c>
      <c r="F21" s="50">
        <v>2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31</v>
      </c>
      <c r="N21" s="50">
        <v>0</v>
      </c>
      <c r="O21" s="15">
        <f t="shared" si="0"/>
        <v>14</v>
      </c>
      <c r="P21" s="15">
        <f t="shared" si="1"/>
        <v>45</v>
      </c>
      <c r="R21" s="36" t="s">
        <v>20</v>
      </c>
      <c r="S21" s="34">
        <f t="shared" ref="S21:AF21" si="13">SUM(C54:C57)</f>
        <v>64</v>
      </c>
      <c r="T21" s="17">
        <f t="shared" si="13"/>
        <v>4</v>
      </c>
      <c r="U21" s="17">
        <f t="shared" si="13"/>
        <v>3</v>
      </c>
      <c r="V21" s="17">
        <f t="shared" si="13"/>
        <v>4</v>
      </c>
      <c r="W21" s="17">
        <f t="shared" si="13"/>
        <v>3</v>
      </c>
      <c r="X21" s="17">
        <f t="shared" si="13"/>
        <v>0</v>
      </c>
      <c r="Y21" s="17">
        <f t="shared" si="13"/>
        <v>9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98</v>
      </c>
      <c r="AD21" s="17">
        <f t="shared" si="13"/>
        <v>0</v>
      </c>
      <c r="AE21" s="31">
        <f t="shared" si="13"/>
        <v>88</v>
      </c>
      <c r="AF21" s="31">
        <f t="shared" si="13"/>
        <v>186</v>
      </c>
    </row>
    <row r="22" spans="2:32" ht="23.1" customHeight="1" x14ac:dyDescent="0.25">
      <c r="B22" s="45" t="s">
        <v>49</v>
      </c>
      <c r="C22" s="50">
        <v>32</v>
      </c>
      <c r="D22" s="50">
        <v>0</v>
      </c>
      <c r="E22" s="50">
        <v>0</v>
      </c>
      <c r="F22" s="50">
        <v>2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63</v>
      </c>
      <c r="N22" s="50">
        <v>0</v>
      </c>
      <c r="O22" s="15">
        <f t="shared" si="0"/>
        <v>37</v>
      </c>
      <c r="P22" s="15">
        <f t="shared" si="1"/>
        <v>100</v>
      </c>
      <c r="R22" s="36" t="s">
        <v>146</v>
      </c>
      <c r="S22" s="34">
        <f>SUM(C58:C61)</f>
        <v>47</v>
      </c>
      <c r="T22" s="34">
        <f t="shared" ref="T22:AF22" si="14">SUM(D58:D61)</f>
        <v>3</v>
      </c>
      <c r="U22" s="34">
        <f t="shared" si="14"/>
        <v>10</v>
      </c>
      <c r="V22" s="34">
        <f t="shared" si="14"/>
        <v>5</v>
      </c>
      <c r="W22" s="34">
        <f t="shared" si="14"/>
        <v>0</v>
      </c>
      <c r="X22" s="34">
        <f t="shared" si="14"/>
        <v>0</v>
      </c>
      <c r="Y22" s="34">
        <f t="shared" si="14"/>
        <v>9</v>
      </c>
      <c r="Z22" s="34">
        <f t="shared" si="14"/>
        <v>5</v>
      </c>
      <c r="AA22" s="34">
        <f t="shared" si="14"/>
        <v>2</v>
      </c>
      <c r="AB22" s="34">
        <f t="shared" si="14"/>
        <v>0</v>
      </c>
      <c r="AC22" s="34">
        <f t="shared" si="14"/>
        <v>130</v>
      </c>
      <c r="AD22" s="34">
        <f t="shared" si="14"/>
        <v>0</v>
      </c>
      <c r="AE22" s="31">
        <f t="shared" si="14"/>
        <v>81</v>
      </c>
      <c r="AF22" s="31">
        <f t="shared" si="14"/>
        <v>211</v>
      </c>
    </row>
    <row r="23" spans="2:32" ht="23.1" customHeight="1" x14ac:dyDescent="0.25">
      <c r="B23" s="45" t="s">
        <v>50</v>
      </c>
      <c r="C23" s="50">
        <v>20</v>
      </c>
      <c r="D23" s="50">
        <v>1</v>
      </c>
      <c r="E23" s="50">
        <v>0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48</v>
      </c>
      <c r="N23" s="50">
        <v>0</v>
      </c>
      <c r="O23" s="15">
        <f t="shared" si="0"/>
        <v>25</v>
      </c>
      <c r="P23" s="15">
        <f t="shared" si="1"/>
        <v>73</v>
      </c>
      <c r="R23" s="36" t="s">
        <v>147</v>
      </c>
      <c r="S23" s="34">
        <f>SUM(C62:C65)</f>
        <v>44</v>
      </c>
      <c r="T23" s="34">
        <f t="shared" ref="T23:AF23" si="15">SUM(D62:D65)</f>
        <v>8</v>
      </c>
      <c r="U23" s="34">
        <f t="shared" si="15"/>
        <v>9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8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77</v>
      </c>
      <c r="AD23" s="34">
        <f t="shared" si="15"/>
        <v>0</v>
      </c>
      <c r="AE23" s="31">
        <f t="shared" si="15"/>
        <v>75</v>
      </c>
      <c r="AF23" s="31">
        <f t="shared" si="15"/>
        <v>152</v>
      </c>
    </row>
    <row r="24" spans="2:32" ht="23.1" customHeight="1" x14ac:dyDescent="0.25">
      <c r="B24" s="45" t="s">
        <v>51</v>
      </c>
      <c r="C24" s="50">
        <v>11</v>
      </c>
      <c r="D24" s="50">
        <v>2</v>
      </c>
      <c r="E24" s="50">
        <v>0</v>
      </c>
      <c r="F24" s="50">
        <v>3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47</v>
      </c>
      <c r="N24" s="50">
        <v>0</v>
      </c>
      <c r="O24" s="15">
        <f t="shared" si="0"/>
        <v>18</v>
      </c>
      <c r="P24" s="15">
        <f t="shared" si="1"/>
        <v>65</v>
      </c>
      <c r="R24" s="36" t="s">
        <v>148</v>
      </c>
      <c r="S24" s="34">
        <f>SUM(C66:C69)</f>
        <v>45</v>
      </c>
      <c r="T24" s="34">
        <f t="shared" ref="T24:AF24" si="16">SUM(D66:D69)</f>
        <v>4</v>
      </c>
      <c r="U24" s="34">
        <f t="shared" si="16"/>
        <v>8</v>
      </c>
      <c r="V24" s="34">
        <f t="shared" si="16"/>
        <v>6</v>
      </c>
      <c r="W24" s="34">
        <f t="shared" si="16"/>
        <v>0</v>
      </c>
      <c r="X24" s="34">
        <f t="shared" si="16"/>
        <v>1</v>
      </c>
      <c r="Y24" s="34">
        <f t="shared" si="16"/>
        <v>2</v>
      </c>
      <c r="Z24" s="34">
        <f t="shared" si="16"/>
        <v>2</v>
      </c>
      <c r="AA24" s="34">
        <f t="shared" si="16"/>
        <v>0</v>
      </c>
      <c r="AB24" s="34">
        <f t="shared" si="16"/>
        <v>0</v>
      </c>
      <c r="AC24" s="34">
        <f t="shared" si="16"/>
        <v>60</v>
      </c>
      <c r="AD24" s="34">
        <f t="shared" si="16"/>
        <v>0</v>
      </c>
      <c r="AE24" s="31">
        <f t="shared" si="16"/>
        <v>68</v>
      </c>
      <c r="AF24" s="31">
        <f t="shared" si="16"/>
        <v>128</v>
      </c>
    </row>
    <row r="25" spans="2:32" ht="23.1" customHeight="1" x14ac:dyDescent="0.25">
      <c r="B25" s="45" t="s">
        <v>52</v>
      </c>
      <c r="C25" s="50">
        <v>11</v>
      </c>
      <c r="D25" s="50">
        <v>1</v>
      </c>
      <c r="E25" s="50">
        <v>3</v>
      </c>
      <c r="F25" s="50">
        <v>1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16</v>
      </c>
      <c r="P25" s="15">
        <f t="shared" si="1"/>
        <v>39</v>
      </c>
      <c r="R25" s="36" t="s">
        <v>149</v>
      </c>
      <c r="S25" s="34">
        <f>SUM(C70:C73)</f>
        <v>37</v>
      </c>
      <c r="T25" s="34">
        <f t="shared" ref="T25:AF25" si="17">SUM(D70:D73)</f>
        <v>3</v>
      </c>
      <c r="U25" s="34">
        <f t="shared" si="17"/>
        <v>3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5</v>
      </c>
      <c r="AA25" s="34">
        <f t="shared" si="17"/>
        <v>0</v>
      </c>
      <c r="AB25" s="34">
        <f t="shared" si="17"/>
        <v>0</v>
      </c>
      <c r="AC25" s="34">
        <f t="shared" si="17"/>
        <v>28</v>
      </c>
      <c r="AD25" s="34">
        <f t="shared" si="17"/>
        <v>0</v>
      </c>
      <c r="AE25" s="31">
        <f t="shared" si="17"/>
        <v>53</v>
      </c>
      <c r="AF25" s="31">
        <f t="shared" si="17"/>
        <v>81</v>
      </c>
    </row>
    <row r="26" spans="2:32" ht="23.1" customHeight="1" x14ac:dyDescent="0.25">
      <c r="B26" s="45" t="s">
        <v>53</v>
      </c>
      <c r="C26" s="50">
        <v>11</v>
      </c>
      <c r="D26" s="50">
        <v>0</v>
      </c>
      <c r="E26" s="50">
        <v>1</v>
      </c>
      <c r="F26" s="50">
        <v>5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40</v>
      </c>
      <c r="N26" s="50">
        <v>0</v>
      </c>
      <c r="O26" s="15">
        <f t="shared" si="0"/>
        <v>17</v>
      </c>
      <c r="P26" s="15">
        <f t="shared" si="1"/>
        <v>57</v>
      </c>
      <c r="R26" s="36" t="s">
        <v>150</v>
      </c>
      <c r="S26" s="34">
        <f>SUM(C74:C77)</f>
        <v>15</v>
      </c>
      <c r="T26" s="34">
        <f t="shared" ref="T26:AF26" si="18">SUM(D74:D77)</f>
        <v>0</v>
      </c>
      <c r="U26" s="34">
        <f t="shared" si="18"/>
        <v>1</v>
      </c>
      <c r="V26" s="34">
        <f t="shared" si="18"/>
        <v>0</v>
      </c>
      <c r="W26" s="34">
        <f t="shared" si="18"/>
        <v>1</v>
      </c>
      <c r="X26" s="34">
        <f t="shared" si="18"/>
        <v>0</v>
      </c>
      <c r="Y26" s="34">
        <f t="shared" si="18"/>
        <v>5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8</v>
      </c>
      <c r="AD26" s="34">
        <f t="shared" si="18"/>
        <v>0</v>
      </c>
      <c r="AE26" s="31">
        <f t="shared" si="18"/>
        <v>24</v>
      </c>
      <c r="AF26" s="31">
        <f t="shared" si="18"/>
        <v>32</v>
      </c>
    </row>
    <row r="27" spans="2:32" ht="23.1" customHeight="1" x14ac:dyDescent="0.25">
      <c r="B27" s="45" t="s">
        <v>54</v>
      </c>
      <c r="C27" s="50">
        <v>18</v>
      </c>
      <c r="D27" s="50">
        <v>5</v>
      </c>
      <c r="E27" s="50">
        <v>3</v>
      </c>
      <c r="F27" s="50">
        <v>2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39</v>
      </c>
      <c r="N27" s="50">
        <v>0</v>
      </c>
      <c r="O27" s="15">
        <f t="shared" si="0"/>
        <v>28</v>
      </c>
      <c r="P27" s="15">
        <f t="shared" si="1"/>
        <v>67</v>
      </c>
      <c r="R27" s="36" t="s">
        <v>151</v>
      </c>
      <c r="S27" s="34">
        <f>SUM(C78:C81)</f>
        <v>8</v>
      </c>
      <c r="T27" s="34">
        <f t="shared" ref="T27:AF27" si="19">SUM(D78:D81)</f>
        <v>3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2</v>
      </c>
      <c r="AD27" s="34">
        <f t="shared" si="19"/>
        <v>0</v>
      </c>
      <c r="AE27" s="31">
        <f t="shared" si="19"/>
        <v>12</v>
      </c>
      <c r="AF27" s="31">
        <f t="shared" si="19"/>
        <v>14</v>
      </c>
    </row>
    <row r="28" spans="2:32" ht="23.1" customHeight="1" x14ac:dyDescent="0.25">
      <c r="B28" s="45" t="s">
        <v>55</v>
      </c>
      <c r="C28" s="50">
        <v>22</v>
      </c>
      <c r="D28" s="50">
        <v>4</v>
      </c>
      <c r="E28" s="50">
        <v>3</v>
      </c>
      <c r="F28" s="50">
        <v>0</v>
      </c>
      <c r="G28" s="50">
        <v>0</v>
      </c>
      <c r="H28" s="50">
        <v>0</v>
      </c>
      <c r="I28" s="50">
        <v>3</v>
      </c>
      <c r="J28" s="50">
        <v>2</v>
      </c>
      <c r="K28" s="50">
        <v>0</v>
      </c>
      <c r="L28" s="50">
        <v>0</v>
      </c>
      <c r="M28" s="50">
        <v>39</v>
      </c>
      <c r="N28" s="50">
        <v>0</v>
      </c>
      <c r="O28" s="15">
        <f t="shared" si="0"/>
        <v>34</v>
      </c>
      <c r="P28" s="15">
        <f t="shared" si="1"/>
        <v>73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7</v>
      </c>
      <c r="AD28" s="34">
        <f t="shared" si="20"/>
        <v>0</v>
      </c>
      <c r="AE28" s="31">
        <f t="shared" si="20"/>
        <v>8</v>
      </c>
      <c r="AF28" s="31">
        <f t="shared" si="20"/>
        <v>15</v>
      </c>
    </row>
    <row r="29" spans="2:32" ht="23.1" customHeight="1" x14ac:dyDescent="0.25">
      <c r="B29" s="45" t="s">
        <v>56</v>
      </c>
      <c r="C29" s="50">
        <v>17</v>
      </c>
      <c r="D29" s="50">
        <v>12</v>
      </c>
      <c r="E29" s="50">
        <v>4</v>
      </c>
      <c r="F29" s="50">
        <v>0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0</v>
      </c>
      <c r="M29" s="50">
        <v>38</v>
      </c>
      <c r="N29" s="50">
        <v>0</v>
      </c>
      <c r="O29" s="15">
        <f t="shared" si="0"/>
        <v>37</v>
      </c>
      <c r="P29" s="15">
        <f t="shared" si="1"/>
        <v>75</v>
      </c>
      <c r="R29" s="36" t="s">
        <v>153</v>
      </c>
      <c r="S29" s="34">
        <f>SUM(C86:C89)</f>
        <v>4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1</v>
      </c>
      <c r="AC29" s="34">
        <f t="shared" si="21"/>
        <v>1</v>
      </c>
      <c r="AD29" s="34">
        <f t="shared" si="21"/>
        <v>0</v>
      </c>
      <c r="AE29" s="31">
        <f t="shared" si="21"/>
        <v>6</v>
      </c>
      <c r="AF29" s="31">
        <f t="shared" si="21"/>
        <v>7</v>
      </c>
    </row>
    <row r="30" spans="2:32" ht="23.1" customHeight="1" x14ac:dyDescent="0.25">
      <c r="B30" s="45" t="s">
        <v>57</v>
      </c>
      <c r="C30" s="50">
        <v>18</v>
      </c>
      <c r="D30" s="50">
        <v>0</v>
      </c>
      <c r="E30" s="50">
        <v>1</v>
      </c>
      <c r="F30" s="50">
        <v>3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53</v>
      </c>
      <c r="N30" s="50">
        <v>0</v>
      </c>
      <c r="O30" s="15">
        <f t="shared" si="0"/>
        <v>25</v>
      </c>
      <c r="P30" s="15">
        <f t="shared" si="1"/>
        <v>78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7</v>
      </c>
      <c r="AD30" s="34">
        <f t="shared" si="22"/>
        <v>0</v>
      </c>
      <c r="AE30" s="31">
        <f t="shared" si="22"/>
        <v>2</v>
      </c>
      <c r="AF30" s="31">
        <f t="shared" si="22"/>
        <v>9</v>
      </c>
    </row>
    <row r="31" spans="2:32" ht="23.1" customHeight="1" x14ac:dyDescent="0.25">
      <c r="B31" s="46" t="s">
        <v>58</v>
      </c>
      <c r="C31" s="50">
        <v>17</v>
      </c>
      <c r="D31" s="50">
        <v>4</v>
      </c>
      <c r="E31" s="50">
        <v>3</v>
      </c>
      <c r="F31" s="50">
        <v>0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48</v>
      </c>
      <c r="N31" s="50">
        <v>0</v>
      </c>
      <c r="O31" s="15">
        <f t="shared" si="0"/>
        <v>27</v>
      </c>
      <c r="P31" s="15">
        <f t="shared" si="1"/>
        <v>75</v>
      </c>
      <c r="R31" s="36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8</v>
      </c>
      <c r="AD31" s="34">
        <f t="shared" si="23"/>
        <v>0</v>
      </c>
      <c r="AE31" s="31">
        <f t="shared" si="23"/>
        <v>5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13</v>
      </c>
      <c r="D32" s="50">
        <v>0</v>
      </c>
      <c r="E32" s="50">
        <v>1</v>
      </c>
      <c r="F32" s="50">
        <v>6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48</v>
      </c>
      <c r="N32" s="50">
        <v>0</v>
      </c>
      <c r="O32" s="15">
        <f t="shared" si="0"/>
        <v>21</v>
      </c>
      <c r="P32" s="15">
        <f t="shared" si="1"/>
        <v>69</v>
      </c>
      <c r="R32" s="33" t="s">
        <v>156</v>
      </c>
      <c r="S32" s="34">
        <f>SUM(C98:C101)</f>
        <v>2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3</v>
      </c>
      <c r="AF32" s="31">
        <f t="shared" si="24"/>
        <v>6</v>
      </c>
    </row>
    <row r="33" spans="2:32" ht="23.1" customHeight="1" x14ac:dyDescent="0.25">
      <c r="B33" s="45" t="s">
        <v>60</v>
      </c>
      <c r="C33" s="50">
        <v>12</v>
      </c>
      <c r="D33" s="50">
        <v>2</v>
      </c>
      <c r="E33" s="50">
        <v>1</v>
      </c>
      <c r="F33" s="50">
        <v>3</v>
      </c>
      <c r="G33" s="50">
        <v>0</v>
      </c>
      <c r="H33" s="50">
        <v>0</v>
      </c>
      <c r="I33" s="50">
        <v>0</v>
      </c>
      <c r="J33" s="50">
        <v>0</v>
      </c>
      <c r="K33" s="50">
        <v>0</v>
      </c>
      <c r="L33" s="50">
        <v>0</v>
      </c>
      <c r="M33" s="50">
        <v>11</v>
      </c>
      <c r="N33" s="50">
        <v>0</v>
      </c>
      <c r="O33" s="15">
        <f t="shared" si="0"/>
        <v>18</v>
      </c>
      <c r="P33" s="15">
        <f t="shared" si="1"/>
        <v>29</v>
      </c>
      <c r="R33" s="33" t="s">
        <v>157</v>
      </c>
      <c r="S33" s="34">
        <f>SUM(C102:C105)</f>
        <v>2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0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1</v>
      </c>
      <c r="AB33" s="34">
        <f t="shared" si="25"/>
        <v>0</v>
      </c>
      <c r="AC33" s="34">
        <f t="shared" si="25"/>
        <v>34</v>
      </c>
      <c r="AD33" s="34">
        <f t="shared" si="25"/>
        <v>0</v>
      </c>
      <c r="AE33" s="31">
        <f t="shared" si="25"/>
        <v>6</v>
      </c>
      <c r="AF33" s="31">
        <f t="shared" si="25"/>
        <v>40</v>
      </c>
    </row>
    <row r="34" spans="2:32" ht="23.1" customHeight="1" x14ac:dyDescent="0.25">
      <c r="B34" s="46" t="s">
        <v>61</v>
      </c>
      <c r="C34" s="50">
        <v>11</v>
      </c>
      <c r="D34" s="50">
        <v>2</v>
      </c>
      <c r="E34" s="50">
        <v>2</v>
      </c>
      <c r="F34" s="50">
        <v>4</v>
      </c>
      <c r="G34" s="50">
        <v>1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32</v>
      </c>
      <c r="N34" s="50">
        <v>0</v>
      </c>
      <c r="O34" s="15">
        <f t="shared" si="0"/>
        <v>20</v>
      </c>
      <c r="P34" s="15">
        <f t="shared" si="1"/>
        <v>52</v>
      </c>
      <c r="R34" s="38" t="s">
        <v>90</v>
      </c>
      <c r="S34" s="39">
        <f t="shared" ref="S34:AF34" si="26">MAX(S10:S12)</f>
        <v>87</v>
      </c>
      <c r="T34" s="39">
        <f t="shared" si="26"/>
        <v>14</v>
      </c>
      <c r="U34" s="39">
        <f t="shared" si="26"/>
        <v>7</v>
      </c>
      <c r="V34" s="39">
        <f t="shared" si="26"/>
        <v>19</v>
      </c>
      <c r="W34" s="39">
        <f t="shared" si="26"/>
        <v>0</v>
      </c>
      <c r="X34" s="39">
        <f t="shared" si="26"/>
        <v>0</v>
      </c>
      <c r="Y34" s="39">
        <f t="shared" si="26"/>
        <v>8</v>
      </c>
      <c r="Z34" s="39">
        <f t="shared" si="26"/>
        <v>3</v>
      </c>
      <c r="AA34" s="39">
        <f t="shared" si="26"/>
        <v>0</v>
      </c>
      <c r="AB34" s="39">
        <f t="shared" si="26"/>
        <v>0</v>
      </c>
      <c r="AC34" s="39">
        <f t="shared" si="26"/>
        <v>199</v>
      </c>
      <c r="AD34" s="39">
        <f t="shared" si="26"/>
        <v>0</v>
      </c>
      <c r="AE34" s="40">
        <f t="shared" si="26"/>
        <v>124</v>
      </c>
      <c r="AF34" s="40">
        <f t="shared" si="26"/>
        <v>313</v>
      </c>
    </row>
    <row r="35" spans="2:32" ht="23.1" customHeight="1" x14ac:dyDescent="0.25">
      <c r="B35" s="46" t="s">
        <v>62</v>
      </c>
      <c r="C35" s="50">
        <v>15</v>
      </c>
      <c r="D35" s="50">
        <v>3</v>
      </c>
      <c r="E35" s="50">
        <v>4</v>
      </c>
      <c r="F35" s="50">
        <v>0</v>
      </c>
      <c r="G35" s="50">
        <v>0</v>
      </c>
      <c r="H35" s="50">
        <v>0</v>
      </c>
      <c r="I35" s="50">
        <v>1</v>
      </c>
      <c r="J35" s="50">
        <v>2</v>
      </c>
      <c r="K35" s="50">
        <v>0</v>
      </c>
      <c r="L35" s="50">
        <v>0</v>
      </c>
      <c r="M35" s="50">
        <v>42</v>
      </c>
      <c r="N35" s="50">
        <v>0</v>
      </c>
      <c r="O35" s="15">
        <f t="shared" si="0"/>
        <v>25</v>
      </c>
      <c r="P35" s="15">
        <f t="shared" si="1"/>
        <v>67</v>
      </c>
      <c r="R35" s="38" t="s">
        <v>91</v>
      </c>
      <c r="S35" s="39">
        <f t="shared" ref="S35:AF35" si="27">MAX(S13:S18)</f>
        <v>76</v>
      </c>
      <c r="T35" s="39">
        <f t="shared" si="27"/>
        <v>21</v>
      </c>
      <c r="U35" s="39">
        <f t="shared" si="27"/>
        <v>11</v>
      </c>
      <c r="V35" s="39">
        <f t="shared" si="27"/>
        <v>12</v>
      </c>
      <c r="W35" s="39">
        <f t="shared" si="27"/>
        <v>1</v>
      </c>
      <c r="X35" s="39">
        <f t="shared" si="27"/>
        <v>0</v>
      </c>
      <c r="Y35" s="39">
        <f t="shared" si="27"/>
        <v>8</v>
      </c>
      <c r="Z35" s="39">
        <f t="shared" si="27"/>
        <v>6</v>
      </c>
      <c r="AA35" s="39">
        <f t="shared" si="27"/>
        <v>4</v>
      </c>
      <c r="AB35" s="39">
        <f t="shared" si="27"/>
        <v>0</v>
      </c>
      <c r="AC35" s="39">
        <f t="shared" si="27"/>
        <v>181</v>
      </c>
      <c r="AD35" s="39">
        <f t="shared" si="27"/>
        <v>0</v>
      </c>
      <c r="AE35" s="40">
        <f t="shared" si="27"/>
        <v>125</v>
      </c>
      <c r="AF35" s="40">
        <f t="shared" si="27"/>
        <v>277</v>
      </c>
    </row>
    <row r="36" spans="2:32" ht="23.1" customHeight="1" x14ac:dyDescent="0.25">
      <c r="B36" s="46" t="s">
        <v>63</v>
      </c>
      <c r="C36" s="50">
        <v>13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23</v>
      </c>
      <c r="N36" s="50">
        <v>0</v>
      </c>
      <c r="O36" s="15">
        <f t="shared" si="0"/>
        <v>18</v>
      </c>
      <c r="P36" s="15">
        <f t="shared" si="1"/>
        <v>41</v>
      </c>
      <c r="R36" s="38" t="s">
        <v>92</v>
      </c>
      <c r="S36" s="39">
        <f t="shared" ref="S36:AF36" si="28">MAX(S19:S21)</f>
        <v>81</v>
      </c>
      <c r="T36" s="39">
        <f t="shared" si="28"/>
        <v>20</v>
      </c>
      <c r="U36" s="39">
        <f t="shared" si="28"/>
        <v>12</v>
      </c>
      <c r="V36" s="39">
        <f t="shared" si="28"/>
        <v>16</v>
      </c>
      <c r="W36" s="39">
        <f t="shared" si="28"/>
        <v>3</v>
      </c>
      <c r="X36" s="39">
        <f t="shared" si="28"/>
        <v>1</v>
      </c>
      <c r="Y36" s="39">
        <f t="shared" si="28"/>
        <v>10</v>
      </c>
      <c r="Z36" s="39">
        <f t="shared" si="28"/>
        <v>2</v>
      </c>
      <c r="AA36" s="39">
        <f t="shared" si="28"/>
        <v>6</v>
      </c>
      <c r="AB36" s="39">
        <f t="shared" si="28"/>
        <v>1</v>
      </c>
      <c r="AC36" s="39">
        <f t="shared" si="28"/>
        <v>168</v>
      </c>
      <c r="AD36" s="39">
        <f t="shared" si="28"/>
        <v>0</v>
      </c>
      <c r="AE36" s="40">
        <f t="shared" si="28"/>
        <v>133</v>
      </c>
      <c r="AF36" s="40">
        <f t="shared" si="28"/>
        <v>291</v>
      </c>
    </row>
    <row r="37" spans="2:32" ht="23.1" customHeight="1" x14ac:dyDescent="0.25">
      <c r="B37" s="45" t="s">
        <v>64</v>
      </c>
      <c r="C37" s="50">
        <v>12</v>
      </c>
      <c r="D37" s="50">
        <v>1</v>
      </c>
      <c r="E37" s="50">
        <v>1</v>
      </c>
      <c r="F37" s="50">
        <v>0</v>
      </c>
      <c r="G37" s="50">
        <v>0</v>
      </c>
      <c r="H37" s="50">
        <v>0</v>
      </c>
      <c r="I37" s="50">
        <v>2</v>
      </c>
      <c r="J37" s="50">
        <v>3</v>
      </c>
      <c r="K37" s="50">
        <v>0</v>
      </c>
      <c r="L37" s="50">
        <v>0</v>
      </c>
      <c r="M37" s="50">
        <v>22</v>
      </c>
      <c r="N37" s="50">
        <v>0</v>
      </c>
      <c r="O37" s="15">
        <f t="shared" si="0"/>
        <v>19</v>
      </c>
      <c r="P37" s="15">
        <f t="shared" si="1"/>
        <v>41</v>
      </c>
      <c r="R37" s="37" t="s">
        <v>85</v>
      </c>
      <c r="S37" s="35">
        <f t="shared" ref="S37:AF37" si="29">SUM(S10:S12)</f>
        <v>165</v>
      </c>
      <c r="T37" s="16">
        <f t="shared" si="29"/>
        <v>31</v>
      </c>
      <c r="U37" s="16">
        <f t="shared" si="29"/>
        <v>16</v>
      </c>
      <c r="V37" s="16">
        <f t="shared" si="29"/>
        <v>43</v>
      </c>
      <c r="W37" s="16">
        <f t="shared" si="29"/>
        <v>0</v>
      </c>
      <c r="X37" s="16">
        <f t="shared" si="29"/>
        <v>0</v>
      </c>
      <c r="Y37" s="16">
        <f t="shared" si="29"/>
        <v>16</v>
      </c>
      <c r="Z37" s="16">
        <f t="shared" si="29"/>
        <v>6</v>
      </c>
      <c r="AA37" s="16">
        <f t="shared" si="29"/>
        <v>0</v>
      </c>
      <c r="AB37" s="16">
        <f t="shared" si="29"/>
        <v>0</v>
      </c>
      <c r="AC37" s="16">
        <f t="shared" si="29"/>
        <v>459</v>
      </c>
      <c r="AD37" s="16">
        <f t="shared" si="29"/>
        <v>0</v>
      </c>
      <c r="AE37" s="32">
        <f t="shared" si="29"/>
        <v>277</v>
      </c>
      <c r="AF37" s="32">
        <f t="shared" si="29"/>
        <v>736</v>
      </c>
    </row>
    <row r="38" spans="2:32" ht="23.1" customHeight="1" x14ac:dyDescent="0.25">
      <c r="B38" s="46" t="s">
        <v>65</v>
      </c>
      <c r="C38" s="50">
        <v>16</v>
      </c>
      <c r="D38" s="50">
        <v>1</v>
      </c>
      <c r="E38" s="50">
        <v>3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24</v>
      </c>
      <c r="N38" s="50">
        <v>0</v>
      </c>
      <c r="O38" s="15">
        <f t="shared" si="0"/>
        <v>23</v>
      </c>
      <c r="P38" s="15">
        <f t="shared" si="1"/>
        <v>47</v>
      </c>
      <c r="R38" s="28" t="s">
        <v>86</v>
      </c>
      <c r="S38" s="16">
        <f t="shared" ref="S38:AF38" si="30">SUM(S13:S18)</f>
        <v>368</v>
      </c>
      <c r="T38" s="16">
        <f t="shared" si="30"/>
        <v>71</v>
      </c>
      <c r="U38" s="16">
        <f t="shared" si="30"/>
        <v>49</v>
      </c>
      <c r="V38" s="16">
        <f t="shared" si="30"/>
        <v>45</v>
      </c>
      <c r="W38" s="16">
        <f t="shared" si="30"/>
        <v>1</v>
      </c>
      <c r="X38" s="16">
        <f t="shared" si="30"/>
        <v>0</v>
      </c>
      <c r="Y38" s="16">
        <f t="shared" si="30"/>
        <v>32</v>
      </c>
      <c r="Z38" s="16">
        <f t="shared" si="30"/>
        <v>25</v>
      </c>
      <c r="AA38" s="16">
        <f t="shared" si="30"/>
        <v>4</v>
      </c>
      <c r="AB38" s="16">
        <f t="shared" si="30"/>
        <v>0</v>
      </c>
      <c r="AC38" s="16">
        <f t="shared" si="30"/>
        <v>923</v>
      </c>
      <c r="AD38" s="16">
        <f t="shared" si="30"/>
        <v>0</v>
      </c>
      <c r="AE38" s="32">
        <f t="shared" si="30"/>
        <v>595</v>
      </c>
      <c r="AF38" s="32">
        <f t="shared" si="30"/>
        <v>1518</v>
      </c>
    </row>
    <row r="39" spans="2:32" ht="23.1" customHeight="1" x14ac:dyDescent="0.25">
      <c r="B39" s="46" t="s">
        <v>66</v>
      </c>
      <c r="C39" s="50">
        <v>12</v>
      </c>
      <c r="D39" s="50">
        <v>1</v>
      </c>
      <c r="E39" s="50">
        <v>1</v>
      </c>
      <c r="F39" s="50">
        <v>2</v>
      </c>
      <c r="G39" s="50">
        <v>0</v>
      </c>
      <c r="H39" s="50">
        <v>0</v>
      </c>
      <c r="I39" s="50">
        <v>0</v>
      </c>
      <c r="J39" s="50">
        <v>0</v>
      </c>
      <c r="K39" s="50">
        <v>0</v>
      </c>
      <c r="L39" s="50">
        <v>0</v>
      </c>
      <c r="M39" s="50">
        <v>33</v>
      </c>
      <c r="N39" s="50">
        <v>0</v>
      </c>
      <c r="O39" s="15">
        <f t="shared" si="0"/>
        <v>16</v>
      </c>
      <c r="P39" s="15">
        <f t="shared" si="1"/>
        <v>49</v>
      </c>
      <c r="R39" s="29" t="s">
        <v>87</v>
      </c>
      <c r="S39" s="16">
        <f t="shared" ref="S39:AF39" si="31">SUM(S19:S21)</f>
        <v>226</v>
      </c>
      <c r="T39" s="16">
        <f t="shared" si="31"/>
        <v>30</v>
      </c>
      <c r="U39" s="16">
        <f t="shared" si="31"/>
        <v>23</v>
      </c>
      <c r="V39" s="16">
        <f t="shared" si="31"/>
        <v>27</v>
      </c>
      <c r="W39" s="16">
        <f t="shared" si="31"/>
        <v>3</v>
      </c>
      <c r="X39" s="16">
        <f t="shared" si="31"/>
        <v>1</v>
      </c>
      <c r="Y39" s="16">
        <f t="shared" si="31"/>
        <v>23</v>
      </c>
      <c r="Z39" s="16">
        <f t="shared" si="31"/>
        <v>4</v>
      </c>
      <c r="AA39" s="16">
        <f t="shared" si="31"/>
        <v>6</v>
      </c>
      <c r="AB39" s="16">
        <f t="shared" si="31"/>
        <v>1</v>
      </c>
      <c r="AC39" s="16">
        <f t="shared" si="31"/>
        <v>422</v>
      </c>
      <c r="AD39" s="16">
        <f t="shared" si="31"/>
        <v>0</v>
      </c>
      <c r="AE39" s="32">
        <f t="shared" si="31"/>
        <v>344</v>
      </c>
      <c r="AF39" s="32">
        <f t="shared" si="31"/>
        <v>766</v>
      </c>
    </row>
    <row r="40" spans="2:32" ht="23.1" customHeight="1" x14ac:dyDescent="0.25">
      <c r="B40" s="46" t="s">
        <v>67</v>
      </c>
      <c r="C40" s="50">
        <v>31</v>
      </c>
      <c r="D40" s="50">
        <v>14</v>
      </c>
      <c r="E40" s="50">
        <v>6</v>
      </c>
      <c r="F40" s="50">
        <v>2</v>
      </c>
      <c r="G40" s="50">
        <v>0</v>
      </c>
      <c r="H40" s="50">
        <v>0</v>
      </c>
      <c r="I40" s="50">
        <v>6</v>
      </c>
      <c r="J40" s="50">
        <v>4</v>
      </c>
      <c r="K40" s="50">
        <v>0</v>
      </c>
      <c r="L40" s="50">
        <v>0</v>
      </c>
      <c r="M40" s="50">
        <v>53</v>
      </c>
      <c r="N40" s="50">
        <v>0</v>
      </c>
      <c r="O40" s="15">
        <f t="shared" si="0"/>
        <v>63</v>
      </c>
      <c r="P40" s="15">
        <f t="shared" si="1"/>
        <v>116</v>
      </c>
      <c r="R40" s="5" t="s">
        <v>17</v>
      </c>
      <c r="S40" s="16">
        <f t="shared" ref="S40:AF40" si="32">SUM(S10:S21)</f>
        <v>759</v>
      </c>
      <c r="T40" s="16">
        <f t="shared" si="32"/>
        <v>132</v>
      </c>
      <c r="U40" s="16">
        <f t="shared" si="32"/>
        <v>88</v>
      </c>
      <c r="V40" s="16">
        <f t="shared" si="32"/>
        <v>115</v>
      </c>
      <c r="W40" s="16">
        <f t="shared" si="32"/>
        <v>4</v>
      </c>
      <c r="X40" s="16">
        <f t="shared" si="32"/>
        <v>1</v>
      </c>
      <c r="Y40" s="16">
        <f t="shared" si="32"/>
        <v>71</v>
      </c>
      <c r="Z40" s="16">
        <f t="shared" si="32"/>
        <v>35</v>
      </c>
      <c r="AA40" s="16">
        <f t="shared" si="32"/>
        <v>10</v>
      </c>
      <c r="AB40" s="16">
        <f t="shared" si="32"/>
        <v>1</v>
      </c>
      <c r="AC40" s="16">
        <f t="shared" si="32"/>
        <v>1804</v>
      </c>
      <c r="AD40" s="16">
        <f t="shared" si="32"/>
        <v>0</v>
      </c>
      <c r="AE40" s="32">
        <f t="shared" si="32"/>
        <v>1216</v>
      </c>
      <c r="AF40" s="32">
        <f t="shared" si="32"/>
        <v>3020</v>
      </c>
    </row>
    <row r="41" spans="2:32" ht="23.1" customHeight="1" x14ac:dyDescent="0.25">
      <c r="B41" s="45" t="s">
        <v>68</v>
      </c>
      <c r="C41" s="50">
        <v>17</v>
      </c>
      <c r="D41" s="50">
        <v>2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38</v>
      </c>
      <c r="N41" s="50">
        <v>0</v>
      </c>
      <c r="O41" s="15">
        <f t="shared" si="0"/>
        <v>23</v>
      </c>
      <c r="P41" s="15">
        <f t="shared" si="1"/>
        <v>61</v>
      </c>
      <c r="R41" s="5" t="s">
        <v>159</v>
      </c>
      <c r="S41" s="16">
        <f>SUM(S10:S33)</f>
        <v>968</v>
      </c>
      <c r="T41" s="16">
        <f t="shared" ref="T41:AF41" si="33">SUM(T10:T33)</f>
        <v>153</v>
      </c>
      <c r="U41" s="16">
        <f t="shared" si="33"/>
        <v>120</v>
      </c>
      <c r="V41" s="16">
        <f t="shared" si="33"/>
        <v>139</v>
      </c>
      <c r="W41" s="16">
        <f t="shared" si="33"/>
        <v>5</v>
      </c>
      <c r="X41" s="16">
        <f t="shared" si="33"/>
        <v>2</v>
      </c>
      <c r="Y41" s="16">
        <f t="shared" si="33"/>
        <v>102</v>
      </c>
      <c r="Z41" s="16">
        <f t="shared" si="33"/>
        <v>55</v>
      </c>
      <c r="AA41" s="16">
        <f t="shared" si="33"/>
        <v>13</v>
      </c>
      <c r="AB41" s="16">
        <f t="shared" si="33"/>
        <v>2</v>
      </c>
      <c r="AC41" s="16">
        <f t="shared" si="33"/>
        <v>2169</v>
      </c>
      <c r="AD41" s="16">
        <f t="shared" si="33"/>
        <v>0</v>
      </c>
      <c r="AE41" s="32">
        <f t="shared" si="33"/>
        <v>1559</v>
      </c>
      <c r="AF41" s="32">
        <f t="shared" si="33"/>
        <v>3728</v>
      </c>
    </row>
    <row r="42" spans="2:32" ht="23.1" customHeight="1" x14ac:dyDescent="0.25">
      <c r="B42" s="46" t="s">
        <v>69</v>
      </c>
      <c r="C42" s="50">
        <v>14</v>
      </c>
      <c r="D42" s="50">
        <v>2</v>
      </c>
      <c r="E42" s="50">
        <v>3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0</v>
      </c>
      <c r="M42" s="50">
        <v>70</v>
      </c>
      <c r="N42" s="50">
        <v>0</v>
      </c>
      <c r="O42" s="15">
        <f t="shared" si="0"/>
        <v>25</v>
      </c>
      <c r="P42" s="15">
        <f t="shared" si="1"/>
        <v>95</v>
      </c>
      <c r="R42" s="5" t="s">
        <v>160</v>
      </c>
      <c r="S42" s="48">
        <f>S41/S40</f>
        <v>1.2753623188405796</v>
      </c>
      <c r="T42" s="48">
        <f t="shared" ref="T42:AF42" si="34">T41/T40</f>
        <v>1.1590909090909092</v>
      </c>
      <c r="U42" s="48">
        <f t="shared" si="34"/>
        <v>1.3636363636363635</v>
      </c>
      <c r="V42" s="48">
        <f t="shared" si="34"/>
        <v>1.2086956521739129</v>
      </c>
      <c r="W42" s="48">
        <f t="shared" si="34"/>
        <v>1.25</v>
      </c>
      <c r="X42" s="48">
        <f t="shared" si="34"/>
        <v>2</v>
      </c>
      <c r="Y42" s="48">
        <f t="shared" si="34"/>
        <v>1.4366197183098592</v>
      </c>
      <c r="Z42" s="48">
        <f t="shared" si="34"/>
        <v>1.5714285714285714</v>
      </c>
      <c r="AA42" s="48">
        <f t="shared" si="34"/>
        <v>1.3</v>
      </c>
      <c r="AB42" s="48">
        <f t="shared" si="34"/>
        <v>2</v>
      </c>
      <c r="AC42" s="48">
        <f t="shared" si="34"/>
        <v>1.2023281596452329</v>
      </c>
      <c r="AD42" s="48" t="e">
        <f t="shared" si="34"/>
        <v>#DIV/0!</v>
      </c>
      <c r="AE42" s="48">
        <f t="shared" si="34"/>
        <v>1.2820723684210527</v>
      </c>
      <c r="AF42" s="48">
        <f t="shared" si="34"/>
        <v>1.2344370860927152</v>
      </c>
    </row>
    <row r="43" spans="2:32" ht="23.1" customHeight="1" x14ac:dyDescent="0.25">
      <c r="B43" s="45" t="s">
        <v>70</v>
      </c>
      <c r="C43" s="50">
        <v>5</v>
      </c>
      <c r="D43" s="50">
        <v>3</v>
      </c>
      <c r="E43" s="50">
        <v>1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4</v>
      </c>
      <c r="L43" s="50">
        <v>0</v>
      </c>
      <c r="M43" s="50">
        <v>34</v>
      </c>
      <c r="N43" s="50">
        <v>0</v>
      </c>
      <c r="O43" s="15">
        <f t="shared" si="0"/>
        <v>15</v>
      </c>
      <c r="P43" s="15">
        <f t="shared" si="1"/>
        <v>49</v>
      </c>
    </row>
    <row r="44" spans="2:32" ht="23.1" customHeight="1" x14ac:dyDescent="0.25">
      <c r="B44" s="47" t="s">
        <v>71</v>
      </c>
      <c r="C44" s="50">
        <v>14</v>
      </c>
      <c r="D44" s="50">
        <v>3</v>
      </c>
      <c r="E44" s="50">
        <v>1</v>
      </c>
      <c r="F44" s="50">
        <v>1</v>
      </c>
      <c r="G44" s="50">
        <v>0</v>
      </c>
      <c r="H44" s="50">
        <v>0</v>
      </c>
      <c r="I44" s="50">
        <v>3</v>
      </c>
      <c r="J44" s="50">
        <v>4</v>
      </c>
      <c r="K44" s="50">
        <v>0</v>
      </c>
      <c r="L44" s="50">
        <v>0</v>
      </c>
      <c r="M44" s="50">
        <v>18</v>
      </c>
      <c r="N44" s="50">
        <v>0</v>
      </c>
      <c r="O44" s="15">
        <f t="shared" si="0"/>
        <v>26</v>
      </c>
      <c r="P44" s="15">
        <f t="shared" si="1"/>
        <v>44</v>
      </c>
    </row>
    <row r="45" spans="2:32" ht="23.1" customHeight="1" x14ac:dyDescent="0.25">
      <c r="B45" s="45" t="s">
        <v>72</v>
      </c>
      <c r="C45" s="50">
        <v>6</v>
      </c>
      <c r="D45" s="50">
        <v>7</v>
      </c>
      <c r="E45" s="50">
        <v>4</v>
      </c>
      <c r="F45" s="50">
        <v>0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37</v>
      </c>
      <c r="N45" s="50">
        <v>0</v>
      </c>
      <c r="O45" s="15">
        <f t="shared" si="0"/>
        <v>19</v>
      </c>
      <c r="P45" s="15">
        <f t="shared" si="1"/>
        <v>56</v>
      </c>
    </row>
    <row r="46" spans="2:32" ht="23.1" customHeight="1" x14ac:dyDescent="0.25">
      <c r="B46" s="46" t="s">
        <v>73</v>
      </c>
      <c r="C46" s="50">
        <v>17</v>
      </c>
      <c r="D46" s="50">
        <v>10</v>
      </c>
      <c r="E46" s="50">
        <v>4</v>
      </c>
      <c r="F46" s="50">
        <v>0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45</v>
      </c>
      <c r="N46" s="50">
        <v>0</v>
      </c>
      <c r="O46" s="15">
        <f t="shared" si="0"/>
        <v>33</v>
      </c>
      <c r="P46" s="15">
        <f t="shared" si="1"/>
        <v>78</v>
      </c>
      <c r="R46" s="8"/>
      <c r="T46"/>
    </row>
    <row r="47" spans="2:32" ht="23.1" customHeight="1" x14ac:dyDescent="0.25">
      <c r="B47" s="46" t="s">
        <v>74</v>
      </c>
      <c r="C47" s="50">
        <v>23</v>
      </c>
      <c r="D47" s="50">
        <v>3</v>
      </c>
      <c r="E47" s="50">
        <v>1</v>
      </c>
      <c r="F47" s="50">
        <v>2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43</v>
      </c>
      <c r="N47" s="50">
        <v>0</v>
      </c>
      <c r="O47" s="15">
        <f t="shared" si="0"/>
        <v>31</v>
      </c>
      <c r="P47" s="15">
        <f t="shared" si="1"/>
        <v>74</v>
      </c>
      <c r="R47" s="8"/>
      <c r="T47"/>
    </row>
    <row r="48" spans="2:32" ht="23.1" customHeight="1" x14ac:dyDescent="0.25">
      <c r="B48" s="46" t="s">
        <v>75</v>
      </c>
      <c r="C48" s="50">
        <v>23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41</v>
      </c>
      <c r="N48" s="50">
        <v>0</v>
      </c>
      <c r="O48" s="15">
        <f t="shared" si="0"/>
        <v>27</v>
      </c>
      <c r="P48" s="15">
        <f t="shared" si="1"/>
        <v>68</v>
      </c>
      <c r="R48" s="8"/>
      <c r="T48"/>
    </row>
    <row r="49" spans="2:20" ht="23.1" customHeight="1" x14ac:dyDescent="0.25">
      <c r="B49" s="45" t="s">
        <v>76</v>
      </c>
      <c r="C49" s="50">
        <v>18</v>
      </c>
      <c r="D49" s="50">
        <v>6</v>
      </c>
      <c r="E49" s="50">
        <v>1</v>
      </c>
      <c r="F49" s="50">
        <v>4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1</v>
      </c>
      <c r="M49" s="50">
        <v>39</v>
      </c>
      <c r="N49" s="50">
        <v>0</v>
      </c>
      <c r="O49" s="15">
        <f t="shared" si="0"/>
        <v>32</v>
      </c>
      <c r="P49" s="15">
        <f t="shared" si="1"/>
        <v>71</v>
      </c>
      <c r="R49" s="8"/>
      <c r="T49"/>
    </row>
    <row r="50" spans="2:20" ht="23.1" customHeight="1" x14ac:dyDescent="0.25">
      <c r="B50" s="46" t="s">
        <v>77</v>
      </c>
      <c r="C50" s="50">
        <v>23</v>
      </c>
      <c r="D50" s="50">
        <v>2</v>
      </c>
      <c r="E50" s="50">
        <v>1</v>
      </c>
      <c r="F50" s="50">
        <v>7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0</v>
      </c>
      <c r="M50" s="50">
        <v>53</v>
      </c>
      <c r="N50" s="50">
        <v>0</v>
      </c>
      <c r="O50" s="15">
        <f t="shared" si="0"/>
        <v>37</v>
      </c>
      <c r="P50" s="15">
        <f t="shared" si="1"/>
        <v>90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1</v>
      </c>
      <c r="E51" s="50">
        <v>4</v>
      </c>
      <c r="F51" s="50">
        <v>1</v>
      </c>
      <c r="G51" s="50">
        <v>0</v>
      </c>
      <c r="H51" s="50">
        <v>1</v>
      </c>
      <c r="I51" s="50">
        <v>1</v>
      </c>
      <c r="J51" s="50">
        <v>0</v>
      </c>
      <c r="K51" s="50">
        <v>2</v>
      </c>
      <c r="L51" s="50">
        <v>0</v>
      </c>
      <c r="M51" s="50">
        <v>28</v>
      </c>
      <c r="N51" s="50">
        <v>0</v>
      </c>
      <c r="O51" s="15">
        <f t="shared" si="0"/>
        <v>28</v>
      </c>
      <c r="P51" s="15">
        <f t="shared" si="1"/>
        <v>56</v>
      </c>
      <c r="R51" s="8"/>
      <c r="T51"/>
    </row>
    <row r="52" spans="2:20" ht="23.1" customHeight="1" x14ac:dyDescent="0.25">
      <c r="B52" s="46" t="s">
        <v>79</v>
      </c>
      <c r="C52" s="50">
        <v>24</v>
      </c>
      <c r="D52" s="50">
        <v>0</v>
      </c>
      <c r="E52" s="50">
        <v>5</v>
      </c>
      <c r="F52" s="50">
        <v>2</v>
      </c>
      <c r="G52" s="50">
        <v>0</v>
      </c>
      <c r="H52" s="50">
        <v>0</v>
      </c>
      <c r="I52" s="50">
        <v>3</v>
      </c>
      <c r="J52" s="50">
        <v>0</v>
      </c>
      <c r="K52" s="50">
        <v>3</v>
      </c>
      <c r="L52" s="50">
        <v>0</v>
      </c>
      <c r="M52" s="50">
        <v>39</v>
      </c>
      <c r="N52" s="50">
        <v>0</v>
      </c>
      <c r="O52" s="15">
        <f t="shared" si="0"/>
        <v>37</v>
      </c>
      <c r="P52" s="15">
        <f t="shared" si="1"/>
        <v>76</v>
      </c>
      <c r="R52" s="8"/>
      <c r="T52"/>
    </row>
    <row r="53" spans="2:20" ht="23.1" customHeight="1" x14ac:dyDescent="0.25">
      <c r="B53" s="45" t="s">
        <v>80</v>
      </c>
      <c r="C53" s="50">
        <v>16</v>
      </c>
      <c r="D53" s="50">
        <v>3</v>
      </c>
      <c r="E53" s="50">
        <v>2</v>
      </c>
      <c r="F53" s="50">
        <v>6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36</v>
      </c>
      <c r="N53" s="50">
        <v>0</v>
      </c>
      <c r="O53" s="15">
        <f t="shared" si="0"/>
        <v>31</v>
      </c>
      <c r="P53" s="15">
        <f t="shared" si="1"/>
        <v>67</v>
      </c>
      <c r="R53" s="8"/>
      <c r="T53"/>
    </row>
    <row r="54" spans="2:20" ht="23.1" customHeight="1" x14ac:dyDescent="0.25">
      <c r="B54" s="45" t="s">
        <v>81</v>
      </c>
      <c r="C54" s="50">
        <v>12</v>
      </c>
      <c r="D54" s="50">
        <v>2</v>
      </c>
      <c r="E54" s="50">
        <v>1</v>
      </c>
      <c r="F54" s="50">
        <v>1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31</v>
      </c>
      <c r="N54" s="50">
        <v>0</v>
      </c>
      <c r="O54" s="15">
        <f t="shared" si="0"/>
        <v>19</v>
      </c>
      <c r="P54" s="15">
        <f t="shared" si="1"/>
        <v>50</v>
      </c>
      <c r="R54" s="8"/>
      <c r="T54"/>
    </row>
    <row r="55" spans="2:20" ht="23.1" customHeight="1" x14ac:dyDescent="0.25">
      <c r="B55" s="45" t="s">
        <v>82</v>
      </c>
      <c r="C55" s="50">
        <v>30</v>
      </c>
      <c r="D55" s="50">
        <v>2</v>
      </c>
      <c r="E55" s="50">
        <v>1</v>
      </c>
      <c r="F55" s="50">
        <v>3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0</v>
      </c>
      <c r="M55" s="50">
        <v>19</v>
      </c>
      <c r="N55" s="50">
        <v>0</v>
      </c>
      <c r="O55" s="15">
        <f t="shared" si="0"/>
        <v>37</v>
      </c>
      <c r="P55" s="15">
        <f t="shared" si="1"/>
        <v>56</v>
      </c>
      <c r="R55" s="8"/>
      <c r="T55"/>
    </row>
    <row r="56" spans="2:20" ht="23.1" customHeight="1" x14ac:dyDescent="0.25">
      <c r="B56" s="45" t="s">
        <v>83</v>
      </c>
      <c r="C56" s="50">
        <v>9</v>
      </c>
      <c r="D56" s="50">
        <v>0</v>
      </c>
      <c r="E56" s="50">
        <v>0</v>
      </c>
      <c r="F56" s="50">
        <v>0</v>
      </c>
      <c r="G56" s="50">
        <v>1</v>
      </c>
      <c r="H56" s="50">
        <v>0</v>
      </c>
      <c r="I56" s="50">
        <v>4</v>
      </c>
      <c r="J56" s="50">
        <v>1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15</v>
      </c>
      <c r="P56" s="15">
        <f t="shared" si="1"/>
        <v>35</v>
      </c>
      <c r="R56" s="8"/>
      <c r="T56"/>
    </row>
    <row r="57" spans="2:20" ht="23.1" customHeight="1" x14ac:dyDescent="0.25">
      <c r="B57" s="45" t="s">
        <v>84</v>
      </c>
      <c r="C57" s="50">
        <v>13</v>
      </c>
      <c r="D57" s="50">
        <v>0</v>
      </c>
      <c r="E57" s="50">
        <v>1</v>
      </c>
      <c r="F57" s="50">
        <v>0</v>
      </c>
      <c r="G57" s="50">
        <v>2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28</v>
      </c>
      <c r="N57" s="50">
        <v>0</v>
      </c>
      <c r="O57" s="15">
        <f t="shared" si="0"/>
        <v>17</v>
      </c>
      <c r="P57" s="15">
        <f t="shared" si="1"/>
        <v>45</v>
      </c>
      <c r="R57" s="8"/>
      <c r="T57"/>
    </row>
    <row r="58" spans="2:20" ht="23.1" customHeight="1" x14ac:dyDescent="0.25">
      <c r="B58" s="45" t="s">
        <v>99</v>
      </c>
      <c r="C58" s="50">
        <v>12</v>
      </c>
      <c r="D58" s="50">
        <v>0</v>
      </c>
      <c r="E58" s="50">
        <v>3</v>
      </c>
      <c r="F58" s="50">
        <v>0</v>
      </c>
      <c r="G58" s="50">
        <v>0</v>
      </c>
      <c r="H58" s="50">
        <v>0</v>
      </c>
      <c r="I58" s="50">
        <v>3</v>
      </c>
      <c r="J58" s="50">
        <v>1</v>
      </c>
      <c r="K58" s="50">
        <v>1</v>
      </c>
      <c r="L58" s="50">
        <v>0</v>
      </c>
      <c r="M58" s="50">
        <v>35</v>
      </c>
      <c r="N58" s="50">
        <v>0</v>
      </c>
      <c r="O58" s="15">
        <f t="shared" ref="O58:O105" si="35">SUM(C58:L58,N58)</f>
        <v>20</v>
      </c>
      <c r="P58" s="15">
        <f t="shared" ref="P58:P105" si="36">SUM(C58:N58)</f>
        <v>55</v>
      </c>
      <c r="R58" s="8"/>
      <c r="T58"/>
    </row>
    <row r="59" spans="2:20" ht="23.1" customHeight="1" x14ac:dyDescent="0.25">
      <c r="B59" s="45" t="s">
        <v>100</v>
      </c>
      <c r="C59" s="50">
        <v>4</v>
      </c>
      <c r="D59" s="50">
        <v>0</v>
      </c>
      <c r="E59" s="50">
        <v>1</v>
      </c>
      <c r="F59" s="50">
        <v>0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30</v>
      </c>
      <c r="N59" s="50">
        <v>0</v>
      </c>
      <c r="O59" s="15">
        <f t="shared" si="35"/>
        <v>5</v>
      </c>
      <c r="P59" s="15">
        <f t="shared" si="36"/>
        <v>35</v>
      </c>
      <c r="R59" s="8"/>
      <c r="T59"/>
    </row>
    <row r="60" spans="2:20" ht="23.1" customHeight="1" x14ac:dyDescent="0.25">
      <c r="B60" s="45" t="s">
        <v>101</v>
      </c>
      <c r="C60" s="50">
        <v>12</v>
      </c>
      <c r="D60" s="50">
        <v>1</v>
      </c>
      <c r="E60" s="50">
        <v>1</v>
      </c>
      <c r="F60" s="50">
        <v>4</v>
      </c>
      <c r="G60" s="50">
        <v>0</v>
      </c>
      <c r="H60" s="50">
        <v>0</v>
      </c>
      <c r="I60" s="50">
        <v>1</v>
      </c>
      <c r="J60" s="50">
        <v>2</v>
      </c>
      <c r="K60" s="50">
        <v>0</v>
      </c>
      <c r="L60" s="50">
        <v>0</v>
      </c>
      <c r="M60" s="50">
        <v>33</v>
      </c>
      <c r="N60" s="50">
        <v>0</v>
      </c>
      <c r="O60" s="15">
        <f t="shared" si="35"/>
        <v>21</v>
      </c>
      <c r="P60" s="15">
        <f t="shared" si="36"/>
        <v>54</v>
      </c>
      <c r="R60" s="8"/>
      <c r="T60"/>
    </row>
    <row r="61" spans="2:20" ht="23.1" customHeight="1" x14ac:dyDescent="0.25">
      <c r="B61" s="45" t="s">
        <v>102</v>
      </c>
      <c r="C61" s="50">
        <v>19</v>
      </c>
      <c r="D61" s="50">
        <v>2</v>
      </c>
      <c r="E61" s="50">
        <v>5</v>
      </c>
      <c r="F61" s="50">
        <v>1</v>
      </c>
      <c r="G61" s="50">
        <v>0</v>
      </c>
      <c r="H61" s="50">
        <v>0</v>
      </c>
      <c r="I61" s="50">
        <v>5</v>
      </c>
      <c r="J61" s="50">
        <v>2</v>
      </c>
      <c r="K61" s="50">
        <v>1</v>
      </c>
      <c r="L61" s="50">
        <v>0</v>
      </c>
      <c r="M61" s="50">
        <v>32</v>
      </c>
      <c r="N61" s="50">
        <v>0</v>
      </c>
      <c r="O61" s="15">
        <f t="shared" si="35"/>
        <v>35</v>
      </c>
      <c r="P61" s="15">
        <f t="shared" si="36"/>
        <v>67</v>
      </c>
      <c r="R61" s="8"/>
      <c r="T61"/>
    </row>
    <row r="62" spans="2:20" ht="23.1" customHeight="1" x14ac:dyDescent="0.25">
      <c r="B62" s="45" t="s">
        <v>107</v>
      </c>
      <c r="C62" s="50">
        <v>15</v>
      </c>
      <c r="D62" s="50">
        <v>3</v>
      </c>
      <c r="E62" s="50">
        <v>0</v>
      </c>
      <c r="F62" s="50">
        <v>2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21</v>
      </c>
      <c r="N62" s="50">
        <v>0</v>
      </c>
      <c r="O62" s="15">
        <f t="shared" si="35"/>
        <v>22</v>
      </c>
      <c r="P62" s="15">
        <f t="shared" si="36"/>
        <v>43</v>
      </c>
      <c r="R62" s="8"/>
      <c r="T62"/>
    </row>
    <row r="63" spans="2:20" ht="23.1" customHeight="1" x14ac:dyDescent="0.25">
      <c r="B63" s="45" t="s">
        <v>108</v>
      </c>
      <c r="C63" s="50">
        <v>10</v>
      </c>
      <c r="D63" s="50">
        <v>0</v>
      </c>
      <c r="E63" s="50">
        <v>2</v>
      </c>
      <c r="F63" s="50">
        <v>1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20</v>
      </c>
      <c r="N63" s="50">
        <v>0</v>
      </c>
      <c r="O63" s="15">
        <f t="shared" si="35"/>
        <v>14</v>
      </c>
      <c r="P63" s="15">
        <f t="shared" si="36"/>
        <v>34</v>
      </c>
      <c r="R63" s="8"/>
      <c r="T63"/>
    </row>
    <row r="64" spans="2:20" ht="23.1" customHeight="1" x14ac:dyDescent="0.25">
      <c r="B64" s="45" t="s">
        <v>109</v>
      </c>
      <c r="C64" s="50">
        <v>14</v>
      </c>
      <c r="D64" s="50">
        <v>1</v>
      </c>
      <c r="E64" s="50">
        <v>4</v>
      </c>
      <c r="F64" s="50">
        <v>1</v>
      </c>
      <c r="G64" s="50">
        <v>0</v>
      </c>
      <c r="H64" s="50">
        <v>0</v>
      </c>
      <c r="I64" s="50">
        <v>3</v>
      </c>
      <c r="J64" s="50">
        <v>0</v>
      </c>
      <c r="K64" s="50">
        <v>0</v>
      </c>
      <c r="L64" s="50">
        <v>0</v>
      </c>
      <c r="M64" s="50">
        <v>12</v>
      </c>
      <c r="N64" s="50">
        <v>0</v>
      </c>
      <c r="O64" s="15">
        <f t="shared" si="35"/>
        <v>23</v>
      </c>
      <c r="P64" s="15">
        <f t="shared" si="36"/>
        <v>35</v>
      </c>
      <c r="R64" s="8"/>
      <c r="T64"/>
    </row>
    <row r="65" spans="2:20" ht="23.1" customHeight="1" x14ac:dyDescent="0.25">
      <c r="B65" s="45" t="s">
        <v>158</v>
      </c>
      <c r="C65" s="50">
        <v>5</v>
      </c>
      <c r="D65" s="50">
        <v>4</v>
      </c>
      <c r="E65" s="50">
        <v>3</v>
      </c>
      <c r="F65" s="50">
        <v>1</v>
      </c>
      <c r="G65" s="50">
        <v>0</v>
      </c>
      <c r="H65" s="50">
        <v>0</v>
      </c>
      <c r="I65" s="50">
        <v>2</v>
      </c>
      <c r="J65" s="50">
        <v>1</v>
      </c>
      <c r="K65" s="50">
        <v>0</v>
      </c>
      <c r="L65" s="50">
        <v>0</v>
      </c>
      <c r="M65" s="50">
        <v>24</v>
      </c>
      <c r="N65" s="50">
        <v>0</v>
      </c>
      <c r="O65" s="15">
        <f t="shared" si="35"/>
        <v>16</v>
      </c>
      <c r="P65" s="15">
        <f t="shared" si="36"/>
        <v>40</v>
      </c>
      <c r="R65" s="8"/>
      <c r="T65"/>
    </row>
    <row r="66" spans="2:20" ht="23.1" customHeight="1" x14ac:dyDescent="0.25">
      <c r="B66" s="45" t="s">
        <v>103</v>
      </c>
      <c r="C66" s="50">
        <v>18</v>
      </c>
      <c r="D66" s="50">
        <v>2</v>
      </c>
      <c r="E66" s="50">
        <v>1</v>
      </c>
      <c r="F66" s="50">
        <v>4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0</v>
      </c>
      <c r="M66" s="50">
        <v>22</v>
      </c>
      <c r="N66" s="50">
        <v>0</v>
      </c>
      <c r="O66" s="15">
        <f t="shared" si="35"/>
        <v>26</v>
      </c>
      <c r="P66" s="15">
        <f t="shared" si="36"/>
        <v>48</v>
      </c>
      <c r="R66" s="8"/>
      <c r="T66"/>
    </row>
    <row r="67" spans="2:20" ht="23.1" customHeight="1" x14ac:dyDescent="0.25">
      <c r="B67" s="45" t="s">
        <v>104</v>
      </c>
      <c r="C67" s="50">
        <v>12</v>
      </c>
      <c r="D67" s="50">
        <v>1</v>
      </c>
      <c r="E67" s="50">
        <v>2</v>
      </c>
      <c r="F67" s="50">
        <v>2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18</v>
      </c>
      <c r="N67" s="50">
        <v>0</v>
      </c>
      <c r="O67" s="15">
        <f t="shared" si="35"/>
        <v>17</v>
      </c>
      <c r="P67" s="15">
        <f t="shared" si="36"/>
        <v>35</v>
      </c>
      <c r="R67" s="8"/>
      <c r="T67"/>
    </row>
    <row r="68" spans="2:20" ht="23.1" customHeight="1" x14ac:dyDescent="0.25">
      <c r="B68" s="45" t="s">
        <v>105</v>
      </c>
      <c r="C68" s="50">
        <v>6</v>
      </c>
      <c r="D68" s="50">
        <v>1</v>
      </c>
      <c r="E68" s="50">
        <v>3</v>
      </c>
      <c r="F68" s="50">
        <v>0</v>
      </c>
      <c r="G68" s="50">
        <v>0</v>
      </c>
      <c r="H68" s="50">
        <v>1</v>
      </c>
      <c r="I68" s="50">
        <v>0</v>
      </c>
      <c r="J68" s="50">
        <v>0</v>
      </c>
      <c r="K68" s="50">
        <v>0</v>
      </c>
      <c r="L68" s="50">
        <v>0</v>
      </c>
      <c r="M68" s="50">
        <v>10</v>
      </c>
      <c r="N68" s="50">
        <v>0</v>
      </c>
      <c r="O68" s="15">
        <f t="shared" si="35"/>
        <v>11</v>
      </c>
      <c r="P68" s="15">
        <f t="shared" si="36"/>
        <v>21</v>
      </c>
      <c r="R68" s="8"/>
      <c r="T68"/>
    </row>
    <row r="69" spans="2:20" ht="23.1" customHeight="1" x14ac:dyDescent="0.25">
      <c r="B69" s="45" t="s">
        <v>106</v>
      </c>
      <c r="C69" s="50">
        <v>9</v>
      </c>
      <c r="D69" s="50">
        <v>0</v>
      </c>
      <c r="E69" s="50">
        <v>2</v>
      </c>
      <c r="F69" s="50">
        <v>0</v>
      </c>
      <c r="G69" s="50">
        <v>0</v>
      </c>
      <c r="H69" s="50">
        <v>0</v>
      </c>
      <c r="I69" s="50">
        <v>2</v>
      </c>
      <c r="J69" s="50">
        <v>1</v>
      </c>
      <c r="K69" s="50">
        <v>0</v>
      </c>
      <c r="L69" s="50">
        <v>0</v>
      </c>
      <c r="M69" s="50">
        <v>10</v>
      </c>
      <c r="N69" s="50">
        <v>0</v>
      </c>
      <c r="O69" s="15">
        <f t="shared" si="35"/>
        <v>14</v>
      </c>
      <c r="P69" s="15">
        <f t="shared" si="36"/>
        <v>24</v>
      </c>
      <c r="R69" s="8"/>
      <c r="T69"/>
    </row>
    <row r="70" spans="2:20" ht="23.1" customHeight="1" x14ac:dyDescent="0.25">
      <c r="B70" s="45" t="s">
        <v>110</v>
      </c>
      <c r="C70" s="50">
        <v>12</v>
      </c>
      <c r="D70" s="50">
        <v>1</v>
      </c>
      <c r="E70" s="50">
        <v>3</v>
      </c>
      <c r="F70" s="50">
        <v>3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13</v>
      </c>
      <c r="N70" s="50">
        <v>0</v>
      </c>
      <c r="O70" s="15">
        <f t="shared" si="35"/>
        <v>20</v>
      </c>
      <c r="P70" s="15">
        <f t="shared" si="36"/>
        <v>33</v>
      </c>
      <c r="R70" s="8"/>
      <c r="T70"/>
    </row>
    <row r="71" spans="2:20" ht="23.1" customHeight="1" x14ac:dyDescent="0.25">
      <c r="B71" s="45" t="s">
        <v>111</v>
      </c>
      <c r="C71" s="50">
        <v>7</v>
      </c>
      <c r="D71" s="50">
        <v>1</v>
      </c>
      <c r="E71" s="50">
        <v>0</v>
      </c>
      <c r="F71" s="50">
        <v>1</v>
      </c>
      <c r="G71" s="50">
        <v>0</v>
      </c>
      <c r="H71" s="50">
        <v>0</v>
      </c>
      <c r="I71" s="50">
        <v>0</v>
      </c>
      <c r="J71" s="50">
        <v>2</v>
      </c>
      <c r="K71" s="50">
        <v>0</v>
      </c>
      <c r="L71" s="50">
        <v>0</v>
      </c>
      <c r="M71" s="50">
        <v>4</v>
      </c>
      <c r="N71" s="50">
        <v>0</v>
      </c>
      <c r="O71" s="15">
        <f t="shared" si="35"/>
        <v>11</v>
      </c>
      <c r="P71" s="15">
        <f t="shared" si="36"/>
        <v>15</v>
      </c>
      <c r="R71" s="8"/>
      <c r="T71"/>
    </row>
    <row r="72" spans="2:20" ht="23.1" customHeight="1" x14ac:dyDescent="0.25">
      <c r="B72" s="45" t="s">
        <v>112</v>
      </c>
      <c r="C72" s="50">
        <v>12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1</v>
      </c>
      <c r="K72" s="50">
        <v>0</v>
      </c>
      <c r="L72" s="50">
        <v>0</v>
      </c>
      <c r="M72" s="50">
        <v>7</v>
      </c>
      <c r="N72" s="50">
        <v>0</v>
      </c>
      <c r="O72" s="15">
        <f t="shared" si="35"/>
        <v>14</v>
      </c>
      <c r="P72" s="15">
        <f t="shared" si="36"/>
        <v>21</v>
      </c>
      <c r="R72" s="8"/>
      <c r="T72"/>
    </row>
    <row r="73" spans="2:20" ht="23.1" customHeight="1" x14ac:dyDescent="0.25">
      <c r="B73" s="45" t="s">
        <v>113</v>
      </c>
      <c r="C73" s="50">
        <v>6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4</v>
      </c>
      <c r="N73" s="50">
        <v>0</v>
      </c>
      <c r="O73" s="15">
        <f t="shared" si="35"/>
        <v>8</v>
      </c>
      <c r="P73" s="15">
        <f t="shared" si="36"/>
        <v>12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si="35"/>
        <v>5</v>
      </c>
      <c r="P74" s="15">
        <f t="shared" si="36"/>
        <v>6</v>
      </c>
      <c r="R74" s="8"/>
      <c r="T74"/>
    </row>
    <row r="75" spans="2:20" ht="23.1" customHeight="1" x14ac:dyDescent="0.25">
      <c r="B75" s="45" t="s">
        <v>115</v>
      </c>
      <c r="C75" s="50">
        <v>4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2</v>
      </c>
      <c r="J75" s="50">
        <v>1</v>
      </c>
      <c r="K75" s="50">
        <v>0</v>
      </c>
      <c r="L75" s="50">
        <v>0</v>
      </c>
      <c r="M75" s="50">
        <v>2</v>
      </c>
      <c r="N75" s="50">
        <v>0</v>
      </c>
      <c r="O75" s="15">
        <f t="shared" si="35"/>
        <v>7</v>
      </c>
      <c r="P75" s="15">
        <f t="shared" si="36"/>
        <v>9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0</v>
      </c>
      <c r="E76" s="50">
        <v>0</v>
      </c>
      <c r="F76" s="50">
        <v>0</v>
      </c>
      <c r="G76" s="50">
        <v>1</v>
      </c>
      <c r="H76" s="50">
        <v>0</v>
      </c>
      <c r="I76" s="50">
        <v>1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4</v>
      </c>
      <c r="P76" s="15">
        <f t="shared" si="36"/>
        <v>4</v>
      </c>
      <c r="R76" s="8"/>
      <c r="T76"/>
    </row>
    <row r="77" spans="2:20" ht="23.1" customHeight="1" x14ac:dyDescent="0.25">
      <c r="B77" s="45" t="s">
        <v>117</v>
      </c>
      <c r="C77" s="50">
        <v>6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1</v>
      </c>
      <c r="K77" s="50">
        <v>0</v>
      </c>
      <c r="L77" s="50">
        <v>0</v>
      </c>
      <c r="M77" s="50">
        <v>5</v>
      </c>
      <c r="N77" s="50">
        <v>0</v>
      </c>
      <c r="O77" s="15">
        <f t="shared" si="35"/>
        <v>8</v>
      </c>
      <c r="P77" s="15">
        <f t="shared" si="36"/>
        <v>13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2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4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2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0</v>
      </c>
      <c r="N80" s="50">
        <v>0</v>
      </c>
      <c r="O80" s="15">
        <f t="shared" si="35"/>
        <v>1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3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5</v>
      </c>
      <c r="P81" s="15">
        <f t="shared" si="36"/>
        <v>5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1</v>
      </c>
      <c r="K82" s="50">
        <v>0</v>
      </c>
      <c r="L82" s="50">
        <v>0</v>
      </c>
      <c r="M82" s="50">
        <v>2</v>
      </c>
      <c r="N82" s="50">
        <v>0</v>
      </c>
      <c r="O82" s="15">
        <f t="shared" si="35"/>
        <v>4</v>
      </c>
      <c r="P82" s="15">
        <f t="shared" si="36"/>
        <v>6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1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1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5</v>
      </c>
      <c r="N85" s="50">
        <v>0</v>
      </c>
      <c r="O85" s="15">
        <f t="shared" si="35"/>
        <v>1</v>
      </c>
      <c r="P85" s="15">
        <f t="shared" si="36"/>
        <v>6</v>
      </c>
      <c r="R85" s="8"/>
      <c r="T85"/>
    </row>
    <row r="86" spans="2:20" ht="23.1" customHeight="1" x14ac:dyDescent="0.25">
      <c r="B86" s="46" t="s">
        <v>126</v>
      </c>
      <c r="C86" s="50">
        <v>2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2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1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1</v>
      </c>
      <c r="J90" s="50">
        <v>1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2</v>
      </c>
      <c r="P90" s="15">
        <f t="shared" si="36"/>
        <v>5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2</v>
      </c>
      <c r="N91" s="50">
        <v>0</v>
      </c>
      <c r="O91" s="15">
        <f t="shared" si="35"/>
        <v>0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2</v>
      </c>
      <c r="N94" s="50">
        <v>0</v>
      </c>
      <c r="O94" s="15">
        <f t="shared" si="35"/>
        <v>1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3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4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4</v>
      </c>
      <c r="N97" s="50">
        <v>0</v>
      </c>
      <c r="O97" s="15">
        <f t="shared" si="35"/>
        <v>0</v>
      </c>
      <c r="P97" s="15">
        <f t="shared" si="36"/>
        <v>4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1</v>
      </c>
      <c r="P98" s="15">
        <f t="shared" si="36"/>
        <v>1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1</v>
      </c>
      <c r="N100" s="50">
        <v>0</v>
      </c>
      <c r="O100" s="15">
        <f t="shared" si="35"/>
        <v>2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0</v>
      </c>
      <c r="P102" s="15">
        <f t="shared" si="36"/>
        <v>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0</v>
      </c>
      <c r="P103" s="15">
        <f t="shared" si="36"/>
        <v>5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7</v>
      </c>
      <c r="N104" s="50">
        <v>0</v>
      </c>
      <c r="O104" s="15">
        <f t="shared" si="35"/>
        <v>1</v>
      </c>
      <c r="P104" s="15">
        <f t="shared" si="36"/>
        <v>8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1</v>
      </c>
      <c r="F105" s="50">
        <v>0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18</v>
      </c>
      <c r="N105" s="50">
        <v>0</v>
      </c>
      <c r="O105" s="15">
        <f t="shared" si="35"/>
        <v>5</v>
      </c>
      <c r="P105" s="15">
        <f t="shared" si="36"/>
        <v>23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968</v>
      </c>
      <c r="D106" s="16">
        <f t="shared" ref="D106:P106" si="37">SUM(D10:D105)</f>
        <v>153</v>
      </c>
      <c r="E106" s="16">
        <f t="shared" si="37"/>
        <v>120</v>
      </c>
      <c r="F106" s="16">
        <f t="shared" si="37"/>
        <v>139</v>
      </c>
      <c r="G106" s="16">
        <f t="shared" si="37"/>
        <v>5</v>
      </c>
      <c r="H106" s="16">
        <f t="shared" si="37"/>
        <v>2</v>
      </c>
      <c r="I106" s="16">
        <f t="shared" si="37"/>
        <v>102</v>
      </c>
      <c r="J106" s="16">
        <f t="shared" si="37"/>
        <v>55</v>
      </c>
      <c r="K106" s="16">
        <f t="shared" si="37"/>
        <v>13</v>
      </c>
      <c r="L106" s="16">
        <f t="shared" si="37"/>
        <v>2</v>
      </c>
      <c r="M106" s="16">
        <f t="shared" si="37"/>
        <v>2169</v>
      </c>
      <c r="N106" s="16">
        <f t="shared" si="37"/>
        <v>0</v>
      </c>
      <c r="O106" s="16">
        <f t="shared" si="37"/>
        <v>1559</v>
      </c>
      <c r="P106" s="16">
        <f t="shared" si="37"/>
        <v>3728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0.25965665236051499</v>
      </c>
      <c r="D107" s="43">
        <f t="shared" si="38"/>
        <v>4.1040772532188838E-2</v>
      </c>
      <c r="E107" s="43">
        <f t="shared" si="38"/>
        <v>3.2188841201716736E-2</v>
      </c>
      <c r="F107" s="43">
        <f t="shared" si="38"/>
        <v>3.7285407725321885E-2</v>
      </c>
      <c r="G107" s="43">
        <f t="shared" si="38"/>
        <v>1.3412017167381974E-3</v>
      </c>
      <c r="H107" s="43">
        <f t="shared" si="38"/>
        <v>5.3648068669527897E-4</v>
      </c>
      <c r="I107" s="43">
        <f t="shared" si="38"/>
        <v>2.7360515021459229E-2</v>
      </c>
      <c r="J107" s="43">
        <f t="shared" si="38"/>
        <v>1.4753218884120171E-2</v>
      </c>
      <c r="K107" s="43">
        <f t="shared" si="38"/>
        <v>3.4871244635193135E-3</v>
      </c>
      <c r="L107" s="43">
        <f t="shared" si="38"/>
        <v>5.3648068669527897E-4</v>
      </c>
      <c r="M107" s="43">
        <f t="shared" si="38"/>
        <v>0.58181330472102999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0.6209108402822322</v>
      </c>
      <c r="D108" s="44">
        <f t="shared" ref="D108:N108" si="39">D106/$O$106</f>
        <v>9.8139833226427192E-2</v>
      </c>
      <c r="E108" s="44">
        <f t="shared" si="39"/>
        <v>7.6972418216805644E-2</v>
      </c>
      <c r="F108" s="44">
        <f t="shared" si="39"/>
        <v>8.9159717767799865E-2</v>
      </c>
      <c r="G108" s="44">
        <f t="shared" si="39"/>
        <v>3.207184092366902E-3</v>
      </c>
      <c r="H108" s="44">
        <f t="shared" si="39"/>
        <v>1.2828736369467607E-3</v>
      </c>
      <c r="I108" s="44">
        <f t="shared" si="39"/>
        <v>6.5426555484284804E-2</v>
      </c>
      <c r="J108" s="44">
        <f t="shared" si="39"/>
        <v>3.5279025016035921E-2</v>
      </c>
      <c r="K108" s="44">
        <f t="shared" si="39"/>
        <v>8.3386786401539442E-3</v>
      </c>
      <c r="L108" s="44">
        <f t="shared" si="39"/>
        <v>1.2828736369467607E-3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2" tint="-0.249977111117893"/>
  </sheetPr>
  <dimension ref="B1:AF174"/>
  <sheetViews>
    <sheetView view="pageBreakPreview" topLeftCell="A55" zoomScale="60" workbookViewId="0">
      <selection activeCell="N25" sqref="N2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168</v>
      </c>
      <c r="E5" s="3"/>
      <c r="F5" s="41" t="s">
        <v>1</v>
      </c>
      <c r="G5" s="55" t="str">
        <f>'26.10 Isingiro-Mbarara-24Hr'!G5:H5</f>
        <v>KASENYI</v>
      </c>
      <c r="H5" s="56"/>
      <c r="I5" s="14"/>
      <c r="J5" s="2" t="s">
        <v>5</v>
      </c>
      <c r="K5" s="55" t="s">
        <v>169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'26.10 Isingiro-Mbarara-24Hr'!K6:L6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5</v>
      </c>
      <c r="D10" s="50">
        <v>1</v>
      </c>
      <c r="E10" s="50">
        <v>2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7</v>
      </c>
      <c r="N10" s="50">
        <v>0</v>
      </c>
      <c r="O10" s="15">
        <f t="shared" ref="O10:O73" si="0">SUM(C10:L10,N10)</f>
        <v>11</v>
      </c>
      <c r="P10" s="15">
        <f t="shared" ref="P10:P73" si="1">SUM(C10:N10)</f>
        <v>18</v>
      </c>
      <c r="R10" s="1" t="s">
        <v>6</v>
      </c>
      <c r="S10" s="17">
        <f t="shared" ref="S10:AF10" si="2">SUM(C10:C13)</f>
        <v>17</v>
      </c>
      <c r="T10" s="17">
        <f t="shared" si="2"/>
        <v>5</v>
      </c>
      <c r="U10" s="17">
        <f t="shared" si="2"/>
        <v>10</v>
      </c>
      <c r="V10" s="17">
        <f t="shared" si="2"/>
        <v>15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6</v>
      </c>
      <c r="AA10" s="17">
        <f t="shared" si="2"/>
        <v>0</v>
      </c>
      <c r="AB10" s="17">
        <f t="shared" si="2"/>
        <v>0</v>
      </c>
      <c r="AC10" s="17">
        <f t="shared" si="2"/>
        <v>56</v>
      </c>
      <c r="AD10" s="17">
        <f t="shared" si="2"/>
        <v>0</v>
      </c>
      <c r="AE10" s="31">
        <f t="shared" si="2"/>
        <v>56</v>
      </c>
      <c r="AF10" s="31">
        <f t="shared" si="2"/>
        <v>112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2</v>
      </c>
      <c r="F11" s="50">
        <v>2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15</v>
      </c>
      <c r="N11" s="50">
        <v>0</v>
      </c>
      <c r="O11" s="15">
        <f t="shared" si="0"/>
        <v>6</v>
      </c>
      <c r="P11" s="15">
        <f t="shared" si="1"/>
        <v>21</v>
      </c>
      <c r="R11" s="1" t="s">
        <v>7</v>
      </c>
      <c r="S11" s="17">
        <f t="shared" ref="S11:AF11" si="3">SUM(C14:C17)</f>
        <v>30</v>
      </c>
      <c r="T11" s="17">
        <f t="shared" si="3"/>
        <v>4</v>
      </c>
      <c r="U11" s="17">
        <f t="shared" si="3"/>
        <v>9</v>
      </c>
      <c r="V11" s="17">
        <f t="shared" si="3"/>
        <v>7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95</v>
      </c>
      <c r="AD11" s="17">
        <f t="shared" si="3"/>
        <v>0</v>
      </c>
      <c r="AE11" s="31">
        <f t="shared" si="3"/>
        <v>56</v>
      </c>
      <c r="AF11" s="31">
        <f t="shared" si="3"/>
        <v>151</v>
      </c>
    </row>
    <row r="12" spans="2:32" ht="23.1" customHeight="1" x14ac:dyDescent="0.25">
      <c r="B12" s="45" t="s">
        <v>39</v>
      </c>
      <c r="C12" s="50">
        <v>5</v>
      </c>
      <c r="D12" s="50">
        <v>2</v>
      </c>
      <c r="E12" s="50">
        <v>5</v>
      </c>
      <c r="F12" s="50">
        <v>10</v>
      </c>
      <c r="G12" s="50">
        <v>0</v>
      </c>
      <c r="H12" s="50">
        <v>0</v>
      </c>
      <c r="I12" s="50">
        <v>0</v>
      </c>
      <c r="J12" s="50">
        <v>5</v>
      </c>
      <c r="K12" s="50">
        <v>0</v>
      </c>
      <c r="L12" s="50">
        <v>0</v>
      </c>
      <c r="M12" s="50">
        <v>20</v>
      </c>
      <c r="N12" s="50">
        <v>0</v>
      </c>
      <c r="O12" s="15">
        <f t="shared" si="0"/>
        <v>27</v>
      </c>
      <c r="P12" s="15">
        <f t="shared" si="1"/>
        <v>47</v>
      </c>
      <c r="R12" s="1" t="s">
        <v>8</v>
      </c>
      <c r="S12" s="17">
        <f t="shared" ref="S12:AF12" si="4">SUM(C18:C21)</f>
        <v>42</v>
      </c>
      <c r="T12" s="17">
        <f t="shared" si="4"/>
        <v>7</v>
      </c>
      <c r="U12" s="17">
        <f t="shared" si="4"/>
        <v>9</v>
      </c>
      <c r="V12" s="17">
        <f t="shared" si="4"/>
        <v>12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8</v>
      </c>
      <c r="AA12" s="17">
        <f t="shared" si="4"/>
        <v>2</v>
      </c>
      <c r="AB12" s="17">
        <f t="shared" si="4"/>
        <v>0</v>
      </c>
      <c r="AC12" s="17">
        <f t="shared" si="4"/>
        <v>154</v>
      </c>
      <c r="AD12" s="17">
        <f t="shared" si="4"/>
        <v>0</v>
      </c>
      <c r="AE12" s="31">
        <f t="shared" si="4"/>
        <v>90</v>
      </c>
      <c r="AF12" s="31">
        <f t="shared" si="4"/>
        <v>244</v>
      </c>
    </row>
    <row r="13" spans="2:32" ht="23.1" customHeight="1" x14ac:dyDescent="0.25">
      <c r="B13" s="45" t="s">
        <v>40</v>
      </c>
      <c r="C13" s="50">
        <v>6</v>
      </c>
      <c r="D13" s="50">
        <v>2</v>
      </c>
      <c r="E13" s="50">
        <v>1</v>
      </c>
      <c r="F13" s="50">
        <v>1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14</v>
      </c>
      <c r="N13" s="50">
        <v>0</v>
      </c>
      <c r="O13" s="15">
        <f t="shared" si="0"/>
        <v>12</v>
      </c>
      <c r="P13" s="15">
        <f t="shared" si="1"/>
        <v>26</v>
      </c>
      <c r="R13" s="1" t="s">
        <v>9</v>
      </c>
      <c r="S13" s="17">
        <f t="shared" ref="S13:AF13" si="5">SUM(C22:C25)</f>
        <v>54</v>
      </c>
      <c r="T13" s="17">
        <f t="shared" si="5"/>
        <v>2</v>
      </c>
      <c r="U13" s="17">
        <f t="shared" si="5"/>
        <v>6</v>
      </c>
      <c r="V13" s="17">
        <f t="shared" si="5"/>
        <v>11</v>
      </c>
      <c r="W13" s="17">
        <f t="shared" si="5"/>
        <v>1</v>
      </c>
      <c r="X13" s="17">
        <f t="shared" si="5"/>
        <v>1</v>
      </c>
      <c r="Y13" s="17">
        <f t="shared" si="5"/>
        <v>12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126</v>
      </c>
      <c r="AD13" s="17">
        <f t="shared" si="5"/>
        <v>0</v>
      </c>
      <c r="AE13" s="31">
        <f t="shared" si="5"/>
        <v>92</v>
      </c>
      <c r="AF13" s="31">
        <f t="shared" si="5"/>
        <v>218</v>
      </c>
    </row>
    <row r="14" spans="2:32" ht="23.1" customHeight="1" x14ac:dyDescent="0.25">
      <c r="B14" s="45" t="s">
        <v>41</v>
      </c>
      <c r="C14" s="50">
        <v>6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21</v>
      </c>
      <c r="N14" s="50">
        <v>0</v>
      </c>
      <c r="O14" s="15">
        <f t="shared" si="0"/>
        <v>13</v>
      </c>
      <c r="P14" s="15">
        <f t="shared" si="1"/>
        <v>34</v>
      </c>
      <c r="R14" s="1" t="s">
        <v>10</v>
      </c>
      <c r="S14" s="17">
        <f t="shared" ref="S14:AF14" si="6">SUM(C26:C29)</f>
        <v>65</v>
      </c>
      <c r="T14" s="17">
        <f t="shared" si="6"/>
        <v>8</v>
      </c>
      <c r="U14" s="17">
        <f t="shared" si="6"/>
        <v>12</v>
      </c>
      <c r="V14" s="17">
        <f t="shared" si="6"/>
        <v>11</v>
      </c>
      <c r="W14" s="17">
        <f t="shared" si="6"/>
        <v>1</v>
      </c>
      <c r="X14" s="17">
        <f t="shared" si="6"/>
        <v>0</v>
      </c>
      <c r="Y14" s="17">
        <f t="shared" si="6"/>
        <v>7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120</v>
      </c>
      <c r="AD14" s="17">
        <f t="shared" si="6"/>
        <v>0</v>
      </c>
      <c r="AE14" s="31">
        <f t="shared" si="6"/>
        <v>110</v>
      </c>
      <c r="AF14" s="31">
        <f t="shared" si="6"/>
        <v>230</v>
      </c>
    </row>
    <row r="15" spans="2:32" ht="23.1" customHeight="1" x14ac:dyDescent="0.25">
      <c r="B15" s="45" t="s">
        <v>42</v>
      </c>
      <c r="C15" s="50">
        <v>9</v>
      </c>
      <c r="D15" s="50">
        <v>1</v>
      </c>
      <c r="E15" s="50">
        <v>2</v>
      </c>
      <c r="F15" s="50">
        <v>0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18</v>
      </c>
      <c r="N15" s="50">
        <v>0</v>
      </c>
      <c r="O15" s="15">
        <f t="shared" si="0"/>
        <v>16</v>
      </c>
      <c r="P15" s="15">
        <f t="shared" si="1"/>
        <v>34</v>
      </c>
      <c r="R15" s="1" t="s">
        <v>11</v>
      </c>
      <c r="S15" s="17">
        <f t="shared" ref="S15:AF15" si="7">SUM(C30:C33)</f>
        <v>49</v>
      </c>
      <c r="T15" s="17">
        <f t="shared" si="7"/>
        <v>8</v>
      </c>
      <c r="U15" s="17">
        <f t="shared" si="7"/>
        <v>5</v>
      </c>
      <c r="V15" s="17">
        <f t="shared" si="7"/>
        <v>17</v>
      </c>
      <c r="W15" s="17">
        <f t="shared" si="7"/>
        <v>1</v>
      </c>
      <c r="X15" s="17">
        <f t="shared" si="7"/>
        <v>0</v>
      </c>
      <c r="Y15" s="17">
        <f t="shared" si="7"/>
        <v>7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152</v>
      </c>
      <c r="AD15" s="17">
        <f t="shared" si="7"/>
        <v>0</v>
      </c>
      <c r="AE15" s="31">
        <f t="shared" si="7"/>
        <v>90</v>
      </c>
      <c r="AF15" s="31">
        <f t="shared" si="7"/>
        <v>242</v>
      </c>
    </row>
    <row r="16" spans="2:32" ht="23.1" customHeight="1" x14ac:dyDescent="0.25">
      <c r="B16" s="45" t="s">
        <v>43</v>
      </c>
      <c r="C16" s="50">
        <v>9</v>
      </c>
      <c r="D16" s="50">
        <v>2</v>
      </c>
      <c r="E16" s="50">
        <v>2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30</v>
      </c>
      <c r="N16" s="50">
        <v>0</v>
      </c>
      <c r="O16" s="15">
        <f t="shared" si="0"/>
        <v>15</v>
      </c>
      <c r="P16" s="15">
        <f t="shared" si="1"/>
        <v>45</v>
      </c>
      <c r="R16" s="1" t="s">
        <v>12</v>
      </c>
      <c r="S16" s="17">
        <f t="shared" ref="S16:AF16" si="8">SUM(C34:C37)</f>
        <v>49</v>
      </c>
      <c r="T16" s="17">
        <f t="shared" si="8"/>
        <v>9</v>
      </c>
      <c r="U16" s="17">
        <f t="shared" si="8"/>
        <v>10</v>
      </c>
      <c r="V16" s="17">
        <f t="shared" si="8"/>
        <v>17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4</v>
      </c>
      <c r="AA16" s="17">
        <f t="shared" si="8"/>
        <v>0</v>
      </c>
      <c r="AB16" s="17">
        <f t="shared" si="8"/>
        <v>0</v>
      </c>
      <c r="AC16" s="17">
        <f t="shared" si="8"/>
        <v>126</v>
      </c>
      <c r="AD16" s="17">
        <f t="shared" si="8"/>
        <v>0</v>
      </c>
      <c r="AE16" s="31">
        <f t="shared" si="8"/>
        <v>96</v>
      </c>
      <c r="AF16" s="31">
        <f t="shared" si="8"/>
        <v>222</v>
      </c>
    </row>
    <row r="17" spans="2:32" ht="23.1" customHeight="1" x14ac:dyDescent="0.25">
      <c r="B17" s="45" t="s">
        <v>44</v>
      </c>
      <c r="C17" s="50">
        <v>6</v>
      </c>
      <c r="D17" s="50">
        <v>1</v>
      </c>
      <c r="E17" s="50">
        <v>3</v>
      </c>
      <c r="F17" s="50">
        <v>2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12</v>
      </c>
      <c r="P17" s="15">
        <f t="shared" si="1"/>
        <v>38</v>
      </c>
      <c r="R17" s="1" t="s">
        <v>13</v>
      </c>
      <c r="S17" s="17">
        <f t="shared" ref="S17:AF17" si="9">SUM(C38:C41)</f>
        <v>66</v>
      </c>
      <c r="T17" s="17">
        <f t="shared" si="9"/>
        <v>7</v>
      </c>
      <c r="U17" s="17">
        <f t="shared" si="9"/>
        <v>4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1</v>
      </c>
      <c r="AA17" s="17">
        <f t="shared" si="9"/>
        <v>1</v>
      </c>
      <c r="AB17" s="17">
        <f t="shared" si="9"/>
        <v>1</v>
      </c>
      <c r="AC17" s="17">
        <f t="shared" si="9"/>
        <v>84</v>
      </c>
      <c r="AD17" s="17">
        <f t="shared" si="9"/>
        <v>0</v>
      </c>
      <c r="AE17" s="31">
        <f t="shared" si="9"/>
        <v>99</v>
      </c>
      <c r="AF17" s="31">
        <f t="shared" si="9"/>
        <v>183</v>
      </c>
    </row>
    <row r="18" spans="2:32" ht="23.1" customHeight="1" x14ac:dyDescent="0.25">
      <c r="B18" s="45" t="s">
        <v>45</v>
      </c>
      <c r="C18" s="50">
        <v>11</v>
      </c>
      <c r="D18" s="50">
        <v>3</v>
      </c>
      <c r="E18" s="50">
        <v>1</v>
      </c>
      <c r="F18" s="50">
        <v>4</v>
      </c>
      <c r="G18" s="50">
        <v>0</v>
      </c>
      <c r="H18" s="50">
        <v>0</v>
      </c>
      <c r="I18" s="50">
        <v>3</v>
      </c>
      <c r="J18" s="50">
        <v>1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23</v>
      </c>
      <c r="P18" s="15">
        <f t="shared" si="1"/>
        <v>73</v>
      </c>
      <c r="R18" s="1" t="s">
        <v>14</v>
      </c>
      <c r="S18" s="17">
        <f t="shared" ref="S18:AF18" si="10">SUM(C42:C45)</f>
        <v>72</v>
      </c>
      <c r="T18" s="17">
        <f t="shared" si="10"/>
        <v>8</v>
      </c>
      <c r="U18" s="17">
        <f t="shared" si="10"/>
        <v>8</v>
      </c>
      <c r="V18" s="17">
        <f t="shared" si="10"/>
        <v>15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128</v>
      </c>
      <c r="AD18" s="17">
        <f t="shared" si="10"/>
        <v>0</v>
      </c>
      <c r="AE18" s="31">
        <f t="shared" si="10"/>
        <v>113</v>
      </c>
      <c r="AF18" s="31">
        <f t="shared" si="10"/>
        <v>241</v>
      </c>
    </row>
    <row r="19" spans="2:32" ht="23.1" customHeight="1" x14ac:dyDescent="0.25">
      <c r="B19" s="45" t="s">
        <v>46</v>
      </c>
      <c r="C19" s="50">
        <v>11</v>
      </c>
      <c r="D19" s="50">
        <v>0</v>
      </c>
      <c r="E19" s="50">
        <v>1</v>
      </c>
      <c r="F19" s="50">
        <v>2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0</v>
      </c>
      <c r="M19" s="50">
        <v>35</v>
      </c>
      <c r="N19" s="50">
        <v>0</v>
      </c>
      <c r="O19" s="15">
        <f t="shared" si="0"/>
        <v>17</v>
      </c>
      <c r="P19" s="15">
        <f t="shared" si="1"/>
        <v>52</v>
      </c>
      <c r="R19" s="1" t="s">
        <v>15</v>
      </c>
      <c r="S19" s="17">
        <f t="shared" ref="S19:AF19" si="11">SUM(C46:C49)</f>
        <v>65</v>
      </c>
      <c r="T19" s="17">
        <f t="shared" si="11"/>
        <v>5</v>
      </c>
      <c r="U19" s="17">
        <f t="shared" si="11"/>
        <v>11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148</v>
      </c>
      <c r="AD19" s="17">
        <f t="shared" si="11"/>
        <v>0</v>
      </c>
      <c r="AE19" s="31">
        <f t="shared" si="11"/>
        <v>110</v>
      </c>
      <c r="AF19" s="31">
        <f t="shared" si="11"/>
        <v>258</v>
      </c>
    </row>
    <row r="20" spans="2:32" ht="23.1" customHeight="1" x14ac:dyDescent="0.25">
      <c r="B20" s="45" t="s">
        <v>47</v>
      </c>
      <c r="C20" s="50">
        <v>9</v>
      </c>
      <c r="D20" s="50">
        <v>3</v>
      </c>
      <c r="E20" s="50">
        <v>2</v>
      </c>
      <c r="F20" s="50">
        <v>1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28</v>
      </c>
      <c r="N20" s="50">
        <v>0</v>
      </c>
      <c r="O20" s="15">
        <f t="shared" si="0"/>
        <v>18</v>
      </c>
      <c r="P20" s="15">
        <f t="shared" si="1"/>
        <v>46</v>
      </c>
      <c r="R20" s="1" t="s">
        <v>16</v>
      </c>
      <c r="S20" s="17">
        <f t="shared" ref="S20:AF20" si="12">SUM(C50:C53)</f>
        <v>61</v>
      </c>
      <c r="T20" s="17">
        <f t="shared" si="12"/>
        <v>6</v>
      </c>
      <c r="U20" s="17">
        <f t="shared" si="12"/>
        <v>8</v>
      </c>
      <c r="V20" s="17">
        <f t="shared" si="12"/>
        <v>18</v>
      </c>
      <c r="W20" s="17">
        <f t="shared" si="12"/>
        <v>1</v>
      </c>
      <c r="X20" s="17">
        <f t="shared" si="12"/>
        <v>0</v>
      </c>
      <c r="Y20" s="17">
        <f t="shared" si="12"/>
        <v>7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160</v>
      </c>
      <c r="AD20" s="17">
        <f t="shared" si="12"/>
        <v>0</v>
      </c>
      <c r="AE20" s="31">
        <f t="shared" si="12"/>
        <v>104</v>
      </c>
      <c r="AF20" s="31">
        <f t="shared" si="12"/>
        <v>264</v>
      </c>
    </row>
    <row r="21" spans="2:32" ht="23.1" customHeight="1" x14ac:dyDescent="0.25">
      <c r="B21" s="45" t="s">
        <v>48</v>
      </c>
      <c r="C21" s="50">
        <v>11</v>
      </c>
      <c r="D21" s="50">
        <v>1</v>
      </c>
      <c r="E21" s="50">
        <v>5</v>
      </c>
      <c r="F21" s="50">
        <v>5</v>
      </c>
      <c r="G21" s="50">
        <v>0</v>
      </c>
      <c r="H21" s="50">
        <v>0</v>
      </c>
      <c r="I21" s="50">
        <v>4</v>
      </c>
      <c r="J21" s="50">
        <v>4</v>
      </c>
      <c r="K21" s="50">
        <v>2</v>
      </c>
      <c r="L21" s="50">
        <v>0</v>
      </c>
      <c r="M21" s="50">
        <v>41</v>
      </c>
      <c r="N21" s="50">
        <v>0</v>
      </c>
      <c r="O21" s="15">
        <f t="shared" si="0"/>
        <v>32</v>
      </c>
      <c r="P21" s="15">
        <f t="shared" si="1"/>
        <v>73</v>
      </c>
      <c r="R21" s="36" t="s">
        <v>20</v>
      </c>
      <c r="S21" s="34">
        <f t="shared" ref="S21:AF21" si="13">SUM(C54:C57)</f>
        <v>63</v>
      </c>
      <c r="T21" s="17">
        <f t="shared" si="13"/>
        <v>7</v>
      </c>
      <c r="U21" s="17">
        <f t="shared" si="13"/>
        <v>8</v>
      </c>
      <c r="V21" s="17">
        <f t="shared" si="13"/>
        <v>17</v>
      </c>
      <c r="W21" s="17">
        <f t="shared" si="13"/>
        <v>1</v>
      </c>
      <c r="X21" s="17">
        <f t="shared" si="13"/>
        <v>0</v>
      </c>
      <c r="Y21" s="17">
        <f t="shared" si="13"/>
        <v>9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160</v>
      </c>
      <c r="AD21" s="17">
        <f t="shared" si="13"/>
        <v>0</v>
      </c>
      <c r="AE21" s="31">
        <f t="shared" si="13"/>
        <v>111</v>
      </c>
      <c r="AF21" s="31">
        <f t="shared" si="13"/>
        <v>271</v>
      </c>
    </row>
    <row r="22" spans="2:32" ht="23.1" customHeight="1" x14ac:dyDescent="0.25">
      <c r="B22" s="45" t="s">
        <v>49</v>
      </c>
      <c r="C22" s="50">
        <v>18</v>
      </c>
      <c r="D22" s="50">
        <v>0</v>
      </c>
      <c r="E22" s="50">
        <v>0</v>
      </c>
      <c r="F22" s="50">
        <v>1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20</v>
      </c>
      <c r="N22" s="50">
        <v>0</v>
      </c>
      <c r="O22" s="15">
        <f t="shared" si="0"/>
        <v>23</v>
      </c>
      <c r="P22" s="15">
        <f t="shared" si="1"/>
        <v>43</v>
      </c>
      <c r="R22" s="36" t="s">
        <v>146</v>
      </c>
      <c r="S22" s="34">
        <f>SUM(C58:C61)</f>
        <v>59</v>
      </c>
      <c r="T22" s="34">
        <f t="shared" ref="T22:AF22" si="14">SUM(D58:D61)</f>
        <v>10</v>
      </c>
      <c r="U22" s="34">
        <f t="shared" si="14"/>
        <v>3</v>
      </c>
      <c r="V22" s="34">
        <f t="shared" si="14"/>
        <v>15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2</v>
      </c>
      <c r="AA22" s="34">
        <f t="shared" si="14"/>
        <v>0</v>
      </c>
      <c r="AB22" s="34">
        <f t="shared" si="14"/>
        <v>1</v>
      </c>
      <c r="AC22" s="34">
        <f t="shared" si="14"/>
        <v>161</v>
      </c>
      <c r="AD22" s="34">
        <f t="shared" si="14"/>
        <v>0</v>
      </c>
      <c r="AE22" s="31">
        <f t="shared" si="14"/>
        <v>96</v>
      </c>
      <c r="AF22" s="31">
        <f t="shared" si="14"/>
        <v>257</v>
      </c>
    </row>
    <row r="23" spans="2:32" ht="23.1" customHeight="1" x14ac:dyDescent="0.25">
      <c r="B23" s="45" t="s">
        <v>50</v>
      </c>
      <c r="C23" s="50">
        <v>15</v>
      </c>
      <c r="D23" s="50">
        <v>0</v>
      </c>
      <c r="E23" s="50">
        <v>1</v>
      </c>
      <c r="F23" s="50">
        <v>4</v>
      </c>
      <c r="G23" s="50">
        <v>1</v>
      </c>
      <c r="H23" s="50">
        <v>1</v>
      </c>
      <c r="I23" s="50">
        <v>2</v>
      </c>
      <c r="J23" s="50">
        <v>0</v>
      </c>
      <c r="K23" s="50">
        <v>0</v>
      </c>
      <c r="L23" s="50">
        <v>0</v>
      </c>
      <c r="M23" s="50">
        <v>38</v>
      </c>
      <c r="N23" s="50">
        <v>0</v>
      </c>
      <c r="O23" s="15">
        <f t="shared" si="0"/>
        <v>24</v>
      </c>
      <c r="P23" s="15">
        <f t="shared" si="1"/>
        <v>62</v>
      </c>
      <c r="R23" s="36" t="s">
        <v>147</v>
      </c>
      <c r="S23" s="34">
        <f>SUM(C62:C65)</f>
        <v>48</v>
      </c>
      <c r="T23" s="34">
        <f t="shared" ref="T23:AF23" si="15">SUM(D62:D65)</f>
        <v>6</v>
      </c>
      <c r="U23" s="34">
        <f t="shared" si="15"/>
        <v>6</v>
      </c>
      <c r="V23" s="34">
        <f t="shared" si="15"/>
        <v>18</v>
      </c>
      <c r="W23" s="34">
        <f t="shared" si="15"/>
        <v>1</v>
      </c>
      <c r="X23" s="34">
        <f t="shared" si="15"/>
        <v>0</v>
      </c>
      <c r="Y23" s="34">
        <f t="shared" si="15"/>
        <v>10</v>
      </c>
      <c r="Z23" s="34">
        <f t="shared" si="15"/>
        <v>3</v>
      </c>
      <c r="AA23" s="34">
        <f t="shared" si="15"/>
        <v>0</v>
      </c>
      <c r="AB23" s="34">
        <f t="shared" si="15"/>
        <v>0</v>
      </c>
      <c r="AC23" s="34">
        <f t="shared" si="15"/>
        <v>143</v>
      </c>
      <c r="AD23" s="34">
        <f t="shared" si="15"/>
        <v>0</v>
      </c>
      <c r="AE23" s="31">
        <f t="shared" si="15"/>
        <v>92</v>
      </c>
      <c r="AF23" s="31">
        <f t="shared" si="15"/>
        <v>235</v>
      </c>
    </row>
    <row r="24" spans="2:32" ht="23.1" customHeight="1" x14ac:dyDescent="0.25">
      <c r="B24" s="45" t="s">
        <v>51</v>
      </c>
      <c r="C24" s="50">
        <v>13</v>
      </c>
      <c r="D24" s="50">
        <v>1</v>
      </c>
      <c r="E24" s="50">
        <v>2</v>
      </c>
      <c r="F24" s="50">
        <v>2</v>
      </c>
      <c r="G24" s="50">
        <v>0</v>
      </c>
      <c r="H24" s="50">
        <v>0</v>
      </c>
      <c r="I24" s="50">
        <v>3</v>
      </c>
      <c r="J24" s="50">
        <v>3</v>
      </c>
      <c r="K24" s="50">
        <v>0</v>
      </c>
      <c r="L24" s="50">
        <v>0</v>
      </c>
      <c r="M24" s="50">
        <v>35</v>
      </c>
      <c r="N24" s="50">
        <v>0</v>
      </c>
      <c r="O24" s="15">
        <f t="shared" si="0"/>
        <v>24</v>
      </c>
      <c r="P24" s="15">
        <f t="shared" si="1"/>
        <v>59</v>
      </c>
      <c r="R24" s="36" t="s">
        <v>148</v>
      </c>
      <c r="S24" s="34">
        <f>SUM(C66:C69)</f>
        <v>38</v>
      </c>
      <c r="T24" s="34">
        <f t="shared" ref="T24:AF24" si="16">SUM(D66:D69)</f>
        <v>3</v>
      </c>
      <c r="U24" s="34">
        <f t="shared" si="16"/>
        <v>1</v>
      </c>
      <c r="V24" s="34">
        <f t="shared" si="16"/>
        <v>4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4</v>
      </c>
      <c r="AA24" s="34">
        <f t="shared" si="16"/>
        <v>0</v>
      </c>
      <c r="AB24" s="34">
        <f t="shared" si="16"/>
        <v>0</v>
      </c>
      <c r="AC24" s="34">
        <f t="shared" si="16"/>
        <v>102</v>
      </c>
      <c r="AD24" s="34">
        <f t="shared" si="16"/>
        <v>0</v>
      </c>
      <c r="AE24" s="31">
        <f t="shared" si="16"/>
        <v>52</v>
      </c>
      <c r="AF24" s="31">
        <f t="shared" si="16"/>
        <v>154</v>
      </c>
    </row>
    <row r="25" spans="2:32" ht="23.1" customHeight="1" x14ac:dyDescent="0.25">
      <c r="B25" s="45" t="s">
        <v>52</v>
      </c>
      <c r="C25" s="50">
        <v>8</v>
      </c>
      <c r="D25" s="50">
        <v>1</v>
      </c>
      <c r="E25" s="50">
        <v>3</v>
      </c>
      <c r="F25" s="50">
        <v>4</v>
      </c>
      <c r="G25" s="50">
        <v>0</v>
      </c>
      <c r="H25" s="50">
        <v>0</v>
      </c>
      <c r="I25" s="50">
        <v>5</v>
      </c>
      <c r="J25" s="50">
        <v>0</v>
      </c>
      <c r="K25" s="50">
        <v>0</v>
      </c>
      <c r="L25" s="50">
        <v>0</v>
      </c>
      <c r="M25" s="50">
        <v>33</v>
      </c>
      <c r="N25" s="50">
        <v>0</v>
      </c>
      <c r="O25" s="15">
        <f t="shared" si="0"/>
        <v>21</v>
      </c>
      <c r="P25" s="15">
        <f t="shared" si="1"/>
        <v>54</v>
      </c>
      <c r="R25" s="36" t="s">
        <v>149</v>
      </c>
      <c r="S25" s="34">
        <f>SUM(C70:C73)</f>
        <v>25</v>
      </c>
      <c r="T25" s="34">
        <f t="shared" ref="T25:AF25" si="17">SUM(D70:D73)</f>
        <v>1</v>
      </c>
      <c r="U25" s="34">
        <f t="shared" si="17"/>
        <v>5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74</v>
      </c>
      <c r="AD25" s="34">
        <f t="shared" si="17"/>
        <v>0</v>
      </c>
      <c r="AE25" s="31">
        <f t="shared" si="17"/>
        <v>38</v>
      </c>
      <c r="AF25" s="31">
        <f t="shared" si="17"/>
        <v>112</v>
      </c>
    </row>
    <row r="26" spans="2:32" ht="23.1" customHeight="1" x14ac:dyDescent="0.25">
      <c r="B26" s="45" t="s">
        <v>53</v>
      </c>
      <c r="C26" s="50">
        <v>19</v>
      </c>
      <c r="D26" s="50">
        <v>1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2</v>
      </c>
      <c r="K26" s="50">
        <v>0</v>
      </c>
      <c r="L26" s="50">
        <v>0</v>
      </c>
      <c r="M26" s="50">
        <v>34</v>
      </c>
      <c r="N26" s="50">
        <v>0</v>
      </c>
      <c r="O26" s="15">
        <f t="shared" si="0"/>
        <v>26</v>
      </c>
      <c r="P26" s="15">
        <f t="shared" si="1"/>
        <v>60</v>
      </c>
      <c r="R26" s="36" t="s">
        <v>150</v>
      </c>
      <c r="S26" s="34">
        <f>SUM(C74:C77)</f>
        <v>18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2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24</v>
      </c>
      <c r="AD26" s="34">
        <f t="shared" si="18"/>
        <v>0</v>
      </c>
      <c r="AE26" s="31">
        <f t="shared" si="18"/>
        <v>27</v>
      </c>
      <c r="AF26" s="31">
        <f t="shared" si="18"/>
        <v>51</v>
      </c>
    </row>
    <row r="27" spans="2:32" ht="23.1" customHeight="1" x14ac:dyDescent="0.25">
      <c r="B27" s="45" t="s">
        <v>54</v>
      </c>
      <c r="C27" s="50">
        <v>17</v>
      </c>
      <c r="D27" s="50">
        <v>1</v>
      </c>
      <c r="E27" s="50">
        <v>1</v>
      </c>
      <c r="F27" s="50">
        <v>2</v>
      </c>
      <c r="G27" s="50">
        <v>0</v>
      </c>
      <c r="H27" s="50">
        <v>0</v>
      </c>
      <c r="I27" s="50">
        <v>2</v>
      </c>
      <c r="J27" s="50">
        <v>3</v>
      </c>
      <c r="K27" s="50">
        <v>0</v>
      </c>
      <c r="L27" s="50">
        <v>0</v>
      </c>
      <c r="M27" s="50">
        <v>28</v>
      </c>
      <c r="N27" s="50">
        <v>0</v>
      </c>
      <c r="O27" s="15">
        <f t="shared" si="0"/>
        <v>26</v>
      </c>
      <c r="P27" s="15">
        <f t="shared" si="1"/>
        <v>54</v>
      </c>
      <c r="R27" s="36" t="s">
        <v>151</v>
      </c>
      <c r="S27" s="34">
        <f>SUM(C78:C81)</f>
        <v>8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11</v>
      </c>
      <c r="AD27" s="34">
        <f t="shared" si="19"/>
        <v>0</v>
      </c>
      <c r="AE27" s="31">
        <f t="shared" si="19"/>
        <v>16</v>
      </c>
      <c r="AF27" s="31">
        <f t="shared" si="19"/>
        <v>27</v>
      </c>
    </row>
    <row r="28" spans="2:32" ht="23.1" customHeight="1" x14ac:dyDescent="0.25">
      <c r="B28" s="45" t="s">
        <v>55</v>
      </c>
      <c r="C28" s="50">
        <v>15</v>
      </c>
      <c r="D28" s="50">
        <v>4</v>
      </c>
      <c r="E28" s="50">
        <v>7</v>
      </c>
      <c r="F28" s="50">
        <v>4</v>
      </c>
      <c r="G28" s="50">
        <v>1</v>
      </c>
      <c r="H28" s="50">
        <v>0</v>
      </c>
      <c r="I28" s="50">
        <v>3</v>
      </c>
      <c r="J28" s="50">
        <v>0</v>
      </c>
      <c r="K28" s="50">
        <v>0</v>
      </c>
      <c r="L28" s="50">
        <v>0</v>
      </c>
      <c r="M28" s="50">
        <v>35</v>
      </c>
      <c r="N28" s="50">
        <v>0</v>
      </c>
      <c r="O28" s="15">
        <f t="shared" si="0"/>
        <v>34</v>
      </c>
      <c r="P28" s="15">
        <f t="shared" si="1"/>
        <v>69</v>
      </c>
      <c r="R28" s="36" t="s">
        <v>152</v>
      </c>
      <c r="S28" s="34">
        <f>SUM(C82:C85)</f>
        <v>6</v>
      </c>
      <c r="T28" s="34">
        <f t="shared" ref="T28:AF28" si="20">SUM(D82:D85)</f>
        <v>1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2</v>
      </c>
      <c r="AA28" s="34">
        <f t="shared" si="20"/>
        <v>0</v>
      </c>
      <c r="AB28" s="34">
        <f t="shared" si="20"/>
        <v>0</v>
      </c>
      <c r="AC28" s="34">
        <f t="shared" si="20"/>
        <v>23</v>
      </c>
      <c r="AD28" s="34">
        <f t="shared" si="20"/>
        <v>0</v>
      </c>
      <c r="AE28" s="31">
        <f t="shared" si="20"/>
        <v>13</v>
      </c>
      <c r="AF28" s="31">
        <f t="shared" si="20"/>
        <v>36</v>
      </c>
    </row>
    <row r="29" spans="2:32" ht="23.1" customHeight="1" x14ac:dyDescent="0.25">
      <c r="B29" s="45" t="s">
        <v>56</v>
      </c>
      <c r="C29" s="50">
        <v>14</v>
      </c>
      <c r="D29" s="50">
        <v>2</v>
      </c>
      <c r="E29" s="50">
        <v>2</v>
      </c>
      <c r="F29" s="50">
        <v>3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23</v>
      </c>
      <c r="N29" s="50">
        <v>0</v>
      </c>
      <c r="O29" s="15">
        <f t="shared" si="0"/>
        <v>24</v>
      </c>
      <c r="P29" s="15">
        <f t="shared" si="1"/>
        <v>47</v>
      </c>
      <c r="R29" s="36" t="s">
        <v>153</v>
      </c>
      <c r="S29" s="34">
        <f>SUM(C86:C89)</f>
        <v>2</v>
      </c>
      <c r="T29" s="34">
        <f t="shared" ref="T29:AF29" si="21">SUM(D86:D89)</f>
        <v>1</v>
      </c>
      <c r="U29" s="34">
        <f t="shared" si="21"/>
        <v>0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13</v>
      </c>
      <c r="AD29" s="34">
        <f t="shared" si="21"/>
        <v>0</v>
      </c>
      <c r="AE29" s="31">
        <f t="shared" si="21"/>
        <v>4</v>
      </c>
      <c r="AF29" s="31">
        <f t="shared" si="21"/>
        <v>17</v>
      </c>
    </row>
    <row r="30" spans="2:32" ht="23.1" customHeight="1" x14ac:dyDescent="0.25">
      <c r="B30" s="45" t="s">
        <v>57</v>
      </c>
      <c r="C30" s="50">
        <v>11</v>
      </c>
      <c r="D30" s="50">
        <v>1</v>
      </c>
      <c r="E30" s="50">
        <v>1</v>
      </c>
      <c r="F30" s="50">
        <v>3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31</v>
      </c>
      <c r="N30" s="50">
        <v>0</v>
      </c>
      <c r="O30" s="15">
        <f t="shared" si="0"/>
        <v>18</v>
      </c>
      <c r="P30" s="15">
        <f t="shared" si="1"/>
        <v>49</v>
      </c>
      <c r="R30" s="36" t="s">
        <v>154</v>
      </c>
      <c r="S30" s="34">
        <f>SUM(C90:C93)</f>
        <v>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10</v>
      </c>
      <c r="AD30" s="34">
        <f t="shared" si="22"/>
        <v>0</v>
      </c>
      <c r="AE30" s="31">
        <f t="shared" si="22"/>
        <v>8</v>
      </c>
      <c r="AF30" s="31">
        <f t="shared" si="22"/>
        <v>18</v>
      </c>
    </row>
    <row r="31" spans="2:32" ht="23.1" customHeight="1" x14ac:dyDescent="0.25">
      <c r="B31" s="46" t="s">
        <v>58</v>
      </c>
      <c r="C31" s="50">
        <v>10</v>
      </c>
      <c r="D31" s="50">
        <v>3</v>
      </c>
      <c r="E31" s="50">
        <v>1</v>
      </c>
      <c r="F31" s="50">
        <v>3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26</v>
      </c>
      <c r="N31" s="50">
        <v>0</v>
      </c>
      <c r="O31" s="15">
        <f t="shared" si="0"/>
        <v>21</v>
      </c>
      <c r="P31" s="15">
        <f t="shared" si="1"/>
        <v>47</v>
      </c>
      <c r="R31" s="36" t="s">
        <v>155</v>
      </c>
      <c r="S31" s="34">
        <f>SUM(C94:C97)</f>
        <v>6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2</v>
      </c>
      <c r="W31" s="34">
        <f t="shared" si="23"/>
        <v>0</v>
      </c>
      <c r="X31" s="34">
        <f t="shared" si="23"/>
        <v>0</v>
      </c>
      <c r="Y31" s="34">
        <f t="shared" si="23"/>
        <v>3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11</v>
      </c>
      <c r="AF31" s="31">
        <f t="shared" si="23"/>
        <v>12</v>
      </c>
    </row>
    <row r="32" spans="2:32" ht="23.1" customHeight="1" x14ac:dyDescent="0.25">
      <c r="B32" s="46" t="s">
        <v>59</v>
      </c>
      <c r="C32" s="50">
        <v>14</v>
      </c>
      <c r="D32" s="50">
        <v>2</v>
      </c>
      <c r="E32" s="50">
        <v>0</v>
      </c>
      <c r="F32" s="50">
        <v>4</v>
      </c>
      <c r="G32" s="50">
        <v>1</v>
      </c>
      <c r="H32" s="50">
        <v>0</v>
      </c>
      <c r="I32" s="50">
        <v>3</v>
      </c>
      <c r="J32" s="50">
        <v>0</v>
      </c>
      <c r="K32" s="50">
        <v>0</v>
      </c>
      <c r="L32" s="50">
        <v>0</v>
      </c>
      <c r="M32" s="50">
        <v>50</v>
      </c>
      <c r="N32" s="50">
        <v>0</v>
      </c>
      <c r="O32" s="15">
        <f t="shared" si="0"/>
        <v>24</v>
      </c>
      <c r="P32" s="15">
        <f t="shared" si="1"/>
        <v>74</v>
      </c>
      <c r="R32" s="33" t="s">
        <v>156</v>
      </c>
      <c r="S32" s="34">
        <f>SUM(C98:C101)</f>
        <v>2</v>
      </c>
      <c r="T32" s="34">
        <f t="shared" ref="T32:AF32" si="24">SUM(D98:D101)</f>
        <v>1</v>
      </c>
      <c r="U32" s="34">
        <f t="shared" si="24"/>
        <v>0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3</v>
      </c>
      <c r="AA32" s="34">
        <f t="shared" si="24"/>
        <v>0</v>
      </c>
      <c r="AB32" s="34">
        <f t="shared" si="24"/>
        <v>0</v>
      </c>
      <c r="AC32" s="34">
        <f t="shared" si="24"/>
        <v>6</v>
      </c>
      <c r="AD32" s="34">
        <f t="shared" si="24"/>
        <v>0</v>
      </c>
      <c r="AE32" s="31">
        <f t="shared" si="24"/>
        <v>8</v>
      </c>
      <c r="AF32" s="31">
        <f t="shared" si="24"/>
        <v>14</v>
      </c>
    </row>
    <row r="33" spans="2:32" ht="23.1" customHeight="1" x14ac:dyDescent="0.25">
      <c r="B33" s="45" t="s">
        <v>60</v>
      </c>
      <c r="C33" s="50">
        <v>14</v>
      </c>
      <c r="D33" s="50">
        <v>2</v>
      </c>
      <c r="E33" s="50">
        <v>3</v>
      </c>
      <c r="F33" s="50">
        <v>7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45</v>
      </c>
      <c r="N33" s="50">
        <v>0</v>
      </c>
      <c r="O33" s="15">
        <f t="shared" si="0"/>
        <v>27</v>
      </c>
      <c r="P33" s="15">
        <f t="shared" si="1"/>
        <v>72</v>
      </c>
      <c r="R33" s="33" t="s">
        <v>157</v>
      </c>
      <c r="S33" s="34">
        <f>SUM(C102:C105)</f>
        <v>12</v>
      </c>
      <c r="T33" s="34">
        <f t="shared" ref="T33:AF33" si="25">SUM(D102:D105)</f>
        <v>2</v>
      </c>
      <c r="U33" s="34">
        <f t="shared" si="25"/>
        <v>4</v>
      </c>
      <c r="V33" s="34">
        <f t="shared" si="25"/>
        <v>1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6</v>
      </c>
      <c r="AA33" s="34">
        <f t="shared" si="25"/>
        <v>0</v>
      </c>
      <c r="AB33" s="34">
        <f t="shared" si="25"/>
        <v>5</v>
      </c>
      <c r="AC33" s="34">
        <f t="shared" si="25"/>
        <v>30</v>
      </c>
      <c r="AD33" s="34">
        <f t="shared" si="25"/>
        <v>0</v>
      </c>
      <c r="AE33" s="31">
        <f t="shared" si="25"/>
        <v>34</v>
      </c>
      <c r="AF33" s="31">
        <f t="shared" si="25"/>
        <v>64</v>
      </c>
    </row>
    <row r="34" spans="2:32" ht="23.1" customHeight="1" x14ac:dyDescent="0.25">
      <c r="B34" s="46" t="s">
        <v>61</v>
      </c>
      <c r="C34" s="50">
        <v>8</v>
      </c>
      <c r="D34" s="50">
        <v>0</v>
      </c>
      <c r="E34" s="50">
        <v>4</v>
      </c>
      <c r="F34" s="50">
        <v>3</v>
      </c>
      <c r="G34" s="50">
        <v>0</v>
      </c>
      <c r="H34" s="50">
        <v>0</v>
      </c>
      <c r="I34" s="50">
        <v>2</v>
      </c>
      <c r="J34" s="50">
        <v>1</v>
      </c>
      <c r="K34" s="50">
        <v>0</v>
      </c>
      <c r="L34" s="50">
        <v>0</v>
      </c>
      <c r="M34" s="50">
        <v>33</v>
      </c>
      <c r="N34" s="50">
        <v>0</v>
      </c>
      <c r="O34" s="15">
        <f t="shared" si="0"/>
        <v>18</v>
      </c>
      <c r="P34" s="15">
        <f t="shared" si="1"/>
        <v>51</v>
      </c>
      <c r="R34" s="38" t="s">
        <v>90</v>
      </c>
      <c r="S34" s="39">
        <f t="shared" ref="S34:AF34" si="26">MAX(S10:S12)</f>
        <v>42</v>
      </c>
      <c r="T34" s="39">
        <f t="shared" si="26"/>
        <v>7</v>
      </c>
      <c r="U34" s="39">
        <f t="shared" si="26"/>
        <v>10</v>
      </c>
      <c r="V34" s="39">
        <f t="shared" si="26"/>
        <v>15</v>
      </c>
      <c r="W34" s="39">
        <f t="shared" si="26"/>
        <v>0</v>
      </c>
      <c r="X34" s="39">
        <f t="shared" si="26"/>
        <v>0</v>
      </c>
      <c r="Y34" s="39">
        <f t="shared" si="26"/>
        <v>10</v>
      </c>
      <c r="Z34" s="39">
        <f t="shared" si="26"/>
        <v>8</v>
      </c>
      <c r="AA34" s="39">
        <f t="shared" si="26"/>
        <v>2</v>
      </c>
      <c r="AB34" s="39">
        <f t="shared" si="26"/>
        <v>0</v>
      </c>
      <c r="AC34" s="39">
        <f t="shared" si="26"/>
        <v>154</v>
      </c>
      <c r="AD34" s="39">
        <f t="shared" si="26"/>
        <v>0</v>
      </c>
      <c r="AE34" s="40">
        <f t="shared" si="26"/>
        <v>90</v>
      </c>
      <c r="AF34" s="40">
        <f t="shared" si="26"/>
        <v>244</v>
      </c>
    </row>
    <row r="35" spans="2:32" ht="23.1" customHeight="1" x14ac:dyDescent="0.25">
      <c r="B35" s="46" t="s">
        <v>62</v>
      </c>
      <c r="C35" s="50">
        <v>12</v>
      </c>
      <c r="D35" s="50">
        <v>1</v>
      </c>
      <c r="E35" s="50">
        <v>1</v>
      </c>
      <c r="F35" s="50">
        <v>5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38</v>
      </c>
      <c r="N35" s="50">
        <v>0</v>
      </c>
      <c r="O35" s="15">
        <f t="shared" si="0"/>
        <v>20</v>
      </c>
      <c r="P35" s="15">
        <f t="shared" si="1"/>
        <v>58</v>
      </c>
      <c r="R35" s="38" t="s">
        <v>91</v>
      </c>
      <c r="S35" s="39">
        <f t="shared" ref="S35:AF35" si="27">MAX(S13:S18)</f>
        <v>72</v>
      </c>
      <c r="T35" s="39">
        <f t="shared" si="27"/>
        <v>9</v>
      </c>
      <c r="U35" s="39">
        <f t="shared" si="27"/>
        <v>12</v>
      </c>
      <c r="V35" s="39">
        <f t="shared" si="27"/>
        <v>17</v>
      </c>
      <c r="W35" s="39">
        <f t="shared" si="27"/>
        <v>1</v>
      </c>
      <c r="X35" s="39">
        <f t="shared" si="27"/>
        <v>1</v>
      </c>
      <c r="Y35" s="39">
        <f t="shared" si="27"/>
        <v>12</v>
      </c>
      <c r="Z35" s="39">
        <f t="shared" si="27"/>
        <v>6</v>
      </c>
      <c r="AA35" s="39">
        <f t="shared" si="27"/>
        <v>1</v>
      </c>
      <c r="AB35" s="39">
        <f t="shared" si="27"/>
        <v>1</v>
      </c>
      <c r="AC35" s="39">
        <f t="shared" si="27"/>
        <v>152</v>
      </c>
      <c r="AD35" s="39">
        <f t="shared" si="27"/>
        <v>0</v>
      </c>
      <c r="AE35" s="40">
        <f t="shared" si="27"/>
        <v>113</v>
      </c>
      <c r="AF35" s="40">
        <f t="shared" si="27"/>
        <v>242</v>
      </c>
    </row>
    <row r="36" spans="2:32" ht="23.1" customHeight="1" x14ac:dyDescent="0.25">
      <c r="B36" s="46" t="s">
        <v>63</v>
      </c>
      <c r="C36" s="50">
        <v>18</v>
      </c>
      <c r="D36" s="50">
        <v>6</v>
      </c>
      <c r="E36" s="50">
        <v>3</v>
      </c>
      <c r="F36" s="50">
        <v>5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40</v>
      </c>
      <c r="N36" s="50">
        <v>0</v>
      </c>
      <c r="O36" s="15">
        <f t="shared" si="0"/>
        <v>36</v>
      </c>
      <c r="P36" s="15">
        <f t="shared" si="1"/>
        <v>76</v>
      </c>
      <c r="R36" s="38" t="s">
        <v>92</v>
      </c>
      <c r="S36" s="39">
        <f t="shared" ref="S36:AF36" si="28">MAX(S19:S21)</f>
        <v>65</v>
      </c>
      <c r="T36" s="39">
        <f t="shared" si="28"/>
        <v>7</v>
      </c>
      <c r="U36" s="39">
        <f t="shared" si="28"/>
        <v>11</v>
      </c>
      <c r="V36" s="39">
        <f t="shared" si="28"/>
        <v>18</v>
      </c>
      <c r="W36" s="39">
        <f t="shared" si="28"/>
        <v>1</v>
      </c>
      <c r="X36" s="39">
        <f t="shared" si="28"/>
        <v>0</v>
      </c>
      <c r="Y36" s="39">
        <f t="shared" si="28"/>
        <v>10</v>
      </c>
      <c r="Z36" s="39">
        <f t="shared" si="28"/>
        <v>6</v>
      </c>
      <c r="AA36" s="39">
        <f t="shared" si="28"/>
        <v>1</v>
      </c>
      <c r="AB36" s="39">
        <f t="shared" si="28"/>
        <v>0</v>
      </c>
      <c r="AC36" s="39">
        <f t="shared" si="28"/>
        <v>160</v>
      </c>
      <c r="AD36" s="39">
        <f t="shared" si="28"/>
        <v>0</v>
      </c>
      <c r="AE36" s="40">
        <f t="shared" si="28"/>
        <v>111</v>
      </c>
      <c r="AF36" s="40">
        <f t="shared" si="28"/>
        <v>271</v>
      </c>
    </row>
    <row r="37" spans="2:32" ht="23.1" customHeight="1" x14ac:dyDescent="0.25">
      <c r="B37" s="45" t="s">
        <v>64</v>
      </c>
      <c r="C37" s="50">
        <v>11</v>
      </c>
      <c r="D37" s="50">
        <v>2</v>
      </c>
      <c r="E37" s="50">
        <v>2</v>
      </c>
      <c r="F37" s="50">
        <v>4</v>
      </c>
      <c r="G37" s="50">
        <v>0</v>
      </c>
      <c r="H37" s="50">
        <v>0</v>
      </c>
      <c r="I37" s="50">
        <v>2</v>
      </c>
      <c r="J37" s="50">
        <v>1</v>
      </c>
      <c r="K37" s="50">
        <v>0</v>
      </c>
      <c r="L37" s="50">
        <v>0</v>
      </c>
      <c r="M37" s="50">
        <v>15</v>
      </c>
      <c r="N37" s="50">
        <v>0</v>
      </c>
      <c r="O37" s="15">
        <f t="shared" si="0"/>
        <v>22</v>
      </c>
      <c r="P37" s="15">
        <f t="shared" si="1"/>
        <v>37</v>
      </c>
      <c r="R37" s="37" t="s">
        <v>85</v>
      </c>
      <c r="S37" s="35">
        <f t="shared" ref="S37:AF37" si="29">SUM(S10:S12)</f>
        <v>89</v>
      </c>
      <c r="T37" s="16">
        <f t="shared" si="29"/>
        <v>16</v>
      </c>
      <c r="U37" s="16">
        <f t="shared" si="29"/>
        <v>28</v>
      </c>
      <c r="V37" s="16">
        <f t="shared" si="29"/>
        <v>34</v>
      </c>
      <c r="W37" s="16">
        <f t="shared" si="29"/>
        <v>0</v>
      </c>
      <c r="X37" s="16">
        <f t="shared" si="29"/>
        <v>0</v>
      </c>
      <c r="Y37" s="16">
        <f t="shared" si="29"/>
        <v>18</v>
      </c>
      <c r="Z37" s="16">
        <f t="shared" si="29"/>
        <v>15</v>
      </c>
      <c r="AA37" s="16">
        <f t="shared" si="29"/>
        <v>2</v>
      </c>
      <c r="AB37" s="16">
        <f t="shared" si="29"/>
        <v>0</v>
      </c>
      <c r="AC37" s="16">
        <f t="shared" si="29"/>
        <v>305</v>
      </c>
      <c r="AD37" s="16">
        <f t="shared" si="29"/>
        <v>0</v>
      </c>
      <c r="AE37" s="32">
        <f t="shared" si="29"/>
        <v>202</v>
      </c>
      <c r="AF37" s="32">
        <f t="shared" si="29"/>
        <v>507</v>
      </c>
    </row>
    <row r="38" spans="2:32" ht="23.1" customHeight="1" x14ac:dyDescent="0.25">
      <c r="B38" s="46" t="s">
        <v>65</v>
      </c>
      <c r="C38" s="50">
        <v>13</v>
      </c>
      <c r="D38" s="50">
        <v>2</v>
      </c>
      <c r="E38" s="50">
        <v>0</v>
      </c>
      <c r="F38" s="50">
        <v>4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7</v>
      </c>
      <c r="N38" s="50">
        <v>0</v>
      </c>
      <c r="O38" s="15">
        <f t="shared" si="0"/>
        <v>22</v>
      </c>
      <c r="P38" s="15">
        <f t="shared" si="1"/>
        <v>29</v>
      </c>
      <c r="R38" s="28" t="s">
        <v>86</v>
      </c>
      <c r="S38" s="16">
        <f t="shared" ref="S38:AF38" si="30">SUM(S13:S18)</f>
        <v>355</v>
      </c>
      <c r="T38" s="16">
        <f t="shared" si="30"/>
        <v>42</v>
      </c>
      <c r="U38" s="16">
        <f t="shared" si="30"/>
        <v>45</v>
      </c>
      <c r="V38" s="16">
        <f t="shared" si="30"/>
        <v>83</v>
      </c>
      <c r="W38" s="16">
        <f t="shared" si="30"/>
        <v>3</v>
      </c>
      <c r="X38" s="16">
        <f t="shared" si="30"/>
        <v>1</v>
      </c>
      <c r="Y38" s="16">
        <f t="shared" si="30"/>
        <v>45</v>
      </c>
      <c r="Z38" s="16">
        <f t="shared" si="30"/>
        <v>24</v>
      </c>
      <c r="AA38" s="16">
        <f t="shared" si="30"/>
        <v>1</v>
      </c>
      <c r="AB38" s="16">
        <f t="shared" si="30"/>
        <v>1</v>
      </c>
      <c r="AC38" s="16">
        <f t="shared" si="30"/>
        <v>736</v>
      </c>
      <c r="AD38" s="16">
        <f t="shared" si="30"/>
        <v>0</v>
      </c>
      <c r="AE38" s="32">
        <f t="shared" si="30"/>
        <v>600</v>
      </c>
      <c r="AF38" s="32">
        <f t="shared" si="30"/>
        <v>1336</v>
      </c>
    </row>
    <row r="39" spans="2:32" ht="23.1" customHeight="1" x14ac:dyDescent="0.25">
      <c r="B39" s="46" t="s">
        <v>66</v>
      </c>
      <c r="C39" s="50">
        <v>15</v>
      </c>
      <c r="D39" s="50">
        <v>1</v>
      </c>
      <c r="E39" s="50">
        <v>3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9</v>
      </c>
      <c r="N39" s="50">
        <v>0</v>
      </c>
      <c r="O39" s="15">
        <f t="shared" si="0"/>
        <v>23</v>
      </c>
      <c r="P39" s="15">
        <f t="shared" si="1"/>
        <v>32</v>
      </c>
      <c r="R39" s="29" t="s">
        <v>87</v>
      </c>
      <c r="S39" s="16">
        <f t="shared" ref="S39:AF39" si="31">SUM(S19:S21)</f>
        <v>189</v>
      </c>
      <c r="T39" s="16">
        <f t="shared" si="31"/>
        <v>18</v>
      </c>
      <c r="U39" s="16">
        <f t="shared" si="31"/>
        <v>27</v>
      </c>
      <c r="V39" s="16">
        <f t="shared" si="31"/>
        <v>51</v>
      </c>
      <c r="W39" s="16">
        <f t="shared" si="31"/>
        <v>2</v>
      </c>
      <c r="X39" s="16">
        <f t="shared" si="31"/>
        <v>0</v>
      </c>
      <c r="Y39" s="16">
        <f t="shared" si="31"/>
        <v>26</v>
      </c>
      <c r="Z39" s="16">
        <f t="shared" si="31"/>
        <v>11</v>
      </c>
      <c r="AA39" s="16">
        <f t="shared" si="31"/>
        <v>1</v>
      </c>
      <c r="AB39" s="16">
        <f t="shared" si="31"/>
        <v>0</v>
      </c>
      <c r="AC39" s="16">
        <f t="shared" si="31"/>
        <v>468</v>
      </c>
      <c r="AD39" s="16">
        <f t="shared" si="31"/>
        <v>0</v>
      </c>
      <c r="AE39" s="32">
        <f t="shared" si="31"/>
        <v>325</v>
      </c>
      <c r="AF39" s="32">
        <f t="shared" si="31"/>
        <v>793</v>
      </c>
    </row>
    <row r="40" spans="2:32" ht="23.1" customHeight="1" x14ac:dyDescent="0.25">
      <c r="B40" s="46" t="s">
        <v>67</v>
      </c>
      <c r="C40" s="50">
        <v>16</v>
      </c>
      <c r="D40" s="50">
        <v>3</v>
      </c>
      <c r="E40" s="50">
        <v>0</v>
      </c>
      <c r="F40" s="50">
        <v>1</v>
      </c>
      <c r="G40" s="50">
        <v>0</v>
      </c>
      <c r="H40" s="50">
        <v>0</v>
      </c>
      <c r="I40" s="50">
        <v>1</v>
      </c>
      <c r="J40" s="50">
        <v>1</v>
      </c>
      <c r="K40" s="50">
        <v>1</v>
      </c>
      <c r="L40" s="50">
        <v>1</v>
      </c>
      <c r="M40" s="50">
        <v>30</v>
      </c>
      <c r="N40" s="50">
        <v>0</v>
      </c>
      <c r="O40" s="15">
        <f t="shared" si="0"/>
        <v>24</v>
      </c>
      <c r="P40" s="15">
        <f t="shared" si="1"/>
        <v>54</v>
      </c>
      <c r="R40" s="5" t="s">
        <v>17</v>
      </c>
      <c r="S40" s="16">
        <f t="shared" ref="S40:AF40" si="32">SUM(S10:S21)</f>
        <v>633</v>
      </c>
      <c r="T40" s="16">
        <f t="shared" si="32"/>
        <v>76</v>
      </c>
      <c r="U40" s="16">
        <f t="shared" si="32"/>
        <v>100</v>
      </c>
      <c r="V40" s="16">
        <f t="shared" si="32"/>
        <v>168</v>
      </c>
      <c r="W40" s="16">
        <f t="shared" si="32"/>
        <v>5</v>
      </c>
      <c r="X40" s="16">
        <f t="shared" si="32"/>
        <v>1</v>
      </c>
      <c r="Y40" s="16">
        <f t="shared" si="32"/>
        <v>89</v>
      </c>
      <c r="Z40" s="16">
        <f t="shared" si="32"/>
        <v>50</v>
      </c>
      <c r="AA40" s="16">
        <f t="shared" si="32"/>
        <v>4</v>
      </c>
      <c r="AB40" s="16">
        <f t="shared" si="32"/>
        <v>1</v>
      </c>
      <c r="AC40" s="16">
        <f t="shared" si="32"/>
        <v>1509</v>
      </c>
      <c r="AD40" s="16">
        <f t="shared" si="32"/>
        <v>0</v>
      </c>
      <c r="AE40" s="32">
        <f t="shared" si="32"/>
        <v>1127</v>
      </c>
      <c r="AF40" s="32">
        <f t="shared" si="32"/>
        <v>2636</v>
      </c>
    </row>
    <row r="41" spans="2:32" ht="23.1" customHeight="1" x14ac:dyDescent="0.25">
      <c r="B41" s="45" t="s">
        <v>68</v>
      </c>
      <c r="C41" s="50">
        <v>22</v>
      </c>
      <c r="D41" s="50">
        <v>1</v>
      </c>
      <c r="E41" s="50">
        <v>1</v>
      </c>
      <c r="F41" s="50">
        <v>4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38</v>
      </c>
      <c r="N41" s="50">
        <v>0</v>
      </c>
      <c r="O41" s="15">
        <f t="shared" si="0"/>
        <v>30</v>
      </c>
      <c r="P41" s="15">
        <f t="shared" si="1"/>
        <v>68</v>
      </c>
      <c r="R41" s="5" t="s">
        <v>159</v>
      </c>
      <c r="S41" s="16">
        <f>SUM(S10:S33)</f>
        <v>862</v>
      </c>
      <c r="T41" s="16">
        <f t="shared" ref="T41:AF41" si="33">SUM(T10:T33)</f>
        <v>104</v>
      </c>
      <c r="U41" s="16">
        <f t="shared" si="33"/>
        <v>120</v>
      </c>
      <c r="V41" s="16">
        <f t="shared" si="33"/>
        <v>221</v>
      </c>
      <c r="W41" s="16">
        <f t="shared" si="33"/>
        <v>7</v>
      </c>
      <c r="X41" s="16">
        <f t="shared" si="33"/>
        <v>1</v>
      </c>
      <c r="Y41" s="16">
        <f t="shared" si="33"/>
        <v>125</v>
      </c>
      <c r="Z41" s="16">
        <f t="shared" si="33"/>
        <v>75</v>
      </c>
      <c r="AA41" s="16">
        <f t="shared" si="33"/>
        <v>4</v>
      </c>
      <c r="AB41" s="16">
        <f t="shared" si="33"/>
        <v>7</v>
      </c>
      <c r="AC41" s="16">
        <f t="shared" si="33"/>
        <v>2107</v>
      </c>
      <c r="AD41" s="16">
        <f t="shared" si="33"/>
        <v>0</v>
      </c>
      <c r="AE41" s="32">
        <f t="shared" si="33"/>
        <v>1526</v>
      </c>
      <c r="AF41" s="32">
        <f t="shared" si="33"/>
        <v>3633</v>
      </c>
    </row>
    <row r="42" spans="2:32" ht="23.1" customHeight="1" x14ac:dyDescent="0.25">
      <c r="B42" s="46" t="s">
        <v>69</v>
      </c>
      <c r="C42" s="50">
        <v>10</v>
      </c>
      <c r="D42" s="50">
        <v>2</v>
      </c>
      <c r="E42" s="50">
        <v>1</v>
      </c>
      <c r="F42" s="50">
        <v>2</v>
      </c>
      <c r="G42" s="50">
        <v>0</v>
      </c>
      <c r="H42" s="50">
        <v>0</v>
      </c>
      <c r="I42" s="50">
        <v>3</v>
      </c>
      <c r="J42" s="50">
        <v>2</v>
      </c>
      <c r="K42" s="50">
        <v>0</v>
      </c>
      <c r="L42" s="50">
        <v>0</v>
      </c>
      <c r="M42" s="50">
        <v>35</v>
      </c>
      <c r="N42" s="50">
        <v>0</v>
      </c>
      <c r="O42" s="15">
        <f t="shared" si="0"/>
        <v>20</v>
      </c>
      <c r="P42" s="15">
        <f t="shared" si="1"/>
        <v>55</v>
      </c>
      <c r="R42" s="5" t="s">
        <v>160</v>
      </c>
      <c r="S42" s="48">
        <f>S41/S40</f>
        <v>1.3617693522906793</v>
      </c>
      <c r="T42" s="48">
        <f t="shared" ref="T42:AF42" si="34">T41/T40</f>
        <v>1.368421052631579</v>
      </c>
      <c r="U42" s="48">
        <f t="shared" si="34"/>
        <v>1.2</v>
      </c>
      <c r="V42" s="48">
        <f t="shared" si="34"/>
        <v>1.3154761904761905</v>
      </c>
      <c r="W42" s="48">
        <f t="shared" si="34"/>
        <v>1.4</v>
      </c>
      <c r="X42" s="48">
        <f t="shared" si="34"/>
        <v>1</v>
      </c>
      <c r="Y42" s="48">
        <f t="shared" si="34"/>
        <v>1.404494382022472</v>
      </c>
      <c r="Z42" s="48">
        <f t="shared" si="34"/>
        <v>1.5</v>
      </c>
      <c r="AA42" s="48">
        <f t="shared" si="34"/>
        <v>1</v>
      </c>
      <c r="AB42" s="48">
        <f t="shared" si="34"/>
        <v>7</v>
      </c>
      <c r="AC42" s="48">
        <f t="shared" si="34"/>
        <v>1.3962889330682571</v>
      </c>
      <c r="AD42" s="48" t="e">
        <f t="shared" si="34"/>
        <v>#DIV/0!</v>
      </c>
      <c r="AE42" s="48">
        <f t="shared" si="34"/>
        <v>1.3540372670807452</v>
      </c>
      <c r="AF42" s="48">
        <f t="shared" si="34"/>
        <v>1.3782245827010622</v>
      </c>
    </row>
    <row r="43" spans="2:32" ht="23.1" customHeight="1" x14ac:dyDescent="0.25">
      <c r="B43" s="45" t="s">
        <v>70</v>
      </c>
      <c r="C43" s="50">
        <v>29</v>
      </c>
      <c r="D43" s="50">
        <v>1</v>
      </c>
      <c r="E43" s="50">
        <v>4</v>
      </c>
      <c r="F43" s="50">
        <v>2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31</v>
      </c>
      <c r="N43" s="50">
        <v>0</v>
      </c>
      <c r="O43" s="15">
        <f t="shared" si="0"/>
        <v>37</v>
      </c>
      <c r="P43" s="15">
        <f t="shared" si="1"/>
        <v>68</v>
      </c>
    </row>
    <row r="44" spans="2:32" ht="23.1" customHeight="1" x14ac:dyDescent="0.25">
      <c r="B44" s="47" t="s">
        <v>71</v>
      </c>
      <c r="C44" s="50">
        <v>13</v>
      </c>
      <c r="D44" s="50">
        <v>1</v>
      </c>
      <c r="E44" s="50">
        <v>1</v>
      </c>
      <c r="F44" s="50">
        <v>7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25</v>
      </c>
      <c r="N44" s="50">
        <v>0</v>
      </c>
      <c r="O44" s="15">
        <f t="shared" si="0"/>
        <v>23</v>
      </c>
      <c r="P44" s="15">
        <f t="shared" si="1"/>
        <v>48</v>
      </c>
    </row>
    <row r="45" spans="2:32" ht="23.1" customHeight="1" x14ac:dyDescent="0.25">
      <c r="B45" s="45" t="s">
        <v>72</v>
      </c>
      <c r="C45" s="50">
        <v>20</v>
      </c>
      <c r="D45" s="50">
        <v>4</v>
      </c>
      <c r="E45" s="50">
        <v>2</v>
      </c>
      <c r="F45" s="50">
        <v>4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0</v>
      </c>
      <c r="M45" s="50">
        <v>37</v>
      </c>
      <c r="N45" s="50">
        <v>0</v>
      </c>
      <c r="O45" s="15">
        <f t="shared" si="0"/>
        <v>33</v>
      </c>
      <c r="P45" s="15">
        <f t="shared" si="1"/>
        <v>70</v>
      </c>
    </row>
    <row r="46" spans="2:32" ht="23.1" customHeight="1" x14ac:dyDescent="0.25">
      <c r="B46" s="46" t="s">
        <v>73</v>
      </c>
      <c r="C46" s="50">
        <v>14</v>
      </c>
      <c r="D46" s="50">
        <v>2</v>
      </c>
      <c r="E46" s="50">
        <v>4</v>
      </c>
      <c r="F46" s="50">
        <v>4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32</v>
      </c>
      <c r="N46" s="50">
        <v>0</v>
      </c>
      <c r="O46" s="15">
        <f t="shared" si="0"/>
        <v>26</v>
      </c>
      <c r="P46" s="15">
        <f t="shared" si="1"/>
        <v>58</v>
      </c>
      <c r="R46" s="8"/>
      <c r="T46"/>
    </row>
    <row r="47" spans="2:32" ht="23.1" customHeight="1" x14ac:dyDescent="0.25">
      <c r="B47" s="46" t="s">
        <v>74</v>
      </c>
      <c r="C47" s="50">
        <v>14</v>
      </c>
      <c r="D47" s="50">
        <v>2</v>
      </c>
      <c r="E47" s="50">
        <v>2</v>
      </c>
      <c r="F47" s="50">
        <v>3</v>
      </c>
      <c r="G47" s="50">
        <v>0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30</v>
      </c>
      <c r="N47" s="50">
        <v>0</v>
      </c>
      <c r="O47" s="15">
        <f t="shared" si="0"/>
        <v>26</v>
      </c>
      <c r="P47" s="15">
        <f t="shared" si="1"/>
        <v>56</v>
      </c>
      <c r="R47" s="8"/>
      <c r="T47"/>
    </row>
    <row r="48" spans="2:32" ht="23.1" customHeight="1" x14ac:dyDescent="0.25">
      <c r="B48" s="46" t="s">
        <v>75</v>
      </c>
      <c r="C48" s="50">
        <v>23</v>
      </c>
      <c r="D48" s="50">
        <v>1</v>
      </c>
      <c r="E48" s="50">
        <v>2</v>
      </c>
      <c r="F48" s="50">
        <v>5</v>
      </c>
      <c r="G48" s="50">
        <v>0</v>
      </c>
      <c r="H48" s="50">
        <v>0</v>
      </c>
      <c r="I48" s="50">
        <v>3</v>
      </c>
      <c r="J48" s="50">
        <v>1</v>
      </c>
      <c r="K48" s="50">
        <v>0</v>
      </c>
      <c r="L48" s="50">
        <v>0</v>
      </c>
      <c r="M48" s="50">
        <v>50</v>
      </c>
      <c r="N48" s="50">
        <v>0</v>
      </c>
      <c r="O48" s="15">
        <f t="shared" si="0"/>
        <v>35</v>
      </c>
      <c r="P48" s="15">
        <f t="shared" si="1"/>
        <v>85</v>
      </c>
      <c r="R48" s="8"/>
      <c r="T48"/>
    </row>
    <row r="49" spans="2:20" ht="23.1" customHeight="1" x14ac:dyDescent="0.25">
      <c r="B49" s="45" t="s">
        <v>76</v>
      </c>
      <c r="C49" s="50">
        <v>14</v>
      </c>
      <c r="D49" s="50">
        <v>0</v>
      </c>
      <c r="E49" s="50">
        <v>3</v>
      </c>
      <c r="F49" s="50">
        <v>4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0</v>
      </c>
      <c r="M49" s="50">
        <v>36</v>
      </c>
      <c r="N49" s="50">
        <v>0</v>
      </c>
      <c r="O49" s="15">
        <f t="shared" si="0"/>
        <v>23</v>
      </c>
      <c r="P49" s="15">
        <f t="shared" si="1"/>
        <v>59</v>
      </c>
      <c r="R49" s="8"/>
      <c r="T49"/>
    </row>
    <row r="50" spans="2:20" ht="23.1" customHeight="1" x14ac:dyDescent="0.25">
      <c r="B50" s="46" t="s">
        <v>77</v>
      </c>
      <c r="C50" s="50">
        <v>14</v>
      </c>
      <c r="D50" s="50">
        <v>4</v>
      </c>
      <c r="E50" s="50">
        <v>2</v>
      </c>
      <c r="F50" s="50">
        <v>5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42</v>
      </c>
      <c r="N50" s="50">
        <v>0</v>
      </c>
      <c r="O50" s="15">
        <f t="shared" si="0"/>
        <v>26</v>
      </c>
      <c r="P50" s="15">
        <f t="shared" si="1"/>
        <v>68</v>
      </c>
      <c r="R50" s="8"/>
      <c r="T50"/>
    </row>
    <row r="51" spans="2:20" ht="23.1" customHeight="1" x14ac:dyDescent="0.25">
      <c r="B51" s="46" t="s">
        <v>78</v>
      </c>
      <c r="C51" s="50">
        <v>20</v>
      </c>
      <c r="D51" s="50">
        <v>0</v>
      </c>
      <c r="E51" s="50">
        <v>2</v>
      </c>
      <c r="F51" s="50">
        <v>4</v>
      </c>
      <c r="G51" s="50">
        <v>1</v>
      </c>
      <c r="H51" s="50">
        <v>0</v>
      </c>
      <c r="I51" s="50">
        <v>3</v>
      </c>
      <c r="J51" s="50">
        <v>2</v>
      </c>
      <c r="K51" s="50">
        <v>1</v>
      </c>
      <c r="L51" s="50">
        <v>0</v>
      </c>
      <c r="M51" s="50">
        <v>39</v>
      </c>
      <c r="N51" s="50">
        <v>0</v>
      </c>
      <c r="O51" s="15">
        <f t="shared" si="0"/>
        <v>33</v>
      </c>
      <c r="P51" s="15">
        <f t="shared" si="1"/>
        <v>72</v>
      </c>
      <c r="R51" s="8"/>
      <c r="T51"/>
    </row>
    <row r="52" spans="2:20" ht="23.1" customHeight="1" x14ac:dyDescent="0.25">
      <c r="B52" s="46" t="s">
        <v>79</v>
      </c>
      <c r="C52" s="50">
        <v>13</v>
      </c>
      <c r="D52" s="50">
        <v>2</v>
      </c>
      <c r="E52" s="50">
        <v>2</v>
      </c>
      <c r="F52" s="50">
        <v>5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43</v>
      </c>
      <c r="N52" s="50">
        <v>0</v>
      </c>
      <c r="O52" s="15">
        <f t="shared" si="0"/>
        <v>24</v>
      </c>
      <c r="P52" s="15">
        <f t="shared" si="1"/>
        <v>67</v>
      </c>
      <c r="R52" s="8"/>
      <c r="T52"/>
    </row>
    <row r="53" spans="2:20" ht="23.1" customHeight="1" x14ac:dyDescent="0.25">
      <c r="B53" s="45" t="s">
        <v>80</v>
      </c>
      <c r="C53" s="50">
        <v>14</v>
      </c>
      <c r="D53" s="50">
        <v>0</v>
      </c>
      <c r="E53" s="50">
        <v>2</v>
      </c>
      <c r="F53" s="50">
        <v>4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36</v>
      </c>
      <c r="N53" s="50">
        <v>0</v>
      </c>
      <c r="O53" s="15">
        <f t="shared" si="0"/>
        <v>21</v>
      </c>
      <c r="P53" s="15">
        <f t="shared" si="1"/>
        <v>57</v>
      </c>
      <c r="R53" s="8"/>
      <c r="T53"/>
    </row>
    <row r="54" spans="2:20" ht="23.1" customHeight="1" x14ac:dyDescent="0.25">
      <c r="B54" s="45" t="s">
        <v>81</v>
      </c>
      <c r="C54" s="50">
        <v>18</v>
      </c>
      <c r="D54" s="50">
        <v>3</v>
      </c>
      <c r="E54" s="50">
        <v>2</v>
      </c>
      <c r="F54" s="50">
        <v>2</v>
      </c>
      <c r="G54" s="50">
        <v>0</v>
      </c>
      <c r="H54" s="50">
        <v>0</v>
      </c>
      <c r="I54" s="50">
        <v>1</v>
      </c>
      <c r="J54" s="50">
        <v>3</v>
      </c>
      <c r="K54" s="50">
        <v>0</v>
      </c>
      <c r="L54" s="50">
        <v>0</v>
      </c>
      <c r="M54" s="50">
        <v>48</v>
      </c>
      <c r="N54" s="50">
        <v>0</v>
      </c>
      <c r="O54" s="15">
        <f t="shared" si="0"/>
        <v>29</v>
      </c>
      <c r="P54" s="15">
        <f t="shared" si="1"/>
        <v>77</v>
      </c>
      <c r="R54" s="8"/>
      <c r="T54"/>
    </row>
    <row r="55" spans="2:20" ht="23.1" customHeight="1" x14ac:dyDescent="0.25">
      <c r="B55" s="45" t="s">
        <v>82</v>
      </c>
      <c r="C55" s="50">
        <v>14</v>
      </c>
      <c r="D55" s="50">
        <v>1</v>
      </c>
      <c r="E55" s="50">
        <v>4</v>
      </c>
      <c r="F55" s="50">
        <v>6</v>
      </c>
      <c r="G55" s="50">
        <v>1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41</v>
      </c>
      <c r="N55" s="50">
        <v>0</v>
      </c>
      <c r="O55" s="15">
        <f t="shared" si="0"/>
        <v>30</v>
      </c>
      <c r="P55" s="15">
        <f t="shared" si="1"/>
        <v>71</v>
      </c>
      <c r="R55" s="8"/>
      <c r="T55"/>
    </row>
    <row r="56" spans="2:20" ht="23.1" customHeight="1" x14ac:dyDescent="0.25">
      <c r="B56" s="45" t="s">
        <v>83</v>
      </c>
      <c r="C56" s="50">
        <v>11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19</v>
      </c>
      <c r="N56" s="50">
        <v>0</v>
      </c>
      <c r="O56" s="15">
        <f t="shared" si="0"/>
        <v>14</v>
      </c>
      <c r="P56" s="15">
        <f t="shared" si="1"/>
        <v>33</v>
      </c>
      <c r="R56" s="8"/>
      <c r="T56"/>
    </row>
    <row r="57" spans="2:20" ht="23.1" customHeight="1" x14ac:dyDescent="0.25">
      <c r="B57" s="45" t="s">
        <v>84</v>
      </c>
      <c r="C57" s="50">
        <v>20</v>
      </c>
      <c r="D57" s="50">
        <v>3</v>
      </c>
      <c r="E57" s="50">
        <v>2</v>
      </c>
      <c r="F57" s="50">
        <v>8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52</v>
      </c>
      <c r="N57" s="50">
        <v>0</v>
      </c>
      <c r="O57" s="15">
        <f t="shared" si="0"/>
        <v>38</v>
      </c>
      <c r="P57" s="15">
        <f t="shared" si="1"/>
        <v>90</v>
      </c>
      <c r="R57" s="8"/>
      <c r="T57"/>
    </row>
    <row r="58" spans="2:20" ht="23.1" customHeight="1" x14ac:dyDescent="0.25">
      <c r="B58" s="45" t="s">
        <v>99</v>
      </c>
      <c r="C58" s="50">
        <v>12</v>
      </c>
      <c r="D58" s="50">
        <v>1</v>
      </c>
      <c r="E58" s="50">
        <v>2</v>
      </c>
      <c r="F58" s="50">
        <v>4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30</v>
      </c>
      <c r="N58" s="50">
        <v>0</v>
      </c>
      <c r="O58" s="15">
        <f t="shared" si="0"/>
        <v>22</v>
      </c>
      <c r="P58" s="15">
        <f t="shared" si="1"/>
        <v>52</v>
      </c>
      <c r="R58" s="8"/>
      <c r="T58"/>
    </row>
    <row r="59" spans="2:20" ht="23.1" customHeight="1" x14ac:dyDescent="0.25">
      <c r="B59" s="45" t="s">
        <v>100</v>
      </c>
      <c r="C59" s="50">
        <v>8</v>
      </c>
      <c r="D59" s="50">
        <v>0</v>
      </c>
      <c r="E59" s="50">
        <v>0</v>
      </c>
      <c r="F59" s="50">
        <v>4</v>
      </c>
      <c r="G59" s="50">
        <v>0</v>
      </c>
      <c r="H59" s="50">
        <v>0</v>
      </c>
      <c r="I59" s="50">
        <v>0</v>
      </c>
      <c r="J59" s="50">
        <v>1</v>
      </c>
      <c r="K59" s="50">
        <v>0</v>
      </c>
      <c r="L59" s="50">
        <v>0</v>
      </c>
      <c r="M59" s="50">
        <v>38</v>
      </c>
      <c r="N59" s="50">
        <v>0</v>
      </c>
      <c r="O59" s="15">
        <f t="shared" si="0"/>
        <v>13</v>
      </c>
      <c r="P59" s="15">
        <f t="shared" si="1"/>
        <v>51</v>
      </c>
      <c r="R59" s="8"/>
      <c r="T59"/>
    </row>
    <row r="60" spans="2:20" ht="23.1" customHeight="1" x14ac:dyDescent="0.25">
      <c r="B60" s="45" t="s">
        <v>101</v>
      </c>
      <c r="C60" s="50">
        <v>25</v>
      </c>
      <c r="D60" s="50">
        <v>7</v>
      </c>
      <c r="E60" s="50">
        <v>1</v>
      </c>
      <c r="F60" s="50">
        <v>5</v>
      </c>
      <c r="G60" s="50">
        <v>0</v>
      </c>
      <c r="H60" s="50">
        <v>0</v>
      </c>
      <c r="I60" s="50">
        <v>2</v>
      </c>
      <c r="J60" s="50">
        <v>1</v>
      </c>
      <c r="K60" s="50">
        <v>0</v>
      </c>
      <c r="L60" s="50">
        <v>1</v>
      </c>
      <c r="M60" s="50">
        <v>40</v>
      </c>
      <c r="N60" s="50">
        <v>0</v>
      </c>
      <c r="O60" s="15">
        <f t="shared" si="0"/>
        <v>42</v>
      </c>
      <c r="P60" s="15">
        <f t="shared" si="1"/>
        <v>82</v>
      </c>
      <c r="R60" s="8"/>
      <c r="T60"/>
    </row>
    <row r="61" spans="2:20" ht="23.1" customHeight="1" x14ac:dyDescent="0.25">
      <c r="B61" s="45" t="s">
        <v>102</v>
      </c>
      <c r="C61" s="50">
        <v>14</v>
      </c>
      <c r="D61" s="50">
        <v>2</v>
      </c>
      <c r="E61" s="50">
        <v>0</v>
      </c>
      <c r="F61" s="50">
        <v>2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0</v>
      </c>
      <c r="M61" s="50">
        <v>53</v>
      </c>
      <c r="N61" s="50">
        <v>0</v>
      </c>
      <c r="O61" s="15">
        <f t="shared" si="0"/>
        <v>19</v>
      </c>
      <c r="P61" s="15">
        <f t="shared" si="1"/>
        <v>72</v>
      </c>
      <c r="R61" s="8"/>
      <c r="T61"/>
    </row>
    <row r="62" spans="2:20" ht="23.1" customHeight="1" x14ac:dyDescent="0.25">
      <c r="B62" s="45" t="s">
        <v>107</v>
      </c>
      <c r="C62" s="50">
        <v>14</v>
      </c>
      <c r="D62" s="50">
        <v>1</v>
      </c>
      <c r="E62" s="50">
        <v>2</v>
      </c>
      <c r="F62" s="50">
        <v>5</v>
      </c>
      <c r="G62" s="50">
        <v>0</v>
      </c>
      <c r="H62" s="50">
        <v>0</v>
      </c>
      <c r="I62" s="50">
        <v>2</v>
      </c>
      <c r="J62" s="50">
        <v>1</v>
      </c>
      <c r="K62" s="50">
        <v>0</v>
      </c>
      <c r="L62" s="50">
        <v>0</v>
      </c>
      <c r="M62" s="50">
        <v>36</v>
      </c>
      <c r="N62" s="50">
        <v>0</v>
      </c>
      <c r="O62" s="15">
        <f t="shared" si="0"/>
        <v>25</v>
      </c>
      <c r="P62" s="15">
        <f t="shared" si="1"/>
        <v>61</v>
      </c>
      <c r="R62" s="8"/>
      <c r="T62"/>
    </row>
    <row r="63" spans="2:20" ht="23.1" customHeight="1" x14ac:dyDescent="0.25">
      <c r="B63" s="45" t="s">
        <v>108</v>
      </c>
      <c r="C63" s="50">
        <v>11</v>
      </c>
      <c r="D63" s="50">
        <v>3</v>
      </c>
      <c r="E63" s="50">
        <v>1</v>
      </c>
      <c r="F63" s="50">
        <v>5</v>
      </c>
      <c r="G63" s="50">
        <v>0</v>
      </c>
      <c r="H63" s="50">
        <v>0</v>
      </c>
      <c r="I63" s="50">
        <v>1</v>
      </c>
      <c r="J63" s="50">
        <v>1</v>
      </c>
      <c r="K63" s="50">
        <v>0</v>
      </c>
      <c r="L63" s="50">
        <v>0</v>
      </c>
      <c r="M63" s="50">
        <v>31</v>
      </c>
      <c r="N63" s="50">
        <v>0</v>
      </c>
      <c r="O63" s="15">
        <f t="shared" si="0"/>
        <v>22</v>
      </c>
      <c r="P63" s="15">
        <f t="shared" si="1"/>
        <v>53</v>
      </c>
      <c r="R63" s="8"/>
      <c r="T63"/>
    </row>
    <row r="64" spans="2:20" ht="23.1" customHeight="1" x14ac:dyDescent="0.25">
      <c r="B64" s="45" t="s">
        <v>109</v>
      </c>
      <c r="C64" s="50">
        <v>8</v>
      </c>
      <c r="D64" s="50">
        <v>1</v>
      </c>
      <c r="E64" s="50">
        <v>1</v>
      </c>
      <c r="F64" s="50">
        <v>6</v>
      </c>
      <c r="G64" s="50">
        <v>0</v>
      </c>
      <c r="H64" s="50">
        <v>0</v>
      </c>
      <c r="I64" s="50">
        <v>4</v>
      </c>
      <c r="J64" s="50">
        <v>0</v>
      </c>
      <c r="K64" s="50">
        <v>0</v>
      </c>
      <c r="L64" s="50">
        <v>0</v>
      </c>
      <c r="M64" s="50">
        <v>31</v>
      </c>
      <c r="N64" s="50">
        <v>0</v>
      </c>
      <c r="O64" s="15">
        <f t="shared" si="0"/>
        <v>20</v>
      </c>
      <c r="P64" s="15">
        <f t="shared" si="1"/>
        <v>51</v>
      </c>
      <c r="R64" s="8"/>
      <c r="T64"/>
    </row>
    <row r="65" spans="2:20" ht="23.1" customHeight="1" x14ac:dyDescent="0.25">
      <c r="B65" s="45" t="s">
        <v>158</v>
      </c>
      <c r="C65" s="50">
        <v>15</v>
      </c>
      <c r="D65" s="50">
        <v>1</v>
      </c>
      <c r="E65" s="50">
        <v>2</v>
      </c>
      <c r="F65" s="50">
        <v>2</v>
      </c>
      <c r="G65" s="50">
        <v>1</v>
      </c>
      <c r="H65" s="50">
        <v>0</v>
      </c>
      <c r="I65" s="50">
        <v>3</v>
      </c>
      <c r="J65" s="50">
        <v>1</v>
      </c>
      <c r="K65" s="50">
        <v>0</v>
      </c>
      <c r="L65" s="50">
        <v>0</v>
      </c>
      <c r="M65" s="50">
        <v>45</v>
      </c>
      <c r="N65" s="50">
        <v>0</v>
      </c>
      <c r="O65" s="15">
        <f t="shared" si="0"/>
        <v>25</v>
      </c>
      <c r="P65" s="15">
        <f t="shared" si="1"/>
        <v>70</v>
      </c>
      <c r="R65" s="8"/>
      <c r="T65"/>
    </row>
    <row r="66" spans="2:20" ht="23.1" customHeight="1" x14ac:dyDescent="0.25">
      <c r="B66" s="45" t="s">
        <v>103</v>
      </c>
      <c r="C66" s="50">
        <v>8</v>
      </c>
      <c r="D66" s="50">
        <v>1</v>
      </c>
      <c r="E66" s="50">
        <v>0</v>
      </c>
      <c r="F66" s="50">
        <v>2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28</v>
      </c>
      <c r="N66" s="50">
        <v>0</v>
      </c>
      <c r="O66" s="15">
        <f t="shared" si="0"/>
        <v>13</v>
      </c>
      <c r="P66" s="15">
        <f t="shared" si="1"/>
        <v>41</v>
      </c>
      <c r="R66" s="8"/>
      <c r="T66"/>
    </row>
    <row r="67" spans="2:20" ht="23.1" customHeight="1" x14ac:dyDescent="0.25">
      <c r="B67" s="45" t="s">
        <v>104</v>
      </c>
      <c r="C67" s="50">
        <v>13</v>
      </c>
      <c r="D67" s="50">
        <v>1</v>
      </c>
      <c r="E67" s="50">
        <v>0</v>
      </c>
      <c r="F67" s="50">
        <v>2</v>
      </c>
      <c r="G67" s="50">
        <v>0</v>
      </c>
      <c r="H67" s="50">
        <v>0</v>
      </c>
      <c r="I67" s="50">
        <v>0</v>
      </c>
      <c r="J67" s="50">
        <v>2</v>
      </c>
      <c r="K67" s="50">
        <v>0</v>
      </c>
      <c r="L67" s="50">
        <v>0</v>
      </c>
      <c r="M67" s="50">
        <v>35</v>
      </c>
      <c r="N67" s="50">
        <v>0</v>
      </c>
      <c r="O67" s="15">
        <f t="shared" si="0"/>
        <v>18</v>
      </c>
      <c r="P67" s="15">
        <f t="shared" si="1"/>
        <v>53</v>
      </c>
      <c r="R67" s="8"/>
      <c r="T67"/>
    </row>
    <row r="68" spans="2:20" ht="23.1" customHeight="1" x14ac:dyDescent="0.25">
      <c r="B68" s="45" t="s">
        <v>105</v>
      </c>
      <c r="C68" s="50">
        <v>9</v>
      </c>
      <c r="D68" s="50">
        <v>0</v>
      </c>
      <c r="E68" s="50">
        <v>1</v>
      </c>
      <c r="F68" s="50">
        <v>0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0</v>
      </c>
      <c r="M68" s="50">
        <v>18</v>
      </c>
      <c r="N68" s="50">
        <v>0</v>
      </c>
      <c r="O68" s="15">
        <f t="shared" si="0"/>
        <v>11</v>
      </c>
      <c r="P68" s="15">
        <f t="shared" si="1"/>
        <v>29</v>
      </c>
      <c r="R68" s="8"/>
      <c r="T68"/>
    </row>
    <row r="69" spans="2:20" ht="23.1" customHeight="1" x14ac:dyDescent="0.25">
      <c r="B69" s="45" t="s">
        <v>106</v>
      </c>
      <c r="C69" s="50">
        <v>8</v>
      </c>
      <c r="D69" s="50">
        <v>1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1</v>
      </c>
      <c r="K69" s="50">
        <v>0</v>
      </c>
      <c r="L69" s="50">
        <v>0</v>
      </c>
      <c r="M69" s="50">
        <v>21</v>
      </c>
      <c r="N69" s="50">
        <v>0</v>
      </c>
      <c r="O69" s="15">
        <f t="shared" si="0"/>
        <v>10</v>
      </c>
      <c r="P69" s="15">
        <f t="shared" si="1"/>
        <v>31</v>
      </c>
      <c r="R69" s="8"/>
      <c r="T69"/>
    </row>
    <row r="70" spans="2:20" ht="23.1" customHeight="1" x14ac:dyDescent="0.25">
      <c r="B70" s="45" t="s">
        <v>110</v>
      </c>
      <c r="C70" s="50">
        <v>4</v>
      </c>
      <c r="D70" s="50">
        <v>0</v>
      </c>
      <c r="E70" s="50">
        <v>0</v>
      </c>
      <c r="F70" s="50">
        <v>1</v>
      </c>
      <c r="G70" s="50">
        <v>0</v>
      </c>
      <c r="H70" s="50">
        <v>0</v>
      </c>
      <c r="I70" s="50">
        <v>2</v>
      </c>
      <c r="J70" s="50">
        <v>0</v>
      </c>
      <c r="K70" s="50">
        <v>0</v>
      </c>
      <c r="L70" s="50">
        <v>0</v>
      </c>
      <c r="M70" s="50">
        <v>28</v>
      </c>
      <c r="N70" s="50">
        <v>0</v>
      </c>
      <c r="O70" s="15">
        <f t="shared" si="0"/>
        <v>7</v>
      </c>
      <c r="P70" s="15">
        <f t="shared" si="1"/>
        <v>35</v>
      </c>
      <c r="R70" s="8"/>
      <c r="T70"/>
    </row>
    <row r="71" spans="2:20" ht="23.1" customHeight="1" x14ac:dyDescent="0.25">
      <c r="B71" s="45" t="s">
        <v>111</v>
      </c>
      <c r="C71" s="50">
        <v>9</v>
      </c>
      <c r="D71" s="50">
        <v>1</v>
      </c>
      <c r="E71" s="50">
        <v>2</v>
      </c>
      <c r="F71" s="50">
        <v>1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0</v>
      </c>
      <c r="M71" s="50">
        <v>18</v>
      </c>
      <c r="N71" s="50">
        <v>0</v>
      </c>
      <c r="O71" s="15">
        <f t="shared" si="0"/>
        <v>14</v>
      </c>
      <c r="P71" s="15">
        <f t="shared" si="1"/>
        <v>32</v>
      </c>
      <c r="R71" s="8"/>
      <c r="T71"/>
    </row>
    <row r="72" spans="2:20" ht="23.1" customHeight="1" x14ac:dyDescent="0.25">
      <c r="B72" s="45" t="s">
        <v>112</v>
      </c>
      <c r="C72" s="50">
        <v>8</v>
      </c>
      <c r="D72" s="50">
        <v>0</v>
      </c>
      <c r="E72" s="50">
        <v>3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12</v>
      </c>
      <c r="N72" s="50">
        <v>0</v>
      </c>
      <c r="O72" s="15">
        <f t="shared" si="0"/>
        <v>11</v>
      </c>
      <c r="P72" s="15">
        <f t="shared" si="1"/>
        <v>23</v>
      </c>
      <c r="R72" s="8"/>
      <c r="T72"/>
    </row>
    <row r="73" spans="2:20" ht="23.1" customHeight="1" x14ac:dyDescent="0.25">
      <c r="B73" s="45" t="s">
        <v>113</v>
      </c>
      <c r="C73" s="50">
        <v>4</v>
      </c>
      <c r="D73" s="50">
        <v>0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16</v>
      </c>
      <c r="N73" s="50">
        <v>0</v>
      </c>
      <c r="O73" s="15">
        <f t="shared" si="0"/>
        <v>6</v>
      </c>
      <c r="P73" s="15">
        <f t="shared" si="1"/>
        <v>22</v>
      </c>
      <c r="R73" s="8"/>
      <c r="T73"/>
    </row>
    <row r="74" spans="2:20" ht="23.1" customHeight="1" x14ac:dyDescent="0.25">
      <c r="B74" s="45" t="s">
        <v>114</v>
      </c>
      <c r="C74" s="50">
        <v>9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4</v>
      </c>
      <c r="N74" s="50">
        <v>0</v>
      </c>
      <c r="O74" s="15">
        <f t="shared" ref="O74:O105" si="35">SUM(C74:L74,N74)</f>
        <v>12</v>
      </c>
      <c r="P74" s="15">
        <f t="shared" ref="P74:P105" si="36">SUM(C74:N74)</f>
        <v>16</v>
      </c>
      <c r="R74" s="8"/>
      <c r="T74"/>
    </row>
    <row r="75" spans="2:20" ht="23.1" customHeight="1" x14ac:dyDescent="0.25">
      <c r="B75" s="45" t="s">
        <v>115</v>
      </c>
      <c r="C75" s="50">
        <v>6</v>
      </c>
      <c r="D75" s="50">
        <v>1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8</v>
      </c>
      <c r="N75" s="50">
        <v>0</v>
      </c>
      <c r="O75" s="15">
        <f t="shared" si="35"/>
        <v>8</v>
      </c>
      <c r="P75" s="15">
        <f t="shared" si="36"/>
        <v>16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6</v>
      </c>
      <c r="N76" s="50">
        <v>0</v>
      </c>
      <c r="O76" s="15">
        <f t="shared" si="35"/>
        <v>3</v>
      </c>
      <c r="P76" s="15">
        <f t="shared" si="36"/>
        <v>9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2</v>
      </c>
      <c r="J77" s="50">
        <v>1</v>
      </c>
      <c r="K77" s="50">
        <v>0</v>
      </c>
      <c r="L77" s="50">
        <v>0</v>
      </c>
      <c r="M77" s="50">
        <v>6</v>
      </c>
      <c r="N77" s="50">
        <v>0</v>
      </c>
      <c r="O77" s="15">
        <f t="shared" si="35"/>
        <v>4</v>
      </c>
      <c r="P77" s="15">
        <f t="shared" si="36"/>
        <v>10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1</v>
      </c>
      <c r="F78" s="50">
        <v>1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6</v>
      </c>
      <c r="N78" s="50">
        <v>0</v>
      </c>
      <c r="O78" s="15">
        <f t="shared" si="35"/>
        <v>4</v>
      </c>
      <c r="P78" s="15">
        <f t="shared" si="36"/>
        <v>10</v>
      </c>
      <c r="R78" s="8"/>
      <c r="T78"/>
    </row>
    <row r="79" spans="2:20" ht="23.1" customHeight="1" x14ac:dyDescent="0.25">
      <c r="B79" s="45" t="s">
        <v>119</v>
      </c>
      <c r="C79" s="50">
        <v>4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1</v>
      </c>
      <c r="J79" s="50">
        <v>0</v>
      </c>
      <c r="K79" s="50">
        <v>0</v>
      </c>
      <c r="L79" s="50">
        <v>0</v>
      </c>
      <c r="M79" s="50">
        <v>3</v>
      </c>
      <c r="N79" s="50">
        <v>0</v>
      </c>
      <c r="O79" s="15">
        <f t="shared" si="35"/>
        <v>6</v>
      </c>
      <c r="P79" s="15">
        <f t="shared" si="36"/>
        <v>9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1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3</v>
      </c>
      <c r="P80" s="15">
        <f t="shared" si="36"/>
        <v>4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3</v>
      </c>
      <c r="P81" s="15">
        <f t="shared" si="36"/>
        <v>4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3</v>
      </c>
      <c r="J82" s="50">
        <v>1</v>
      </c>
      <c r="K82" s="50">
        <v>0</v>
      </c>
      <c r="L82" s="50">
        <v>0</v>
      </c>
      <c r="M82" s="50">
        <v>7</v>
      </c>
      <c r="N82" s="50">
        <v>0</v>
      </c>
      <c r="O82" s="15">
        <f t="shared" si="35"/>
        <v>5</v>
      </c>
      <c r="P82" s="15">
        <f t="shared" si="36"/>
        <v>12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6</v>
      </c>
      <c r="N83" s="50">
        <v>0</v>
      </c>
      <c r="O83" s="15">
        <f t="shared" si="35"/>
        <v>2</v>
      </c>
      <c r="P83" s="15">
        <f t="shared" si="36"/>
        <v>8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1</v>
      </c>
      <c r="E84" s="50">
        <v>0</v>
      </c>
      <c r="F84" s="50">
        <v>1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3</v>
      </c>
      <c r="P84" s="15">
        <f t="shared" si="36"/>
        <v>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7</v>
      </c>
      <c r="N85" s="50">
        <v>0</v>
      </c>
      <c r="O85" s="15">
        <f t="shared" si="35"/>
        <v>3</v>
      </c>
      <c r="P85" s="15">
        <f t="shared" si="36"/>
        <v>10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1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6</v>
      </c>
      <c r="N87" s="50">
        <v>0</v>
      </c>
      <c r="O87" s="15">
        <f t="shared" si="35"/>
        <v>0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3</v>
      </c>
      <c r="N88" s="50">
        <v>0</v>
      </c>
      <c r="O88" s="15">
        <f t="shared" si="35"/>
        <v>1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1</v>
      </c>
      <c r="E89" s="50">
        <v>0</v>
      </c>
      <c r="F89" s="50">
        <v>1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2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2</v>
      </c>
      <c r="N90" s="50">
        <v>0</v>
      </c>
      <c r="O90" s="15">
        <f t="shared" si="35"/>
        <v>2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2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3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1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4</v>
      </c>
      <c r="N93" s="50">
        <v>0</v>
      </c>
      <c r="O93" s="15">
        <f t="shared" si="35"/>
        <v>2</v>
      </c>
      <c r="P93" s="15">
        <f t="shared" si="36"/>
        <v>6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1</v>
      </c>
      <c r="P94" s="15">
        <f t="shared" si="36"/>
        <v>1</v>
      </c>
      <c r="R94" s="8"/>
      <c r="T94"/>
    </row>
    <row r="95" spans="2:20" ht="23.1" customHeight="1" x14ac:dyDescent="0.25">
      <c r="B95" s="45" t="s">
        <v>135</v>
      </c>
      <c r="C95" s="50">
        <v>3</v>
      </c>
      <c r="D95" s="50">
        <v>0</v>
      </c>
      <c r="E95" s="50">
        <v>0</v>
      </c>
      <c r="F95" s="50">
        <v>1</v>
      </c>
      <c r="G95" s="50">
        <v>0</v>
      </c>
      <c r="H95" s="50">
        <v>0</v>
      </c>
      <c r="I95" s="50">
        <v>2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6</v>
      </c>
      <c r="P95" s="15">
        <f t="shared" si="36"/>
        <v>7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1</v>
      </c>
      <c r="D97" s="50">
        <v>0</v>
      </c>
      <c r="E97" s="50">
        <v>0</v>
      </c>
      <c r="F97" s="50">
        <v>1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1</v>
      </c>
      <c r="D98" s="50">
        <v>0</v>
      </c>
      <c r="E98" s="50">
        <v>0</v>
      </c>
      <c r="F98" s="50">
        <v>1</v>
      </c>
      <c r="G98" s="50">
        <v>0</v>
      </c>
      <c r="H98" s="50">
        <v>0</v>
      </c>
      <c r="I98" s="50">
        <v>0</v>
      </c>
      <c r="J98" s="50">
        <v>1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3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1</v>
      </c>
      <c r="K99" s="50">
        <v>0</v>
      </c>
      <c r="L99" s="50">
        <v>0</v>
      </c>
      <c r="M99" s="50">
        <v>2</v>
      </c>
      <c r="N99" s="50">
        <v>0</v>
      </c>
      <c r="O99" s="15">
        <f t="shared" si="35"/>
        <v>1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1</v>
      </c>
      <c r="D100" s="50">
        <v>1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3</v>
      </c>
      <c r="N100" s="50">
        <v>0</v>
      </c>
      <c r="O100" s="15">
        <f t="shared" si="35"/>
        <v>3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1</v>
      </c>
      <c r="P101" s="15">
        <f t="shared" si="36"/>
        <v>1</v>
      </c>
      <c r="R101" s="8"/>
      <c r="T101"/>
    </row>
    <row r="102" spans="2:20" ht="23.1" customHeight="1" x14ac:dyDescent="0.25">
      <c r="B102" s="46" t="s">
        <v>142</v>
      </c>
      <c r="C102" s="50">
        <v>2</v>
      </c>
      <c r="D102" s="50">
        <v>1</v>
      </c>
      <c r="E102" s="50">
        <v>1</v>
      </c>
      <c r="F102" s="50">
        <v>0</v>
      </c>
      <c r="G102" s="50">
        <v>0</v>
      </c>
      <c r="H102" s="50">
        <v>0</v>
      </c>
      <c r="I102" s="50">
        <v>0</v>
      </c>
      <c r="J102" s="50">
        <v>2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6</v>
      </c>
      <c r="P102" s="15">
        <f t="shared" si="36"/>
        <v>12</v>
      </c>
      <c r="R102" s="8"/>
      <c r="T102"/>
    </row>
    <row r="103" spans="2:20" ht="23.1" customHeight="1" x14ac:dyDescent="0.25">
      <c r="B103" s="45" t="s">
        <v>143</v>
      </c>
      <c r="C103" s="50">
        <v>3</v>
      </c>
      <c r="D103" s="50">
        <v>0</v>
      </c>
      <c r="E103" s="50">
        <v>1</v>
      </c>
      <c r="F103" s="50">
        <v>0</v>
      </c>
      <c r="G103" s="50">
        <v>1</v>
      </c>
      <c r="H103" s="50">
        <v>0</v>
      </c>
      <c r="I103" s="50">
        <v>0</v>
      </c>
      <c r="J103" s="50">
        <v>1</v>
      </c>
      <c r="K103" s="50">
        <v>0</v>
      </c>
      <c r="L103" s="50">
        <v>5</v>
      </c>
      <c r="M103" s="50">
        <v>7</v>
      </c>
      <c r="N103" s="50">
        <v>0</v>
      </c>
      <c r="O103" s="15">
        <f t="shared" si="35"/>
        <v>11</v>
      </c>
      <c r="P103" s="15">
        <f t="shared" si="36"/>
        <v>18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1</v>
      </c>
      <c r="E104" s="50">
        <v>1</v>
      </c>
      <c r="F104" s="50">
        <v>0</v>
      </c>
      <c r="G104" s="50">
        <v>0</v>
      </c>
      <c r="H104" s="50">
        <v>0</v>
      </c>
      <c r="I104" s="50">
        <v>2</v>
      </c>
      <c r="J104" s="50">
        <v>1</v>
      </c>
      <c r="K104" s="50">
        <v>0</v>
      </c>
      <c r="L104" s="50">
        <v>0</v>
      </c>
      <c r="M104" s="50">
        <v>4</v>
      </c>
      <c r="N104" s="50">
        <v>0</v>
      </c>
      <c r="O104" s="15">
        <f t="shared" si="35"/>
        <v>8</v>
      </c>
      <c r="P104" s="15">
        <f t="shared" si="36"/>
        <v>12</v>
      </c>
      <c r="R104" s="8"/>
      <c r="T104"/>
    </row>
    <row r="105" spans="2:20" ht="23.1" customHeight="1" x14ac:dyDescent="0.25">
      <c r="B105" s="45" t="s">
        <v>145</v>
      </c>
      <c r="C105" s="50">
        <v>4</v>
      </c>
      <c r="D105" s="50">
        <v>0</v>
      </c>
      <c r="E105" s="50">
        <v>1</v>
      </c>
      <c r="F105" s="50">
        <v>1</v>
      </c>
      <c r="G105" s="50">
        <v>0</v>
      </c>
      <c r="H105" s="50">
        <v>0</v>
      </c>
      <c r="I105" s="50">
        <v>1</v>
      </c>
      <c r="J105" s="50">
        <v>2</v>
      </c>
      <c r="K105" s="50">
        <v>0</v>
      </c>
      <c r="L105" s="50">
        <v>0</v>
      </c>
      <c r="M105" s="50">
        <v>13</v>
      </c>
      <c r="N105" s="50">
        <v>0</v>
      </c>
      <c r="O105" s="15">
        <f t="shared" si="35"/>
        <v>9</v>
      </c>
      <c r="P105" s="15">
        <f t="shared" si="36"/>
        <v>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862</v>
      </c>
      <c r="D106" s="16">
        <f t="shared" ref="D106:P106" si="37">SUM(D10:D105)</f>
        <v>104</v>
      </c>
      <c r="E106" s="16">
        <f t="shared" si="37"/>
        <v>120</v>
      </c>
      <c r="F106" s="16">
        <f t="shared" si="37"/>
        <v>221</v>
      </c>
      <c r="G106" s="16">
        <f t="shared" si="37"/>
        <v>7</v>
      </c>
      <c r="H106" s="16">
        <f t="shared" si="37"/>
        <v>1</v>
      </c>
      <c r="I106" s="16">
        <f t="shared" si="37"/>
        <v>125</v>
      </c>
      <c r="J106" s="16">
        <f t="shared" si="37"/>
        <v>75</v>
      </c>
      <c r="K106" s="16">
        <f t="shared" si="37"/>
        <v>4</v>
      </c>
      <c r="L106" s="16">
        <f t="shared" si="37"/>
        <v>7</v>
      </c>
      <c r="M106" s="16">
        <f t="shared" si="37"/>
        <v>2107</v>
      </c>
      <c r="N106" s="16">
        <f t="shared" si="37"/>
        <v>0</v>
      </c>
      <c r="O106" s="16">
        <f t="shared" si="37"/>
        <v>1526</v>
      </c>
      <c r="P106" s="16">
        <f t="shared" si="37"/>
        <v>3633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0.23726947426369391</v>
      </c>
      <c r="D107" s="43">
        <f t="shared" si="38"/>
        <v>2.8626479493531518E-2</v>
      </c>
      <c r="E107" s="43">
        <f t="shared" si="38"/>
        <v>3.3030553261767133E-2</v>
      </c>
      <c r="F107" s="43">
        <f t="shared" si="38"/>
        <v>6.083126892375447E-2</v>
      </c>
      <c r="G107" s="43">
        <f t="shared" si="38"/>
        <v>1.9267822736030828E-3</v>
      </c>
      <c r="H107" s="43">
        <f t="shared" si="38"/>
        <v>2.7525461051472613E-4</v>
      </c>
      <c r="I107" s="43">
        <f t="shared" si="38"/>
        <v>3.4406826314340763E-2</v>
      </c>
      <c r="J107" s="43">
        <f t="shared" si="38"/>
        <v>2.0644095788604461E-2</v>
      </c>
      <c r="K107" s="43">
        <f t="shared" si="38"/>
        <v>1.1010184420589045E-3</v>
      </c>
      <c r="L107" s="43">
        <f t="shared" si="38"/>
        <v>1.9267822736030828E-3</v>
      </c>
      <c r="M107" s="43">
        <f t="shared" si="38"/>
        <v>0.57996146435452789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0.56487549148099603</v>
      </c>
      <c r="D108" s="44">
        <f t="shared" ref="D108:N108" si="39">D106/$O$106</f>
        <v>6.8152031454783754E-2</v>
      </c>
      <c r="E108" s="44">
        <f t="shared" si="39"/>
        <v>7.8636959370904327E-2</v>
      </c>
      <c r="F108" s="44">
        <f t="shared" si="39"/>
        <v>0.14482306684141547</v>
      </c>
      <c r="G108" s="44">
        <f t="shared" si="39"/>
        <v>4.5871559633027525E-3</v>
      </c>
      <c r="H108" s="44">
        <f t="shared" si="39"/>
        <v>6.5530799475753605E-4</v>
      </c>
      <c r="I108" s="44">
        <f t="shared" si="39"/>
        <v>8.1913499344692012E-2</v>
      </c>
      <c r="J108" s="44">
        <f t="shared" si="39"/>
        <v>4.9148099606815203E-2</v>
      </c>
      <c r="K108" s="44">
        <f t="shared" si="39"/>
        <v>2.6212319790301442E-3</v>
      </c>
      <c r="L108" s="44">
        <f t="shared" si="39"/>
        <v>4.5871559633027525E-3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F126"/>
  <sheetViews>
    <sheetView view="pageBreakPreview" topLeftCell="B25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">
        <v>178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55" t="str">
        <f>'25.10 Isingiro-Mbarara'!G5:H5</f>
        <v>KASENYI</v>
      </c>
      <c r="H5" s="56"/>
      <c r="I5" s="14"/>
      <c r="J5" s="2" t="s">
        <v>5</v>
      </c>
      <c r="K5" s="55" t="s">
        <v>167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164</v>
      </c>
      <c r="E6" s="56"/>
      <c r="F6" s="2" t="s">
        <v>2</v>
      </c>
      <c r="G6" s="55" t="s">
        <v>166</v>
      </c>
      <c r="H6" s="56"/>
      <c r="J6" s="2" t="s">
        <v>21</v>
      </c>
      <c r="K6" s="55" t="s">
        <v>167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2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24</v>
      </c>
      <c r="R10" s="1" t="s">
        <v>6</v>
      </c>
      <c r="S10" s="17">
        <f t="shared" ref="S10:AF10" si="2">SUM(C10:C13)</f>
        <v>24</v>
      </c>
      <c r="T10" s="17">
        <f t="shared" si="2"/>
        <v>1</v>
      </c>
      <c r="U10" s="17">
        <f t="shared" si="2"/>
        <v>5</v>
      </c>
      <c r="V10" s="17">
        <f t="shared" si="2"/>
        <v>5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131</v>
      </c>
      <c r="AD10" s="17">
        <f t="shared" si="2"/>
        <v>0</v>
      </c>
      <c r="AE10" s="31">
        <f t="shared" si="2"/>
        <v>42</v>
      </c>
      <c r="AF10" s="31">
        <f t="shared" si="2"/>
        <v>173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25</v>
      </c>
      <c r="N11" s="50">
        <v>0</v>
      </c>
      <c r="O11" s="15">
        <f t="shared" si="0"/>
        <v>4</v>
      </c>
      <c r="P11" s="15">
        <f t="shared" si="1"/>
        <v>29</v>
      </c>
      <c r="R11" s="1" t="s">
        <v>7</v>
      </c>
      <c r="S11" s="17">
        <f t="shared" ref="S11:AF11" si="3">SUM(C14:C17)</f>
        <v>31</v>
      </c>
      <c r="T11" s="17">
        <f t="shared" si="3"/>
        <v>6</v>
      </c>
      <c r="U11" s="17">
        <f t="shared" si="3"/>
        <v>5</v>
      </c>
      <c r="V11" s="17">
        <f t="shared" si="3"/>
        <v>15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1</v>
      </c>
      <c r="AA11" s="17">
        <f t="shared" si="3"/>
        <v>2</v>
      </c>
      <c r="AB11" s="17">
        <f t="shared" si="3"/>
        <v>0</v>
      </c>
      <c r="AC11" s="17">
        <f t="shared" si="3"/>
        <v>156</v>
      </c>
      <c r="AD11" s="17">
        <f t="shared" si="3"/>
        <v>0</v>
      </c>
      <c r="AE11" s="31">
        <f t="shared" si="3"/>
        <v>64</v>
      </c>
      <c r="AF11" s="31">
        <f t="shared" si="3"/>
        <v>220</v>
      </c>
    </row>
    <row r="12" spans="2:32" ht="23.1" customHeight="1" x14ac:dyDescent="0.25">
      <c r="B12" s="23" t="s">
        <v>39</v>
      </c>
      <c r="C12" s="50">
        <v>8</v>
      </c>
      <c r="D12" s="50">
        <v>0</v>
      </c>
      <c r="E12" s="50">
        <v>1</v>
      </c>
      <c r="F12" s="50">
        <v>1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36</v>
      </c>
      <c r="N12" s="50">
        <v>0</v>
      </c>
      <c r="O12" s="15">
        <f t="shared" si="0"/>
        <v>11</v>
      </c>
      <c r="P12" s="15">
        <f t="shared" si="1"/>
        <v>47</v>
      </c>
      <c r="R12" s="1" t="s">
        <v>8</v>
      </c>
      <c r="S12" s="17">
        <f t="shared" ref="S12:AF12" si="4">SUM(C18:C21)</f>
        <v>46</v>
      </c>
      <c r="T12" s="17">
        <f t="shared" si="4"/>
        <v>6</v>
      </c>
      <c r="U12" s="17">
        <f t="shared" si="4"/>
        <v>5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1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180</v>
      </c>
      <c r="AD12" s="17">
        <f t="shared" si="4"/>
        <v>0</v>
      </c>
      <c r="AE12" s="31">
        <f t="shared" si="4"/>
        <v>65</v>
      </c>
      <c r="AF12" s="31">
        <f t="shared" si="4"/>
        <v>245</v>
      </c>
    </row>
    <row r="13" spans="2:32" ht="23.1" customHeight="1" x14ac:dyDescent="0.25">
      <c r="B13" s="23" t="s">
        <v>40</v>
      </c>
      <c r="C13" s="50">
        <v>11</v>
      </c>
      <c r="D13" s="50">
        <v>1</v>
      </c>
      <c r="E13" s="50">
        <v>2</v>
      </c>
      <c r="F13" s="50">
        <v>2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55</v>
      </c>
      <c r="N13" s="50">
        <v>0</v>
      </c>
      <c r="O13" s="15">
        <f t="shared" si="0"/>
        <v>18</v>
      </c>
      <c r="P13" s="15">
        <f t="shared" si="1"/>
        <v>73</v>
      </c>
      <c r="R13" s="1" t="s">
        <v>9</v>
      </c>
      <c r="S13" s="17">
        <f t="shared" ref="S13:AF13" si="5">SUM(C22:C25)</f>
        <v>52</v>
      </c>
      <c r="T13" s="17">
        <f t="shared" si="5"/>
        <v>5</v>
      </c>
      <c r="U13" s="17">
        <f t="shared" si="5"/>
        <v>3</v>
      </c>
      <c r="V13" s="17">
        <f t="shared" si="5"/>
        <v>16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185</v>
      </c>
      <c r="AD13" s="17">
        <f t="shared" si="5"/>
        <v>0</v>
      </c>
      <c r="AE13" s="31">
        <f t="shared" si="5"/>
        <v>84</v>
      </c>
      <c r="AF13" s="31">
        <f t="shared" si="5"/>
        <v>269</v>
      </c>
    </row>
    <row r="14" spans="2:32" ht="23.1" customHeight="1" x14ac:dyDescent="0.25">
      <c r="B14" s="23" t="s">
        <v>41</v>
      </c>
      <c r="C14" s="50">
        <v>8</v>
      </c>
      <c r="D14" s="50">
        <v>3</v>
      </c>
      <c r="E14" s="50">
        <v>1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0</v>
      </c>
      <c r="M14" s="50">
        <v>35</v>
      </c>
      <c r="N14" s="50">
        <v>0</v>
      </c>
      <c r="O14" s="15">
        <f t="shared" si="0"/>
        <v>17</v>
      </c>
      <c r="P14" s="15">
        <f t="shared" si="1"/>
        <v>52</v>
      </c>
      <c r="R14" s="1" t="s">
        <v>10</v>
      </c>
      <c r="S14" s="17">
        <f t="shared" ref="S14:AF14" si="6">SUM(C26:C29)</f>
        <v>26</v>
      </c>
      <c r="T14" s="17">
        <f t="shared" si="6"/>
        <v>8</v>
      </c>
      <c r="U14" s="17">
        <f t="shared" si="6"/>
        <v>8</v>
      </c>
      <c r="V14" s="17">
        <f t="shared" si="6"/>
        <v>9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4</v>
      </c>
      <c r="AA14" s="17">
        <f t="shared" si="6"/>
        <v>1</v>
      </c>
      <c r="AB14" s="17">
        <f t="shared" si="6"/>
        <v>0</v>
      </c>
      <c r="AC14" s="17">
        <f t="shared" si="6"/>
        <v>190</v>
      </c>
      <c r="AD14" s="17">
        <f t="shared" si="6"/>
        <v>0</v>
      </c>
      <c r="AE14" s="31">
        <f t="shared" si="6"/>
        <v>60</v>
      </c>
      <c r="AF14" s="31">
        <f t="shared" si="6"/>
        <v>250</v>
      </c>
    </row>
    <row r="15" spans="2:32" ht="23.1" customHeight="1" x14ac:dyDescent="0.25">
      <c r="B15" s="23" t="s">
        <v>42</v>
      </c>
      <c r="C15" s="50">
        <v>6</v>
      </c>
      <c r="D15" s="50">
        <v>0</v>
      </c>
      <c r="E15" s="50">
        <v>1</v>
      </c>
      <c r="F15" s="50">
        <v>4</v>
      </c>
      <c r="G15" s="50">
        <v>0</v>
      </c>
      <c r="H15" s="50">
        <v>0</v>
      </c>
      <c r="I15" s="50">
        <v>0</v>
      </c>
      <c r="J15" s="50">
        <v>0</v>
      </c>
      <c r="K15" s="50">
        <v>1</v>
      </c>
      <c r="L15" s="50">
        <v>0</v>
      </c>
      <c r="M15" s="50">
        <v>47</v>
      </c>
      <c r="N15" s="50">
        <v>0</v>
      </c>
      <c r="O15" s="15">
        <f t="shared" si="0"/>
        <v>12</v>
      </c>
      <c r="P15" s="15">
        <f t="shared" si="1"/>
        <v>59</v>
      </c>
      <c r="R15" s="1" t="s">
        <v>11</v>
      </c>
      <c r="S15" s="17">
        <f t="shared" ref="S15:AF15" si="7">SUM(C30:C33)</f>
        <v>55</v>
      </c>
      <c r="T15" s="17">
        <f t="shared" si="7"/>
        <v>6</v>
      </c>
      <c r="U15" s="17">
        <f t="shared" si="7"/>
        <v>8</v>
      </c>
      <c r="V15" s="17">
        <f t="shared" si="7"/>
        <v>12</v>
      </c>
      <c r="W15" s="17">
        <f t="shared" si="7"/>
        <v>0</v>
      </c>
      <c r="X15" s="17">
        <f t="shared" si="7"/>
        <v>0</v>
      </c>
      <c r="Y15" s="17">
        <f t="shared" si="7"/>
        <v>14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170</v>
      </c>
      <c r="AD15" s="17">
        <f t="shared" si="7"/>
        <v>0</v>
      </c>
      <c r="AE15" s="31">
        <f t="shared" si="7"/>
        <v>97</v>
      </c>
      <c r="AF15" s="31">
        <f t="shared" si="7"/>
        <v>267</v>
      </c>
    </row>
    <row r="16" spans="2:32" ht="23.1" customHeight="1" x14ac:dyDescent="0.25">
      <c r="B16" s="23" t="s">
        <v>43</v>
      </c>
      <c r="C16" s="50">
        <v>11</v>
      </c>
      <c r="D16" s="50">
        <v>2</v>
      </c>
      <c r="E16" s="50">
        <v>2</v>
      </c>
      <c r="F16" s="50">
        <v>3</v>
      </c>
      <c r="G16" s="50">
        <v>0</v>
      </c>
      <c r="H16" s="50">
        <v>0</v>
      </c>
      <c r="I16" s="50">
        <v>1</v>
      </c>
      <c r="J16" s="50">
        <v>0</v>
      </c>
      <c r="K16" s="50">
        <v>0</v>
      </c>
      <c r="L16" s="50">
        <v>0</v>
      </c>
      <c r="M16" s="50">
        <v>34</v>
      </c>
      <c r="N16" s="50">
        <v>0</v>
      </c>
      <c r="O16" s="15">
        <f t="shared" si="0"/>
        <v>19</v>
      </c>
      <c r="P16" s="15">
        <f t="shared" si="1"/>
        <v>53</v>
      </c>
      <c r="R16" s="1" t="s">
        <v>12</v>
      </c>
      <c r="S16" s="17">
        <f t="shared" ref="S16:AF16" si="8">SUM(C34:C37)</f>
        <v>41</v>
      </c>
      <c r="T16" s="17">
        <f t="shared" si="8"/>
        <v>2</v>
      </c>
      <c r="U16" s="17">
        <f t="shared" si="8"/>
        <v>7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159</v>
      </c>
      <c r="AD16" s="17">
        <f t="shared" si="8"/>
        <v>0</v>
      </c>
      <c r="AE16" s="31">
        <f t="shared" si="8"/>
        <v>67</v>
      </c>
      <c r="AF16" s="31">
        <f t="shared" si="8"/>
        <v>226</v>
      </c>
    </row>
    <row r="17" spans="2:32" ht="23.1" customHeight="1" x14ac:dyDescent="0.25">
      <c r="B17" s="23" t="s">
        <v>44</v>
      </c>
      <c r="C17" s="50">
        <v>6</v>
      </c>
      <c r="D17" s="50">
        <v>1</v>
      </c>
      <c r="E17" s="50">
        <v>1</v>
      </c>
      <c r="F17" s="50">
        <v>5</v>
      </c>
      <c r="G17" s="50">
        <v>0</v>
      </c>
      <c r="H17" s="50">
        <v>0</v>
      </c>
      <c r="I17" s="50">
        <v>1</v>
      </c>
      <c r="J17" s="50">
        <v>1</v>
      </c>
      <c r="K17" s="50">
        <v>1</v>
      </c>
      <c r="L17" s="50">
        <v>0</v>
      </c>
      <c r="M17" s="50">
        <v>40</v>
      </c>
      <c r="N17" s="50">
        <v>0</v>
      </c>
      <c r="O17" s="15">
        <f t="shared" si="0"/>
        <v>16</v>
      </c>
      <c r="P17" s="15">
        <f t="shared" si="1"/>
        <v>56</v>
      </c>
      <c r="R17" s="1" t="s">
        <v>13</v>
      </c>
      <c r="S17" s="17">
        <f t="shared" ref="S17:AF17" si="9">SUM(C38:C41)</f>
        <v>43</v>
      </c>
      <c r="T17" s="17">
        <f t="shared" si="9"/>
        <v>6</v>
      </c>
      <c r="U17" s="17">
        <f t="shared" si="9"/>
        <v>7</v>
      </c>
      <c r="V17" s="17">
        <f t="shared" si="9"/>
        <v>6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7</v>
      </c>
      <c r="AA17" s="17">
        <f t="shared" si="9"/>
        <v>2</v>
      </c>
      <c r="AB17" s="17">
        <f t="shared" si="9"/>
        <v>0</v>
      </c>
      <c r="AC17" s="17">
        <f t="shared" si="9"/>
        <v>122</v>
      </c>
      <c r="AD17" s="17">
        <f t="shared" si="9"/>
        <v>0</v>
      </c>
      <c r="AE17" s="31">
        <f t="shared" si="9"/>
        <v>77</v>
      </c>
      <c r="AF17" s="31">
        <f t="shared" si="9"/>
        <v>199</v>
      </c>
    </row>
    <row r="18" spans="2:32" ht="23.1" customHeight="1" x14ac:dyDescent="0.25">
      <c r="B18" s="23" t="s">
        <v>45</v>
      </c>
      <c r="C18" s="50">
        <v>8</v>
      </c>
      <c r="D18" s="50">
        <v>1</v>
      </c>
      <c r="E18" s="50">
        <v>1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50</v>
      </c>
      <c r="N18" s="50">
        <v>0</v>
      </c>
      <c r="O18" s="15">
        <f t="shared" si="0"/>
        <v>13</v>
      </c>
      <c r="P18" s="15">
        <f t="shared" si="1"/>
        <v>63</v>
      </c>
      <c r="R18" s="1" t="s">
        <v>14</v>
      </c>
      <c r="S18" s="17">
        <f t="shared" ref="S18:AF18" si="10">SUM(C42:C45)</f>
        <v>30</v>
      </c>
      <c r="T18" s="17">
        <f t="shared" si="10"/>
        <v>4</v>
      </c>
      <c r="U18" s="17">
        <f t="shared" si="10"/>
        <v>7</v>
      </c>
      <c r="V18" s="17">
        <f t="shared" si="10"/>
        <v>8</v>
      </c>
      <c r="W18" s="17">
        <f t="shared" si="10"/>
        <v>1</v>
      </c>
      <c r="X18" s="17">
        <f t="shared" si="10"/>
        <v>0</v>
      </c>
      <c r="Y18" s="17">
        <f t="shared" si="10"/>
        <v>2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168</v>
      </c>
      <c r="AD18" s="17">
        <f t="shared" si="10"/>
        <v>0</v>
      </c>
      <c r="AE18" s="31">
        <f t="shared" si="10"/>
        <v>53</v>
      </c>
      <c r="AF18" s="31">
        <f t="shared" si="10"/>
        <v>221</v>
      </c>
    </row>
    <row r="19" spans="2:32" ht="23.1" customHeight="1" x14ac:dyDescent="0.25">
      <c r="B19" s="23" t="s">
        <v>46</v>
      </c>
      <c r="C19" s="50">
        <v>13</v>
      </c>
      <c r="D19" s="50">
        <v>1</v>
      </c>
      <c r="E19" s="50">
        <v>0</v>
      </c>
      <c r="F19" s="50">
        <v>1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50</v>
      </c>
      <c r="N19" s="50">
        <v>0</v>
      </c>
      <c r="O19" s="15">
        <f t="shared" si="0"/>
        <v>15</v>
      </c>
      <c r="P19" s="15">
        <f t="shared" si="1"/>
        <v>65</v>
      </c>
      <c r="R19" s="1" t="s">
        <v>15</v>
      </c>
      <c r="S19" s="17">
        <f t="shared" ref="S19:AF19" si="11">SUM(C46:C49)</f>
        <v>59</v>
      </c>
      <c r="T19" s="17">
        <f t="shared" si="11"/>
        <v>6</v>
      </c>
      <c r="U19" s="17">
        <f t="shared" si="11"/>
        <v>8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13</v>
      </c>
      <c r="AA19" s="17">
        <f t="shared" si="11"/>
        <v>2</v>
      </c>
      <c r="AB19" s="17">
        <f t="shared" si="11"/>
        <v>0</v>
      </c>
      <c r="AC19" s="17">
        <f t="shared" si="11"/>
        <v>165</v>
      </c>
      <c r="AD19" s="17">
        <f t="shared" si="11"/>
        <v>0</v>
      </c>
      <c r="AE19" s="31">
        <f t="shared" si="11"/>
        <v>104</v>
      </c>
      <c r="AF19" s="31">
        <f t="shared" si="11"/>
        <v>269</v>
      </c>
    </row>
    <row r="20" spans="2:32" ht="23.1" customHeight="1" x14ac:dyDescent="0.25">
      <c r="B20" s="23" t="s">
        <v>47</v>
      </c>
      <c r="C20" s="50">
        <v>10</v>
      </c>
      <c r="D20" s="50">
        <v>4</v>
      </c>
      <c r="E20" s="50">
        <v>2</v>
      </c>
      <c r="F20" s="50">
        <v>1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32</v>
      </c>
      <c r="N20" s="50">
        <v>0</v>
      </c>
      <c r="O20" s="15">
        <f t="shared" si="0"/>
        <v>18</v>
      </c>
      <c r="P20" s="15">
        <f t="shared" si="1"/>
        <v>50</v>
      </c>
      <c r="R20" s="1" t="s">
        <v>16</v>
      </c>
      <c r="S20" s="17">
        <f t="shared" ref="S20:AF20" si="12">SUM(C50:C53)</f>
        <v>62</v>
      </c>
      <c r="T20" s="17">
        <f t="shared" si="12"/>
        <v>7</v>
      </c>
      <c r="U20" s="17">
        <f t="shared" si="12"/>
        <v>9</v>
      </c>
      <c r="V20" s="17">
        <f t="shared" si="12"/>
        <v>10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4</v>
      </c>
      <c r="AA20" s="17">
        <f t="shared" si="12"/>
        <v>0</v>
      </c>
      <c r="AB20" s="17">
        <f t="shared" si="12"/>
        <v>1</v>
      </c>
      <c r="AC20" s="17">
        <f t="shared" si="12"/>
        <v>176</v>
      </c>
      <c r="AD20" s="17">
        <f t="shared" si="12"/>
        <v>0</v>
      </c>
      <c r="AE20" s="31">
        <f t="shared" si="12"/>
        <v>96</v>
      </c>
      <c r="AF20" s="31">
        <f t="shared" si="12"/>
        <v>272</v>
      </c>
    </row>
    <row r="21" spans="2:32" ht="23.1" customHeight="1" x14ac:dyDescent="0.25">
      <c r="B21" s="23" t="s">
        <v>48</v>
      </c>
      <c r="C21" s="50">
        <v>15</v>
      </c>
      <c r="D21" s="50">
        <v>0</v>
      </c>
      <c r="E21" s="50">
        <v>2</v>
      </c>
      <c r="F21" s="50">
        <v>0</v>
      </c>
      <c r="G21" s="50">
        <v>0</v>
      </c>
      <c r="H21" s="50">
        <v>0</v>
      </c>
      <c r="I21" s="50">
        <v>0</v>
      </c>
      <c r="J21" s="50">
        <v>2</v>
      </c>
      <c r="K21" s="50">
        <v>0</v>
      </c>
      <c r="L21" s="50">
        <v>0</v>
      </c>
      <c r="M21" s="50">
        <v>48</v>
      </c>
      <c r="N21" s="50">
        <v>0</v>
      </c>
      <c r="O21" s="15">
        <f t="shared" si="0"/>
        <v>19</v>
      </c>
      <c r="P21" s="15">
        <f t="shared" si="1"/>
        <v>67</v>
      </c>
      <c r="R21" s="36" t="s">
        <v>20</v>
      </c>
      <c r="S21" s="34">
        <f t="shared" ref="S21:AF21" si="13">SUM(C54:C57)</f>
        <v>59</v>
      </c>
      <c r="T21" s="17">
        <f t="shared" si="13"/>
        <v>10</v>
      </c>
      <c r="U21" s="17">
        <f t="shared" si="13"/>
        <v>8</v>
      </c>
      <c r="V21" s="17">
        <f t="shared" si="13"/>
        <v>5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10</v>
      </c>
      <c r="AA21" s="17">
        <f t="shared" si="13"/>
        <v>1</v>
      </c>
      <c r="AB21" s="17">
        <f t="shared" si="13"/>
        <v>0</v>
      </c>
      <c r="AC21" s="17">
        <f t="shared" si="13"/>
        <v>201</v>
      </c>
      <c r="AD21" s="17">
        <f t="shared" si="13"/>
        <v>0</v>
      </c>
      <c r="AE21" s="31">
        <f t="shared" si="13"/>
        <v>102</v>
      </c>
      <c r="AF21" s="31">
        <f t="shared" si="13"/>
        <v>303</v>
      </c>
    </row>
    <row r="22" spans="2:32" ht="23.1" customHeight="1" x14ac:dyDescent="0.25">
      <c r="B22" s="23" t="s">
        <v>49</v>
      </c>
      <c r="C22" s="50">
        <v>17</v>
      </c>
      <c r="D22" s="50">
        <v>1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41</v>
      </c>
      <c r="N22" s="50">
        <v>0</v>
      </c>
      <c r="O22" s="15">
        <f t="shared" si="0"/>
        <v>23</v>
      </c>
      <c r="P22" s="15">
        <f t="shared" si="1"/>
        <v>64</v>
      </c>
      <c r="R22" s="38" t="s">
        <v>90</v>
      </c>
      <c r="S22" s="39">
        <f>MAX(S10:S12)</f>
        <v>46</v>
      </c>
      <c r="T22" s="39">
        <f t="shared" ref="T22:AF22" si="14">MAX(T10:T12)</f>
        <v>6</v>
      </c>
      <c r="U22" s="39">
        <f t="shared" si="14"/>
        <v>5</v>
      </c>
      <c r="V22" s="39">
        <f t="shared" si="14"/>
        <v>15</v>
      </c>
      <c r="W22" s="39">
        <f t="shared" si="14"/>
        <v>0</v>
      </c>
      <c r="X22" s="39">
        <f t="shared" si="14"/>
        <v>0</v>
      </c>
      <c r="Y22" s="39">
        <f t="shared" si="14"/>
        <v>5</v>
      </c>
      <c r="Z22" s="39">
        <f t="shared" si="14"/>
        <v>3</v>
      </c>
      <c r="AA22" s="39">
        <f t="shared" si="14"/>
        <v>2</v>
      </c>
      <c r="AB22" s="39">
        <f t="shared" si="14"/>
        <v>0</v>
      </c>
      <c r="AC22" s="39">
        <f t="shared" si="14"/>
        <v>180</v>
      </c>
      <c r="AD22" s="39">
        <f t="shared" si="14"/>
        <v>0</v>
      </c>
      <c r="AE22" s="40">
        <f t="shared" si="14"/>
        <v>65</v>
      </c>
      <c r="AF22" s="40">
        <f t="shared" si="14"/>
        <v>245</v>
      </c>
    </row>
    <row r="23" spans="2:32" ht="23.1" customHeight="1" x14ac:dyDescent="0.25">
      <c r="B23" s="23" t="s">
        <v>50</v>
      </c>
      <c r="C23" s="50">
        <v>14</v>
      </c>
      <c r="D23" s="50">
        <v>1</v>
      </c>
      <c r="E23" s="50">
        <v>1</v>
      </c>
      <c r="F23" s="50">
        <v>3</v>
      </c>
      <c r="G23" s="50">
        <v>0</v>
      </c>
      <c r="H23" s="50">
        <v>0</v>
      </c>
      <c r="I23" s="50">
        <v>2</v>
      </c>
      <c r="J23" s="50">
        <v>1</v>
      </c>
      <c r="K23" s="50">
        <v>1</v>
      </c>
      <c r="L23" s="50">
        <v>0</v>
      </c>
      <c r="M23" s="50">
        <v>47</v>
      </c>
      <c r="N23" s="50">
        <v>0</v>
      </c>
      <c r="O23" s="15">
        <f t="shared" si="0"/>
        <v>23</v>
      </c>
      <c r="P23" s="15">
        <f t="shared" si="1"/>
        <v>70</v>
      </c>
      <c r="R23" s="38" t="s">
        <v>91</v>
      </c>
      <c r="S23" s="39">
        <f>MAX(S13:S18)</f>
        <v>55</v>
      </c>
      <c r="T23" s="39">
        <f t="shared" ref="T23:AF23" si="15">MAX(T13:T18)</f>
        <v>8</v>
      </c>
      <c r="U23" s="39">
        <f t="shared" si="15"/>
        <v>8</v>
      </c>
      <c r="V23" s="39">
        <f t="shared" si="15"/>
        <v>16</v>
      </c>
      <c r="W23" s="39">
        <f t="shared" si="15"/>
        <v>1</v>
      </c>
      <c r="X23" s="39">
        <f t="shared" si="15"/>
        <v>0</v>
      </c>
      <c r="Y23" s="39">
        <f t="shared" si="15"/>
        <v>14</v>
      </c>
      <c r="Z23" s="39">
        <f t="shared" si="15"/>
        <v>7</v>
      </c>
      <c r="AA23" s="39">
        <f t="shared" si="15"/>
        <v>2</v>
      </c>
      <c r="AB23" s="39">
        <f t="shared" si="15"/>
        <v>0</v>
      </c>
      <c r="AC23" s="39">
        <f t="shared" si="15"/>
        <v>190</v>
      </c>
      <c r="AD23" s="39">
        <f t="shared" si="15"/>
        <v>0</v>
      </c>
      <c r="AE23" s="40">
        <f t="shared" si="15"/>
        <v>97</v>
      </c>
      <c r="AF23" s="40">
        <f t="shared" si="15"/>
        <v>269</v>
      </c>
    </row>
    <row r="24" spans="2:32" ht="23.1" customHeight="1" x14ac:dyDescent="0.25">
      <c r="B24" s="23" t="s">
        <v>51</v>
      </c>
      <c r="C24" s="50">
        <v>8</v>
      </c>
      <c r="D24" s="50">
        <v>2</v>
      </c>
      <c r="E24" s="50">
        <v>1</v>
      </c>
      <c r="F24" s="50">
        <v>5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45</v>
      </c>
      <c r="N24" s="50">
        <v>0</v>
      </c>
      <c r="O24" s="15">
        <f t="shared" si="0"/>
        <v>16</v>
      </c>
      <c r="P24" s="15">
        <f t="shared" si="1"/>
        <v>61</v>
      </c>
      <c r="R24" s="38" t="s">
        <v>92</v>
      </c>
      <c r="S24" s="39">
        <f>MAX(S19:S21)</f>
        <v>62</v>
      </c>
      <c r="T24" s="39">
        <f t="shared" ref="T24:AF24" si="16">MAX(T19:T21)</f>
        <v>10</v>
      </c>
      <c r="U24" s="39">
        <f t="shared" si="16"/>
        <v>9</v>
      </c>
      <c r="V24" s="39">
        <f t="shared" si="16"/>
        <v>10</v>
      </c>
      <c r="W24" s="39">
        <f t="shared" si="16"/>
        <v>0</v>
      </c>
      <c r="X24" s="39">
        <f t="shared" si="16"/>
        <v>0</v>
      </c>
      <c r="Y24" s="39">
        <f t="shared" si="16"/>
        <v>11</v>
      </c>
      <c r="Z24" s="39">
        <f t="shared" si="16"/>
        <v>13</v>
      </c>
      <c r="AA24" s="39">
        <f t="shared" si="16"/>
        <v>2</v>
      </c>
      <c r="AB24" s="39">
        <f t="shared" si="16"/>
        <v>1</v>
      </c>
      <c r="AC24" s="39">
        <f t="shared" si="16"/>
        <v>201</v>
      </c>
      <c r="AD24" s="39">
        <f t="shared" si="16"/>
        <v>0</v>
      </c>
      <c r="AE24" s="40">
        <f t="shared" si="16"/>
        <v>104</v>
      </c>
      <c r="AF24" s="40">
        <f t="shared" si="16"/>
        <v>303</v>
      </c>
    </row>
    <row r="25" spans="2:32" ht="23.1" customHeight="1" x14ac:dyDescent="0.25">
      <c r="B25" s="23" t="s">
        <v>52</v>
      </c>
      <c r="C25" s="50">
        <v>13</v>
      </c>
      <c r="D25" s="50">
        <v>1</v>
      </c>
      <c r="E25" s="50">
        <v>0</v>
      </c>
      <c r="F25" s="50">
        <v>5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52</v>
      </c>
      <c r="N25" s="50">
        <v>0</v>
      </c>
      <c r="O25" s="15">
        <f t="shared" si="0"/>
        <v>22</v>
      </c>
      <c r="P25" s="15">
        <f t="shared" si="1"/>
        <v>74</v>
      </c>
      <c r="R25" s="37" t="s">
        <v>85</v>
      </c>
      <c r="S25" s="35">
        <f t="shared" ref="S25:AF25" si="17">SUM(S10:S12)</f>
        <v>101</v>
      </c>
      <c r="T25" s="16">
        <f t="shared" si="17"/>
        <v>13</v>
      </c>
      <c r="U25" s="16">
        <f t="shared" si="17"/>
        <v>15</v>
      </c>
      <c r="V25" s="16">
        <f t="shared" si="17"/>
        <v>24</v>
      </c>
      <c r="W25" s="16">
        <f t="shared" si="17"/>
        <v>0</v>
      </c>
      <c r="X25" s="16">
        <f t="shared" si="17"/>
        <v>0</v>
      </c>
      <c r="Y25" s="16">
        <f t="shared" si="17"/>
        <v>10</v>
      </c>
      <c r="Z25" s="16">
        <f t="shared" si="17"/>
        <v>6</v>
      </c>
      <c r="AA25" s="16">
        <f t="shared" si="17"/>
        <v>2</v>
      </c>
      <c r="AB25" s="16">
        <f t="shared" si="17"/>
        <v>0</v>
      </c>
      <c r="AC25" s="16">
        <f t="shared" si="17"/>
        <v>467</v>
      </c>
      <c r="AD25" s="16">
        <f t="shared" si="17"/>
        <v>0</v>
      </c>
      <c r="AE25" s="32">
        <f t="shared" si="17"/>
        <v>171</v>
      </c>
      <c r="AF25" s="32">
        <f t="shared" si="17"/>
        <v>638</v>
      </c>
    </row>
    <row r="26" spans="2:32" ht="23.1" customHeight="1" x14ac:dyDescent="0.25">
      <c r="B26" s="23" t="s">
        <v>53</v>
      </c>
      <c r="C26" s="50">
        <v>6</v>
      </c>
      <c r="D26" s="50">
        <v>1</v>
      </c>
      <c r="E26" s="50">
        <v>3</v>
      </c>
      <c r="F26" s="50">
        <v>4</v>
      </c>
      <c r="G26" s="50">
        <v>0</v>
      </c>
      <c r="H26" s="50">
        <v>0</v>
      </c>
      <c r="I26" s="50">
        <v>1</v>
      </c>
      <c r="J26" s="50">
        <v>1</v>
      </c>
      <c r="K26" s="50">
        <v>1</v>
      </c>
      <c r="L26" s="50">
        <v>0</v>
      </c>
      <c r="M26" s="50">
        <v>49</v>
      </c>
      <c r="N26" s="50">
        <v>0</v>
      </c>
      <c r="O26" s="15">
        <f t="shared" si="0"/>
        <v>17</v>
      </c>
      <c r="P26" s="15">
        <f t="shared" si="1"/>
        <v>66</v>
      </c>
      <c r="R26" s="28" t="s">
        <v>86</v>
      </c>
      <c r="S26" s="16">
        <f t="shared" ref="S26:AF26" si="18">SUM(S13:S18)</f>
        <v>247</v>
      </c>
      <c r="T26" s="16">
        <f t="shared" si="18"/>
        <v>31</v>
      </c>
      <c r="U26" s="16">
        <f t="shared" si="18"/>
        <v>40</v>
      </c>
      <c r="V26" s="16">
        <f t="shared" si="18"/>
        <v>57</v>
      </c>
      <c r="W26" s="16">
        <f t="shared" si="18"/>
        <v>1</v>
      </c>
      <c r="X26" s="16">
        <f t="shared" si="18"/>
        <v>0</v>
      </c>
      <c r="Y26" s="16">
        <f t="shared" si="18"/>
        <v>39</v>
      </c>
      <c r="Z26" s="16">
        <f t="shared" si="18"/>
        <v>18</v>
      </c>
      <c r="AA26" s="16">
        <f t="shared" si="18"/>
        <v>5</v>
      </c>
      <c r="AB26" s="16">
        <f t="shared" si="18"/>
        <v>0</v>
      </c>
      <c r="AC26" s="16">
        <f t="shared" si="18"/>
        <v>994</v>
      </c>
      <c r="AD26" s="16">
        <f t="shared" si="18"/>
        <v>0</v>
      </c>
      <c r="AE26" s="32">
        <f t="shared" si="18"/>
        <v>438</v>
      </c>
      <c r="AF26" s="32">
        <f t="shared" si="18"/>
        <v>1432</v>
      </c>
    </row>
    <row r="27" spans="2:32" ht="23.1" customHeight="1" x14ac:dyDescent="0.25">
      <c r="B27" s="23" t="s">
        <v>54</v>
      </c>
      <c r="C27" s="50">
        <v>7</v>
      </c>
      <c r="D27" s="50">
        <v>1</v>
      </c>
      <c r="E27" s="50">
        <v>3</v>
      </c>
      <c r="F27" s="50">
        <v>1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47</v>
      </c>
      <c r="N27" s="50">
        <v>0</v>
      </c>
      <c r="O27" s="15">
        <f t="shared" si="0"/>
        <v>15</v>
      </c>
      <c r="P27" s="15">
        <f t="shared" si="1"/>
        <v>62</v>
      </c>
      <c r="R27" s="29" t="s">
        <v>87</v>
      </c>
      <c r="S27" s="16">
        <f t="shared" ref="S27:AF27" si="19">SUM(S19:S21)</f>
        <v>180</v>
      </c>
      <c r="T27" s="16">
        <f t="shared" si="19"/>
        <v>23</v>
      </c>
      <c r="U27" s="16">
        <f t="shared" si="19"/>
        <v>25</v>
      </c>
      <c r="V27" s="16">
        <f t="shared" si="19"/>
        <v>20</v>
      </c>
      <c r="W27" s="16">
        <f t="shared" si="19"/>
        <v>0</v>
      </c>
      <c r="X27" s="16">
        <f t="shared" si="19"/>
        <v>0</v>
      </c>
      <c r="Y27" s="16">
        <f t="shared" si="19"/>
        <v>23</v>
      </c>
      <c r="Z27" s="16">
        <f t="shared" si="19"/>
        <v>27</v>
      </c>
      <c r="AA27" s="16">
        <f t="shared" si="19"/>
        <v>3</v>
      </c>
      <c r="AB27" s="16">
        <f t="shared" si="19"/>
        <v>1</v>
      </c>
      <c r="AC27" s="16">
        <f t="shared" si="19"/>
        <v>542</v>
      </c>
      <c r="AD27" s="16">
        <f t="shared" si="19"/>
        <v>0</v>
      </c>
      <c r="AE27" s="32">
        <f t="shared" si="19"/>
        <v>302</v>
      </c>
      <c r="AF27" s="32">
        <f t="shared" si="19"/>
        <v>844</v>
      </c>
    </row>
    <row r="28" spans="2:32" ht="23.1" customHeight="1" x14ac:dyDescent="0.25">
      <c r="B28" s="23" t="s">
        <v>55</v>
      </c>
      <c r="C28" s="50">
        <v>10</v>
      </c>
      <c r="D28" s="50">
        <v>4</v>
      </c>
      <c r="E28" s="50">
        <v>1</v>
      </c>
      <c r="F28" s="50">
        <v>2</v>
      </c>
      <c r="G28" s="50">
        <v>0</v>
      </c>
      <c r="H28" s="50">
        <v>0</v>
      </c>
      <c r="I28" s="50">
        <v>1</v>
      </c>
      <c r="J28" s="50">
        <v>2</v>
      </c>
      <c r="K28" s="50">
        <v>0</v>
      </c>
      <c r="L28" s="50">
        <v>0</v>
      </c>
      <c r="M28" s="50">
        <v>46</v>
      </c>
      <c r="N28" s="50">
        <v>0</v>
      </c>
      <c r="O28" s="15">
        <f t="shared" si="0"/>
        <v>20</v>
      </c>
      <c r="P28" s="15">
        <f t="shared" si="1"/>
        <v>66</v>
      </c>
      <c r="R28" s="5" t="s">
        <v>17</v>
      </c>
      <c r="S28" s="16">
        <f t="shared" ref="S28:AF28" si="20">SUM(S10:S21)</f>
        <v>528</v>
      </c>
      <c r="T28" s="16">
        <f t="shared" si="20"/>
        <v>67</v>
      </c>
      <c r="U28" s="16">
        <f t="shared" si="20"/>
        <v>80</v>
      </c>
      <c r="V28" s="16">
        <f t="shared" si="20"/>
        <v>101</v>
      </c>
      <c r="W28" s="16">
        <f t="shared" si="20"/>
        <v>1</v>
      </c>
      <c r="X28" s="16">
        <f t="shared" si="20"/>
        <v>0</v>
      </c>
      <c r="Y28" s="16">
        <f t="shared" si="20"/>
        <v>72</v>
      </c>
      <c r="Z28" s="16">
        <f t="shared" si="20"/>
        <v>51</v>
      </c>
      <c r="AA28" s="16">
        <f t="shared" si="20"/>
        <v>10</v>
      </c>
      <c r="AB28" s="16">
        <f t="shared" si="20"/>
        <v>1</v>
      </c>
      <c r="AC28" s="16">
        <f t="shared" si="20"/>
        <v>2003</v>
      </c>
      <c r="AD28" s="16">
        <f t="shared" si="20"/>
        <v>0</v>
      </c>
      <c r="AE28" s="32">
        <f t="shared" si="20"/>
        <v>911</v>
      </c>
      <c r="AF28" s="32">
        <f t="shared" si="20"/>
        <v>2914</v>
      </c>
    </row>
    <row r="29" spans="2:32" ht="23.1" customHeight="1" x14ac:dyDescent="0.25">
      <c r="B29" s="23" t="s">
        <v>56</v>
      </c>
      <c r="C29" s="50">
        <v>3</v>
      </c>
      <c r="D29" s="50">
        <v>2</v>
      </c>
      <c r="E29" s="50">
        <v>1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48</v>
      </c>
      <c r="N29" s="50">
        <v>0</v>
      </c>
      <c r="O29" s="15">
        <f t="shared" si="0"/>
        <v>8</v>
      </c>
      <c r="P29" s="15">
        <f t="shared" si="1"/>
        <v>56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0</v>
      </c>
      <c r="E30" s="50">
        <v>2</v>
      </c>
      <c r="F30" s="50">
        <v>4</v>
      </c>
      <c r="G30" s="50">
        <v>0</v>
      </c>
      <c r="H30" s="50">
        <v>0</v>
      </c>
      <c r="I30" s="50">
        <v>5</v>
      </c>
      <c r="J30" s="50">
        <v>1</v>
      </c>
      <c r="K30" s="50">
        <v>0</v>
      </c>
      <c r="L30" s="50">
        <v>0</v>
      </c>
      <c r="M30" s="50">
        <v>29</v>
      </c>
      <c r="N30" s="50">
        <v>0</v>
      </c>
      <c r="O30" s="15">
        <f t="shared" si="0"/>
        <v>21</v>
      </c>
      <c r="P30" s="15">
        <f t="shared" si="1"/>
        <v>50</v>
      </c>
    </row>
    <row r="31" spans="2:32" ht="23.1" customHeight="1" x14ac:dyDescent="0.25">
      <c r="B31" s="24" t="s">
        <v>58</v>
      </c>
      <c r="C31" s="50">
        <v>13</v>
      </c>
      <c r="D31" s="50">
        <v>1</v>
      </c>
      <c r="E31" s="50">
        <v>3</v>
      </c>
      <c r="F31" s="50">
        <v>1</v>
      </c>
      <c r="G31" s="50">
        <v>0</v>
      </c>
      <c r="H31" s="50">
        <v>0</v>
      </c>
      <c r="I31" s="50">
        <v>5</v>
      </c>
      <c r="J31" s="50">
        <v>0</v>
      </c>
      <c r="K31" s="50">
        <v>0</v>
      </c>
      <c r="L31" s="50">
        <v>0</v>
      </c>
      <c r="M31" s="50">
        <v>46</v>
      </c>
      <c r="N31" s="50">
        <v>0</v>
      </c>
      <c r="O31" s="15">
        <f t="shared" si="0"/>
        <v>23</v>
      </c>
      <c r="P31" s="15">
        <f t="shared" si="1"/>
        <v>69</v>
      </c>
    </row>
    <row r="32" spans="2:32" ht="23.1" customHeight="1" x14ac:dyDescent="0.25">
      <c r="B32" s="24" t="s">
        <v>59</v>
      </c>
      <c r="C32" s="50">
        <v>17</v>
      </c>
      <c r="D32" s="50">
        <v>3</v>
      </c>
      <c r="E32" s="50">
        <v>2</v>
      </c>
      <c r="F32" s="50">
        <v>3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46</v>
      </c>
      <c r="N32" s="50">
        <v>0</v>
      </c>
      <c r="O32" s="15">
        <f t="shared" si="0"/>
        <v>28</v>
      </c>
      <c r="P32" s="15">
        <f t="shared" si="1"/>
        <v>74</v>
      </c>
    </row>
    <row r="33" spans="2:20" ht="23.1" customHeight="1" x14ac:dyDescent="0.25">
      <c r="B33" s="23" t="s">
        <v>60</v>
      </c>
      <c r="C33" s="50">
        <v>16</v>
      </c>
      <c r="D33" s="50">
        <v>2</v>
      </c>
      <c r="E33" s="50">
        <v>1</v>
      </c>
      <c r="F33" s="50">
        <v>4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49</v>
      </c>
      <c r="N33" s="50">
        <v>0</v>
      </c>
      <c r="O33" s="15">
        <f t="shared" si="0"/>
        <v>25</v>
      </c>
      <c r="P33" s="15">
        <f t="shared" si="1"/>
        <v>74</v>
      </c>
    </row>
    <row r="34" spans="2:20" ht="23.1" customHeight="1" x14ac:dyDescent="0.25">
      <c r="B34" s="24" t="s">
        <v>61</v>
      </c>
      <c r="C34" s="50">
        <v>12</v>
      </c>
      <c r="D34" s="50">
        <v>0</v>
      </c>
      <c r="E34" s="50">
        <v>0</v>
      </c>
      <c r="F34" s="50">
        <v>2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39</v>
      </c>
      <c r="N34" s="50">
        <v>0</v>
      </c>
      <c r="O34" s="15">
        <f t="shared" si="0"/>
        <v>18</v>
      </c>
      <c r="P34" s="15">
        <f t="shared" si="1"/>
        <v>57</v>
      </c>
    </row>
    <row r="35" spans="2:20" ht="23.1" customHeight="1" x14ac:dyDescent="0.25">
      <c r="B35" s="24" t="s">
        <v>62</v>
      </c>
      <c r="C35" s="50">
        <v>7</v>
      </c>
      <c r="D35" s="50">
        <v>1</v>
      </c>
      <c r="E35" s="50">
        <v>2</v>
      </c>
      <c r="F35" s="50">
        <v>2</v>
      </c>
      <c r="G35" s="50">
        <v>0</v>
      </c>
      <c r="H35" s="50">
        <v>0</v>
      </c>
      <c r="I35" s="50">
        <v>4</v>
      </c>
      <c r="J35" s="50">
        <v>0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16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11</v>
      </c>
      <c r="D36" s="50">
        <v>0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35</v>
      </c>
      <c r="N36" s="50">
        <v>0</v>
      </c>
      <c r="O36" s="15">
        <f t="shared" si="0"/>
        <v>14</v>
      </c>
      <c r="P36" s="15">
        <f t="shared" si="1"/>
        <v>49</v>
      </c>
    </row>
    <row r="37" spans="2:20" ht="23.1" customHeight="1" x14ac:dyDescent="0.25">
      <c r="B37" s="23" t="s">
        <v>64</v>
      </c>
      <c r="C37" s="50">
        <v>11</v>
      </c>
      <c r="D37" s="50">
        <v>1</v>
      </c>
      <c r="E37" s="50">
        <v>4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1</v>
      </c>
      <c r="L37" s="50">
        <v>0</v>
      </c>
      <c r="M37" s="50">
        <v>50</v>
      </c>
      <c r="N37" s="50">
        <v>0</v>
      </c>
      <c r="O37" s="15">
        <f t="shared" si="0"/>
        <v>19</v>
      </c>
      <c r="P37" s="15">
        <f t="shared" si="1"/>
        <v>69</v>
      </c>
    </row>
    <row r="38" spans="2:20" ht="23.1" customHeight="1" x14ac:dyDescent="0.25">
      <c r="B38" s="24" t="s">
        <v>65</v>
      </c>
      <c r="C38" s="50">
        <v>11</v>
      </c>
      <c r="D38" s="50">
        <v>2</v>
      </c>
      <c r="E38" s="50">
        <v>0</v>
      </c>
      <c r="F38" s="50">
        <v>1</v>
      </c>
      <c r="G38" s="50">
        <v>0</v>
      </c>
      <c r="H38" s="50">
        <v>0</v>
      </c>
      <c r="I38" s="50">
        <v>1</v>
      </c>
      <c r="J38" s="50">
        <v>4</v>
      </c>
      <c r="K38" s="50">
        <v>1</v>
      </c>
      <c r="L38" s="50">
        <v>0</v>
      </c>
      <c r="M38" s="50">
        <v>25</v>
      </c>
      <c r="N38" s="50">
        <v>0</v>
      </c>
      <c r="O38" s="15">
        <f t="shared" si="0"/>
        <v>20</v>
      </c>
      <c r="P38" s="15">
        <f t="shared" si="1"/>
        <v>45</v>
      </c>
    </row>
    <row r="39" spans="2:20" ht="23.1" customHeight="1" x14ac:dyDescent="0.25">
      <c r="B39" s="24" t="s">
        <v>66</v>
      </c>
      <c r="C39" s="50">
        <v>10</v>
      </c>
      <c r="D39" s="50">
        <v>2</v>
      </c>
      <c r="E39" s="50">
        <v>4</v>
      </c>
      <c r="F39" s="50">
        <v>1</v>
      </c>
      <c r="G39" s="50">
        <v>0</v>
      </c>
      <c r="H39" s="50">
        <v>0</v>
      </c>
      <c r="I39" s="50">
        <v>2</v>
      </c>
      <c r="J39" s="50">
        <v>0</v>
      </c>
      <c r="K39" s="50">
        <v>1</v>
      </c>
      <c r="L39" s="50">
        <v>0</v>
      </c>
      <c r="M39" s="50">
        <v>28</v>
      </c>
      <c r="N39" s="50">
        <v>0</v>
      </c>
      <c r="O39" s="15">
        <f t="shared" si="0"/>
        <v>20</v>
      </c>
      <c r="P39" s="15">
        <f t="shared" si="1"/>
        <v>48</v>
      </c>
    </row>
    <row r="40" spans="2:20" ht="23.1" customHeight="1" x14ac:dyDescent="0.25">
      <c r="B40" s="24" t="s">
        <v>67</v>
      </c>
      <c r="C40" s="50">
        <v>9</v>
      </c>
      <c r="D40" s="50">
        <v>2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2</v>
      </c>
      <c r="K40" s="50">
        <v>0</v>
      </c>
      <c r="L40" s="50">
        <v>0</v>
      </c>
      <c r="M40" s="50">
        <v>27</v>
      </c>
      <c r="N40" s="50">
        <v>0</v>
      </c>
      <c r="O40" s="15">
        <f t="shared" si="0"/>
        <v>17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13</v>
      </c>
      <c r="D41" s="50">
        <v>0</v>
      </c>
      <c r="E41" s="50">
        <v>2</v>
      </c>
      <c r="F41" s="50">
        <v>2</v>
      </c>
      <c r="G41" s="50">
        <v>0</v>
      </c>
      <c r="H41" s="50">
        <v>0</v>
      </c>
      <c r="I41" s="50">
        <v>2</v>
      </c>
      <c r="J41" s="50">
        <v>1</v>
      </c>
      <c r="K41" s="50">
        <v>0</v>
      </c>
      <c r="L41" s="50">
        <v>0</v>
      </c>
      <c r="M41" s="50">
        <v>42</v>
      </c>
      <c r="N41" s="50">
        <v>0</v>
      </c>
      <c r="O41" s="15">
        <f t="shared" si="0"/>
        <v>20</v>
      </c>
      <c r="P41" s="15">
        <f t="shared" si="1"/>
        <v>62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2</v>
      </c>
      <c r="F42" s="50">
        <v>1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0</v>
      </c>
      <c r="M42" s="50">
        <v>33</v>
      </c>
      <c r="N42" s="50">
        <v>0</v>
      </c>
      <c r="O42" s="15">
        <f t="shared" si="0"/>
        <v>13</v>
      </c>
      <c r="P42" s="15">
        <f t="shared" si="1"/>
        <v>46</v>
      </c>
    </row>
    <row r="43" spans="2:20" ht="23.1" customHeight="1" x14ac:dyDescent="0.25">
      <c r="B43" s="23" t="s">
        <v>70</v>
      </c>
      <c r="C43" s="50">
        <v>7</v>
      </c>
      <c r="D43" s="50">
        <v>0</v>
      </c>
      <c r="E43" s="50">
        <v>1</v>
      </c>
      <c r="F43" s="50">
        <v>2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50</v>
      </c>
      <c r="N43" s="50">
        <v>0</v>
      </c>
      <c r="O43" s="15">
        <f t="shared" si="0"/>
        <v>10</v>
      </c>
      <c r="P43" s="15">
        <f t="shared" si="1"/>
        <v>60</v>
      </c>
    </row>
    <row r="44" spans="2:20" ht="23.1" customHeight="1" x14ac:dyDescent="0.25">
      <c r="B44" s="25" t="s">
        <v>71</v>
      </c>
      <c r="C44" s="50">
        <v>7</v>
      </c>
      <c r="D44" s="50">
        <v>1</v>
      </c>
      <c r="E44" s="50">
        <v>2</v>
      </c>
      <c r="F44" s="50">
        <v>3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40</v>
      </c>
      <c r="N44" s="50">
        <v>0</v>
      </c>
      <c r="O44" s="15">
        <f t="shared" si="0"/>
        <v>14</v>
      </c>
      <c r="P44" s="15">
        <f t="shared" si="1"/>
        <v>54</v>
      </c>
    </row>
    <row r="45" spans="2:20" ht="23.1" customHeight="1" x14ac:dyDescent="0.25">
      <c r="B45" s="23" t="s">
        <v>72</v>
      </c>
      <c r="C45" s="50">
        <v>8</v>
      </c>
      <c r="D45" s="50">
        <v>2</v>
      </c>
      <c r="E45" s="50">
        <v>2</v>
      </c>
      <c r="F45" s="50">
        <v>2</v>
      </c>
      <c r="G45" s="50">
        <v>1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45</v>
      </c>
      <c r="N45" s="50">
        <v>0</v>
      </c>
      <c r="O45" s="15">
        <f t="shared" si="0"/>
        <v>16</v>
      </c>
      <c r="P45" s="15">
        <f t="shared" si="1"/>
        <v>61</v>
      </c>
    </row>
    <row r="46" spans="2:20" ht="23.1" customHeight="1" x14ac:dyDescent="0.25">
      <c r="B46" s="24" t="s">
        <v>73</v>
      </c>
      <c r="C46" s="50">
        <v>17</v>
      </c>
      <c r="D46" s="50">
        <v>2</v>
      </c>
      <c r="E46" s="50">
        <v>2</v>
      </c>
      <c r="F46" s="50">
        <v>4</v>
      </c>
      <c r="G46" s="50">
        <v>0</v>
      </c>
      <c r="H46" s="50">
        <v>0</v>
      </c>
      <c r="I46" s="50">
        <v>5</v>
      </c>
      <c r="J46" s="50">
        <v>2</v>
      </c>
      <c r="K46" s="50">
        <v>0</v>
      </c>
      <c r="L46" s="50">
        <v>0</v>
      </c>
      <c r="M46" s="50">
        <v>38</v>
      </c>
      <c r="N46" s="50">
        <v>0</v>
      </c>
      <c r="O46" s="15">
        <f t="shared" si="0"/>
        <v>32</v>
      </c>
      <c r="P46" s="15">
        <f t="shared" si="1"/>
        <v>70</v>
      </c>
      <c r="R46" s="8"/>
      <c r="T46"/>
    </row>
    <row r="47" spans="2:20" ht="23.1" customHeight="1" x14ac:dyDescent="0.25">
      <c r="B47" s="24" t="s">
        <v>74</v>
      </c>
      <c r="C47" s="50">
        <v>17</v>
      </c>
      <c r="D47" s="50">
        <v>2</v>
      </c>
      <c r="E47" s="50">
        <v>3</v>
      </c>
      <c r="F47" s="50">
        <v>0</v>
      </c>
      <c r="G47" s="50">
        <v>0</v>
      </c>
      <c r="H47" s="50">
        <v>0</v>
      </c>
      <c r="I47" s="50">
        <v>3</v>
      </c>
      <c r="J47" s="50">
        <v>5</v>
      </c>
      <c r="K47" s="50">
        <v>1</v>
      </c>
      <c r="L47" s="50">
        <v>0</v>
      </c>
      <c r="M47" s="50">
        <v>37</v>
      </c>
      <c r="N47" s="50">
        <v>0</v>
      </c>
      <c r="O47" s="15">
        <f t="shared" si="0"/>
        <v>31</v>
      </c>
      <c r="P47" s="15">
        <f t="shared" si="1"/>
        <v>68</v>
      </c>
      <c r="R47" s="8"/>
      <c r="T47"/>
    </row>
    <row r="48" spans="2:20" ht="23.1" customHeight="1" x14ac:dyDescent="0.25">
      <c r="B48" s="24" t="s">
        <v>75</v>
      </c>
      <c r="C48" s="50">
        <v>14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1</v>
      </c>
      <c r="L48" s="50">
        <v>0</v>
      </c>
      <c r="M48" s="50">
        <v>59</v>
      </c>
      <c r="N48" s="50">
        <v>0</v>
      </c>
      <c r="O48" s="15">
        <f t="shared" si="0"/>
        <v>21</v>
      </c>
      <c r="P48" s="15">
        <f t="shared" si="1"/>
        <v>80</v>
      </c>
      <c r="R48" s="8"/>
      <c r="T48"/>
    </row>
    <row r="49" spans="2:20" ht="23.1" customHeight="1" x14ac:dyDescent="0.25">
      <c r="B49" s="23" t="s">
        <v>76</v>
      </c>
      <c r="C49" s="50">
        <v>11</v>
      </c>
      <c r="D49" s="50">
        <v>1</v>
      </c>
      <c r="E49" s="50">
        <v>1</v>
      </c>
      <c r="F49" s="50">
        <v>0</v>
      </c>
      <c r="G49" s="50">
        <v>0</v>
      </c>
      <c r="H49" s="50">
        <v>0</v>
      </c>
      <c r="I49" s="50">
        <v>2</v>
      </c>
      <c r="J49" s="50">
        <v>5</v>
      </c>
      <c r="K49" s="50">
        <v>0</v>
      </c>
      <c r="L49" s="50">
        <v>0</v>
      </c>
      <c r="M49" s="50">
        <v>31</v>
      </c>
      <c r="N49" s="50">
        <v>0</v>
      </c>
      <c r="O49" s="15">
        <f t="shared" si="0"/>
        <v>20</v>
      </c>
      <c r="P49" s="15">
        <f t="shared" si="1"/>
        <v>51</v>
      </c>
      <c r="R49" s="8"/>
      <c r="T49"/>
    </row>
    <row r="50" spans="2:20" ht="23.1" customHeight="1" x14ac:dyDescent="0.25">
      <c r="B50" s="24" t="s">
        <v>77</v>
      </c>
      <c r="C50" s="50">
        <v>18</v>
      </c>
      <c r="D50" s="50">
        <v>3</v>
      </c>
      <c r="E50" s="50">
        <v>2</v>
      </c>
      <c r="F50" s="50">
        <v>4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37</v>
      </c>
      <c r="N50" s="50">
        <v>0</v>
      </c>
      <c r="O50" s="15">
        <f t="shared" si="0"/>
        <v>29</v>
      </c>
      <c r="P50" s="15">
        <f t="shared" si="1"/>
        <v>66</v>
      </c>
      <c r="R50" s="8"/>
      <c r="T50"/>
    </row>
    <row r="51" spans="2:20" ht="23.1" customHeight="1" x14ac:dyDescent="0.25">
      <c r="B51" s="24" t="s">
        <v>78</v>
      </c>
      <c r="C51" s="50">
        <v>13</v>
      </c>
      <c r="D51" s="50">
        <v>3</v>
      </c>
      <c r="E51" s="50">
        <v>2</v>
      </c>
      <c r="F51" s="50">
        <v>2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1</v>
      </c>
      <c r="M51" s="50">
        <v>38</v>
      </c>
      <c r="N51" s="50">
        <v>0</v>
      </c>
      <c r="O51" s="15">
        <f t="shared" si="0"/>
        <v>24</v>
      </c>
      <c r="P51" s="15">
        <f t="shared" si="1"/>
        <v>62</v>
      </c>
      <c r="R51" s="8"/>
      <c r="T51"/>
    </row>
    <row r="52" spans="2:20" ht="23.1" customHeight="1" x14ac:dyDescent="0.25">
      <c r="B52" s="24" t="s">
        <v>79</v>
      </c>
      <c r="C52" s="50">
        <v>15</v>
      </c>
      <c r="D52" s="50">
        <v>0</v>
      </c>
      <c r="E52" s="50">
        <v>5</v>
      </c>
      <c r="F52" s="50">
        <v>1</v>
      </c>
      <c r="G52" s="50">
        <v>0</v>
      </c>
      <c r="H52" s="50">
        <v>0</v>
      </c>
      <c r="I52" s="50">
        <v>0</v>
      </c>
      <c r="J52" s="50">
        <v>1</v>
      </c>
      <c r="K52" s="50">
        <v>0</v>
      </c>
      <c r="L52" s="50">
        <v>0</v>
      </c>
      <c r="M52" s="50">
        <v>50</v>
      </c>
      <c r="N52" s="50">
        <v>0</v>
      </c>
      <c r="O52" s="15">
        <f t="shared" si="0"/>
        <v>22</v>
      </c>
      <c r="P52" s="15">
        <f t="shared" si="1"/>
        <v>72</v>
      </c>
      <c r="R52" s="8"/>
      <c r="T52"/>
    </row>
    <row r="53" spans="2:20" ht="23.1" customHeight="1" x14ac:dyDescent="0.25">
      <c r="B53" s="23" t="s">
        <v>80</v>
      </c>
      <c r="C53" s="50">
        <v>16</v>
      </c>
      <c r="D53" s="50">
        <v>1</v>
      </c>
      <c r="E53" s="50">
        <v>0</v>
      </c>
      <c r="F53" s="50">
        <v>3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51</v>
      </c>
      <c r="N53" s="50">
        <v>0</v>
      </c>
      <c r="O53" s="15">
        <f t="shared" si="0"/>
        <v>21</v>
      </c>
      <c r="P53" s="15">
        <f t="shared" si="1"/>
        <v>72</v>
      </c>
      <c r="R53" s="8"/>
      <c r="T53"/>
    </row>
    <row r="54" spans="2:20" ht="23.1" customHeight="1" x14ac:dyDescent="0.25">
      <c r="B54" s="23" t="s">
        <v>81</v>
      </c>
      <c r="C54" s="50">
        <v>12</v>
      </c>
      <c r="D54" s="50">
        <v>0</v>
      </c>
      <c r="E54" s="50">
        <v>3</v>
      </c>
      <c r="F54" s="50">
        <v>2</v>
      </c>
      <c r="G54" s="50">
        <v>0</v>
      </c>
      <c r="H54" s="50">
        <v>0</v>
      </c>
      <c r="I54" s="50">
        <v>1</v>
      </c>
      <c r="J54" s="50">
        <v>2</v>
      </c>
      <c r="K54" s="50">
        <v>0</v>
      </c>
      <c r="L54" s="50">
        <v>0</v>
      </c>
      <c r="M54" s="50">
        <v>59</v>
      </c>
      <c r="N54" s="50">
        <v>0</v>
      </c>
      <c r="O54" s="15">
        <f t="shared" si="0"/>
        <v>20</v>
      </c>
      <c r="P54" s="15">
        <f t="shared" si="1"/>
        <v>79</v>
      </c>
      <c r="R54" s="8"/>
      <c r="T54"/>
    </row>
    <row r="55" spans="2:20" ht="23.1" customHeight="1" x14ac:dyDescent="0.25">
      <c r="B55" s="23" t="s">
        <v>82</v>
      </c>
      <c r="C55" s="50">
        <v>18</v>
      </c>
      <c r="D55" s="50">
        <v>1</v>
      </c>
      <c r="E55" s="50">
        <v>1</v>
      </c>
      <c r="F55" s="50">
        <v>0</v>
      </c>
      <c r="G55" s="50">
        <v>0</v>
      </c>
      <c r="H55" s="50">
        <v>0</v>
      </c>
      <c r="I55" s="50">
        <v>2</v>
      </c>
      <c r="J55" s="50">
        <v>3</v>
      </c>
      <c r="K55" s="50">
        <v>1</v>
      </c>
      <c r="L55" s="50">
        <v>0</v>
      </c>
      <c r="M55" s="50">
        <v>54</v>
      </c>
      <c r="N55" s="50">
        <v>0</v>
      </c>
      <c r="O55" s="15">
        <f t="shared" si="0"/>
        <v>26</v>
      </c>
      <c r="P55" s="15">
        <f t="shared" si="1"/>
        <v>80</v>
      </c>
      <c r="R55" s="8"/>
      <c r="T55"/>
    </row>
    <row r="56" spans="2:20" ht="23.1" customHeight="1" x14ac:dyDescent="0.25">
      <c r="B56" s="23" t="s">
        <v>83</v>
      </c>
      <c r="C56" s="50">
        <v>13</v>
      </c>
      <c r="D56" s="50">
        <v>5</v>
      </c>
      <c r="E56" s="50">
        <v>3</v>
      </c>
      <c r="F56" s="50">
        <v>2</v>
      </c>
      <c r="G56" s="50">
        <v>0</v>
      </c>
      <c r="H56" s="50">
        <v>0</v>
      </c>
      <c r="I56" s="50">
        <v>2</v>
      </c>
      <c r="J56" s="50">
        <v>4</v>
      </c>
      <c r="K56" s="50">
        <v>0</v>
      </c>
      <c r="L56" s="50">
        <v>0</v>
      </c>
      <c r="M56" s="50">
        <v>39</v>
      </c>
      <c r="N56" s="50">
        <v>0</v>
      </c>
      <c r="O56" s="15">
        <f t="shared" si="0"/>
        <v>29</v>
      </c>
      <c r="P56" s="15">
        <f t="shared" si="1"/>
        <v>68</v>
      </c>
      <c r="R56" s="8"/>
      <c r="T56"/>
    </row>
    <row r="57" spans="2:20" ht="23.1" customHeight="1" x14ac:dyDescent="0.25">
      <c r="B57" s="23" t="s">
        <v>84</v>
      </c>
      <c r="C57" s="50">
        <v>16</v>
      </c>
      <c r="D57" s="50">
        <v>4</v>
      </c>
      <c r="E57" s="50">
        <v>1</v>
      </c>
      <c r="F57" s="50">
        <v>1</v>
      </c>
      <c r="G57" s="50">
        <v>0</v>
      </c>
      <c r="H57" s="50">
        <v>0</v>
      </c>
      <c r="I57" s="50">
        <v>4</v>
      </c>
      <c r="J57" s="50">
        <v>1</v>
      </c>
      <c r="K57" s="50">
        <v>0</v>
      </c>
      <c r="L57" s="50">
        <v>0</v>
      </c>
      <c r="M57" s="50">
        <v>49</v>
      </c>
      <c r="N57" s="50">
        <v>0</v>
      </c>
      <c r="O57" s="15">
        <f t="shared" si="0"/>
        <v>27</v>
      </c>
      <c r="P57" s="15">
        <f t="shared" si="1"/>
        <v>76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528</v>
      </c>
      <c r="D58" s="16">
        <f t="shared" si="21"/>
        <v>67</v>
      </c>
      <c r="E58" s="16">
        <f t="shared" si="21"/>
        <v>80</v>
      </c>
      <c r="F58" s="16">
        <f t="shared" si="21"/>
        <v>101</v>
      </c>
      <c r="G58" s="16">
        <f t="shared" si="21"/>
        <v>1</v>
      </c>
      <c r="H58" s="16">
        <f t="shared" si="21"/>
        <v>0</v>
      </c>
      <c r="I58" s="16">
        <f t="shared" si="21"/>
        <v>72</v>
      </c>
      <c r="J58" s="16">
        <f t="shared" si="21"/>
        <v>51</v>
      </c>
      <c r="K58" s="16">
        <f t="shared" si="21"/>
        <v>10</v>
      </c>
      <c r="L58" s="16">
        <f t="shared" si="21"/>
        <v>1</v>
      </c>
      <c r="M58" s="16">
        <f t="shared" si="21"/>
        <v>2003</v>
      </c>
      <c r="N58" s="16">
        <f t="shared" si="21"/>
        <v>0</v>
      </c>
      <c r="O58" s="16">
        <f t="shared" si="21"/>
        <v>911</v>
      </c>
      <c r="P58" s="16">
        <f t="shared" si="21"/>
        <v>2914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0.18119423472889498</v>
      </c>
      <c r="D59" s="43">
        <f t="shared" si="22"/>
        <v>2.299245024021963E-2</v>
      </c>
      <c r="E59" s="43">
        <f t="shared" si="22"/>
        <v>2.7453671928620454E-2</v>
      </c>
      <c r="F59" s="43">
        <f t="shared" si="22"/>
        <v>3.4660260809883325E-2</v>
      </c>
      <c r="G59" s="43">
        <f t="shared" si="22"/>
        <v>3.4317089910775565E-4</v>
      </c>
      <c r="H59" s="43">
        <f t="shared" si="22"/>
        <v>0</v>
      </c>
      <c r="I59" s="43">
        <f t="shared" si="22"/>
        <v>2.4708304735758406E-2</v>
      </c>
      <c r="J59" s="43">
        <f t="shared" si="22"/>
        <v>1.7501715854495538E-2</v>
      </c>
      <c r="K59" s="43">
        <f t="shared" si="22"/>
        <v>3.4317089910775567E-3</v>
      </c>
      <c r="L59" s="43">
        <f t="shared" si="22"/>
        <v>3.4317089910775565E-4</v>
      </c>
      <c r="M59" s="43">
        <f t="shared" si="22"/>
        <v>0.68737131091283454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0.57958287596048297</v>
      </c>
      <c r="D60" s="44">
        <f t="shared" ref="D60:N60" si="23">D58/$O$58</f>
        <v>7.3545554335894617E-2</v>
      </c>
      <c r="E60" s="44">
        <f t="shared" si="23"/>
        <v>8.7815587266739853E-2</v>
      </c>
      <c r="F60" s="44">
        <f t="shared" si="23"/>
        <v>0.11086717892425905</v>
      </c>
      <c r="G60" s="44">
        <f t="shared" si="23"/>
        <v>1.0976948408342481E-3</v>
      </c>
      <c r="H60" s="44">
        <f t="shared" si="23"/>
        <v>0</v>
      </c>
      <c r="I60" s="44">
        <f t="shared" si="23"/>
        <v>7.9034028540065859E-2</v>
      </c>
      <c r="J60" s="44">
        <f t="shared" si="23"/>
        <v>5.598243688254665E-2</v>
      </c>
      <c r="K60" s="44">
        <f t="shared" si="23"/>
        <v>1.0976948408342482E-2</v>
      </c>
      <c r="L60" s="44">
        <f t="shared" si="23"/>
        <v>1.0976948408342481E-3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AF126"/>
  <sheetViews>
    <sheetView view="pageBreakPreview" topLeftCell="A25" zoomScale="60" workbookViewId="0">
      <selection activeCell="C10" sqref="C1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Mbarara-Isingiro'!C3:G3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'27.10 Isingilo-Mbarara'!D5</f>
        <v>27.10.2019</v>
      </c>
      <c r="E5" s="3"/>
      <c r="F5" s="41" t="s">
        <v>1</v>
      </c>
      <c r="G5" s="55" t="str">
        <f>'25.10 Isingiro-Mbarara'!G5:H5</f>
        <v>KASENYI</v>
      </c>
      <c r="H5" s="56"/>
      <c r="I5" s="14"/>
      <c r="J5" s="2" t="s">
        <v>5</v>
      </c>
      <c r="K5" s="55" t="s">
        <v>169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'25.10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3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</v>
      </c>
      <c r="N10" s="50">
        <v>0</v>
      </c>
      <c r="O10" s="15">
        <f t="shared" ref="O10:O57" si="0">SUM(C10:L10,N10)</f>
        <v>9</v>
      </c>
      <c r="P10" s="15">
        <f t="shared" ref="P10:P57" si="1">SUM(C10:N10)</f>
        <v>13</v>
      </c>
      <c r="R10" s="1" t="s">
        <v>6</v>
      </c>
      <c r="S10" s="17">
        <f t="shared" ref="S10:AF10" si="2">SUM(C10:C13)</f>
        <v>11</v>
      </c>
      <c r="T10" s="17">
        <f t="shared" si="2"/>
        <v>1</v>
      </c>
      <c r="U10" s="17">
        <f t="shared" si="2"/>
        <v>6</v>
      </c>
      <c r="V10" s="17">
        <f t="shared" si="2"/>
        <v>6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54</v>
      </c>
      <c r="AD10" s="17">
        <f t="shared" si="2"/>
        <v>0</v>
      </c>
      <c r="AE10" s="31">
        <f t="shared" si="2"/>
        <v>31</v>
      </c>
      <c r="AF10" s="31">
        <f t="shared" si="2"/>
        <v>85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2</v>
      </c>
      <c r="F11" s="50">
        <v>3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7</v>
      </c>
      <c r="N11" s="50">
        <v>0</v>
      </c>
      <c r="O11" s="15">
        <f t="shared" si="0"/>
        <v>7</v>
      </c>
      <c r="P11" s="15">
        <f t="shared" si="1"/>
        <v>14</v>
      </c>
      <c r="R11" s="1" t="s">
        <v>7</v>
      </c>
      <c r="S11" s="17">
        <f t="shared" ref="S11:AF11" si="3">SUM(C14:C17)</f>
        <v>25</v>
      </c>
      <c r="T11" s="17">
        <f t="shared" si="3"/>
        <v>7</v>
      </c>
      <c r="U11" s="17">
        <f t="shared" si="3"/>
        <v>3</v>
      </c>
      <c r="V11" s="17">
        <f t="shared" si="3"/>
        <v>8</v>
      </c>
      <c r="W11" s="17">
        <f t="shared" si="3"/>
        <v>1</v>
      </c>
      <c r="X11" s="17">
        <f t="shared" si="3"/>
        <v>0</v>
      </c>
      <c r="Y11" s="17">
        <f t="shared" si="3"/>
        <v>7</v>
      </c>
      <c r="Z11" s="17">
        <f t="shared" si="3"/>
        <v>9</v>
      </c>
      <c r="AA11" s="17">
        <f t="shared" si="3"/>
        <v>1</v>
      </c>
      <c r="AB11" s="17">
        <f t="shared" si="3"/>
        <v>0</v>
      </c>
      <c r="AC11" s="17">
        <f t="shared" si="3"/>
        <v>114</v>
      </c>
      <c r="AD11" s="17">
        <f t="shared" si="3"/>
        <v>0</v>
      </c>
      <c r="AE11" s="31">
        <f t="shared" si="3"/>
        <v>61</v>
      </c>
      <c r="AF11" s="31">
        <f t="shared" si="3"/>
        <v>175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1</v>
      </c>
      <c r="F12" s="50">
        <v>0</v>
      </c>
      <c r="G12" s="50">
        <v>0</v>
      </c>
      <c r="H12" s="50">
        <v>0</v>
      </c>
      <c r="I12" s="50">
        <v>1</v>
      </c>
      <c r="J12" s="50">
        <v>2</v>
      </c>
      <c r="K12" s="50">
        <v>0</v>
      </c>
      <c r="L12" s="50">
        <v>0</v>
      </c>
      <c r="M12" s="50">
        <v>22</v>
      </c>
      <c r="N12" s="50">
        <v>0</v>
      </c>
      <c r="O12" s="15">
        <f t="shared" si="0"/>
        <v>9</v>
      </c>
      <c r="P12" s="15">
        <f t="shared" si="1"/>
        <v>31</v>
      </c>
      <c r="R12" s="1" t="s">
        <v>8</v>
      </c>
      <c r="S12" s="17">
        <f t="shared" ref="S12:AF12" si="4">SUM(C18:C21)</f>
        <v>32</v>
      </c>
      <c r="T12" s="17">
        <f t="shared" si="4"/>
        <v>4</v>
      </c>
      <c r="U12" s="17">
        <f t="shared" si="4"/>
        <v>11</v>
      </c>
      <c r="V12" s="17">
        <f t="shared" si="4"/>
        <v>6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172</v>
      </c>
      <c r="AD12" s="17">
        <f t="shared" si="4"/>
        <v>0</v>
      </c>
      <c r="AE12" s="31">
        <f t="shared" si="4"/>
        <v>58</v>
      </c>
      <c r="AF12" s="31">
        <f t="shared" si="4"/>
        <v>230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21</v>
      </c>
      <c r="N13" s="50">
        <v>0</v>
      </c>
      <c r="O13" s="15">
        <f t="shared" si="0"/>
        <v>6</v>
      </c>
      <c r="P13" s="15">
        <f t="shared" si="1"/>
        <v>27</v>
      </c>
      <c r="R13" s="1" t="s">
        <v>9</v>
      </c>
      <c r="S13" s="17">
        <f t="shared" ref="S13:AF13" si="5">SUM(C22:C25)</f>
        <v>40</v>
      </c>
      <c r="T13" s="17">
        <f t="shared" si="5"/>
        <v>5</v>
      </c>
      <c r="U13" s="17">
        <f t="shared" si="5"/>
        <v>4</v>
      </c>
      <c r="V13" s="17">
        <f t="shared" si="5"/>
        <v>15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153</v>
      </c>
      <c r="AD13" s="17">
        <f t="shared" si="5"/>
        <v>0</v>
      </c>
      <c r="AE13" s="31">
        <f t="shared" si="5"/>
        <v>78</v>
      </c>
      <c r="AF13" s="31">
        <f t="shared" si="5"/>
        <v>231</v>
      </c>
    </row>
    <row r="14" spans="2:32" ht="23.1" customHeight="1" x14ac:dyDescent="0.25">
      <c r="B14" s="23" t="s">
        <v>41</v>
      </c>
      <c r="C14" s="50">
        <v>4</v>
      </c>
      <c r="D14" s="50">
        <v>0</v>
      </c>
      <c r="E14" s="50">
        <v>1</v>
      </c>
      <c r="F14" s="50">
        <v>3</v>
      </c>
      <c r="G14" s="50">
        <v>0</v>
      </c>
      <c r="H14" s="50">
        <v>0</v>
      </c>
      <c r="I14" s="50">
        <v>2</v>
      </c>
      <c r="J14" s="50">
        <v>2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12</v>
      </c>
      <c r="P14" s="15">
        <f t="shared" si="1"/>
        <v>42</v>
      </c>
      <c r="R14" s="1" t="s">
        <v>10</v>
      </c>
      <c r="S14" s="17">
        <f t="shared" ref="S14:AF14" si="6">SUM(C26:C29)</f>
        <v>40</v>
      </c>
      <c r="T14" s="17">
        <f t="shared" si="6"/>
        <v>4</v>
      </c>
      <c r="U14" s="17">
        <f t="shared" si="6"/>
        <v>9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3</v>
      </c>
      <c r="AA14" s="17">
        <f t="shared" si="6"/>
        <v>2</v>
      </c>
      <c r="AB14" s="17">
        <f t="shared" si="6"/>
        <v>0</v>
      </c>
      <c r="AC14" s="17">
        <f t="shared" si="6"/>
        <v>134</v>
      </c>
      <c r="AD14" s="17">
        <f t="shared" si="6"/>
        <v>0</v>
      </c>
      <c r="AE14" s="31">
        <f t="shared" si="6"/>
        <v>77</v>
      </c>
      <c r="AF14" s="31">
        <f t="shared" si="6"/>
        <v>211</v>
      </c>
    </row>
    <row r="15" spans="2:32" ht="23.1" customHeight="1" x14ac:dyDescent="0.25">
      <c r="B15" s="23" t="s">
        <v>42</v>
      </c>
      <c r="C15" s="50">
        <v>7</v>
      </c>
      <c r="D15" s="50">
        <v>2</v>
      </c>
      <c r="E15" s="50">
        <v>2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22</v>
      </c>
      <c r="N15" s="50">
        <v>0</v>
      </c>
      <c r="O15" s="15">
        <f t="shared" si="0"/>
        <v>13</v>
      </c>
      <c r="P15" s="15">
        <f t="shared" si="1"/>
        <v>35</v>
      </c>
      <c r="R15" s="1" t="s">
        <v>11</v>
      </c>
      <c r="S15" s="17">
        <f t="shared" ref="S15:AF15" si="7">SUM(C30:C33)</f>
        <v>40</v>
      </c>
      <c r="T15" s="17">
        <f t="shared" si="7"/>
        <v>4</v>
      </c>
      <c r="U15" s="17">
        <f t="shared" si="7"/>
        <v>9</v>
      </c>
      <c r="V15" s="17">
        <f t="shared" si="7"/>
        <v>13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3</v>
      </c>
      <c r="AA15" s="17">
        <f t="shared" si="7"/>
        <v>2</v>
      </c>
      <c r="AB15" s="17">
        <f t="shared" si="7"/>
        <v>0</v>
      </c>
      <c r="AC15" s="17">
        <f t="shared" si="7"/>
        <v>134</v>
      </c>
      <c r="AD15" s="17">
        <f t="shared" si="7"/>
        <v>0</v>
      </c>
      <c r="AE15" s="31">
        <f t="shared" si="7"/>
        <v>77</v>
      </c>
      <c r="AF15" s="31">
        <f t="shared" si="7"/>
        <v>211</v>
      </c>
    </row>
    <row r="16" spans="2:32" ht="23.1" customHeight="1" x14ac:dyDescent="0.25">
      <c r="B16" s="23" t="s">
        <v>43</v>
      </c>
      <c r="C16" s="50">
        <v>2</v>
      </c>
      <c r="D16" s="50">
        <v>3</v>
      </c>
      <c r="E16" s="50">
        <v>0</v>
      </c>
      <c r="F16" s="50">
        <v>2</v>
      </c>
      <c r="G16" s="50">
        <v>0</v>
      </c>
      <c r="H16" s="50">
        <v>0</v>
      </c>
      <c r="I16" s="50">
        <v>3</v>
      </c>
      <c r="J16" s="50">
        <v>6</v>
      </c>
      <c r="K16" s="50">
        <v>1</v>
      </c>
      <c r="L16" s="50">
        <v>0</v>
      </c>
      <c r="M16" s="50">
        <v>28</v>
      </c>
      <c r="N16" s="50">
        <v>0</v>
      </c>
      <c r="O16" s="15">
        <f t="shared" si="0"/>
        <v>17</v>
      </c>
      <c r="P16" s="15">
        <f t="shared" si="1"/>
        <v>45</v>
      </c>
      <c r="R16" s="1" t="s">
        <v>12</v>
      </c>
      <c r="S16" s="17">
        <f t="shared" ref="S16:AF16" si="8">SUM(C34:C37)</f>
        <v>63</v>
      </c>
      <c r="T16" s="17">
        <f t="shared" si="8"/>
        <v>8</v>
      </c>
      <c r="U16" s="17">
        <f t="shared" si="8"/>
        <v>10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7</v>
      </c>
      <c r="AA16" s="17">
        <f t="shared" si="8"/>
        <v>1</v>
      </c>
      <c r="AB16" s="17">
        <f t="shared" si="8"/>
        <v>1</v>
      </c>
      <c r="AC16" s="17">
        <f t="shared" si="8"/>
        <v>191</v>
      </c>
      <c r="AD16" s="17">
        <f t="shared" si="8"/>
        <v>0</v>
      </c>
      <c r="AE16" s="31">
        <f t="shared" si="8"/>
        <v>111</v>
      </c>
      <c r="AF16" s="31">
        <f t="shared" si="8"/>
        <v>302</v>
      </c>
    </row>
    <row r="17" spans="2:32" ht="23.1" customHeight="1" x14ac:dyDescent="0.25">
      <c r="B17" s="23" t="s">
        <v>44</v>
      </c>
      <c r="C17" s="50">
        <v>12</v>
      </c>
      <c r="D17" s="50">
        <v>2</v>
      </c>
      <c r="E17" s="50">
        <v>0</v>
      </c>
      <c r="F17" s="50">
        <v>3</v>
      </c>
      <c r="G17" s="50">
        <v>1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34</v>
      </c>
      <c r="N17" s="50">
        <v>0</v>
      </c>
      <c r="O17" s="15">
        <f t="shared" si="0"/>
        <v>19</v>
      </c>
      <c r="P17" s="15">
        <f t="shared" si="1"/>
        <v>53</v>
      </c>
      <c r="R17" s="1" t="s">
        <v>13</v>
      </c>
      <c r="S17" s="17">
        <f t="shared" ref="S17:AF17" si="9">SUM(C38:C41)</f>
        <v>57</v>
      </c>
      <c r="T17" s="17">
        <f t="shared" si="9"/>
        <v>18</v>
      </c>
      <c r="U17" s="17">
        <f t="shared" si="9"/>
        <v>10</v>
      </c>
      <c r="V17" s="17">
        <f t="shared" si="9"/>
        <v>10</v>
      </c>
      <c r="W17" s="17">
        <f t="shared" si="9"/>
        <v>0</v>
      </c>
      <c r="X17" s="17">
        <f t="shared" si="9"/>
        <v>1</v>
      </c>
      <c r="Y17" s="17">
        <f t="shared" si="9"/>
        <v>2</v>
      </c>
      <c r="Z17" s="17">
        <f t="shared" si="9"/>
        <v>4</v>
      </c>
      <c r="AA17" s="17">
        <f t="shared" si="9"/>
        <v>1</v>
      </c>
      <c r="AB17" s="17">
        <f t="shared" si="9"/>
        <v>0</v>
      </c>
      <c r="AC17" s="17">
        <f t="shared" si="9"/>
        <v>170</v>
      </c>
      <c r="AD17" s="17">
        <f t="shared" si="9"/>
        <v>0</v>
      </c>
      <c r="AE17" s="31">
        <f t="shared" si="9"/>
        <v>103</v>
      </c>
      <c r="AF17" s="31">
        <f t="shared" si="9"/>
        <v>273</v>
      </c>
    </row>
    <row r="18" spans="2:32" ht="23.1" customHeight="1" x14ac:dyDescent="0.25">
      <c r="B18" s="23" t="s">
        <v>45</v>
      </c>
      <c r="C18" s="50">
        <v>4</v>
      </c>
      <c r="D18" s="50">
        <v>1</v>
      </c>
      <c r="E18" s="50">
        <v>3</v>
      </c>
      <c r="F18" s="50">
        <v>3</v>
      </c>
      <c r="G18" s="50">
        <v>0</v>
      </c>
      <c r="H18" s="50">
        <v>1</v>
      </c>
      <c r="I18" s="50">
        <v>0</v>
      </c>
      <c r="J18" s="50">
        <v>0</v>
      </c>
      <c r="K18" s="50">
        <v>0</v>
      </c>
      <c r="L18" s="50">
        <v>0</v>
      </c>
      <c r="M18" s="50">
        <v>43</v>
      </c>
      <c r="N18" s="50">
        <v>0</v>
      </c>
      <c r="O18" s="15">
        <f t="shared" si="0"/>
        <v>12</v>
      </c>
      <c r="P18" s="15">
        <f t="shared" si="1"/>
        <v>55</v>
      </c>
      <c r="R18" s="1" t="s">
        <v>14</v>
      </c>
      <c r="S18" s="17">
        <f t="shared" ref="S18:AF18" si="10">SUM(C42:C45)</f>
        <v>45</v>
      </c>
      <c r="T18" s="17">
        <f t="shared" si="10"/>
        <v>9</v>
      </c>
      <c r="U18" s="17">
        <f t="shared" si="10"/>
        <v>6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6</v>
      </c>
      <c r="AA18" s="17">
        <f t="shared" si="10"/>
        <v>1</v>
      </c>
      <c r="AB18" s="17">
        <f t="shared" si="10"/>
        <v>0</v>
      </c>
      <c r="AC18" s="17">
        <f t="shared" si="10"/>
        <v>143</v>
      </c>
      <c r="AD18" s="17">
        <f t="shared" si="10"/>
        <v>0</v>
      </c>
      <c r="AE18" s="31">
        <f t="shared" si="10"/>
        <v>86</v>
      </c>
      <c r="AF18" s="31">
        <f t="shared" si="10"/>
        <v>229</v>
      </c>
    </row>
    <row r="19" spans="2:32" ht="23.1" customHeight="1" x14ac:dyDescent="0.25">
      <c r="B19" s="23" t="s">
        <v>46</v>
      </c>
      <c r="C19" s="50">
        <v>7</v>
      </c>
      <c r="D19" s="50">
        <v>0</v>
      </c>
      <c r="E19" s="50">
        <v>4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37</v>
      </c>
      <c r="N19" s="50">
        <v>0</v>
      </c>
      <c r="O19" s="15">
        <f t="shared" si="0"/>
        <v>14</v>
      </c>
      <c r="P19" s="15">
        <f t="shared" si="1"/>
        <v>51</v>
      </c>
      <c r="R19" s="1" t="s">
        <v>15</v>
      </c>
      <c r="S19" s="17">
        <f t="shared" ref="S19:AF19" si="11">SUM(C46:C49)</f>
        <v>29</v>
      </c>
      <c r="T19" s="17">
        <f t="shared" si="11"/>
        <v>5</v>
      </c>
      <c r="U19" s="17">
        <f t="shared" si="11"/>
        <v>8</v>
      </c>
      <c r="V19" s="17">
        <f t="shared" si="11"/>
        <v>4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7</v>
      </c>
      <c r="AA19" s="17">
        <f t="shared" si="11"/>
        <v>1</v>
      </c>
      <c r="AB19" s="17">
        <f t="shared" si="11"/>
        <v>0</v>
      </c>
      <c r="AC19" s="17">
        <f t="shared" si="11"/>
        <v>147</v>
      </c>
      <c r="AD19" s="17">
        <f t="shared" si="11"/>
        <v>0</v>
      </c>
      <c r="AE19" s="31">
        <f t="shared" si="11"/>
        <v>57</v>
      </c>
      <c r="AF19" s="31">
        <f t="shared" si="11"/>
        <v>204</v>
      </c>
    </row>
    <row r="20" spans="2:32" ht="23.1" customHeight="1" x14ac:dyDescent="0.25">
      <c r="B20" s="23" t="s">
        <v>47</v>
      </c>
      <c r="C20" s="50">
        <v>8</v>
      </c>
      <c r="D20" s="50">
        <v>2</v>
      </c>
      <c r="E20" s="50">
        <v>3</v>
      </c>
      <c r="F20" s="50">
        <v>0</v>
      </c>
      <c r="G20" s="50">
        <v>0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55</v>
      </c>
      <c r="N20" s="50">
        <v>0</v>
      </c>
      <c r="O20" s="15">
        <f t="shared" si="0"/>
        <v>14</v>
      </c>
      <c r="P20" s="15">
        <f t="shared" si="1"/>
        <v>69</v>
      </c>
      <c r="R20" s="1" t="s">
        <v>16</v>
      </c>
      <c r="S20" s="17">
        <f t="shared" ref="S20:AF20" si="12">SUM(C50:C53)</f>
        <v>46</v>
      </c>
      <c r="T20" s="17">
        <f t="shared" si="12"/>
        <v>10</v>
      </c>
      <c r="U20" s="17">
        <f t="shared" si="12"/>
        <v>8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173</v>
      </c>
      <c r="AD20" s="17">
        <f t="shared" si="12"/>
        <v>0</v>
      </c>
      <c r="AE20" s="31">
        <f t="shared" si="12"/>
        <v>91</v>
      </c>
      <c r="AF20" s="31">
        <f t="shared" si="12"/>
        <v>264</v>
      </c>
    </row>
    <row r="21" spans="2:32" ht="23.1" customHeight="1" x14ac:dyDescent="0.25">
      <c r="B21" s="23" t="s">
        <v>48</v>
      </c>
      <c r="C21" s="50">
        <v>13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0</v>
      </c>
      <c r="M21" s="50">
        <v>37</v>
      </c>
      <c r="N21" s="50">
        <v>0</v>
      </c>
      <c r="O21" s="15">
        <f t="shared" si="0"/>
        <v>18</v>
      </c>
      <c r="P21" s="15">
        <f t="shared" si="1"/>
        <v>55</v>
      </c>
      <c r="R21" s="36" t="s">
        <v>20</v>
      </c>
      <c r="S21" s="34">
        <f t="shared" ref="S21:AF21" si="13">SUM(C54:C57)</f>
        <v>49</v>
      </c>
      <c r="T21" s="17">
        <f t="shared" si="13"/>
        <v>7</v>
      </c>
      <c r="U21" s="17">
        <f t="shared" si="13"/>
        <v>10</v>
      </c>
      <c r="V21" s="17">
        <f t="shared" si="13"/>
        <v>21</v>
      </c>
      <c r="W21" s="17">
        <f t="shared" si="13"/>
        <v>1</v>
      </c>
      <c r="X21" s="17">
        <f t="shared" si="13"/>
        <v>0</v>
      </c>
      <c r="Y21" s="17">
        <f t="shared" si="13"/>
        <v>6</v>
      </c>
      <c r="Z21" s="17">
        <f t="shared" si="13"/>
        <v>7</v>
      </c>
      <c r="AA21" s="17">
        <f t="shared" si="13"/>
        <v>0</v>
      </c>
      <c r="AB21" s="17">
        <f t="shared" si="13"/>
        <v>0</v>
      </c>
      <c r="AC21" s="17">
        <f t="shared" si="13"/>
        <v>204</v>
      </c>
      <c r="AD21" s="17">
        <f t="shared" si="13"/>
        <v>0</v>
      </c>
      <c r="AE21" s="31">
        <f t="shared" si="13"/>
        <v>101</v>
      </c>
      <c r="AF21" s="31">
        <f t="shared" si="13"/>
        <v>305</v>
      </c>
    </row>
    <row r="22" spans="2:32" ht="23.1" customHeight="1" x14ac:dyDescent="0.25">
      <c r="B22" s="23" t="s">
        <v>49</v>
      </c>
      <c r="C22" s="50">
        <v>5</v>
      </c>
      <c r="D22" s="50">
        <v>1</v>
      </c>
      <c r="E22" s="50">
        <v>1</v>
      </c>
      <c r="F22" s="50">
        <v>2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28</v>
      </c>
      <c r="N22" s="50">
        <v>0</v>
      </c>
      <c r="O22" s="15">
        <f t="shared" si="0"/>
        <v>12</v>
      </c>
      <c r="P22" s="15">
        <f t="shared" si="1"/>
        <v>40</v>
      </c>
      <c r="R22" s="38" t="s">
        <v>90</v>
      </c>
      <c r="S22" s="39">
        <f>MAX(S10:S12)</f>
        <v>32</v>
      </c>
      <c r="T22" s="39">
        <f t="shared" ref="T22:AF22" si="14">MAX(T10:T12)</f>
        <v>7</v>
      </c>
      <c r="U22" s="39">
        <f t="shared" si="14"/>
        <v>11</v>
      </c>
      <c r="V22" s="39">
        <f t="shared" si="14"/>
        <v>8</v>
      </c>
      <c r="W22" s="39">
        <f t="shared" si="14"/>
        <v>1</v>
      </c>
      <c r="X22" s="39">
        <f t="shared" si="14"/>
        <v>1</v>
      </c>
      <c r="Y22" s="39">
        <f t="shared" si="14"/>
        <v>7</v>
      </c>
      <c r="Z22" s="39">
        <f t="shared" si="14"/>
        <v>9</v>
      </c>
      <c r="AA22" s="39">
        <f t="shared" si="14"/>
        <v>1</v>
      </c>
      <c r="AB22" s="39">
        <f t="shared" si="14"/>
        <v>0</v>
      </c>
      <c r="AC22" s="39">
        <f t="shared" si="14"/>
        <v>172</v>
      </c>
      <c r="AD22" s="39">
        <f t="shared" si="14"/>
        <v>0</v>
      </c>
      <c r="AE22" s="40">
        <f t="shared" si="14"/>
        <v>61</v>
      </c>
      <c r="AF22" s="40">
        <f t="shared" si="14"/>
        <v>230</v>
      </c>
    </row>
    <row r="23" spans="2:32" ht="23.1" customHeight="1" x14ac:dyDescent="0.25">
      <c r="B23" s="23" t="s">
        <v>50</v>
      </c>
      <c r="C23" s="50">
        <v>13</v>
      </c>
      <c r="D23" s="50">
        <v>1</v>
      </c>
      <c r="E23" s="50">
        <v>1</v>
      </c>
      <c r="F23" s="50">
        <v>5</v>
      </c>
      <c r="G23" s="50">
        <v>0</v>
      </c>
      <c r="H23" s="50">
        <v>0</v>
      </c>
      <c r="I23" s="50">
        <v>3</v>
      </c>
      <c r="J23" s="50">
        <v>5</v>
      </c>
      <c r="K23" s="50">
        <v>0</v>
      </c>
      <c r="L23" s="50">
        <v>0</v>
      </c>
      <c r="M23" s="50">
        <v>38</v>
      </c>
      <c r="N23" s="50">
        <v>0</v>
      </c>
      <c r="O23" s="15">
        <f t="shared" si="0"/>
        <v>28</v>
      </c>
      <c r="P23" s="15">
        <f t="shared" si="1"/>
        <v>66</v>
      </c>
      <c r="R23" s="38" t="s">
        <v>91</v>
      </c>
      <c r="S23" s="39">
        <f>MAX(S13:S18)</f>
        <v>63</v>
      </c>
      <c r="T23" s="39">
        <f t="shared" ref="T23:AF23" si="15">MAX(T13:T18)</f>
        <v>18</v>
      </c>
      <c r="U23" s="39">
        <f t="shared" si="15"/>
        <v>10</v>
      </c>
      <c r="V23" s="39">
        <f t="shared" si="15"/>
        <v>15</v>
      </c>
      <c r="W23" s="39">
        <f t="shared" si="15"/>
        <v>0</v>
      </c>
      <c r="X23" s="39">
        <f t="shared" si="15"/>
        <v>1</v>
      </c>
      <c r="Y23" s="39">
        <f t="shared" si="15"/>
        <v>8</v>
      </c>
      <c r="Z23" s="39">
        <f t="shared" si="15"/>
        <v>7</v>
      </c>
      <c r="AA23" s="39">
        <f t="shared" si="15"/>
        <v>2</v>
      </c>
      <c r="AB23" s="39">
        <f t="shared" si="15"/>
        <v>1</v>
      </c>
      <c r="AC23" s="39">
        <f t="shared" si="15"/>
        <v>191</v>
      </c>
      <c r="AD23" s="39">
        <f t="shared" si="15"/>
        <v>0</v>
      </c>
      <c r="AE23" s="40">
        <f t="shared" si="15"/>
        <v>111</v>
      </c>
      <c r="AF23" s="40">
        <f t="shared" si="15"/>
        <v>302</v>
      </c>
    </row>
    <row r="24" spans="2:32" ht="23.1" customHeight="1" x14ac:dyDescent="0.25">
      <c r="B24" s="23" t="s">
        <v>51</v>
      </c>
      <c r="C24" s="50">
        <v>14</v>
      </c>
      <c r="D24" s="50">
        <v>1</v>
      </c>
      <c r="E24" s="50">
        <v>2</v>
      </c>
      <c r="F24" s="50">
        <v>1</v>
      </c>
      <c r="G24" s="50">
        <v>0</v>
      </c>
      <c r="H24" s="50">
        <v>0</v>
      </c>
      <c r="I24" s="50">
        <v>3</v>
      </c>
      <c r="J24" s="50">
        <v>0</v>
      </c>
      <c r="K24" s="50">
        <v>0</v>
      </c>
      <c r="L24" s="50">
        <v>0</v>
      </c>
      <c r="M24" s="50">
        <v>47</v>
      </c>
      <c r="N24" s="50">
        <v>0</v>
      </c>
      <c r="O24" s="15">
        <f t="shared" si="0"/>
        <v>21</v>
      </c>
      <c r="P24" s="15">
        <f t="shared" si="1"/>
        <v>68</v>
      </c>
      <c r="R24" s="38" t="s">
        <v>92</v>
      </c>
      <c r="S24" s="39">
        <f>MAX(S19:S21)</f>
        <v>49</v>
      </c>
      <c r="T24" s="39">
        <f t="shared" ref="T24:AF24" si="16">MAX(T19:T21)</f>
        <v>10</v>
      </c>
      <c r="U24" s="39">
        <f t="shared" si="16"/>
        <v>10</v>
      </c>
      <c r="V24" s="39">
        <f t="shared" si="16"/>
        <v>21</v>
      </c>
      <c r="W24" s="39">
        <f t="shared" si="16"/>
        <v>1</v>
      </c>
      <c r="X24" s="39">
        <f t="shared" si="16"/>
        <v>0</v>
      </c>
      <c r="Y24" s="39">
        <f t="shared" si="16"/>
        <v>6</v>
      </c>
      <c r="Z24" s="39">
        <f t="shared" si="16"/>
        <v>7</v>
      </c>
      <c r="AA24" s="39">
        <f t="shared" si="16"/>
        <v>1</v>
      </c>
      <c r="AB24" s="39">
        <f t="shared" si="16"/>
        <v>0</v>
      </c>
      <c r="AC24" s="39">
        <f t="shared" si="16"/>
        <v>204</v>
      </c>
      <c r="AD24" s="39">
        <f t="shared" si="16"/>
        <v>0</v>
      </c>
      <c r="AE24" s="40">
        <f t="shared" si="16"/>
        <v>101</v>
      </c>
      <c r="AF24" s="40">
        <f t="shared" si="16"/>
        <v>305</v>
      </c>
    </row>
    <row r="25" spans="2:32" ht="23.1" customHeight="1" x14ac:dyDescent="0.25">
      <c r="B25" s="23" t="s">
        <v>52</v>
      </c>
      <c r="C25" s="50">
        <v>8</v>
      </c>
      <c r="D25" s="50">
        <v>2</v>
      </c>
      <c r="E25" s="50">
        <v>0</v>
      </c>
      <c r="F25" s="50">
        <v>7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40</v>
      </c>
      <c r="N25" s="50">
        <v>0</v>
      </c>
      <c r="O25" s="15">
        <f t="shared" si="0"/>
        <v>17</v>
      </c>
      <c r="P25" s="15">
        <f t="shared" si="1"/>
        <v>57</v>
      </c>
      <c r="R25" s="37" t="s">
        <v>85</v>
      </c>
      <c r="S25" s="35">
        <f t="shared" ref="S25:AF25" si="17">SUM(S10:S12)</f>
        <v>68</v>
      </c>
      <c r="T25" s="16">
        <f t="shared" si="17"/>
        <v>12</v>
      </c>
      <c r="U25" s="16">
        <f t="shared" si="17"/>
        <v>20</v>
      </c>
      <c r="V25" s="16">
        <f t="shared" si="17"/>
        <v>20</v>
      </c>
      <c r="W25" s="16">
        <f t="shared" si="17"/>
        <v>1</v>
      </c>
      <c r="X25" s="16">
        <f t="shared" si="17"/>
        <v>1</v>
      </c>
      <c r="Y25" s="16">
        <f t="shared" si="17"/>
        <v>14</v>
      </c>
      <c r="Z25" s="16">
        <f t="shared" si="17"/>
        <v>13</v>
      </c>
      <c r="AA25" s="16">
        <f t="shared" si="17"/>
        <v>1</v>
      </c>
      <c r="AB25" s="16">
        <f t="shared" si="17"/>
        <v>0</v>
      </c>
      <c r="AC25" s="16">
        <f t="shared" si="17"/>
        <v>340</v>
      </c>
      <c r="AD25" s="16">
        <f t="shared" si="17"/>
        <v>0</v>
      </c>
      <c r="AE25" s="32">
        <f t="shared" si="17"/>
        <v>150</v>
      </c>
      <c r="AF25" s="32">
        <f t="shared" si="17"/>
        <v>490</v>
      </c>
    </row>
    <row r="26" spans="2:32" ht="23.1" customHeight="1" x14ac:dyDescent="0.25">
      <c r="B26" s="23" t="s">
        <v>53</v>
      </c>
      <c r="C26" s="50">
        <v>6</v>
      </c>
      <c r="D26" s="50">
        <v>1</v>
      </c>
      <c r="E26" s="50">
        <v>3</v>
      </c>
      <c r="F26" s="50">
        <v>7</v>
      </c>
      <c r="G26" s="50">
        <v>0</v>
      </c>
      <c r="H26" s="50">
        <v>0</v>
      </c>
      <c r="I26" s="50">
        <v>0</v>
      </c>
      <c r="J26" s="50">
        <v>0</v>
      </c>
      <c r="K26" s="50">
        <v>2</v>
      </c>
      <c r="L26" s="50">
        <v>0</v>
      </c>
      <c r="M26" s="50">
        <v>35</v>
      </c>
      <c r="N26" s="50">
        <v>0</v>
      </c>
      <c r="O26" s="15">
        <f t="shared" si="0"/>
        <v>19</v>
      </c>
      <c r="P26" s="15">
        <f t="shared" si="1"/>
        <v>54</v>
      </c>
      <c r="R26" s="28" t="s">
        <v>86</v>
      </c>
      <c r="S26" s="16">
        <f t="shared" ref="S26:AF26" si="18">SUM(S13:S18)</f>
        <v>285</v>
      </c>
      <c r="T26" s="16">
        <f t="shared" si="18"/>
        <v>48</v>
      </c>
      <c r="U26" s="16">
        <f t="shared" si="18"/>
        <v>48</v>
      </c>
      <c r="V26" s="16">
        <f t="shared" si="18"/>
        <v>76</v>
      </c>
      <c r="W26" s="16">
        <f t="shared" si="18"/>
        <v>0</v>
      </c>
      <c r="X26" s="16">
        <f t="shared" si="18"/>
        <v>1</v>
      </c>
      <c r="Y26" s="16">
        <f t="shared" si="18"/>
        <v>37</v>
      </c>
      <c r="Z26" s="16">
        <f t="shared" si="18"/>
        <v>29</v>
      </c>
      <c r="AA26" s="16">
        <f t="shared" si="18"/>
        <v>7</v>
      </c>
      <c r="AB26" s="16">
        <f t="shared" si="18"/>
        <v>1</v>
      </c>
      <c r="AC26" s="16">
        <f t="shared" si="18"/>
        <v>925</v>
      </c>
      <c r="AD26" s="16">
        <f t="shared" si="18"/>
        <v>0</v>
      </c>
      <c r="AE26" s="32">
        <f t="shared" si="18"/>
        <v>532</v>
      </c>
      <c r="AF26" s="32">
        <f t="shared" si="18"/>
        <v>1457</v>
      </c>
    </row>
    <row r="27" spans="2:32" ht="23.1" customHeight="1" x14ac:dyDescent="0.25">
      <c r="B27" s="23" t="s">
        <v>54</v>
      </c>
      <c r="C27" s="50">
        <v>10</v>
      </c>
      <c r="D27" s="50">
        <v>2</v>
      </c>
      <c r="E27" s="50">
        <v>2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32</v>
      </c>
      <c r="N27" s="50">
        <v>0</v>
      </c>
      <c r="O27" s="15">
        <f t="shared" si="0"/>
        <v>18</v>
      </c>
      <c r="P27" s="15">
        <f t="shared" si="1"/>
        <v>50</v>
      </c>
      <c r="R27" s="29" t="s">
        <v>87</v>
      </c>
      <c r="S27" s="16">
        <f t="shared" ref="S27:AF27" si="19">SUM(S19:S21)</f>
        <v>124</v>
      </c>
      <c r="T27" s="16">
        <f t="shared" si="19"/>
        <v>22</v>
      </c>
      <c r="U27" s="16">
        <f t="shared" si="19"/>
        <v>26</v>
      </c>
      <c r="V27" s="16">
        <f t="shared" si="19"/>
        <v>41</v>
      </c>
      <c r="W27" s="16">
        <f t="shared" si="19"/>
        <v>1</v>
      </c>
      <c r="X27" s="16">
        <f t="shared" si="19"/>
        <v>0</v>
      </c>
      <c r="Y27" s="16">
        <f t="shared" si="19"/>
        <v>15</v>
      </c>
      <c r="Z27" s="16">
        <f t="shared" si="19"/>
        <v>19</v>
      </c>
      <c r="AA27" s="16">
        <f t="shared" si="19"/>
        <v>1</v>
      </c>
      <c r="AB27" s="16">
        <f t="shared" si="19"/>
        <v>0</v>
      </c>
      <c r="AC27" s="16">
        <f t="shared" si="19"/>
        <v>524</v>
      </c>
      <c r="AD27" s="16">
        <f t="shared" si="19"/>
        <v>0</v>
      </c>
      <c r="AE27" s="32">
        <f t="shared" si="19"/>
        <v>249</v>
      </c>
      <c r="AF27" s="32">
        <f t="shared" si="19"/>
        <v>773</v>
      </c>
    </row>
    <row r="28" spans="2:32" ht="23.1" customHeight="1" x14ac:dyDescent="0.25">
      <c r="B28" s="23" t="s">
        <v>55</v>
      </c>
      <c r="C28" s="50">
        <v>8</v>
      </c>
      <c r="D28" s="50">
        <v>1</v>
      </c>
      <c r="E28" s="50">
        <v>2</v>
      </c>
      <c r="F28" s="50">
        <v>1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37</v>
      </c>
      <c r="N28" s="50">
        <v>0</v>
      </c>
      <c r="O28" s="15">
        <f t="shared" si="0"/>
        <v>16</v>
      </c>
      <c r="P28" s="15">
        <f t="shared" si="1"/>
        <v>53</v>
      </c>
      <c r="R28" s="5" t="s">
        <v>17</v>
      </c>
      <c r="S28" s="16">
        <f t="shared" ref="S28:AF28" si="20">SUM(S10:S21)</f>
        <v>477</v>
      </c>
      <c r="T28" s="16">
        <f t="shared" si="20"/>
        <v>82</v>
      </c>
      <c r="U28" s="16">
        <f t="shared" si="20"/>
        <v>94</v>
      </c>
      <c r="V28" s="16">
        <f t="shared" si="20"/>
        <v>137</v>
      </c>
      <c r="W28" s="16">
        <f t="shared" si="20"/>
        <v>2</v>
      </c>
      <c r="X28" s="16">
        <f t="shared" si="20"/>
        <v>2</v>
      </c>
      <c r="Y28" s="16">
        <f t="shared" si="20"/>
        <v>66</v>
      </c>
      <c r="Z28" s="16">
        <f t="shared" si="20"/>
        <v>61</v>
      </c>
      <c r="AA28" s="16">
        <f t="shared" si="20"/>
        <v>9</v>
      </c>
      <c r="AB28" s="16">
        <f t="shared" si="20"/>
        <v>1</v>
      </c>
      <c r="AC28" s="16">
        <f t="shared" si="20"/>
        <v>1789</v>
      </c>
      <c r="AD28" s="16">
        <f t="shared" si="20"/>
        <v>0</v>
      </c>
      <c r="AE28" s="32">
        <f t="shared" si="20"/>
        <v>931</v>
      </c>
      <c r="AF28" s="32">
        <f t="shared" si="20"/>
        <v>2720</v>
      </c>
    </row>
    <row r="29" spans="2:32" ht="23.1" customHeight="1" x14ac:dyDescent="0.25">
      <c r="B29" s="23" t="s">
        <v>56</v>
      </c>
      <c r="C29" s="50">
        <v>16</v>
      </c>
      <c r="D29" s="50">
        <v>0</v>
      </c>
      <c r="E29" s="50">
        <v>2</v>
      </c>
      <c r="F29" s="50">
        <v>3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30</v>
      </c>
      <c r="N29" s="50">
        <v>0</v>
      </c>
      <c r="O29" s="15">
        <f t="shared" si="0"/>
        <v>24</v>
      </c>
      <c r="P29" s="15">
        <f t="shared" si="1"/>
        <v>54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3</v>
      </c>
      <c r="F30" s="50">
        <v>7</v>
      </c>
      <c r="G30" s="50">
        <v>0</v>
      </c>
      <c r="H30" s="50">
        <v>0</v>
      </c>
      <c r="I30" s="50">
        <v>0</v>
      </c>
      <c r="J30" s="50">
        <v>0</v>
      </c>
      <c r="K30" s="50">
        <v>2</v>
      </c>
      <c r="L30" s="50">
        <v>0</v>
      </c>
      <c r="M30" s="50">
        <v>35</v>
      </c>
      <c r="N30" s="50">
        <v>0</v>
      </c>
      <c r="O30" s="15">
        <f t="shared" si="0"/>
        <v>19</v>
      </c>
      <c r="P30" s="15">
        <f t="shared" si="1"/>
        <v>54</v>
      </c>
    </row>
    <row r="31" spans="2:32" ht="23.1" customHeight="1" x14ac:dyDescent="0.25">
      <c r="B31" s="24" t="s">
        <v>58</v>
      </c>
      <c r="C31" s="50">
        <v>10</v>
      </c>
      <c r="D31" s="50">
        <v>2</v>
      </c>
      <c r="E31" s="50">
        <v>2</v>
      </c>
      <c r="F31" s="50">
        <v>2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32</v>
      </c>
      <c r="N31" s="50">
        <v>0</v>
      </c>
      <c r="O31" s="15">
        <f t="shared" si="0"/>
        <v>18</v>
      </c>
      <c r="P31" s="15">
        <f t="shared" si="1"/>
        <v>50</v>
      </c>
    </row>
    <row r="32" spans="2:32" ht="23.1" customHeight="1" x14ac:dyDescent="0.25">
      <c r="B32" s="24" t="s">
        <v>59</v>
      </c>
      <c r="C32" s="50">
        <v>8</v>
      </c>
      <c r="D32" s="50">
        <v>1</v>
      </c>
      <c r="E32" s="50">
        <v>2</v>
      </c>
      <c r="F32" s="50">
        <v>1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37</v>
      </c>
      <c r="N32" s="50">
        <v>0</v>
      </c>
      <c r="O32" s="15">
        <f t="shared" si="0"/>
        <v>16</v>
      </c>
      <c r="P32" s="15">
        <f t="shared" si="1"/>
        <v>53</v>
      </c>
    </row>
    <row r="33" spans="2:20" ht="23.1" customHeight="1" x14ac:dyDescent="0.25">
      <c r="B33" s="23" t="s">
        <v>60</v>
      </c>
      <c r="C33" s="50">
        <v>16</v>
      </c>
      <c r="D33" s="50">
        <v>0</v>
      </c>
      <c r="E33" s="50">
        <v>2</v>
      </c>
      <c r="F33" s="50">
        <v>3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30</v>
      </c>
      <c r="N33" s="50">
        <v>0</v>
      </c>
      <c r="O33" s="15">
        <f t="shared" si="0"/>
        <v>24</v>
      </c>
      <c r="P33" s="15">
        <f t="shared" si="1"/>
        <v>54</v>
      </c>
    </row>
    <row r="34" spans="2:20" ht="23.1" customHeight="1" x14ac:dyDescent="0.25">
      <c r="B34" s="24" t="s">
        <v>61</v>
      </c>
      <c r="C34" s="50">
        <v>17</v>
      </c>
      <c r="D34" s="50">
        <v>2</v>
      </c>
      <c r="E34" s="50">
        <v>3</v>
      </c>
      <c r="F34" s="50">
        <v>5</v>
      </c>
      <c r="G34" s="50">
        <v>0</v>
      </c>
      <c r="H34" s="50">
        <v>0</v>
      </c>
      <c r="I34" s="50">
        <v>5</v>
      </c>
      <c r="J34" s="50">
        <v>0</v>
      </c>
      <c r="K34" s="50">
        <v>1</v>
      </c>
      <c r="L34" s="50">
        <v>0</v>
      </c>
      <c r="M34" s="50">
        <v>47</v>
      </c>
      <c r="N34" s="50">
        <v>0</v>
      </c>
      <c r="O34" s="15">
        <f t="shared" si="0"/>
        <v>33</v>
      </c>
      <c r="P34" s="15">
        <f t="shared" si="1"/>
        <v>80</v>
      </c>
    </row>
    <row r="35" spans="2:20" ht="23.1" customHeight="1" x14ac:dyDescent="0.25">
      <c r="B35" s="24" t="s">
        <v>62</v>
      </c>
      <c r="C35" s="50">
        <v>12</v>
      </c>
      <c r="D35" s="50">
        <v>3</v>
      </c>
      <c r="E35" s="50">
        <v>2</v>
      </c>
      <c r="F35" s="50">
        <v>2</v>
      </c>
      <c r="G35" s="50">
        <v>0</v>
      </c>
      <c r="H35" s="50">
        <v>0</v>
      </c>
      <c r="I35" s="50">
        <v>2</v>
      </c>
      <c r="J35" s="50">
        <v>3</v>
      </c>
      <c r="K35" s="50">
        <v>0</v>
      </c>
      <c r="L35" s="50">
        <v>1</v>
      </c>
      <c r="M35" s="50">
        <v>44</v>
      </c>
      <c r="N35" s="50">
        <v>0</v>
      </c>
      <c r="O35" s="15">
        <f t="shared" si="0"/>
        <v>25</v>
      </c>
      <c r="P35" s="15">
        <f t="shared" si="1"/>
        <v>69</v>
      </c>
    </row>
    <row r="36" spans="2:20" ht="23.1" customHeight="1" x14ac:dyDescent="0.25">
      <c r="B36" s="24" t="s">
        <v>63</v>
      </c>
      <c r="C36" s="50">
        <v>14</v>
      </c>
      <c r="D36" s="50">
        <v>0</v>
      </c>
      <c r="E36" s="50">
        <v>3</v>
      </c>
      <c r="F36" s="50">
        <v>3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45</v>
      </c>
      <c r="N36" s="50">
        <v>0</v>
      </c>
      <c r="O36" s="15">
        <f t="shared" si="0"/>
        <v>20</v>
      </c>
      <c r="P36" s="15">
        <f t="shared" si="1"/>
        <v>65</v>
      </c>
    </row>
    <row r="37" spans="2:20" ht="23.1" customHeight="1" x14ac:dyDescent="0.25">
      <c r="B37" s="23" t="s">
        <v>64</v>
      </c>
      <c r="C37" s="50">
        <v>20</v>
      </c>
      <c r="D37" s="50">
        <v>3</v>
      </c>
      <c r="E37" s="50">
        <v>2</v>
      </c>
      <c r="F37" s="50">
        <v>3</v>
      </c>
      <c r="G37" s="50">
        <v>0</v>
      </c>
      <c r="H37" s="50">
        <v>0</v>
      </c>
      <c r="I37" s="50">
        <v>1</v>
      </c>
      <c r="J37" s="50">
        <v>4</v>
      </c>
      <c r="K37" s="50">
        <v>0</v>
      </c>
      <c r="L37" s="50">
        <v>0</v>
      </c>
      <c r="M37" s="50">
        <v>55</v>
      </c>
      <c r="N37" s="50">
        <v>0</v>
      </c>
      <c r="O37" s="15">
        <f t="shared" si="0"/>
        <v>33</v>
      </c>
      <c r="P37" s="15">
        <f t="shared" si="1"/>
        <v>88</v>
      </c>
    </row>
    <row r="38" spans="2:20" ht="23.1" customHeight="1" x14ac:dyDescent="0.25">
      <c r="B38" s="24" t="s">
        <v>65</v>
      </c>
      <c r="C38" s="50">
        <v>6</v>
      </c>
      <c r="D38" s="50">
        <v>6</v>
      </c>
      <c r="E38" s="50">
        <v>2</v>
      </c>
      <c r="F38" s="50">
        <v>3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37</v>
      </c>
      <c r="N38" s="50">
        <v>0</v>
      </c>
      <c r="O38" s="15">
        <f t="shared" si="0"/>
        <v>18</v>
      </c>
      <c r="P38" s="15">
        <f t="shared" si="1"/>
        <v>55</v>
      </c>
    </row>
    <row r="39" spans="2:20" ht="23.1" customHeight="1" x14ac:dyDescent="0.25">
      <c r="B39" s="24" t="s">
        <v>66</v>
      </c>
      <c r="C39" s="50">
        <v>11</v>
      </c>
      <c r="D39" s="50">
        <v>2</v>
      </c>
      <c r="E39" s="50">
        <v>3</v>
      </c>
      <c r="F39" s="50">
        <v>1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45</v>
      </c>
      <c r="N39" s="50">
        <v>0</v>
      </c>
      <c r="O39" s="15">
        <f t="shared" si="0"/>
        <v>19</v>
      </c>
      <c r="P39" s="15">
        <f t="shared" si="1"/>
        <v>64</v>
      </c>
    </row>
    <row r="40" spans="2:20" ht="23.1" customHeight="1" x14ac:dyDescent="0.25">
      <c r="B40" s="24" t="s">
        <v>67</v>
      </c>
      <c r="C40" s="50">
        <v>17</v>
      </c>
      <c r="D40" s="50">
        <v>3</v>
      </c>
      <c r="E40" s="50">
        <v>3</v>
      </c>
      <c r="F40" s="50">
        <v>2</v>
      </c>
      <c r="G40" s="50">
        <v>0</v>
      </c>
      <c r="H40" s="50">
        <v>0</v>
      </c>
      <c r="I40" s="50">
        <v>1</v>
      </c>
      <c r="J40" s="50">
        <v>2</v>
      </c>
      <c r="K40" s="50">
        <v>1</v>
      </c>
      <c r="L40" s="50">
        <v>0</v>
      </c>
      <c r="M40" s="50">
        <v>43</v>
      </c>
      <c r="N40" s="50">
        <v>0</v>
      </c>
      <c r="O40" s="15">
        <f t="shared" si="0"/>
        <v>29</v>
      </c>
      <c r="P40" s="15">
        <f t="shared" si="1"/>
        <v>72</v>
      </c>
    </row>
    <row r="41" spans="2:20" ht="23.1" customHeight="1" x14ac:dyDescent="0.25">
      <c r="B41" s="23" t="s">
        <v>68</v>
      </c>
      <c r="C41" s="50">
        <v>23</v>
      </c>
      <c r="D41" s="50">
        <v>7</v>
      </c>
      <c r="E41" s="50">
        <v>2</v>
      </c>
      <c r="F41" s="50">
        <v>4</v>
      </c>
      <c r="G41" s="50">
        <v>0</v>
      </c>
      <c r="H41" s="50">
        <v>1</v>
      </c>
      <c r="I41" s="50">
        <v>0</v>
      </c>
      <c r="J41" s="50">
        <v>0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37</v>
      </c>
      <c r="P41" s="15">
        <f t="shared" si="1"/>
        <v>82</v>
      </c>
    </row>
    <row r="42" spans="2:20" ht="23.1" customHeight="1" x14ac:dyDescent="0.25">
      <c r="B42" s="24" t="s">
        <v>69</v>
      </c>
      <c r="C42" s="50">
        <v>11</v>
      </c>
      <c r="D42" s="50">
        <v>6</v>
      </c>
      <c r="E42" s="50">
        <v>2</v>
      </c>
      <c r="F42" s="50">
        <v>2</v>
      </c>
      <c r="G42" s="50">
        <v>0</v>
      </c>
      <c r="H42" s="50">
        <v>0</v>
      </c>
      <c r="I42" s="50">
        <v>1</v>
      </c>
      <c r="J42" s="50">
        <v>2</v>
      </c>
      <c r="K42" s="50">
        <v>0</v>
      </c>
      <c r="L42" s="50">
        <v>0</v>
      </c>
      <c r="M42" s="50">
        <v>51</v>
      </c>
      <c r="N42" s="50">
        <v>0</v>
      </c>
      <c r="O42" s="15">
        <f t="shared" si="0"/>
        <v>24</v>
      </c>
      <c r="P42" s="15">
        <f t="shared" si="1"/>
        <v>75</v>
      </c>
    </row>
    <row r="43" spans="2:20" ht="23.1" customHeight="1" x14ac:dyDescent="0.25">
      <c r="B43" s="23" t="s">
        <v>70</v>
      </c>
      <c r="C43" s="50">
        <v>20</v>
      </c>
      <c r="D43" s="50">
        <v>1</v>
      </c>
      <c r="E43" s="50">
        <v>1</v>
      </c>
      <c r="F43" s="50">
        <v>3</v>
      </c>
      <c r="G43" s="50">
        <v>0</v>
      </c>
      <c r="H43" s="50">
        <v>0</v>
      </c>
      <c r="I43" s="50">
        <v>2</v>
      </c>
      <c r="J43" s="50">
        <v>1</v>
      </c>
      <c r="K43" s="50">
        <v>1</v>
      </c>
      <c r="L43" s="50">
        <v>0</v>
      </c>
      <c r="M43" s="50">
        <v>30</v>
      </c>
      <c r="N43" s="50">
        <v>0</v>
      </c>
      <c r="O43" s="15">
        <f t="shared" si="0"/>
        <v>29</v>
      </c>
      <c r="P43" s="15">
        <f t="shared" si="1"/>
        <v>59</v>
      </c>
    </row>
    <row r="44" spans="2:20" ht="23.1" customHeight="1" x14ac:dyDescent="0.25">
      <c r="B44" s="25" t="s">
        <v>71</v>
      </c>
      <c r="C44" s="50">
        <v>6</v>
      </c>
      <c r="D44" s="50">
        <v>1</v>
      </c>
      <c r="E44" s="50">
        <v>1</v>
      </c>
      <c r="F44" s="50">
        <v>2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30</v>
      </c>
      <c r="N44" s="50">
        <v>0</v>
      </c>
      <c r="O44" s="15">
        <f t="shared" si="0"/>
        <v>14</v>
      </c>
      <c r="P44" s="15">
        <f t="shared" si="1"/>
        <v>44</v>
      </c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2</v>
      </c>
      <c r="F45" s="50">
        <v>5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0</v>
      </c>
      <c r="M45" s="50">
        <v>32</v>
      </c>
      <c r="N45" s="50">
        <v>0</v>
      </c>
      <c r="O45" s="15">
        <f t="shared" si="0"/>
        <v>19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11</v>
      </c>
      <c r="D46" s="50">
        <v>0</v>
      </c>
      <c r="E46" s="50">
        <v>3</v>
      </c>
      <c r="F46" s="50">
        <v>2</v>
      </c>
      <c r="G46" s="50">
        <v>0</v>
      </c>
      <c r="H46" s="50">
        <v>0</v>
      </c>
      <c r="I46" s="50">
        <v>1</v>
      </c>
      <c r="J46" s="50">
        <v>3</v>
      </c>
      <c r="K46" s="50">
        <v>1</v>
      </c>
      <c r="L46" s="50">
        <v>0</v>
      </c>
      <c r="M46" s="50">
        <v>39</v>
      </c>
      <c r="N46" s="50">
        <v>0</v>
      </c>
      <c r="O46" s="15">
        <f t="shared" si="0"/>
        <v>21</v>
      </c>
      <c r="P46" s="15">
        <f t="shared" si="1"/>
        <v>60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2</v>
      </c>
      <c r="F47" s="50">
        <v>0</v>
      </c>
      <c r="G47" s="50">
        <v>0</v>
      </c>
      <c r="H47" s="50">
        <v>0</v>
      </c>
      <c r="I47" s="50">
        <v>1</v>
      </c>
      <c r="J47" s="50">
        <v>3</v>
      </c>
      <c r="K47" s="50">
        <v>0</v>
      </c>
      <c r="L47" s="50">
        <v>0</v>
      </c>
      <c r="M47" s="50">
        <v>40</v>
      </c>
      <c r="N47" s="50">
        <v>0</v>
      </c>
      <c r="O47" s="15">
        <f t="shared" si="0"/>
        <v>11</v>
      </c>
      <c r="P47" s="15">
        <f t="shared" si="1"/>
        <v>51</v>
      </c>
      <c r="R47" s="8"/>
      <c r="T47"/>
    </row>
    <row r="48" spans="2:20" ht="23.1" customHeight="1" x14ac:dyDescent="0.25">
      <c r="B48" s="24" t="s">
        <v>75</v>
      </c>
      <c r="C48" s="50">
        <v>7</v>
      </c>
      <c r="D48" s="50">
        <v>4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35</v>
      </c>
      <c r="N48" s="50">
        <v>0</v>
      </c>
      <c r="O48" s="15">
        <f t="shared" si="0"/>
        <v>14</v>
      </c>
      <c r="P48" s="15">
        <f t="shared" si="1"/>
        <v>49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1</v>
      </c>
      <c r="E49" s="50">
        <v>2</v>
      </c>
      <c r="F49" s="50">
        <v>1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33</v>
      </c>
      <c r="N49" s="50">
        <v>0</v>
      </c>
      <c r="O49" s="15">
        <f t="shared" si="0"/>
        <v>11</v>
      </c>
      <c r="P49" s="15">
        <f t="shared" si="1"/>
        <v>44</v>
      </c>
      <c r="R49" s="8"/>
      <c r="T49"/>
    </row>
    <row r="50" spans="2:20" ht="23.1" customHeight="1" x14ac:dyDescent="0.25">
      <c r="B50" s="24" t="s">
        <v>77</v>
      </c>
      <c r="C50" s="50">
        <v>15</v>
      </c>
      <c r="D50" s="50">
        <v>1</v>
      </c>
      <c r="E50" s="50">
        <v>3</v>
      </c>
      <c r="F50" s="50">
        <v>4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28</v>
      </c>
      <c r="N50" s="50">
        <v>0</v>
      </c>
      <c r="O50" s="15">
        <f t="shared" si="0"/>
        <v>27</v>
      </c>
      <c r="P50" s="15">
        <f t="shared" si="1"/>
        <v>55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1</v>
      </c>
      <c r="E51" s="50">
        <v>2</v>
      </c>
      <c r="F51" s="50">
        <v>4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0</v>
      </c>
      <c r="M51" s="50">
        <v>53</v>
      </c>
      <c r="N51" s="50">
        <v>0</v>
      </c>
      <c r="O51" s="15">
        <f t="shared" si="0"/>
        <v>18</v>
      </c>
      <c r="P51" s="15">
        <f t="shared" si="1"/>
        <v>71</v>
      </c>
      <c r="R51" s="8"/>
      <c r="T51"/>
    </row>
    <row r="52" spans="2:20" ht="23.1" customHeight="1" x14ac:dyDescent="0.25">
      <c r="B52" s="24" t="s">
        <v>79</v>
      </c>
      <c r="C52" s="50">
        <v>12</v>
      </c>
      <c r="D52" s="50">
        <v>6</v>
      </c>
      <c r="E52" s="50">
        <v>1</v>
      </c>
      <c r="F52" s="50">
        <v>5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50</v>
      </c>
      <c r="N52" s="50">
        <v>0</v>
      </c>
      <c r="O52" s="15">
        <f t="shared" si="0"/>
        <v>27</v>
      </c>
      <c r="P52" s="15">
        <f t="shared" si="1"/>
        <v>77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2</v>
      </c>
      <c r="E53" s="50">
        <v>2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42</v>
      </c>
      <c r="N53" s="50">
        <v>0</v>
      </c>
      <c r="O53" s="15">
        <f t="shared" si="0"/>
        <v>19</v>
      </c>
      <c r="P53" s="15">
        <f t="shared" si="1"/>
        <v>61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2</v>
      </c>
      <c r="E54" s="50">
        <v>6</v>
      </c>
      <c r="F54" s="50">
        <v>5</v>
      </c>
      <c r="G54" s="50">
        <v>0</v>
      </c>
      <c r="H54" s="50">
        <v>0</v>
      </c>
      <c r="I54" s="50">
        <v>3</v>
      </c>
      <c r="J54" s="50">
        <v>3</v>
      </c>
      <c r="K54" s="50">
        <v>0</v>
      </c>
      <c r="L54" s="50">
        <v>0</v>
      </c>
      <c r="M54" s="50">
        <v>49</v>
      </c>
      <c r="N54" s="50">
        <v>0</v>
      </c>
      <c r="O54" s="15">
        <f t="shared" si="0"/>
        <v>23</v>
      </c>
      <c r="P54" s="15">
        <f t="shared" si="1"/>
        <v>72</v>
      </c>
      <c r="R54" s="8"/>
      <c r="T54"/>
    </row>
    <row r="55" spans="2:20" ht="23.1" customHeight="1" x14ac:dyDescent="0.25">
      <c r="B55" s="23" t="s">
        <v>82</v>
      </c>
      <c r="C55" s="50">
        <v>14</v>
      </c>
      <c r="D55" s="50">
        <v>1</v>
      </c>
      <c r="E55" s="50">
        <v>3</v>
      </c>
      <c r="F55" s="50">
        <v>7</v>
      </c>
      <c r="G55" s="50">
        <v>1</v>
      </c>
      <c r="H55" s="50">
        <v>0</v>
      </c>
      <c r="I55" s="50">
        <v>2</v>
      </c>
      <c r="J55" s="50">
        <v>1</v>
      </c>
      <c r="K55" s="50">
        <v>0</v>
      </c>
      <c r="L55" s="50">
        <v>0</v>
      </c>
      <c r="M55" s="50">
        <v>58</v>
      </c>
      <c r="N55" s="50">
        <v>0</v>
      </c>
      <c r="O55" s="15">
        <f t="shared" si="0"/>
        <v>29</v>
      </c>
      <c r="P55" s="15">
        <f t="shared" si="1"/>
        <v>87</v>
      </c>
      <c r="R55" s="8"/>
      <c r="T55"/>
    </row>
    <row r="56" spans="2:20" ht="23.1" customHeight="1" x14ac:dyDescent="0.25">
      <c r="B56" s="23" t="s">
        <v>83</v>
      </c>
      <c r="C56" s="50">
        <v>16</v>
      </c>
      <c r="D56" s="50">
        <v>1</v>
      </c>
      <c r="E56" s="50">
        <v>1</v>
      </c>
      <c r="F56" s="50">
        <v>4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0</v>
      </c>
      <c r="M56" s="50">
        <v>47</v>
      </c>
      <c r="N56" s="50">
        <v>0</v>
      </c>
      <c r="O56" s="15">
        <f t="shared" si="0"/>
        <v>25</v>
      </c>
      <c r="P56" s="15">
        <f t="shared" si="1"/>
        <v>72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3</v>
      </c>
      <c r="E57" s="50">
        <v>0</v>
      </c>
      <c r="F57" s="50">
        <v>5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24</v>
      </c>
      <c r="P57" s="15">
        <f t="shared" si="1"/>
        <v>74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477</v>
      </c>
      <c r="D58" s="16">
        <f t="shared" si="21"/>
        <v>82</v>
      </c>
      <c r="E58" s="16">
        <f t="shared" si="21"/>
        <v>94</v>
      </c>
      <c r="F58" s="16">
        <f t="shared" si="21"/>
        <v>137</v>
      </c>
      <c r="G58" s="16">
        <f t="shared" si="21"/>
        <v>2</v>
      </c>
      <c r="H58" s="16">
        <f t="shared" si="21"/>
        <v>2</v>
      </c>
      <c r="I58" s="16">
        <f t="shared" si="21"/>
        <v>66</v>
      </c>
      <c r="J58" s="16">
        <f t="shared" si="21"/>
        <v>61</v>
      </c>
      <c r="K58" s="16">
        <f t="shared" si="21"/>
        <v>9</v>
      </c>
      <c r="L58" s="16">
        <f t="shared" si="21"/>
        <v>1</v>
      </c>
      <c r="M58" s="16">
        <f t="shared" si="21"/>
        <v>1789</v>
      </c>
      <c r="N58" s="16">
        <f t="shared" si="21"/>
        <v>0</v>
      </c>
      <c r="O58" s="16">
        <f t="shared" si="21"/>
        <v>931</v>
      </c>
      <c r="P58" s="16">
        <f t="shared" si="21"/>
        <v>2720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0.17536764705882352</v>
      </c>
      <c r="D59" s="43">
        <f t="shared" si="22"/>
        <v>3.0147058823529412E-2</v>
      </c>
      <c r="E59" s="43">
        <f t="shared" si="22"/>
        <v>3.4558823529411767E-2</v>
      </c>
      <c r="F59" s="43">
        <f t="shared" si="22"/>
        <v>5.0367647058823531E-2</v>
      </c>
      <c r="G59" s="43">
        <f t="shared" si="22"/>
        <v>7.3529411764705881E-4</v>
      </c>
      <c r="H59" s="43">
        <f t="shared" si="22"/>
        <v>7.3529411764705881E-4</v>
      </c>
      <c r="I59" s="43">
        <f t="shared" si="22"/>
        <v>2.4264705882352942E-2</v>
      </c>
      <c r="J59" s="43">
        <f t="shared" si="22"/>
        <v>2.2426470588235294E-2</v>
      </c>
      <c r="K59" s="43">
        <f t="shared" si="22"/>
        <v>3.3088235294117647E-3</v>
      </c>
      <c r="L59" s="43">
        <f t="shared" si="22"/>
        <v>3.6764705882352941E-4</v>
      </c>
      <c r="M59" s="43">
        <f t="shared" si="22"/>
        <v>0.65772058823529411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0.51235230934479059</v>
      </c>
      <c r="D60" s="44">
        <f t="shared" ref="D60:N60" si="23">D58/$O$58</f>
        <v>8.8077336197636955E-2</v>
      </c>
      <c r="E60" s="44">
        <f t="shared" si="23"/>
        <v>0.10096670247046187</v>
      </c>
      <c r="F60" s="44">
        <f t="shared" si="23"/>
        <v>0.14715359828141783</v>
      </c>
      <c r="G60" s="44">
        <f t="shared" si="23"/>
        <v>2.1482277121374865E-3</v>
      </c>
      <c r="H60" s="44">
        <f t="shared" si="23"/>
        <v>2.1482277121374865E-3</v>
      </c>
      <c r="I60" s="44">
        <f t="shared" si="23"/>
        <v>7.0891514500537059E-2</v>
      </c>
      <c r="J60" s="44">
        <f t="shared" si="23"/>
        <v>6.5520945220193347E-2</v>
      </c>
      <c r="K60" s="44">
        <f t="shared" si="23"/>
        <v>9.6670247046186895E-3</v>
      </c>
      <c r="L60" s="44">
        <f t="shared" si="23"/>
        <v>1.0741138560687433E-3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2" tint="-0.249977111117893"/>
  </sheetPr>
  <dimension ref="B1:AF174"/>
  <sheetViews>
    <sheetView view="pageBreakPreview" topLeftCell="A40" zoomScale="60" workbookViewId="0">
      <selection activeCell="J122" sqref="J122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'28.10 Mbarara-Isingiro-24Hr'!D5</f>
        <v>28.10.2019</v>
      </c>
      <c r="E5" s="3"/>
      <c r="F5" s="41" t="s">
        <v>1</v>
      </c>
      <c r="G5" s="55" t="str">
        <f>'28.10 Mbarara-Isingiro-24Hr'!G5:H5</f>
        <v>KASENYI</v>
      </c>
      <c r="H5" s="56"/>
      <c r="I5" s="14"/>
      <c r="J5" s="2" t="s">
        <v>5</v>
      </c>
      <c r="K5" s="55" t="s">
        <v>174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164</v>
      </c>
      <c r="E6" s="56"/>
      <c r="F6" s="2" t="s">
        <v>2</v>
      </c>
      <c r="G6" s="55" t="s">
        <v>166</v>
      </c>
      <c r="H6" s="56"/>
      <c r="J6" s="2" t="s">
        <v>21</v>
      </c>
      <c r="K6" s="55" t="str">
        <f>'28.10 Mbarara-Isingiro-24Hr'!K6:L6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1</v>
      </c>
      <c r="F10" s="50">
        <v>0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15</v>
      </c>
      <c r="N10" s="50">
        <v>0</v>
      </c>
      <c r="O10" s="15">
        <f t="shared" ref="O10:O73" si="0">SUM(C10:L10,N10)</f>
        <v>6</v>
      </c>
      <c r="P10" s="15">
        <f t="shared" ref="P10:P73" si="1">SUM(C10:N10)</f>
        <v>21</v>
      </c>
      <c r="R10" s="1" t="s">
        <v>6</v>
      </c>
      <c r="S10" s="17">
        <f t="shared" ref="S10:AF10" si="2">SUM(C10:C13)</f>
        <v>34</v>
      </c>
      <c r="T10" s="17">
        <f t="shared" si="2"/>
        <v>10</v>
      </c>
      <c r="U10" s="17">
        <f t="shared" si="2"/>
        <v>4</v>
      </c>
      <c r="V10" s="17">
        <f t="shared" si="2"/>
        <v>7</v>
      </c>
      <c r="W10" s="17">
        <f t="shared" si="2"/>
        <v>1</v>
      </c>
      <c r="X10" s="17">
        <f t="shared" si="2"/>
        <v>2</v>
      </c>
      <c r="Y10" s="17">
        <f t="shared" si="2"/>
        <v>3</v>
      </c>
      <c r="Z10" s="17">
        <f t="shared" si="2"/>
        <v>2</v>
      </c>
      <c r="AA10" s="17">
        <f t="shared" si="2"/>
        <v>1</v>
      </c>
      <c r="AB10" s="17">
        <f t="shared" si="2"/>
        <v>2</v>
      </c>
      <c r="AC10" s="17">
        <f t="shared" si="2"/>
        <v>147</v>
      </c>
      <c r="AD10" s="17">
        <f t="shared" si="2"/>
        <v>0</v>
      </c>
      <c r="AE10" s="31">
        <f t="shared" si="2"/>
        <v>66</v>
      </c>
      <c r="AF10" s="31">
        <f t="shared" si="2"/>
        <v>213</v>
      </c>
    </row>
    <row r="11" spans="2:32" s="6" customFormat="1" ht="23.1" customHeight="1" x14ac:dyDescent="0.25">
      <c r="B11" s="45" t="s">
        <v>38</v>
      </c>
      <c r="C11" s="50">
        <v>10</v>
      </c>
      <c r="D11" s="50">
        <v>0</v>
      </c>
      <c r="E11" s="50">
        <v>2</v>
      </c>
      <c r="F11" s="50">
        <v>2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17</v>
      </c>
      <c r="P11" s="15">
        <f t="shared" si="1"/>
        <v>62</v>
      </c>
      <c r="R11" s="1" t="s">
        <v>7</v>
      </c>
      <c r="S11" s="17">
        <f t="shared" ref="S11:AF11" si="3">SUM(C14:C17)</f>
        <v>50</v>
      </c>
      <c r="T11" s="17">
        <f t="shared" si="3"/>
        <v>16</v>
      </c>
      <c r="U11" s="17">
        <f t="shared" si="3"/>
        <v>4</v>
      </c>
      <c r="V11" s="17">
        <f t="shared" si="3"/>
        <v>11</v>
      </c>
      <c r="W11" s="17">
        <f t="shared" si="3"/>
        <v>0</v>
      </c>
      <c r="X11" s="17">
        <f t="shared" si="3"/>
        <v>1</v>
      </c>
      <c r="Y11" s="17">
        <f t="shared" si="3"/>
        <v>12</v>
      </c>
      <c r="Z11" s="17">
        <f t="shared" si="3"/>
        <v>2</v>
      </c>
      <c r="AA11" s="17">
        <f t="shared" si="3"/>
        <v>0</v>
      </c>
      <c r="AB11" s="17">
        <f t="shared" si="3"/>
        <v>0</v>
      </c>
      <c r="AC11" s="17">
        <f t="shared" si="3"/>
        <v>174</v>
      </c>
      <c r="AD11" s="17">
        <f t="shared" si="3"/>
        <v>0</v>
      </c>
      <c r="AE11" s="31">
        <f t="shared" si="3"/>
        <v>96</v>
      </c>
      <c r="AF11" s="31">
        <f t="shared" si="3"/>
        <v>270</v>
      </c>
    </row>
    <row r="12" spans="2:32" ht="23.1" customHeight="1" x14ac:dyDescent="0.25">
      <c r="B12" s="45" t="s">
        <v>39</v>
      </c>
      <c r="C12" s="50">
        <v>11</v>
      </c>
      <c r="D12" s="50">
        <v>5</v>
      </c>
      <c r="E12" s="50">
        <v>1</v>
      </c>
      <c r="F12" s="50">
        <v>4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52</v>
      </c>
      <c r="N12" s="50">
        <v>0</v>
      </c>
      <c r="O12" s="15">
        <f t="shared" si="0"/>
        <v>21</v>
      </c>
      <c r="P12" s="15">
        <f t="shared" si="1"/>
        <v>73</v>
      </c>
      <c r="R12" s="1" t="s">
        <v>8</v>
      </c>
      <c r="S12" s="17">
        <f t="shared" ref="S12:AF12" si="4">SUM(C18:C21)</f>
        <v>22</v>
      </c>
      <c r="T12" s="17">
        <f t="shared" si="4"/>
        <v>12</v>
      </c>
      <c r="U12" s="17">
        <f t="shared" si="4"/>
        <v>7</v>
      </c>
      <c r="V12" s="17">
        <f t="shared" si="4"/>
        <v>9</v>
      </c>
      <c r="W12" s="17">
        <f t="shared" si="4"/>
        <v>0</v>
      </c>
      <c r="X12" s="17">
        <f t="shared" si="4"/>
        <v>1</v>
      </c>
      <c r="Y12" s="17">
        <f t="shared" si="4"/>
        <v>3</v>
      </c>
      <c r="Z12" s="17">
        <f t="shared" si="4"/>
        <v>0</v>
      </c>
      <c r="AA12" s="17">
        <f t="shared" si="4"/>
        <v>0</v>
      </c>
      <c r="AB12" s="17">
        <f t="shared" si="4"/>
        <v>2</v>
      </c>
      <c r="AC12" s="17">
        <f t="shared" si="4"/>
        <v>125</v>
      </c>
      <c r="AD12" s="17">
        <f t="shared" si="4"/>
        <v>0</v>
      </c>
      <c r="AE12" s="31">
        <f t="shared" si="4"/>
        <v>56</v>
      </c>
      <c r="AF12" s="31">
        <f t="shared" si="4"/>
        <v>181</v>
      </c>
    </row>
    <row r="13" spans="2:32" ht="23.1" customHeight="1" x14ac:dyDescent="0.25">
      <c r="B13" s="45" t="s">
        <v>40</v>
      </c>
      <c r="C13" s="50">
        <v>10</v>
      </c>
      <c r="D13" s="50">
        <v>5</v>
      </c>
      <c r="E13" s="50">
        <v>0</v>
      </c>
      <c r="F13" s="50">
        <v>1</v>
      </c>
      <c r="G13" s="50">
        <v>1</v>
      </c>
      <c r="H13" s="50">
        <v>2</v>
      </c>
      <c r="I13" s="50">
        <v>0</v>
      </c>
      <c r="J13" s="50">
        <v>0</v>
      </c>
      <c r="K13" s="50">
        <v>1</v>
      </c>
      <c r="L13" s="50">
        <v>2</v>
      </c>
      <c r="M13" s="50">
        <v>35</v>
      </c>
      <c r="N13" s="50">
        <v>0</v>
      </c>
      <c r="O13" s="15">
        <f t="shared" si="0"/>
        <v>22</v>
      </c>
      <c r="P13" s="15">
        <f t="shared" si="1"/>
        <v>57</v>
      </c>
      <c r="R13" s="1" t="s">
        <v>9</v>
      </c>
      <c r="S13" s="17">
        <f t="shared" ref="S13:AF13" si="5">SUM(C22:C25)</f>
        <v>24</v>
      </c>
      <c r="T13" s="17">
        <f t="shared" si="5"/>
        <v>11</v>
      </c>
      <c r="U13" s="17">
        <f t="shared" si="5"/>
        <v>3</v>
      </c>
      <c r="V13" s="17">
        <f t="shared" si="5"/>
        <v>11</v>
      </c>
      <c r="W13" s="17">
        <f t="shared" si="5"/>
        <v>1</v>
      </c>
      <c r="X13" s="17">
        <f t="shared" si="5"/>
        <v>0</v>
      </c>
      <c r="Y13" s="17">
        <f t="shared" si="5"/>
        <v>10</v>
      </c>
      <c r="Z13" s="17">
        <f t="shared" si="5"/>
        <v>4</v>
      </c>
      <c r="AA13" s="17">
        <f t="shared" si="5"/>
        <v>1</v>
      </c>
      <c r="AB13" s="17">
        <f t="shared" si="5"/>
        <v>0</v>
      </c>
      <c r="AC13" s="17">
        <f t="shared" si="5"/>
        <v>174</v>
      </c>
      <c r="AD13" s="17">
        <f t="shared" si="5"/>
        <v>0</v>
      </c>
      <c r="AE13" s="31">
        <f t="shared" si="5"/>
        <v>65</v>
      </c>
      <c r="AF13" s="31">
        <f t="shared" si="5"/>
        <v>239</v>
      </c>
    </row>
    <row r="14" spans="2:32" ht="23.1" customHeight="1" x14ac:dyDescent="0.25">
      <c r="B14" s="45" t="s">
        <v>41</v>
      </c>
      <c r="C14" s="50">
        <v>11</v>
      </c>
      <c r="D14" s="50">
        <v>4</v>
      </c>
      <c r="E14" s="50">
        <v>3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58</v>
      </c>
      <c r="N14" s="50">
        <v>0</v>
      </c>
      <c r="O14" s="15">
        <f t="shared" si="0"/>
        <v>20</v>
      </c>
      <c r="P14" s="15">
        <f t="shared" si="1"/>
        <v>78</v>
      </c>
      <c r="R14" s="1" t="s">
        <v>10</v>
      </c>
      <c r="S14" s="17">
        <f t="shared" ref="S14:AF14" si="6">SUM(C26:C29)</f>
        <v>44</v>
      </c>
      <c r="T14" s="17">
        <f t="shared" si="6"/>
        <v>11</v>
      </c>
      <c r="U14" s="17">
        <f t="shared" si="6"/>
        <v>3</v>
      </c>
      <c r="V14" s="17">
        <f t="shared" si="6"/>
        <v>3</v>
      </c>
      <c r="W14" s="17">
        <f t="shared" si="6"/>
        <v>1</v>
      </c>
      <c r="X14" s="17">
        <f t="shared" si="6"/>
        <v>0</v>
      </c>
      <c r="Y14" s="17">
        <f t="shared" si="6"/>
        <v>6</v>
      </c>
      <c r="Z14" s="17">
        <f t="shared" si="6"/>
        <v>2</v>
      </c>
      <c r="AA14" s="17">
        <f t="shared" si="6"/>
        <v>1</v>
      </c>
      <c r="AB14" s="17">
        <f t="shared" si="6"/>
        <v>2</v>
      </c>
      <c r="AC14" s="17">
        <f t="shared" si="6"/>
        <v>107</v>
      </c>
      <c r="AD14" s="17">
        <f t="shared" si="6"/>
        <v>3</v>
      </c>
      <c r="AE14" s="31">
        <f t="shared" si="6"/>
        <v>76</v>
      </c>
      <c r="AF14" s="31">
        <f t="shared" si="6"/>
        <v>183</v>
      </c>
    </row>
    <row r="15" spans="2:32" ht="23.1" customHeight="1" x14ac:dyDescent="0.25">
      <c r="B15" s="45" t="s">
        <v>42</v>
      </c>
      <c r="C15" s="50">
        <v>12</v>
      </c>
      <c r="D15" s="50">
        <v>6</v>
      </c>
      <c r="E15" s="50">
        <v>1</v>
      </c>
      <c r="F15" s="50">
        <v>1</v>
      </c>
      <c r="G15" s="50">
        <v>0</v>
      </c>
      <c r="H15" s="50">
        <v>1</v>
      </c>
      <c r="I15" s="50">
        <v>4</v>
      </c>
      <c r="J15" s="50">
        <v>1</v>
      </c>
      <c r="K15" s="50">
        <v>0</v>
      </c>
      <c r="L15" s="50">
        <v>0</v>
      </c>
      <c r="M15" s="50">
        <v>43</v>
      </c>
      <c r="N15" s="50">
        <v>0</v>
      </c>
      <c r="O15" s="15">
        <f t="shared" si="0"/>
        <v>26</v>
      </c>
      <c r="P15" s="15">
        <f t="shared" si="1"/>
        <v>69</v>
      </c>
      <c r="R15" s="1" t="s">
        <v>11</v>
      </c>
      <c r="S15" s="17">
        <f t="shared" ref="S15:AF15" si="7">SUM(C30:C33)</f>
        <v>25</v>
      </c>
      <c r="T15" s="17">
        <f t="shared" si="7"/>
        <v>8</v>
      </c>
      <c r="U15" s="17">
        <f t="shared" si="7"/>
        <v>5</v>
      </c>
      <c r="V15" s="17">
        <f t="shared" si="7"/>
        <v>2</v>
      </c>
      <c r="W15" s="17">
        <f t="shared" si="7"/>
        <v>0</v>
      </c>
      <c r="X15" s="17">
        <f t="shared" si="7"/>
        <v>1</v>
      </c>
      <c r="Y15" s="17">
        <f t="shared" si="7"/>
        <v>8</v>
      </c>
      <c r="Z15" s="17">
        <f t="shared" si="7"/>
        <v>8</v>
      </c>
      <c r="AA15" s="17">
        <f t="shared" si="7"/>
        <v>0</v>
      </c>
      <c r="AB15" s="17">
        <f t="shared" si="7"/>
        <v>1</v>
      </c>
      <c r="AC15" s="17">
        <f t="shared" si="7"/>
        <v>140</v>
      </c>
      <c r="AD15" s="17">
        <f t="shared" si="7"/>
        <v>0</v>
      </c>
      <c r="AE15" s="31">
        <f t="shared" si="7"/>
        <v>58</v>
      </c>
      <c r="AF15" s="31">
        <f t="shared" si="7"/>
        <v>198</v>
      </c>
    </row>
    <row r="16" spans="2:32" ht="23.1" customHeight="1" x14ac:dyDescent="0.25">
      <c r="B16" s="45" t="s">
        <v>43</v>
      </c>
      <c r="C16" s="50">
        <v>14</v>
      </c>
      <c r="D16" s="50">
        <v>3</v>
      </c>
      <c r="E16" s="50">
        <v>0</v>
      </c>
      <c r="F16" s="50">
        <v>4</v>
      </c>
      <c r="G16" s="50">
        <v>0</v>
      </c>
      <c r="H16" s="50">
        <v>0</v>
      </c>
      <c r="I16" s="50">
        <v>6</v>
      </c>
      <c r="J16" s="50">
        <v>1</v>
      </c>
      <c r="K16" s="50">
        <v>0</v>
      </c>
      <c r="L16" s="50">
        <v>0</v>
      </c>
      <c r="M16" s="50">
        <v>47</v>
      </c>
      <c r="N16" s="50">
        <v>0</v>
      </c>
      <c r="O16" s="15">
        <f t="shared" si="0"/>
        <v>28</v>
      </c>
      <c r="P16" s="15">
        <f t="shared" si="1"/>
        <v>75</v>
      </c>
      <c r="R16" s="1" t="s">
        <v>12</v>
      </c>
      <c r="S16" s="17">
        <f t="shared" ref="S16:AF16" si="8">SUM(C34:C37)</f>
        <v>40</v>
      </c>
      <c r="T16" s="17">
        <f t="shared" si="8"/>
        <v>11</v>
      </c>
      <c r="U16" s="17">
        <f t="shared" si="8"/>
        <v>9</v>
      </c>
      <c r="V16" s="17">
        <f t="shared" si="8"/>
        <v>11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102</v>
      </c>
      <c r="AD16" s="17">
        <f t="shared" si="8"/>
        <v>0</v>
      </c>
      <c r="AE16" s="31">
        <f t="shared" si="8"/>
        <v>83</v>
      </c>
      <c r="AF16" s="31">
        <f t="shared" si="8"/>
        <v>185</v>
      </c>
    </row>
    <row r="17" spans="2:32" ht="23.1" customHeight="1" x14ac:dyDescent="0.25">
      <c r="B17" s="45" t="s">
        <v>44</v>
      </c>
      <c r="C17" s="50">
        <v>13</v>
      </c>
      <c r="D17" s="50">
        <v>3</v>
      </c>
      <c r="E17" s="50">
        <v>0</v>
      </c>
      <c r="F17" s="50">
        <v>4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26</v>
      </c>
      <c r="N17" s="50">
        <v>0</v>
      </c>
      <c r="O17" s="15">
        <f t="shared" si="0"/>
        <v>22</v>
      </c>
      <c r="P17" s="15">
        <f t="shared" si="1"/>
        <v>48</v>
      </c>
      <c r="R17" s="1" t="s">
        <v>13</v>
      </c>
      <c r="S17" s="17">
        <f t="shared" ref="S17:AF17" si="9">SUM(C38:C41)</f>
        <v>27</v>
      </c>
      <c r="T17" s="17">
        <f t="shared" si="9"/>
        <v>8</v>
      </c>
      <c r="U17" s="17">
        <f t="shared" si="9"/>
        <v>6</v>
      </c>
      <c r="V17" s="17">
        <f t="shared" si="9"/>
        <v>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1</v>
      </c>
      <c r="AA17" s="17">
        <f t="shared" si="9"/>
        <v>0</v>
      </c>
      <c r="AB17" s="17">
        <f t="shared" si="9"/>
        <v>0</v>
      </c>
      <c r="AC17" s="17">
        <f t="shared" si="9"/>
        <v>56</v>
      </c>
      <c r="AD17" s="17">
        <f t="shared" si="9"/>
        <v>0</v>
      </c>
      <c r="AE17" s="31">
        <f t="shared" si="9"/>
        <v>51</v>
      </c>
      <c r="AF17" s="31">
        <f t="shared" si="9"/>
        <v>107</v>
      </c>
    </row>
    <row r="18" spans="2:32" ht="23.1" customHeight="1" x14ac:dyDescent="0.25">
      <c r="B18" s="45" t="s">
        <v>45</v>
      </c>
      <c r="C18" s="50">
        <v>3</v>
      </c>
      <c r="D18" s="50">
        <v>2</v>
      </c>
      <c r="E18" s="50">
        <v>1</v>
      </c>
      <c r="F18" s="50">
        <v>1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21</v>
      </c>
      <c r="N18" s="50">
        <v>0</v>
      </c>
      <c r="O18" s="15">
        <f t="shared" si="0"/>
        <v>8</v>
      </c>
      <c r="P18" s="15">
        <f t="shared" si="1"/>
        <v>29</v>
      </c>
      <c r="R18" s="1" t="s">
        <v>14</v>
      </c>
      <c r="S18" s="17">
        <f t="shared" ref="S18:AF18" si="10">SUM(C42:C45)</f>
        <v>26</v>
      </c>
      <c r="T18" s="17">
        <f t="shared" si="10"/>
        <v>15</v>
      </c>
      <c r="U18" s="17">
        <f t="shared" si="10"/>
        <v>9</v>
      </c>
      <c r="V18" s="17">
        <f t="shared" si="10"/>
        <v>4</v>
      </c>
      <c r="W18" s="17">
        <f t="shared" si="10"/>
        <v>0</v>
      </c>
      <c r="X18" s="17">
        <f t="shared" si="10"/>
        <v>5</v>
      </c>
      <c r="Y18" s="17">
        <f t="shared" si="10"/>
        <v>3</v>
      </c>
      <c r="Z18" s="17">
        <f t="shared" si="10"/>
        <v>1</v>
      </c>
      <c r="AA18" s="17">
        <f t="shared" si="10"/>
        <v>2</v>
      </c>
      <c r="AB18" s="17">
        <f t="shared" si="10"/>
        <v>0</v>
      </c>
      <c r="AC18" s="17">
        <f t="shared" si="10"/>
        <v>46</v>
      </c>
      <c r="AD18" s="17">
        <f t="shared" si="10"/>
        <v>0</v>
      </c>
      <c r="AE18" s="31">
        <f t="shared" si="10"/>
        <v>65</v>
      </c>
      <c r="AF18" s="31">
        <f t="shared" si="10"/>
        <v>111</v>
      </c>
    </row>
    <row r="19" spans="2:32" ht="23.1" customHeight="1" x14ac:dyDescent="0.25">
      <c r="B19" s="45" t="s">
        <v>46</v>
      </c>
      <c r="C19" s="50">
        <v>6</v>
      </c>
      <c r="D19" s="50">
        <v>4</v>
      </c>
      <c r="E19" s="50">
        <v>2</v>
      </c>
      <c r="F19" s="50">
        <v>2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1</v>
      </c>
      <c r="M19" s="50">
        <v>30</v>
      </c>
      <c r="N19" s="50">
        <v>0</v>
      </c>
      <c r="O19" s="15">
        <f t="shared" si="0"/>
        <v>16</v>
      </c>
      <c r="P19" s="15">
        <f t="shared" si="1"/>
        <v>46</v>
      </c>
      <c r="R19" s="1" t="s">
        <v>15</v>
      </c>
      <c r="S19" s="17">
        <f t="shared" ref="S19:AF19" si="11">SUM(C46:C49)</f>
        <v>13</v>
      </c>
      <c r="T19" s="17">
        <f t="shared" si="11"/>
        <v>10</v>
      </c>
      <c r="U19" s="17">
        <f t="shared" si="11"/>
        <v>14</v>
      </c>
      <c r="V19" s="17">
        <f t="shared" si="11"/>
        <v>5</v>
      </c>
      <c r="W19" s="17">
        <f t="shared" si="11"/>
        <v>1</v>
      </c>
      <c r="X19" s="17">
        <f t="shared" si="11"/>
        <v>0</v>
      </c>
      <c r="Y19" s="17">
        <f t="shared" si="11"/>
        <v>8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95</v>
      </c>
      <c r="AD19" s="17">
        <f t="shared" si="11"/>
        <v>0</v>
      </c>
      <c r="AE19" s="31">
        <f t="shared" si="11"/>
        <v>53</v>
      </c>
      <c r="AF19" s="31">
        <f t="shared" si="11"/>
        <v>148</v>
      </c>
    </row>
    <row r="20" spans="2:32" ht="23.1" customHeight="1" x14ac:dyDescent="0.25">
      <c r="B20" s="45" t="s">
        <v>47</v>
      </c>
      <c r="C20" s="50">
        <v>7</v>
      </c>
      <c r="D20" s="50">
        <v>1</v>
      </c>
      <c r="E20" s="50">
        <v>4</v>
      </c>
      <c r="F20" s="50">
        <v>2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28</v>
      </c>
      <c r="N20" s="50">
        <v>0</v>
      </c>
      <c r="O20" s="15">
        <f t="shared" si="0"/>
        <v>16</v>
      </c>
      <c r="P20" s="15">
        <f t="shared" si="1"/>
        <v>44</v>
      </c>
      <c r="R20" s="1" t="s">
        <v>16</v>
      </c>
      <c r="S20" s="17">
        <f t="shared" ref="S20:AF20" si="12">SUM(C50:C53)</f>
        <v>22</v>
      </c>
      <c r="T20" s="17">
        <f t="shared" si="12"/>
        <v>13</v>
      </c>
      <c r="U20" s="17">
        <f t="shared" si="12"/>
        <v>4</v>
      </c>
      <c r="V20" s="17">
        <f t="shared" si="12"/>
        <v>5</v>
      </c>
      <c r="W20" s="17">
        <f t="shared" si="12"/>
        <v>1</v>
      </c>
      <c r="X20" s="17">
        <f t="shared" si="12"/>
        <v>0</v>
      </c>
      <c r="Y20" s="17">
        <f t="shared" si="12"/>
        <v>8</v>
      </c>
      <c r="Z20" s="17">
        <f t="shared" si="12"/>
        <v>2</v>
      </c>
      <c r="AA20" s="17">
        <f t="shared" si="12"/>
        <v>1</v>
      </c>
      <c r="AB20" s="17">
        <f t="shared" si="12"/>
        <v>0</v>
      </c>
      <c r="AC20" s="17">
        <f t="shared" si="12"/>
        <v>111</v>
      </c>
      <c r="AD20" s="17">
        <f t="shared" si="12"/>
        <v>0</v>
      </c>
      <c r="AE20" s="31">
        <f t="shared" si="12"/>
        <v>56</v>
      </c>
      <c r="AF20" s="31">
        <f t="shared" si="12"/>
        <v>167</v>
      </c>
    </row>
    <row r="21" spans="2:32" ht="23.1" customHeight="1" x14ac:dyDescent="0.25">
      <c r="B21" s="45" t="s">
        <v>48</v>
      </c>
      <c r="C21" s="50">
        <v>6</v>
      </c>
      <c r="D21" s="50">
        <v>5</v>
      </c>
      <c r="E21" s="50">
        <v>0</v>
      </c>
      <c r="F21" s="50">
        <v>4</v>
      </c>
      <c r="G21" s="50">
        <v>0</v>
      </c>
      <c r="H21" s="50">
        <v>1</v>
      </c>
      <c r="I21" s="50">
        <v>0</v>
      </c>
      <c r="J21" s="50">
        <v>0</v>
      </c>
      <c r="K21" s="50">
        <v>0</v>
      </c>
      <c r="L21" s="50">
        <v>0</v>
      </c>
      <c r="M21" s="50">
        <v>46</v>
      </c>
      <c r="N21" s="50">
        <v>0</v>
      </c>
      <c r="O21" s="15">
        <f t="shared" si="0"/>
        <v>16</v>
      </c>
      <c r="P21" s="15">
        <f t="shared" si="1"/>
        <v>62</v>
      </c>
      <c r="R21" s="36" t="s">
        <v>20</v>
      </c>
      <c r="S21" s="34">
        <f t="shared" ref="S21:AF21" si="13">SUM(C54:C57)</f>
        <v>52</v>
      </c>
      <c r="T21" s="17">
        <f t="shared" si="13"/>
        <v>13</v>
      </c>
      <c r="U21" s="17">
        <f t="shared" si="13"/>
        <v>6</v>
      </c>
      <c r="V21" s="17">
        <f t="shared" si="13"/>
        <v>4</v>
      </c>
      <c r="W21" s="17">
        <f t="shared" si="13"/>
        <v>0</v>
      </c>
      <c r="X21" s="17">
        <f t="shared" si="13"/>
        <v>0</v>
      </c>
      <c r="Y21" s="17">
        <f t="shared" si="13"/>
        <v>0</v>
      </c>
      <c r="Z21" s="17">
        <f t="shared" si="13"/>
        <v>0</v>
      </c>
      <c r="AA21" s="17">
        <f t="shared" si="13"/>
        <v>2</v>
      </c>
      <c r="AB21" s="17">
        <f t="shared" si="13"/>
        <v>0</v>
      </c>
      <c r="AC21" s="17">
        <f t="shared" si="13"/>
        <v>143</v>
      </c>
      <c r="AD21" s="17">
        <f t="shared" si="13"/>
        <v>0</v>
      </c>
      <c r="AE21" s="31">
        <f t="shared" si="13"/>
        <v>77</v>
      </c>
      <c r="AF21" s="31">
        <f t="shared" si="13"/>
        <v>220</v>
      </c>
    </row>
    <row r="22" spans="2:32" ht="23.1" customHeight="1" x14ac:dyDescent="0.25">
      <c r="B22" s="45" t="s">
        <v>49</v>
      </c>
      <c r="C22" s="50">
        <v>7</v>
      </c>
      <c r="D22" s="50">
        <v>0</v>
      </c>
      <c r="E22" s="50">
        <v>2</v>
      </c>
      <c r="F22" s="50">
        <v>1</v>
      </c>
      <c r="G22" s="50">
        <v>0</v>
      </c>
      <c r="H22" s="50">
        <v>0</v>
      </c>
      <c r="I22" s="50">
        <v>6</v>
      </c>
      <c r="J22" s="50">
        <v>0</v>
      </c>
      <c r="K22" s="50">
        <v>0</v>
      </c>
      <c r="L22" s="50">
        <v>0</v>
      </c>
      <c r="M22" s="50">
        <v>52</v>
      </c>
      <c r="N22" s="50">
        <v>0</v>
      </c>
      <c r="O22" s="15">
        <f t="shared" si="0"/>
        <v>16</v>
      </c>
      <c r="P22" s="15">
        <f t="shared" si="1"/>
        <v>68</v>
      </c>
      <c r="R22" s="36" t="s">
        <v>146</v>
      </c>
      <c r="S22" s="34">
        <f>SUM(C58:C61)</f>
        <v>53</v>
      </c>
      <c r="T22" s="34">
        <f t="shared" ref="T22:AF22" si="14">SUM(D58:D61)</f>
        <v>4</v>
      </c>
      <c r="U22" s="34">
        <f t="shared" si="14"/>
        <v>6</v>
      </c>
      <c r="V22" s="34">
        <f t="shared" si="14"/>
        <v>8</v>
      </c>
      <c r="W22" s="34">
        <f t="shared" si="14"/>
        <v>0</v>
      </c>
      <c r="X22" s="34">
        <f t="shared" si="14"/>
        <v>0</v>
      </c>
      <c r="Y22" s="34">
        <f t="shared" si="14"/>
        <v>10</v>
      </c>
      <c r="Z22" s="34">
        <f t="shared" si="14"/>
        <v>2</v>
      </c>
      <c r="AA22" s="34">
        <f t="shared" si="14"/>
        <v>0</v>
      </c>
      <c r="AB22" s="34">
        <f t="shared" si="14"/>
        <v>0</v>
      </c>
      <c r="AC22" s="34">
        <f t="shared" si="14"/>
        <v>96</v>
      </c>
      <c r="AD22" s="34">
        <f t="shared" si="14"/>
        <v>0</v>
      </c>
      <c r="AE22" s="31">
        <f t="shared" si="14"/>
        <v>83</v>
      </c>
      <c r="AF22" s="31">
        <f t="shared" si="14"/>
        <v>179</v>
      </c>
    </row>
    <row r="23" spans="2:32" ht="23.1" customHeight="1" x14ac:dyDescent="0.25">
      <c r="B23" s="45" t="s">
        <v>50</v>
      </c>
      <c r="C23" s="50">
        <v>9</v>
      </c>
      <c r="D23" s="50">
        <v>2</v>
      </c>
      <c r="E23" s="50">
        <v>1</v>
      </c>
      <c r="F23" s="50">
        <v>1</v>
      </c>
      <c r="G23" s="50">
        <v>0</v>
      </c>
      <c r="H23" s="50">
        <v>0</v>
      </c>
      <c r="I23" s="50">
        <v>2</v>
      </c>
      <c r="J23" s="50">
        <v>2</v>
      </c>
      <c r="K23" s="50">
        <v>0</v>
      </c>
      <c r="L23" s="50">
        <v>0</v>
      </c>
      <c r="M23" s="50">
        <v>38</v>
      </c>
      <c r="N23" s="50">
        <v>0</v>
      </c>
      <c r="O23" s="15">
        <f t="shared" si="0"/>
        <v>17</v>
      </c>
      <c r="P23" s="15">
        <f t="shared" si="1"/>
        <v>55</v>
      </c>
      <c r="R23" s="36" t="s">
        <v>147</v>
      </c>
      <c r="S23" s="34">
        <f>SUM(C62:C65)</f>
        <v>23</v>
      </c>
      <c r="T23" s="34">
        <f t="shared" ref="T23:AF23" si="15">SUM(D62:D65)</f>
        <v>3</v>
      </c>
      <c r="U23" s="34">
        <f t="shared" si="15"/>
        <v>1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9</v>
      </c>
      <c r="AA23" s="34">
        <f t="shared" si="15"/>
        <v>0</v>
      </c>
      <c r="AB23" s="34">
        <f t="shared" si="15"/>
        <v>0</v>
      </c>
      <c r="AC23" s="34">
        <f t="shared" si="15"/>
        <v>51</v>
      </c>
      <c r="AD23" s="34">
        <f t="shared" si="15"/>
        <v>0</v>
      </c>
      <c r="AE23" s="31">
        <f t="shared" si="15"/>
        <v>48</v>
      </c>
      <c r="AF23" s="31">
        <f t="shared" si="15"/>
        <v>99</v>
      </c>
    </row>
    <row r="24" spans="2:32" ht="23.1" customHeight="1" x14ac:dyDescent="0.25">
      <c r="B24" s="45" t="s">
        <v>51</v>
      </c>
      <c r="C24" s="50">
        <v>5</v>
      </c>
      <c r="D24" s="50">
        <v>8</v>
      </c>
      <c r="E24" s="50">
        <v>0</v>
      </c>
      <c r="F24" s="50">
        <v>3</v>
      </c>
      <c r="G24" s="50">
        <v>1</v>
      </c>
      <c r="H24" s="50">
        <v>0</v>
      </c>
      <c r="I24" s="50">
        <v>0</v>
      </c>
      <c r="J24" s="50">
        <v>2</v>
      </c>
      <c r="K24" s="50">
        <v>1</v>
      </c>
      <c r="L24" s="50">
        <v>0</v>
      </c>
      <c r="M24" s="50">
        <v>34</v>
      </c>
      <c r="N24" s="50">
        <v>0</v>
      </c>
      <c r="O24" s="15">
        <f t="shared" si="0"/>
        <v>20</v>
      </c>
      <c r="P24" s="15">
        <f t="shared" si="1"/>
        <v>54</v>
      </c>
      <c r="R24" s="36" t="s">
        <v>148</v>
      </c>
      <c r="S24" s="34">
        <f>SUM(C66:C69)</f>
        <v>17</v>
      </c>
      <c r="T24" s="34">
        <f t="shared" ref="T24:AF24" si="16">SUM(D66:D69)</f>
        <v>5</v>
      </c>
      <c r="U24" s="34">
        <f t="shared" si="16"/>
        <v>4</v>
      </c>
      <c r="V24" s="34">
        <f t="shared" si="16"/>
        <v>0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4</v>
      </c>
      <c r="AA24" s="34">
        <f t="shared" si="16"/>
        <v>3</v>
      </c>
      <c r="AB24" s="34">
        <f t="shared" si="16"/>
        <v>0</v>
      </c>
      <c r="AC24" s="34">
        <f t="shared" si="16"/>
        <v>49</v>
      </c>
      <c r="AD24" s="34">
        <f t="shared" si="16"/>
        <v>0</v>
      </c>
      <c r="AE24" s="31">
        <f t="shared" si="16"/>
        <v>34</v>
      </c>
      <c r="AF24" s="31">
        <f t="shared" si="16"/>
        <v>83</v>
      </c>
    </row>
    <row r="25" spans="2:32" ht="23.1" customHeight="1" x14ac:dyDescent="0.25">
      <c r="B25" s="45" t="s">
        <v>52</v>
      </c>
      <c r="C25" s="50">
        <v>3</v>
      </c>
      <c r="D25" s="50">
        <v>1</v>
      </c>
      <c r="E25" s="50">
        <v>0</v>
      </c>
      <c r="F25" s="50">
        <v>6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50</v>
      </c>
      <c r="N25" s="50">
        <v>0</v>
      </c>
      <c r="O25" s="15">
        <f t="shared" si="0"/>
        <v>12</v>
      </c>
      <c r="P25" s="15">
        <f t="shared" si="1"/>
        <v>62</v>
      </c>
      <c r="R25" s="36" t="s">
        <v>149</v>
      </c>
      <c r="S25" s="34">
        <f>SUM(C70:C73)</f>
        <v>6</v>
      </c>
      <c r="T25" s="34">
        <f t="shared" ref="T25:AF25" si="17">SUM(D70:D73)</f>
        <v>1</v>
      </c>
      <c r="U25" s="34">
        <f t="shared" si="17"/>
        <v>2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5</v>
      </c>
      <c r="AA25" s="34">
        <f t="shared" si="17"/>
        <v>0</v>
      </c>
      <c r="AB25" s="34">
        <f t="shared" si="17"/>
        <v>0</v>
      </c>
      <c r="AC25" s="34">
        <f t="shared" si="17"/>
        <v>44</v>
      </c>
      <c r="AD25" s="34">
        <f t="shared" si="17"/>
        <v>0</v>
      </c>
      <c r="AE25" s="31">
        <f t="shared" si="17"/>
        <v>15</v>
      </c>
      <c r="AF25" s="31">
        <f t="shared" si="17"/>
        <v>59</v>
      </c>
    </row>
    <row r="26" spans="2:32" ht="23.1" customHeight="1" x14ac:dyDescent="0.25">
      <c r="B26" s="45" t="s">
        <v>53</v>
      </c>
      <c r="C26" s="50">
        <v>13</v>
      </c>
      <c r="D26" s="50">
        <v>8</v>
      </c>
      <c r="E26" s="50">
        <v>2</v>
      </c>
      <c r="F26" s="50">
        <v>1</v>
      </c>
      <c r="G26" s="50">
        <v>0</v>
      </c>
      <c r="H26" s="50">
        <v>0</v>
      </c>
      <c r="I26" s="50">
        <v>4</v>
      </c>
      <c r="J26" s="50">
        <v>0</v>
      </c>
      <c r="K26" s="50">
        <v>0</v>
      </c>
      <c r="L26" s="50">
        <v>0</v>
      </c>
      <c r="M26" s="50">
        <v>48</v>
      </c>
      <c r="N26" s="50">
        <v>0</v>
      </c>
      <c r="O26" s="15">
        <f t="shared" si="0"/>
        <v>28</v>
      </c>
      <c r="P26" s="15">
        <f t="shared" si="1"/>
        <v>76</v>
      </c>
      <c r="R26" s="36" t="s">
        <v>150</v>
      </c>
      <c r="S26" s="34">
        <f>SUM(C74:C77)</f>
        <v>4</v>
      </c>
      <c r="T26" s="34">
        <f t="shared" ref="T26:AF26" si="18">SUM(D74:D77)</f>
        <v>3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3</v>
      </c>
      <c r="AA26" s="34">
        <f t="shared" si="18"/>
        <v>0</v>
      </c>
      <c r="AB26" s="34">
        <f t="shared" si="18"/>
        <v>0</v>
      </c>
      <c r="AC26" s="34">
        <f t="shared" si="18"/>
        <v>6</v>
      </c>
      <c r="AD26" s="34">
        <f t="shared" si="18"/>
        <v>0</v>
      </c>
      <c r="AE26" s="31">
        <f t="shared" si="18"/>
        <v>14</v>
      </c>
      <c r="AF26" s="31">
        <f t="shared" si="18"/>
        <v>20</v>
      </c>
    </row>
    <row r="27" spans="2:32" ht="23.1" customHeight="1" x14ac:dyDescent="0.25">
      <c r="B27" s="45" t="s">
        <v>54</v>
      </c>
      <c r="C27" s="50">
        <v>16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21</v>
      </c>
      <c r="N27" s="50">
        <v>2</v>
      </c>
      <c r="O27" s="15">
        <f t="shared" si="0"/>
        <v>20</v>
      </c>
      <c r="P27" s="15">
        <f t="shared" si="1"/>
        <v>41</v>
      </c>
      <c r="R27" s="36" t="s">
        <v>151</v>
      </c>
      <c r="S27" s="34">
        <f>SUM(C78:C81)</f>
        <v>0</v>
      </c>
      <c r="T27" s="34">
        <f t="shared" ref="T27:AF27" si="19">SUM(D78:D81)</f>
        <v>2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4</v>
      </c>
      <c r="AD27" s="34">
        <f t="shared" si="19"/>
        <v>0</v>
      </c>
      <c r="AE27" s="31">
        <f t="shared" si="19"/>
        <v>2</v>
      </c>
      <c r="AF27" s="31">
        <f t="shared" si="19"/>
        <v>6</v>
      </c>
    </row>
    <row r="28" spans="2:32" ht="23.1" customHeight="1" x14ac:dyDescent="0.25">
      <c r="B28" s="45" t="s">
        <v>55</v>
      </c>
      <c r="C28" s="50">
        <v>8</v>
      </c>
      <c r="D28" s="50">
        <v>0</v>
      </c>
      <c r="E28" s="50">
        <v>0</v>
      </c>
      <c r="F28" s="50">
        <v>0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21</v>
      </c>
      <c r="N28" s="50">
        <v>0</v>
      </c>
      <c r="O28" s="15">
        <f t="shared" si="0"/>
        <v>8</v>
      </c>
      <c r="P28" s="15">
        <f t="shared" si="1"/>
        <v>29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4</v>
      </c>
      <c r="AA28" s="34">
        <f t="shared" si="20"/>
        <v>0</v>
      </c>
      <c r="AB28" s="34">
        <f t="shared" si="20"/>
        <v>2</v>
      </c>
      <c r="AC28" s="34">
        <f t="shared" si="20"/>
        <v>3</v>
      </c>
      <c r="AD28" s="34">
        <f t="shared" si="20"/>
        <v>0</v>
      </c>
      <c r="AE28" s="31">
        <f t="shared" si="20"/>
        <v>11</v>
      </c>
      <c r="AF28" s="31">
        <f t="shared" si="20"/>
        <v>14</v>
      </c>
    </row>
    <row r="29" spans="2:32" ht="23.1" customHeight="1" x14ac:dyDescent="0.25">
      <c r="B29" s="45" t="s">
        <v>56</v>
      </c>
      <c r="C29" s="50">
        <v>7</v>
      </c>
      <c r="D29" s="50">
        <v>2</v>
      </c>
      <c r="E29" s="50">
        <v>0</v>
      </c>
      <c r="F29" s="50">
        <v>2</v>
      </c>
      <c r="G29" s="50">
        <v>1</v>
      </c>
      <c r="H29" s="50">
        <v>0</v>
      </c>
      <c r="I29" s="50">
        <v>2</v>
      </c>
      <c r="J29" s="50">
        <v>2</v>
      </c>
      <c r="K29" s="50">
        <v>1</v>
      </c>
      <c r="L29" s="50">
        <v>2</v>
      </c>
      <c r="M29" s="50">
        <v>17</v>
      </c>
      <c r="N29" s="50">
        <v>1</v>
      </c>
      <c r="O29" s="15">
        <f t="shared" si="0"/>
        <v>20</v>
      </c>
      <c r="P29" s="15">
        <f t="shared" si="1"/>
        <v>37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3</v>
      </c>
      <c r="AA29" s="34">
        <f t="shared" si="21"/>
        <v>0</v>
      </c>
      <c r="AB29" s="34">
        <f t="shared" si="21"/>
        <v>0</v>
      </c>
      <c r="AC29" s="34">
        <f t="shared" si="21"/>
        <v>1</v>
      </c>
      <c r="AD29" s="34">
        <f t="shared" si="21"/>
        <v>0</v>
      </c>
      <c r="AE29" s="31">
        <f t="shared" si="21"/>
        <v>4</v>
      </c>
      <c r="AF29" s="31">
        <f t="shared" si="21"/>
        <v>5</v>
      </c>
    </row>
    <row r="30" spans="2:32" ht="23.1" customHeight="1" x14ac:dyDescent="0.25">
      <c r="B30" s="45" t="s">
        <v>57</v>
      </c>
      <c r="C30" s="50">
        <v>10</v>
      </c>
      <c r="D30" s="50">
        <v>2</v>
      </c>
      <c r="E30" s="50">
        <v>0</v>
      </c>
      <c r="F30" s="50">
        <v>0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1</v>
      </c>
      <c r="M30" s="50">
        <v>44</v>
      </c>
      <c r="N30" s="50">
        <v>0</v>
      </c>
      <c r="O30" s="15">
        <f t="shared" si="0"/>
        <v>16</v>
      </c>
      <c r="P30" s="15">
        <f t="shared" si="1"/>
        <v>60</v>
      </c>
      <c r="R30" s="36" t="s">
        <v>154</v>
      </c>
      <c r="S30" s="34">
        <f>SUM(C90:C93)</f>
        <v>0</v>
      </c>
      <c r="T30" s="34">
        <f t="shared" ref="T30:AF30" si="22">SUM(D90:D93)</f>
        <v>1</v>
      </c>
      <c r="U30" s="34">
        <f t="shared" si="22"/>
        <v>1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4</v>
      </c>
      <c r="AD30" s="34">
        <f t="shared" si="22"/>
        <v>0</v>
      </c>
      <c r="AE30" s="31">
        <f t="shared" si="22"/>
        <v>3</v>
      </c>
      <c r="AF30" s="31">
        <f t="shared" si="22"/>
        <v>7</v>
      </c>
    </row>
    <row r="31" spans="2:32" ht="23.1" customHeight="1" x14ac:dyDescent="0.25">
      <c r="B31" s="46" t="s">
        <v>58</v>
      </c>
      <c r="C31" s="50">
        <v>6</v>
      </c>
      <c r="D31" s="50">
        <v>3</v>
      </c>
      <c r="E31" s="50">
        <v>1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40</v>
      </c>
      <c r="N31" s="50">
        <v>0</v>
      </c>
      <c r="O31" s="15">
        <f t="shared" si="0"/>
        <v>14</v>
      </c>
      <c r="P31" s="15">
        <f t="shared" si="1"/>
        <v>54</v>
      </c>
      <c r="R31" s="36" t="s">
        <v>155</v>
      </c>
      <c r="S31" s="34">
        <f>SUM(C94:C97)</f>
        <v>5</v>
      </c>
      <c r="T31" s="34">
        <f t="shared" ref="T31:AF31" si="23">SUM(D94:D97)</f>
        <v>2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4</v>
      </c>
      <c r="AD31" s="34">
        <f t="shared" si="23"/>
        <v>0</v>
      </c>
      <c r="AE31" s="31">
        <f t="shared" si="23"/>
        <v>9</v>
      </c>
      <c r="AF31" s="31">
        <f t="shared" si="23"/>
        <v>13</v>
      </c>
    </row>
    <row r="32" spans="2:32" ht="23.1" customHeight="1" x14ac:dyDescent="0.25">
      <c r="B32" s="46" t="s">
        <v>59</v>
      </c>
      <c r="C32" s="50">
        <v>4</v>
      </c>
      <c r="D32" s="50">
        <v>3</v>
      </c>
      <c r="E32" s="50">
        <v>1</v>
      </c>
      <c r="F32" s="50">
        <v>0</v>
      </c>
      <c r="G32" s="50">
        <v>0</v>
      </c>
      <c r="H32" s="50">
        <v>0</v>
      </c>
      <c r="I32" s="50">
        <v>2</v>
      </c>
      <c r="J32" s="50">
        <v>2</v>
      </c>
      <c r="K32" s="50">
        <v>0</v>
      </c>
      <c r="L32" s="50">
        <v>0</v>
      </c>
      <c r="M32" s="50">
        <v>19</v>
      </c>
      <c r="N32" s="50">
        <v>0</v>
      </c>
      <c r="O32" s="15">
        <f t="shared" si="0"/>
        <v>12</v>
      </c>
      <c r="P32" s="15">
        <f t="shared" si="1"/>
        <v>31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1</v>
      </c>
      <c r="AF32" s="31">
        <f t="shared" si="24"/>
        <v>4</v>
      </c>
    </row>
    <row r="33" spans="2:32" ht="23.1" customHeight="1" x14ac:dyDescent="0.25">
      <c r="B33" s="45" t="s">
        <v>60</v>
      </c>
      <c r="C33" s="50">
        <v>5</v>
      </c>
      <c r="D33" s="50">
        <v>0</v>
      </c>
      <c r="E33" s="50">
        <v>3</v>
      </c>
      <c r="F33" s="50">
        <v>1</v>
      </c>
      <c r="G33" s="50">
        <v>0</v>
      </c>
      <c r="H33" s="50">
        <v>1</v>
      </c>
      <c r="I33" s="50">
        <v>2</v>
      </c>
      <c r="J33" s="50">
        <v>4</v>
      </c>
      <c r="K33" s="50">
        <v>0</v>
      </c>
      <c r="L33" s="50">
        <v>0</v>
      </c>
      <c r="M33" s="50">
        <v>37</v>
      </c>
      <c r="N33" s="50">
        <v>0</v>
      </c>
      <c r="O33" s="15">
        <f t="shared" si="0"/>
        <v>16</v>
      </c>
      <c r="P33" s="15">
        <f t="shared" si="1"/>
        <v>53</v>
      </c>
      <c r="R33" s="33" t="s">
        <v>157</v>
      </c>
      <c r="S33" s="34">
        <f>SUM(C102:C105)</f>
        <v>49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</v>
      </c>
      <c r="AB33" s="34">
        <f t="shared" si="25"/>
        <v>0</v>
      </c>
      <c r="AC33" s="34">
        <f t="shared" si="25"/>
        <v>66</v>
      </c>
      <c r="AD33" s="34">
        <f t="shared" si="25"/>
        <v>0</v>
      </c>
      <c r="AE33" s="31">
        <f t="shared" si="25"/>
        <v>55</v>
      </c>
      <c r="AF33" s="31">
        <f t="shared" si="25"/>
        <v>121</v>
      </c>
    </row>
    <row r="34" spans="2:32" ht="23.1" customHeight="1" x14ac:dyDescent="0.25">
      <c r="B34" s="46" t="s">
        <v>61</v>
      </c>
      <c r="C34" s="50">
        <v>7</v>
      </c>
      <c r="D34" s="50">
        <v>3</v>
      </c>
      <c r="E34" s="50">
        <v>2</v>
      </c>
      <c r="F34" s="50">
        <v>1</v>
      </c>
      <c r="G34" s="50">
        <v>0</v>
      </c>
      <c r="H34" s="50">
        <v>0</v>
      </c>
      <c r="I34" s="50">
        <v>3</v>
      </c>
      <c r="J34" s="50">
        <v>1</v>
      </c>
      <c r="K34" s="50">
        <v>0</v>
      </c>
      <c r="L34" s="50">
        <v>0</v>
      </c>
      <c r="M34" s="50">
        <v>9</v>
      </c>
      <c r="N34" s="50">
        <v>0</v>
      </c>
      <c r="O34" s="15">
        <f t="shared" si="0"/>
        <v>17</v>
      </c>
      <c r="P34" s="15">
        <f t="shared" si="1"/>
        <v>26</v>
      </c>
      <c r="R34" s="38" t="s">
        <v>90</v>
      </c>
      <c r="S34" s="39">
        <f t="shared" ref="S34:AF34" si="26">MAX(S10:S12)</f>
        <v>50</v>
      </c>
      <c r="T34" s="39">
        <f t="shared" si="26"/>
        <v>16</v>
      </c>
      <c r="U34" s="39">
        <f t="shared" si="26"/>
        <v>7</v>
      </c>
      <c r="V34" s="39">
        <f t="shared" si="26"/>
        <v>11</v>
      </c>
      <c r="W34" s="39">
        <f t="shared" si="26"/>
        <v>1</v>
      </c>
      <c r="X34" s="39">
        <f t="shared" si="26"/>
        <v>2</v>
      </c>
      <c r="Y34" s="39">
        <f t="shared" si="26"/>
        <v>12</v>
      </c>
      <c r="Z34" s="39">
        <f t="shared" si="26"/>
        <v>2</v>
      </c>
      <c r="AA34" s="39">
        <f t="shared" si="26"/>
        <v>1</v>
      </c>
      <c r="AB34" s="39">
        <f t="shared" si="26"/>
        <v>2</v>
      </c>
      <c r="AC34" s="39">
        <f t="shared" si="26"/>
        <v>174</v>
      </c>
      <c r="AD34" s="39">
        <f t="shared" si="26"/>
        <v>0</v>
      </c>
      <c r="AE34" s="40">
        <f t="shared" si="26"/>
        <v>96</v>
      </c>
      <c r="AF34" s="40">
        <f t="shared" si="26"/>
        <v>270</v>
      </c>
    </row>
    <row r="35" spans="2:32" ht="23.1" customHeight="1" x14ac:dyDescent="0.25">
      <c r="B35" s="46" t="s">
        <v>62</v>
      </c>
      <c r="C35" s="50">
        <v>10</v>
      </c>
      <c r="D35" s="50">
        <v>4</v>
      </c>
      <c r="E35" s="50">
        <v>1</v>
      </c>
      <c r="F35" s="50">
        <v>5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29</v>
      </c>
      <c r="N35" s="50">
        <v>0</v>
      </c>
      <c r="O35" s="15">
        <f t="shared" si="0"/>
        <v>21</v>
      </c>
      <c r="P35" s="15">
        <f t="shared" si="1"/>
        <v>50</v>
      </c>
      <c r="R35" s="38" t="s">
        <v>91</v>
      </c>
      <c r="S35" s="39">
        <f t="shared" ref="S35:AF35" si="27">MAX(S13:S18)</f>
        <v>44</v>
      </c>
      <c r="T35" s="39">
        <f t="shared" si="27"/>
        <v>15</v>
      </c>
      <c r="U35" s="39">
        <f t="shared" si="27"/>
        <v>9</v>
      </c>
      <c r="V35" s="39">
        <f t="shared" si="27"/>
        <v>11</v>
      </c>
      <c r="W35" s="39">
        <f t="shared" si="27"/>
        <v>1</v>
      </c>
      <c r="X35" s="39">
        <f t="shared" si="27"/>
        <v>5</v>
      </c>
      <c r="Y35" s="39">
        <f t="shared" si="27"/>
        <v>10</v>
      </c>
      <c r="Z35" s="39">
        <f t="shared" si="27"/>
        <v>8</v>
      </c>
      <c r="AA35" s="39">
        <f t="shared" si="27"/>
        <v>2</v>
      </c>
      <c r="AB35" s="39">
        <f t="shared" si="27"/>
        <v>2</v>
      </c>
      <c r="AC35" s="39">
        <f t="shared" si="27"/>
        <v>174</v>
      </c>
      <c r="AD35" s="39">
        <f t="shared" si="27"/>
        <v>3</v>
      </c>
      <c r="AE35" s="40">
        <f t="shared" si="27"/>
        <v>83</v>
      </c>
      <c r="AF35" s="40">
        <f t="shared" si="27"/>
        <v>239</v>
      </c>
    </row>
    <row r="36" spans="2:32" ht="23.1" customHeight="1" x14ac:dyDescent="0.25">
      <c r="B36" s="46" t="s">
        <v>63</v>
      </c>
      <c r="C36" s="50">
        <v>17</v>
      </c>
      <c r="D36" s="50">
        <v>2</v>
      </c>
      <c r="E36" s="50">
        <v>3</v>
      </c>
      <c r="F36" s="50">
        <v>4</v>
      </c>
      <c r="G36" s="50">
        <v>0</v>
      </c>
      <c r="H36" s="50">
        <v>0</v>
      </c>
      <c r="I36" s="50">
        <v>3</v>
      </c>
      <c r="J36" s="50">
        <v>2</v>
      </c>
      <c r="K36" s="50">
        <v>0</v>
      </c>
      <c r="L36" s="50">
        <v>0</v>
      </c>
      <c r="M36" s="50">
        <v>30</v>
      </c>
      <c r="N36" s="50">
        <v>0</v>
      </c>
      <c r="O36" s="15">
        <f t="shared" si="0"/>
        <v>31</v>
      </c>
      <c r="P36" s="15">
        <f t="shared" si="1"/>
        <v>61</v>
      </c>
      <c r="R36" s="38" t="s">
        <v>92</v>
      </c>
      <c r="S36" s="39">
        <f t="shared" ref="S36:AF36" si="28">MAX(S19:S21)</f>
        <v>52</v>
      </c>
      <c r="T36" s="39">
        <f t="shared" si="28"/>
        <v>13</v>
      </c>
      <c r="U36" s="39">
        <f t="shared" si="28"/>
        <v>14</v>
      </c>
      <c r="V36" s="39">
        <f t="shared" si="28"/>
        <v>5</v>
      </c>
      <c r="W36" s="39">
        <f t="shared" si="28"/>
        <v>1</v>
      </c>
      <c r="X36" s="39">
        <f t="shared" si="28"/>
        <v>0</v>
      </c>
      <c r="Y36" s="39">
        <f t="shared" si="28"/>
        <v>8</v>
      </c>
      <c r="Z36" s="39">
        <f t="shared" si="28"/>
        <v>2</v>
      </c>
      <c r="AA36" s="39">
        <f t="shared" si="28"/>
        <v>2</v>
      </c>
      <c r="AB36" s="39">
        <f t="shared" si="28"/>
        <v>0</v>
      </c>
      <c r="AC36" s="39">
        <f t="shared" si="28"/>
        <v>143</v>
      </c>
      <c r="AD36" s="39">
        <f t="shared" si="28"/>
        <v>0</v>
      </c>
      <c r="AE36" s="40">
        <f t="shared" si="28"/>
        <v>77</v>
      </c>
      <c r="AF36" s="40">
        <f t="shared" si="28"/>
        <v>220</v>
      </c>
    </row>
    <row r="37" spans="2:32" ht="23.1" customHeight="1" x14ac:dyDescent="0.25">
      <c r="B37" s="45" t="s">
        <v>64</v>
      </c>
      <c r="C37" s="50">
        <v>6</v>
      </c>
      <c r="D37" s="50">
        <v>2</v>
      </c>
      <c r="E37" s="50">
        <v>3</v>
      </c>
      <c r="F37" s="50">
        <v>1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34</v>
      </c>
      <c r="N37" s="50">
        <v>0</v>
      </c>
      <c r="O37" s="15">
        <f t="shared" si="0"/>
        <v>14</v>
      </c>
      <c r="P37" s="15">
        <f t="shared" si="1"/>
        <v>48</v>
      </c>
      <c r="R37" s="37" t="s">
        <v>85</v>
      </c>
      <c r="S37" s="35">
        <f t="shared" ref="S37:AF37" si="29">SUM(S10:S12)</f>
        <v>106</v>
      </c>
      <c r="T37" s="16">
        <f t="shared" si="29"/>
        <v>38</v>
      </c>
      <c r="U37" s="16">
        <f t="shared" si="29"/>
        <v>15</v>
      </c>
      <c r="V37" s="16">
        <f t="shared" si="29"/>
        <v>27</v>
      </c>
      <c r="W37" s="16">
        <f t="shared" si="29"/>
        <v>1</v>
      </c>
      <c r="X37" s="16">
        <f t="shared" si="29"/>
        <v>4</v>
      </c>
      <c r="Y37" s="16">
        <f t="shared" si="29"/>
        <v>18</v>
      </c>
      <c r="Z37" s="16">
        <f t="shared" si="29"/>
        <v>4</v>
      </c>
      <c r="AA37" s="16">
        <f t="shared" si="29"/>
        <v>1</v>
      </c>
      <c r="AB37" s="16">
        <f t="shared" si="29"/>
        <v>4</v>
      </c>
      <c r="AC37" s="16">
        <f t="shared" si="29"/>
        <v>446</v>
      </c>
      <c r="AD37" s="16">
        <f t="shared" si="29"/>
        <v>0</v>
      </c>
      <c r="AE37" s="32">
        <f t="shared" si="29"/>
        <v>218</v>
      </c>
      <c r="AF37" s="32">
        <f t="shared" si="29"/>
        <v>664</v>
      </c>
    </row>
    <row r="38" spans="2:32" ht="23.1" customHeight="1" x14ac:dyDescent="0.25">
      <c r="B38" s="46" t="s">
        <v>65</v>
      </c>
      <c r="C38" s="50">
        <v>6</v>
      </c>
      <c r="D38" s="50">
        <v>2</v>
      </c>
      <c r="E38" s="50">
        <v>0</v>
      </c>
      <c r="F38" s="50">
        <v>1</v>
      </c>
      <c r="G38" s="50">
        <v>0</v>
      </c>
      <c r="H38" s="50">
        <v>0</v>
      </c>
      <c r="I38" s="50">
        <v>0</v>
      </c>
      <c r="J38" s="50">
        <v>0</v>
      </c>
      <c r="K38" s="50">
        <v>0</v>
      </c>
      <c r="L38" s="50">
        <v>0</v>
      </c>
      <c r="M38" s="50">
        <v>26</v>
      </c>
      <c r="N38" s="50">
        <v>0</v>
      </c>
      <c r="O38" s="15">
        <f t="shared" si="0"/>
        <v>9</v>
      </c>
      <c r="P38" s="15">
        <f t="shared" si="1"/>
        <v>35</v>
      </c>
      <c r="R38" s="28" t="s">
        <v>86</v>
      </c>
      <c r="S38" s="16">
        <f t="shared" ref="S38:AF38" si="30">SUM(S13:S18)</f>
        <v>186</v>
      </c>
      <c r="T38" s="16">
        <f t="shared" si="30"/>
        <v>64</v>
      </c>
      <c r="U38" s="16">
        <f t="shared" si="30"/>
        <v>35</v>
      </c>
      <c r="V38" s="16">
        <f t="shared" si="30"/>
        <v>34</v>
      </c>
      <c r="W38" s="16">
        <f t="shared" si="30"/>
        <v>2</v>
      </c>
      <c r="X38" s="16">
        <f t="shared" si="30"/>
        <v>6</v>
      </c>
      <c r="Y38" s="16">
        <f t="shared" si="30"/>
        <v>40</v>
      </c>
      <c r="Z38" s="16">
        <f t="shared" si="30"/>
        <v>21</v>
      </c>
      <c r="AA38" s="16">
        <f t="shared" si="30"/>
        <v>4</v>
      </c>
      <c r="AB38" s="16">
        <f t="shared" si="30"/>
        <v>3</v>
      </c>
      <c r="AC38" s="16">
        <f t="shared" si="30"/>
        <v>625</v>
      </c>
      <c r="AD38" s="16">
        <f t="shared" si="30"/>
        <v>3</v>
      </c>
      <c r="AE38" s="32">
        <f t="shared" si="30"/>
        <v>398</v>
      </c>
      <c r="AF38" s="32">
        <f t="shared" si="30"/>
        <v>1023</v>
      </c>
    </row>
    <row r="39" spans="2:32" ht="23.1" customHeight="1" x14ac:dyDescent="0.25">
      <c r="B39" s="46" t="s">
        <v>66</v>
      </c>
      <c r="C39" s="50">
        <v>17</v>
      </c>
      <c r="D39" s="50">
        <v>5</v>
      </c>
      <c r="E39" s="50">
        <v>3</v>
      </c>
      <c r="F39" s="50">
        <v>0</v>
      </c>
      <c r="G39" s="50">
        <v>0</v>
      </c>
      <c r="H39" s="50">
        <v>0</v>
      </c>
      <c r="I39" s="50">
        <v>6</v>
      </c>
      <c r="J39" s="50">
        <v>0</v>
      </c>
      <c r="K39" s="50">
        <v>0</v>
      </c>
      <c r="L39" s="50">
        <v>0</v>
      </c>
      <c r="M39" s="50">
        <v>20</v>
      </c>
      <c r="N39" s="50">
        <v>0</v>
      </c>
      <c r="O39" s="15">
        <f t="shared" si="0"/>
        <v>31</v>
      </c>
      <c r="P39" s="15">
        <f t="shared" si="1"/>
        <v>51</v>
      </c>
      <c r="R39" s="29" t="s">
        <v>87</v>
      </c>
      <c r="S39" s="16">
        <f t="shared" ref="S39:AF39" si="31">SUM(S19:S21)</f>
        <v>87</v>
      </c>
      <c r="T39" s="16">
        <f t="shared" si="31"/>
        <v>36</v>
      </c>
      <c r="U39" s="16">
        <f t="shared" si="31"/>
        <v>24</v>
      </c>
      <c r="V39" s="16">
        <f t="shared" si="31"/>
        <v>14</v>
      </c>
      <c r="W39" s="16">
        <f t="shared" si="31"/>
        <v>2</v>
      </c>
      <c r="X39" s="16">
        <f t="shared" si="31"/>
        <v>0</v>
      </c>
      <c r="Y39" s="16">
        <f t="shared" si="31"/>
        <v>16</v>
      </c>
      <c r="Z39" s="16">
        <f t="shared" si="31"/>
        <v>4</v>
      </c>
      <c r="AA39" s="16">
        <f t="shared" si="31"/>
        <v>3</v>
      </c>
      <c r="AB39" s="16">
        <f t="shared" si="31"/>
        <v>0</v>
      </c>
      <c r="AC39" s="16">
        <f t="shared" si="31"/>
        <v>349</v>
      </c>
      <c r="AD39" s="16">
        <f t="shared" si="31"/>
        <v>0</v>
      </c>
      <c r="AE39" s="32">
        <f t="shared" si="31"/>
        <v>186</v>
      </c>
      <c r="AF39" s="32">
        <f t="shared" si="31"/>
        <v>535</v>
      </c>
    </row>
    <row r="40" spans="2:32" ht="23.1" customHeight="1" x14ac:dyDescent="0.25">
      <c r="B40" s="46" t="s">
        <v>67</v>
      </c>
      <c r="C40" s="50">
        <v>3</v>
      </c>
      <c r="D40" s="50">
        <v>0</v>
      </c>
      <c r="E40" s="50">
        <v>1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5</v>
      </c>
      <c r="N40" s="50">
        <v>0</v>
      </c>
      <c r="O40" s="15">
        <f t="shared" si="0"/>
        <v>4</v>
      </c>
      <c r="P40" s="15">
        <f t="shared" si="1"/>
        <v>9</v>
      </c>
      <c r="R40" s="5" t="s">
        <v>17</v>
      </c>
      <c r="S40" s="16">
        <f t="shared" ref="S40:AF40" si="32">SUM(S10:S21)</f>
        <v>379</v>
      </c>
      <c r="T40" s="16">
        <f t="shared" si="32"/>
        <v>138</v>
      </c>
      <c r="U40" s="16">
        <f t="shared" si="32"/>
        <v>74</v>
      </c>
      <c r="V40" s="16">
        <f t="shared" si="32"/>
        <v>75</v>
      </c>
      <c r="W40" s="16">
        <f t="shared" si="32"/>
        <v>5</v>
      </c>
      <c r="X40" s="16">
        <f t="shared" si="32"/>
        <v>10</v>
      </c>
      <c r="Y40" s="16">
        <f t="shared" si="32"/>
        <v>74</v>
      </c>
      <c r="Z40" s="16">
        <f t="shared" si="32"/>
        <v>29</v>
      </c>
      <c r="AA40" s="16">
        <f t="shared" si="32"/>
        <v>8</v>
      </c>
      <c r="AB40" s="16">
        <f t="shared" si="32"/>
        <v>7</v>
      </c>
      <c r="AC40" s="16">
        <f t="shared" si="32"/>
        <v>1420</v>
      </c>
      <c r="AD40" s="16">
        <f t="shared" si="32"/>
        <v>3</v>
      </c>
      <c r="AE40" s="32">
        <f t="shared" si="32"/>
        <v>802</v>
      </c>
      <c r="AF40" s="32">
        <f t="shared" si="32"/>
        <v>2222</v>
      </c>
    </row>
    <row r="41" spans="2:32" ht="23.1" customHeight="1" x14ac:dyDescent="0.25">
      <c r="B41" s="45" t="s">
        <v>68</v>
      </c>
      <c r="C41" s="50">
        <v>1</v>
      </c>
      <c r="D41" s="50">
        <v>1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5</v>
      </c>
      <c r="N41" s="50">
        <v>0</v>
      </c>
      <c r="O41" s="15">
        <f t="shared" si="0"/>
        <v>7</v>
      </c>
      <c r="P41" s="15">
        <f t="shared" si="1"/>
        <v>12</v>
      </c>
      <c r="R41" s="5" t="s">
        <v>159</v>
      </c>
      <c r="S41" s="16">
        <f>SUM(S10:S33)</f>
        <v>539</v>
      </c>
      <c r="T41" s="16">
        <f t="shared" ref="T41:AF41" si="33">SUM(T10:T33)</f>
        <v>160</v>
      </c>
      <c r="U41" s="16">
        <f t="shared" si="33"/>
        <v>89</v>
      </c>
      <c r="V41" s="16">
        <f t="shared" si="33"/>
        <v>92</v>
      </c>
      <c r="W41" s="16">
        <f t="shared" si="33"/>
        <v>5</v>
      </c>
      <c r="X41" s="16">
        <f t="shared" si="33"/>
        <v>10</v>
      </c>
      <c r="Y41" s="16">
        <f t="shared" si="33"/>
        <v>103</v>
      </c>
      <c r="Z41" s="16">
        <f t="shared" si="33"/>
        <v>60</v>
      </c>
      <c r="AA41" s="16">
        <f t="shared" si="33"/>
        <v>11</v>
      </c>
      <c r="AB41" s="16">
        <f t="shared" si="33"/>
        <v>9</v>
      </c>
      <c r="AC41" s="16">
        <f t="shared" si="33"/>
        <v>1751</v>
      </c>
      <c r="AD41" s="16">
        <f t="shared" si="33"/>
        <v>3</v>
      </c>
      <c r="AE41" s="32">
        <f t="shared" si="33"/>
        <v>1081</v>
      </c>
      <c r="AF41" s="32">
        <f t="shared" si="33"/>
        <v>2832</v>
      </c>
    </row>
    <row r="42" spans="2:32" ht="23.1" customHeight="1" x14ac:dyDescent="0.25">
      <c r="B42" s="46" t="s">
        <v>69</v>
      </c>
      <c r="C42" s="50">
        <v>8</v>
      </c>
      <c r="D42" s="50">
        <v>5</v>
      </c>
      <c r="E42" s="50">
        <v>6</v>
      </c>
      <c r="F42" s="50">
        <v>3</v>
      </c>
      <c r="G42" s="50">
        <v>0</v>
      </c>
      <c r="H42" s="50">
        <v>0</v>
      </c>
      <c r="I42" s="50">
        <v>2</v>
      </c>
      <c r="J42" s="50">
        <v>0</v>
      </c>
      <c r="K42" s="50">
        <v>1</v>
      </c>
      <c r="L42" s="50">
        <v>0</v>
      </c>
      <c r="M42" s="50">
        <v>15</v>
      </c>
      <c r="N42" s="50">
        <v>0</v>
      </c>
      <c r="O42" s="15">
        <f t="shared" si="0"/>
        <v>25</v>
      </c>
      <c r="P42" s="15">
        <f t="shared" si="1"/>
        <v>40</v>
      </c>
      <c r="R42" s="5" t="s">
        <v>160</v>
      </c>
      <c r="S42" s="48">
        <f>S41/S40</f>
        <v>1.4221635883905013</v>
      </c>
      <c r="T42" s="48">
        <f t="shared" ref="T42:AF42" si="34">T41/T40</f>
        <v>1.1594202898550725</v>
      </c>
      <c r="U42" s="48">
        <f t="shared" si="34"/>
        <v>1.2027027027027026</v>
      </c>
      <c r="V42" s="48">
        <f t="shared" si="34"/>
        <v>1.2266666666666666</v>
      </c>
      <c r="W42" s="48">
        <f t="shared" si="34"/>
        <v>1</v>
      </c>
      <c r="X42" s="48">
        <f t="shared" si="34"/>
        <v>1</v>
      </c>
      <c r="Y42" s="48">
        <f t="shared" si="34"/>
        <v>1.3918918918918919</v>
      </c>
      <c r="Z42" s="48">
        <f t="shared" si="34"/>
        <v>2.0689655172413794</v>
      </c>
      <c r="AA42" s="48">
        <f t="shared" si="34"/>
        <v>1.375</v>
      </c>
      <c r="AB42" s="48">
        <f t="shared" si="34"/>
        <v>1.2857142857142858</v>
      </c>
      <c r="AC42" s="48">
        <f t="shared" si="34"/>
        <v>1.2330985915492958</v>
      </c>
      <c r="AD42" s="48">
        <f t="shared" si="34"/>
        <v>1</v>
      </c>
      <c r="AE42" s="48">
        <f t="shared" si="34"/>
        <v>1.3478802992518704</v>
      </c>
      <c r="AF42" s="48">
        <f t="shared" si="34"/>
        <v>1.2745274527452746</v>
      </c>
    </row>
    <row r="43" spans="2:32" ht="23.1" customHeight="1" x14ac:dyDescent="0.25">
      <c r="B43" s="45" t="s">
        <v>70</v>
      </c>
      <c r="C43" s="50">
        <v>0</v>
      </c>
      <c r="D43" s="50">
        <v>0</v>
      </c>
      <c r="E43" s="50">
        <v>0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1</v>
      </c>
      <c r="N43" s="50">
        <v>0</v>
      </c>
      <c r="O43" s="15">
        <f t="shared" si="0"/>
        <v>0</v>
      </c>
      <c r="P43" s="15">
        <f t="shared" si="1"/>
        <v>1</v>
      </c>
    </row>
    <row r="44" spans="2:32" ht="23.1" customHeight="1" x14ac:dyDescent="0.25">
      <c r="B44" s="47" t="s">
        <v>71</v>
      </c>
      <c r="C44" s="50">
        <v>2</v>
      </c>
      <c r="D44" s="50">
        <v>2</v>
      </c>
      <c r="E44" s="50">
        <v>1</v>
      </c>
      <c r="F44" s="50">
        <v>1</v>
      </c>
      <c r="G44" s="50">
        <v>0</v>
      </c>
      <c r="H44" s="50">
        <v>0</v>
      </c>
      <c r="I44" s="50">
        <v>1</v>
      </c>
      <c r="J44" s="50">
        <v>1</v>
      </c>
      <c r="K44" s="50">
        <v>1</v>
      </c>
      <c r="L44" s="50">
        <v>0</v>
      </c>
      <c r="M44" s="50">
        <v>13</v>
      </c>
      <c r="N44" s="50">
        <v>0</v>
      </c>
      <c r="O44" s="15">
        <f t="shared" si="0"/>
        <v>9</v>
      </c>
      <c r="P44" s="15">
        <f t="shared" si="1"/>
        <v>22</v>
      </c>
    </row>
    <row r="45" spans="2:32" ht="23.1" customHeight="1" x14ac:dyDescent="0.25">
      <c r="B45" s="45" t="s">
        <v>72</v>
      </c>
      <c r="C45" s="50">
        <v>16</v>
      </c>
      <c r="D45" s="50">
        <v>8</v>
      </c>
      <c r="E45" s="50">
        <v>2</v>
      </c>
      <c r="F45" s="50">
        <v>0</v>
      </c>
      <c r="G45" s="50">
        <v>0</v>
      </c>
      <c r="H45" s="50">
        <v>5</v>
      </c>
      <c r="I45" s="50">
        <v>0</v>
      </c>
      <c r="J45" s="50">
        <v>0</v>
      </c>
      <c r="K45" s="50">
        <v>0</v>
      </c>
      <c r="L45" s="50">
        <v>0</v>
      </c>
      <c r="M45" s="50">
        <v>17</v>
      </c>
      <c r="N45" s="50">
        <v>0</v>
      </c>
      <c r="O45" s="15">
        <f t="shared" si="0"/>
        <v>31</v>
      </c>
      <c r="P45" s="15">
        <f t="shared" si="1"/>
        <v>48</v>
      </c>
    </row>
    <row r="46" spans="2:32" ht="23.1" customHeight="1" x14ac:dyDescent="0.25">
      <c r="B46" s="46" t="s">
        <v>73</v>
      </c>
      <c r="C46" s="50">
        <v>3</v>
      </c>
      <c r="D46" s="50">
        <v>3</v>
      </c>
      <c r="E46" s="50">
        <v>2</v>
      </c>
      <c r="F46" s="50">
        <v>1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18</v>
      </c>
      <c r="N46" s="50">
        <v>0</v>
      </c>
      <c r="O46" s="15">
        <f t="shared" si="0"/>
        <v>11</v>
      </c>
      <c r="P46" s="15">
        <f t="shared" si="1"/>
        <v>29</v>
      </c>
      <c r="R46" s="8"/>
      <c r="T46"/>
    </row>
    <row r="47" spans="2:32" ht="23.1" customHeight="1" x14ac:dyDescent="0.25">
      <c r="B47" s="46" t="s">
        <v>74</v>
      </c>
      <c r="C47" s="50">
        <v>5</v>
      </c>
      <c r="D47" s="50">
        <v>2</v>
      </c>
      <c r="E47" s="50">
        <v>6</v>
      </c>
      <c r="F47" s="50">
        <v>3</v>
      </c>
      <c r="G47" s="50">
        <v>1</v>
      </c>
      <c r="H47" s="50">
        <v>0</v>
      </c>
      <c r="I47" s="50">
        <v>4</v>
      </c>
      <c r="J47" s="50">
        <v>1</v>
      </c>
      <c r="K47" s="50">
        <v>0</v>
      </c>
      <c r="L47" s="50">
        <v>0</v>
      </c>
      <c r="M47" s="50">
        <v>29</v>
      </c>
      <c r="N47" s="50">
        <v>0</v>
      </c>
      <c r="O47" s="15">
        <f t="shared" si="0"/>
        <v>22</v>
      </c>
      <c r="P47" s="15">
        <f t="shared" si="1"/>
        <v>51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1</v>
      </c>
      <c r="E48" s="50">
        <v>2</v>
      </c>
      <c r="F48" s="50">
        <v>1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22</v>
      </c>
      <c r="N48" s="50">
        <v>0</v>
      </c>
      <c r="O48" s="15">
        <f t="shared" si="0"/>
        <v>10</v>
      </c>
      <c r="P48" s="15">
        <f t="shared" si="1"/>
        <v>32</v>
      </c>
      <c r="R48" s="8"/>
      <c r="T48"/>
    </row>
    <row r="49" spans="2:20" ht="23.1" customHeight="1" x14ac:dyDescent="0.25">
      <c r="B49" s="45" t="s">
        <v>76</v>
      </c>
      <c r="C49" s="50">
        <v>1</v>
      </c>
      <c r="D49" s="50">
        <v>4</v>
      </c>
      <c r="E49" s="50">
        <v>4</v>
      </c>
      <c r="F49" s="50">
        <v>0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26</v>
      </c>
      <c r="N49" s="50">
        <v>0</v>
      </c>
      <c r="O49" s="15">
        <f t="shared" si="0"/>
        <v>10</v>
      </c>
      <c r="P49" s="15">
        <f t="shared" si="1"/>
        <v>36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1</v>
      </c>
      <c r="E50" s="50">
        <v>1</v>
      </c>
      <c r="F50" s="50">
        <v>3</v>
      </c>
      <c r="G50" s="50">
        <v>1</v>
      </c>
      <c r="H50" s="50">
        <v>0</v>
      </c>
      <c r="I50" s="50">
        <v>3</v>
      </c>
      <c r="J50" s="50">
        <v>2</v>
      </c>
      <c r="K50" s="50">
        <v>0</v>
      </c>
      <c r="L50" s="50">
        <v>0</v>
      </c>
      <c r="M50" s="50">
        <v>30</v>
      </c>
      <c r="N50" s="50">
        <v>0</v>
      </c>
      <c r="O50" s="15">
        <f t="shared" si="0"/>
        <v>16</v>
      </c>
      <c r="P50" s="15">
        <f t="shared" si="1"/>
        <v>46</v>
      </c>
      <c r="R50" s="8"/>
      <c r="T50"/>
    </row>
    <row r="51" spans="2:20" ht="23.1" customHeight="1" x14ac:dyDescent="0.25">
      <c r="B51" s="46" t="s">
        <v>78</v>
      </c>
      <c r="C51" s="50">
        <v>9</v>
      </c>
      <c r="D51" s="50">
        <v>4</v>
      </c>
      <c r="E51" s="50">
        <v>2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20</v>
      </c>
      <c r="N51" s="50">
        <v>0</v>
      </c>
      <c r="O51" s="15">
        <f t="shared" si="0"/>
        <v>17</v>
      </c>
      <c r="P51" s="15">
        <f t="shared" si="1"/>
        <v>37</v>
      </c>
      <c r="R51" s="8"/>
      <c r="T51"/>
    </row>
    <row r="52" spans="2:20" ht="23.1" customHeight="1" x14ac:dyDescent="0.25">
      <c r="B52" s="46" t="s">
        <v>79</v>
      </c>
      <c r="C52" s="50">
        <v>4</v>
      </c>
      <c r="D52" s="50">
        <v>6</v>
      </c>
      <c r="E52" s="50">
        <v>1</v>
      </c>
      <c r="F52" s="50">
        <v>0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18</v>
      </c>
      <c r="N52" s="50">
        <v>0</v>
      </c>
      <c r="O52" s="15">
        <f t="shared" si="0"/>
        <v>13</v>
      </c>
      <c r="P52" s="15">
        <f t="shared" si="1"/>
        <v>31</v>
      </c>
      <c r="R52" s="8"/>
      <c r="T52"/>
    </row>
    <row r="53" spans="2:20" ht="23.1" customHeight="1" x14ac:dyDescent="0.25">
      <c r="B53" s="45" t="s">
        <v>80</v>
      </c>
      <c r="C53" s="50">
        <v>4</v>
      </c>
      <c r="D53" s="50">
        <v>2</v>
      </c>
      <c r="E53" s="50">
        <v>0</v>
      </c>
      <c r="F53" s="50">
        <v>0</v>
      </c>
      <c r="G53" s="50">
        <v>0</v>
      </c>
      <c r="H53" s="50">
        <v>0</v>
      </c>
      <c r="I53" s="50">
        <v>3</v>
      </c>
      <c r="J53" s="50">
        <v>0</v>
      </c>
      <c r="K53" s="50">
        <v>1</v>
      </c>
      <c r="L53" s="50">
        <v>0</v>
      </c>
      <c r="M53" s="50">
        <v>43</v>
      </c>
      <c r="N53" s="50">
        <v>0</v>
      </c>
      <c r="O53" s="15">
        <f t="shared" si="0"/>
        <v>10</v>
      </c>
      <c r="P53" s="15">
        <f t="shared" si="1"/>
        <v>53</v>
      </c>
      <c r="R53" s="8"/>
      <c r="T53"/>
    </row>
    <row r="54" spans="2:20" ht="23.1" customHeight="1" x14ac:dyDescent="0.25">
      <c r="B54" s="45" t="s">
        <v>81</v>
      </c>
      <c r="C54" s="50">
        <v>11</v>
      </c>
      <c r="D54" s="50">
        <v>2</v>
      </c>
      <c r="E54" s="50">
        <v>1</v>
      </c>
      <c r="F54" s="50">
        <v>2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23</v>
      </c>
      <c r="N54" s="50">
        <v>0</v>
      </c>
      <c r="O54" s="15">
        <f t="shared" si="0"/>
        <v>16</v>
      </c>
      <c r="P54" s="15">
        <f t="shared" si="1"/>
        <v>39</v>
      </c>
      <c r="R54" s="8"/>
      <c r="T54"/>
    </row>
    <row r="55" spans="2:20" ht="23.1" customHeight="1" x14ac:dyDescent="0.25">
      <c r="B55" s="45" t="s">
        <v>82</v>
      </c>
      <c r="C55" s="50">
        <v>11</v>
      </c>
      <c r="D55" s="50">
        <v>5</v>
      </c>
      <c r="E55" s="50">
        <v>2</v>
      </c>
      <c r="F55" s="50">
        <v>1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23</v>
      </c>
      <c r="N55" s="50">
        <v>0</v>
      </c>
      <c r="O55" s="15">
        <f t="shared" si="0"/>
        <v>19</v>
      </c>
      <c r="P55" s="15">
        <f t="shared" si="1"/>
        <v>42</v>
      </c>
      <c r="R55" s="8"/>
      <c r="T55"/>
    </row>
    <row r="56" spans="2:20" ht="23.1" customHeight="1" x14ac:dyDescent="0.25">
      <c r="B56" s="45" t="s">
        <v>83</v>
      </c>
      <c r="C56" s="50">
        <v>14</v>
      </c>
      <c r="D56" s="50">
        <v>3</v>
      </c>
      <c r="E56" s="50">
        <v>2</v>
      </c>
      <c r="F56" s="50">
        <v>0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42</v>
      </c>
      <c r="N56" s="50">
        <v>0</v>
      </c>
      <c r="O56" s="15">
        <f t="shared" si="0"/>
        <v>19</v>
      </c>
      <c r="P56" s="15">
        <f t="shared" si="1"/>
        <v>61</v>
      </c>
      <c r="R56" s="8"/>
      <c r="T56"/>
    </row>
    <row r="57" spans="2:20" ht="23.1" customHeight="1" x14ac:dyDescent="0.25">
      <c r="B57" s="45" t="s">
        <v>84</v>
      </c>
      <c r="C57" s="50">
        <v>16</v>
      </c>
      <c r="D57" s="50">
        <v>3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2</v>
      </c>
      <c r="L57" s="50">
        <v>0</v>
      </c>
      <c r="M57" s="50">
        <v>55</v>
      </c>
      <c r="N57" s="50">
        <v>0</v>
      </c>
      <c r="O57" s="15">
        <f t="shared" si="0"/>
        <v>23</v>
      </c>
      <c r="P57" s="15">
        <f t="shared" si="1"/>
        <v>78</v>
      </c>
      <c r="R57" s="8"/>
      <c r="T57"/>
    </row>
    <row r="58" spans="2:20" ht="23.1" customHeight="1" x14ac:dyDescent="0.25">
      <c r="B58" s="45" t="s">
        <v>99</v>
      </c>
      <c r="C58" s="50">
        <v>19</v>
      </c>
      <c r="D58" s="50">
        <v>0</v>
      </c>
      <c r="E58" s="50">
        <v>3</v>
      </c>
      <c r="F58" s="50">
        <v>2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32</v>
      </c>
      <c r="N58" s="50">
        <v>0</v>
      </c>
      <c r="O58" s="15">
        <f t="shared" si="0"/>
        <v>25</v>
      </c>
      <c r="P58" s="15">
        <f t="shared" si="1"/>
        <v>57</v>
      </c>
      <c r="R58" s="8"/>
      <c r="T58"/>
    </row>
    <row r="59" spans="2:20" ht="23.1" customHeight="1" x14ac:dyDescent="0.25">
      <c r="B59" s="45" t="s">
        <v>100</v>
      </c>
      <c r="C59" s="50">
        <v>11</v>
      </c>
      <c r="D59" s="50">
        <v>0</v>
      </c>
      <c r="E59" s="50">
        <v>1</v>
      </c>
      <c r="F59" s="50">
        <v>3</v>
      </c>
      <c r="G59" s="50">
        <v>0</v>
      </c>
      <c r="H59" s="50">
        <v>0</v>
      </c>
      <c r="I59" s="50">
        <v>2</v>
      </c>
      <c r="J59" s="50">
        <v>1</v>
      </c>
      <c r="K59" s="50">
        <v>0</v>
      </c>
      <c r="L59" s="50">
        <v>0</v>
      </c>
      <c r="M59" s="50">
        <v>18</v>
      </c>
      <c r="N59" s="50">
        <v>0</v>
      </c>
      <c r="O59" s="15">
        <f t="shared" si="0"/>
        <v>18</v>
      </c>
      <c r="P59" s="15">
        <f t="shared" si="1"/>
        <v>36</v>
      </c>
      <c r="R59" s="8"/>
      <c r="T59"/>
    </row>
    <row r="60" spans="2:20" ht="23.1" customHeight="1" x14ac:dyDescent="0.25">
      <c r="B60" s="45" t="s">
        <v>101</v>
      </c>
      <c r="C60" s="50">
        <v>13</v>
      </c>
      <c r="D60" s="50">
        <v>0</v>
      </c>
      <c r="E60" s="50">
        <v>1</v>
      </c>
      <c r="F60" s="50">
        <v>0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0</v>
      </c>
      <c r="M60" s="50">
        <v>26</v>
      </c>
      <c r="N60" s="50">
        <v>0</v>
      </c>
      <c r="O60" s="15">
        <f t="shared" si="0"/>
        <v>14</v>
      </c>
      <c r="P60" s="15">
        <f t="shared" si="1"/>
        <v>40</v>
      </c>
      <c r="R60" s="8"/>
      <c r="T60"/>
    </row>
    <row r="61" spans="2:20" ht="23.1" customHeight="1" x14ac:dyDescent="0.25">
      <c r="B61" s="45" t="s">
        <v>102</v>
      </c>
      <c r="C61" s="50">
        <v>10</v>
      </c>
      <c r="D61" s="50">
        <v>4</v>
      </c>
      <c r="E61" s="50">
        <v>1</v>
      </c>
      <c r="F61" s="50">
        <v>3</v>
      </c>
      <c r="G61" s="50">
        <v>0</v>
      </c>
      <c r="H61" s="50">
        <v>0</v>
      </c>
      <c r="I61" s="50">
        <v>7</v>
      </c>
      <c r="J61" s="50">
        <v>1</v>
      </c>
      <c r="K61" s="50">
        <v>0</v>
      </c>
      <c r="L61" s="50">
        <v>0</v>
      </c>
      <c r="M61" s="50">
        <v>20</v>
      </c>
      <c r="N61" s="50">
        <v>0</v>
      </c>
      <c r="O61" s="15">
        <f t="shared" si="0"/>
        <v>26</v>
      </c>
      <c r="P61" s="15">
        <f t="shared" si="1"/>
        <v>46</v>
      </c>
      <c r="R61" s="8"/>
      <c r="T61"/>
    </row>
    <row r="62" spans="2:20" ht="23.1" customHeight="1" x14ac:dyDescent="0.25">
      <c r="B62" s="45" t="s">
        <v>107</v>
      </c>
      <c r="C62" s="50">
        <v>7</v>
      </c>
      <c r="D62" s="50">
        <v>2</v>
      </c>
      <c r="E62" s="50">
        <v>0</v>
      </c>
      <c r="F62" s="50">
        <v>2</v>
      </c>
      <c r="G62" s="50">
        <v>0</v>
      </c>
      <c r="H62" s="50">
        <v>0</v>
      </c>
      <c r="I62" s="50">
        <v>2</v>
      </c>
      <c r="J62" s="50">
        <v>3</v>
      </c>
      <c r="K62" s="50">
        <v>0</v>
      </c>
      <c r="L62" s="50">
        <v>0</v>
      </c>
      <c r="M62" s="50">
        <v>12</v>
      </c>
      <c r="N62" s="50">
        <v>0</v>
      </c>
      <c r="O62" s="15">
        <f t="shared" si="0"/>
        <v>16</v>
      </c>
      <c r="P62" s="15">
        <f t="shared" si="1"/>
        <v>28</v>
      </c>
      <c r="R62" s="8"/>
      <c r="T62"/>
    </row>
    <row r="63" spans="2:20" ht="23.1" customHeight="1" x14ac:dyDescent="0.25">
      <c r="B63" s="45" t="s">
        <v>108</v>
      </c>
      <c r="C63" s="50">
        <v>9</v>
      </c>
      <c r="D63" s="50">
        <v>1</v>
      </c>
      <c r="E63" s="50">
        <v>0</v>
      </c>
      <c r="F63" s="50">
        <v>1</v>
      </c>
      <c r="G63" s="50">
        <v>0</v>
      </c>
      <c r="H63" s="50">
        <v>0</v>
      </c>
      <c r="I63" s="50">
        <v>1</v>
      </c>
      <c r="J63" s="50">
        <v>2</v>
      </c>
      <c r="K63" s="50">
        <v>0</v>
      </c>
      <c r="L63" s="50">
        <v>0</v>
      </c>
      <c r="M63" s="50">
        <v>15</v>
      </c>
      <c r="N63" s="50">
        <v>0</v>
      </c>
      <c r="O63" s="15">
        <f t="shared" si="0"/>
        <v>14</v>
      </c>
      <c r="P63" s="15">
        <f t="shared" si="1"/>
        <v>29</v>
      </c>
      <c r="R63" s="8"/>
      <c r="T63"/>
    </row>
    <row r="64" spans="2:20" ht="23.1" customHeight="1" x14ac:dyDescent="0.25">
      <c r="B64" s="45" t="s">
        <v>109</v>
      </c>
      <c r="C64" s="50">
        <v>6</v>
      </c>
      <c r="D64" s="50">
        <v>0</v>
      </c>
      <c r="E64" s="50">
        <v>0</v>
      </c>
      <c r="F64" s="50">
        <v>1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11</v>
      </c>
      <c r="N64" s="50">
        <v>0</v>
      </c>
      <c r="O64" s="15">
        <f t="shared" si="0"/>
        <v>8</v>
      </c>
      <c r="P64" s="15">
        <f t="shared" si="1"/>
        <v>19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1</v>
      </c>
      <c r="F65" s="50">
        <v>1</v>
      </c>
      <c r="G65" s="50">
        <v>0</v>
      </c>
      <c r="H65" s="50">
        <v>0</v>
      </c>
      <c r="I65" s="50">
        <v>3</v>
      </c>
      <c r="J65" s="50">
        <v>4</v>
      </c>
      <c r="K65" s="50">
        <v>0</v>
      </c>
      <c r="L65" s="50">
        <v>0</v>
      </c>
      <c r="M65" s="50">
        <v>13</v>
      </c>
      <c r="N65" s="50">
        <v>0</v>
      </c>
      <c r="O65" s="15">
        <f t="shared" si="0"/>
        <v>10</v>
      </c>
      <c r="P65" s="15">
        <f t="shared" si="1"/>
        <v>23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2</v>
      </c>
      <c r="E66" s="50">
        <v>1</v>
      </c>
      <c r="F66" s="50">
        <v>0</v>
      </c>
      <c r="G66" s="50">
        <v>0</v>
      </c>
      <c r="H66" s="50">
        <v>0</v>
      </c>
      <c r="I66" s="50">
        <v>1</v>
      </c>
      <c r="J66" s="50">
        <v>3</v>
      </c>
      <c r="K66" s="50">
        <v>0</v>
      </c>
      <c r="L66" s="50">
        <v>0</v>
      </c>
      <c r="M66" s="50">
        <v>11</v>
      </c>
      <c r="N66" s="50">
        <v>0</v>
      </c>
      <c r="O66" s="15">
        <f t="shared" si="0"/>
        <v>10</v>
      </c>
      <c r="P66" s="15">
        <f t="shared" si="1"/>
        <v>21</v>
      </c>
      <c r="R66" s="8"/>
      <c r="T66"/>
    </row>
    <row r="67" spans="2:20" ht="23.1" customHeight="1" x14ac:dyDescent="0.25">
      <c r="B67" s="45" t="s">
        <v>104</v>
      </c>
      <c r="C67" s="50">
        <v>7</v>
      </c>
      <c r="D67" s="50">
        <v>0</v>
      </c>
      <c r="E67" s="50">
        <v>3</v>
      </c>
      <c r="F67" s="50">
        <v>0</v>
      </c>
      <c r="G67" s="50">
        <v>0</v>
      </c>
      <c r="H67" s="50">
        <v>0</v>
      </c>
      <c r="I67" s="50">
        <v>0</v>
      </c>
      <c r="J67" s="50">
        <v>1</v>
      </c>
      <c r="K67" s="50">
        <v>1</v>
      </c>
      <c r="L67" s="50">
        <v>0</v>
      </c>
      <c r="M67" s="50">
        <v>7</v>
      </c>
      <c r="N67" s="50">
        <v>0</v>
      </c>
      <c r="O67" s="15">
        <f t="shared" si="0"/>
        <v>12</v>
      </c>
      <c r="P67" s="15">
        <f t="shared" si="1"/>
        <v>19</v>
      </c>
      <c r="R67" s="8"/>
      <c r="T67"/>
    </row>
    <row r="68" spans="2:20" ht="23.1" customHeight="1" x14ac:dyDescent="0.25">
      <c r="B68" s="45" t="s">
        <v>105</v>
      </c>
      <c r="C68" s="50">
        <v>7</v>
      </c>
      <c r="D68" s="50">
        <v>1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1</v>
      </c>
      <c r="L68" s="50">
        <v>0</v>
      </c>
      <c r="M68" s="50">
        <v>18</v>
      </c>
      <c r="N68" s="50">
        <v>0</v>
      </c>
      <c r="O68" s="15">
        <f t="shared" si="0"/>
        <v>9</v>
      </c>
      <c r="P68" s="15">
        <f t="shared" si="1"/>
        <v>27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2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1</v>
      </c>
      <c r="L69" s="50">
        <v>0</v>
      </c>
      <c r="M69" s="50">
        <v>13</v>
      </c>
      <c r="N69" s="50">
        <v>0</v>
      </c>
      <c r="O69" s="15">
        <f t="shared" si="0"/>
        <v>3</v>
      </c>
      <c r="P69" s="15">
        <f t="shared" si="1"/>
        <v>16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5</v>
      </c>
      <c r="N70" s="50">
        <v>0</v>
      </c>
      <c r="O70" s="15">
        <f t="shared" si="0"/>
        <v>3</v>
      </c>
      <c r="P70" s="15">
        <f t="shared" si="1"/>
        <v>8</v>
      </c>
      <c r="R70" s="8"/>
      <c r="T70"/>
    </row>
    <row r="71" spans="2:20" ht="23.1" customHeight="1" x14ac:dyDescent="0.25">
      <c r="B71" s="45" t="s">
        <v>111</v>
      </c>
      <c r="C71" s="50">
        <v>3</v>
      </c>
      <c r="D71" s="50">
        <v>1</v>
      </c>
      <c r="E71" s="50">
        <v>2</v>
      </c>
      <c r="F71" s="50">
        <v>1</v>
      </c>
      <c r="G71" s="50">
        <v>0</v>
      </c>
      <c r="H71" s="50">
        <v>0</v>
      </c>
      <c r="I71" s="50">
        <v>0</v>
      </c>
      <c r="J71" s="50">
        <v>4</v>
      </c>
      <c r="K71" s="50">
        <v>0</v>
      </c>
      <c r="L71" s="50">
        <v>0</v>
      </c>
      <c r="M71" s="50">
        <v>7</v>
      </c>
      <c r="N71" s="50">
        <v>0</v>
      </c>
      <c r="O71" s="15">
        <f t="shared" si="0"/>
        <v>11</v>
      </c>
      <c r="P71" s="15">
        <f t="shared" si="1"/>
        <v>18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1</v>
      </c>
      <c r="N72" s="50">
        <v>0</v>
      </c>
      <c r="O72" s="15">
        <f t="shared" si="0"/>
        <v>0</v>
      </c>
      <c r="P72" s="15">
        <f t="shared" si="1"/>
        <v>1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31</v>
      </c>
      <c r="N73" s="50">
        <v>0</v>
      </c>
      <c r="O73" s="15">
        <f t="shared" si="0"/>
        <v>1</v>
      </c>
      <c r="P73" s="15">
        <f t="shared" si="1"/>
        <v>32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2</v>
      </c>
      <c r="J74" s="50">
        <v>0</v>
      </c>
      <c r="K74" s="50">
        <v>0</v>
      </c>
      <c r="L74" s="50">
        <v>0</v>
      </c>
      <c r="M74" s="50">
        <v>4</v>
      </c>
      <c r="N74" s="50">
        <v>0</v>
      </c>
      <c r="O74" s="15">
        <f t="shared" ref="O74:O105" si="35">SUM(C74:L74,N74)</f>
        <v>4</v>
      </c>
      <c r="P74" s="15">
        <f t="shared" ref="P74:P105" si="36">SUM(C74:N74)</f>
        <v>8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2</v>
      </c>
      <c r="J75" s="50">
        <v>0</v>
      </c>
      <c r="K75" s="50">
        <v>0</v>
      </c>
      <c r="L75" s="50">
        <v>0</v>
      </c>
      <c r="M75" s="50">
        <v>1</v>
      </c>
      <c r="N75" s="50">
        <v>0</v>
      </c>
      <c r="O75" s="15">
        <f t="shared" si="35"/>
        <v>3</v>
      </c>
      <c r="P75" s="15">
        <f t="shared" si="36"/>
        <v>4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0</v>
      </c>
      <c r="N76" s="50">
        <v>0</v>
      </c>
      <c r="O76" s="15">
        <f t="shared" si="35"/>
        <v>3</v>
      </c>
      <c r="P76" s="15">
        <f t="shared" si="36"/>
        <v>3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3</v>
      </c>
      <c r="K77" s="50">
        <v>0</v>
      </c>
      <c r="L77" s="50">
        <v>0</v>
      </c>
      <c r="M77" s="50">
        <v>1</v>
      </c>
      <c r="N77" s="50">
        <v>0</v>
      </c>
      <c r="O77" s="15">
        <f t="shared" si="35"/>
        <v>4</v>
      </c>
      <c r="P77" s="15">
        <f t="shared" si="36"/>
        <v>5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1</v>
      </c>
      <c r="N78" s="50"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0</v>
      </c>
      <c r="P79" s="15">
        <f t="shared" si="36"/>
        <v>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0</v>
      </c>
      <c r="P80" s="15">
        <f t="shared" si="36"/>
        <v>1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2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</v>
      </c>
      <c r="N81" s="50">
        <v>0</v>
      </c>
      <c r="O81" s="15">
        <f t="shared" si="35"/>
        <v>2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2</v>
      </c>
      <c r="K82" s="50">
        <v>0</v>
      </c>
      <c r="L82" s="50">
        <v>2</v>
      </c>
      <c r="M82" s="50">
        <v>0</v>
      </c>
      <c r="N82" s="50">
        <v>0</v>
      </c>
      <c r="O82" s="15">
        <f t="shared" si="35"/>
        <v>4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1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2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1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4</v>
      </c>
      <c r="P84" s="15">
        <f t="shared" si="36"/>
        <v>5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1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1</v>
      </c>
      <c r="N85" s="50">
        <v>0</v>
      </c>
      <c r="O85" s="15">
        <f t="shared" si="35"/>
        <v>1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</v>
      </c>
      <c r="N86" s="50">
        <v>0</v>
      </c>
      <c r="O86" s="15">
        <f t="shared" si="35"/>
        <v>0</v>
      </c>
      <c r="P86" s="15">
        <f t="shared" si="36"/>
        <v>1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2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2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1</v>
      </c>
      <c r="N90" s="50">
        <v>0</v>
      </c>
      <c r="O90" s="15">
        <f t="shared" si="35"/>
        <v>1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1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2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2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1</v>
      </c>
      <c r="N95" s="50"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2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3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1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3</v>
      </c>
      <c r="P97" s="15">
        <f t="shared" si="36"/>
        <v>5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1</v>
      </c>
      <c r="N99" s="50">
        <v>0</v>
      </c>
      <c r="O99" s="15">
        <f t="shared" si="35"/>
        <v>1</v>
      </c>
      <c r="P99" s="15">
        <f t="shared" si="36"/>
        <v>2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0</v>
      </c>
      <c r="P100" s="15">
        <f t="shared" si="36"/>
        <v>0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1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0</v>
      </c>
      <c r="M102" s="50">
        <v>4</v>
      </c>
      <c r="N102" s="50">
        <v>0</v>
      </c>
      <c r="O102" s="15">
        <f t="shared" si="35"/>
        <v>2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17</v>
      </c>
      <c r="N103" s="50">
        <v>0</v>
      </c>
      <c r="O103" s="15">
        <f t="shared" si="35"/>
        <v>2</v>
      </c>
      <c r="P103" s="15">
        <f t="shared" si="36"/>
        <v>19</v>
      </c>
      <c r="R103" s="8"/>
      <c r="T103"/>
    </row>
    <row r="104" spans="2:20" ht="23.1" customHeight="1" x14ac:dyDescent="0.25">
      <c r="B104" s="47" t="s">
        <v>144</v>
      </c>
      <c r="C104" s="50">
        <v>42</v>
      </c>
      <c r="D104" s="50">
        <v>0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19</v>
      </c>
      <c r="N104" s="50">
        <v>0</v>
      </c>
      <c r="O104" s="15">
        <f t="shared" si="35"/>
        <v>42</v>
      </c>
      <c r="P104" s="15">
        <f t="shared" si="36"/>
        <v>61</v>
      </c>
      <c r="R104" s="8"/>
      <c r="T104"/>
    </row>
    <row r="105" spans="2:20" ht="23.1" customHeight="1" x14ac:dyDescent="0.25">
      <c r="B105" s="45" t="s">
        <v>145</v>
      </c>
      <c r="C105" s="50">
        <v>5</v>
      </c>
      <c r="D105" s="50">
        <v>1</v>
      </c>
      <c r="E105" s="50">
        <v>0</v>
      </c>
      <c r="F105" s="50">
        <v>1</v>
      </c>
      <c r="G105" s="50">
        <v>0</v>
      </c>
      <c r="H105" s="50">
        <v>0</v>
      </c>
      <c r="I105" s="50">
        <v>2</v>
      </c>
      <c r="J105" s="50">
        <v>0</v>
      </c>
      <c r="K105" s="50">
        <v>0</v>
      </c>
      <c r="L105" s="50">
        <v>0</v>
      </c>
      <c r="M105" s="50">
        <v>26</v>
      </c>
      <c r="N105" s="50">
        <v>0</v>
      </c>
      <c r="O105" s="15">
        <f t="shared" si="35"/>
        <v>9</v>
      </c>
      <c r="P105" s="15">
        <f t="shared" si="36"/>
        <v>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539</v>
      </c>
      <c r="D106" s="16">
        <v>5</v>
      </c>
      <c r="E106" s="16">
        <f t="shared" ref="E106:P106" si="37">SUM(E10:E105)</f>
        <v>89</v>
      </c>
      <c r="F106" s="16">
        <f t="shared" si="37"/>
        <v>92</v>
      </c>
      <c r="G106" s="16">
        <f t="shared" si="37"/>
        <v>5</v>
      </c>
      <c r="H106" s="16">
        <f t="shared" si="37"/>
        <v>10</v>
      </c>
      <c r="I106" s="16">
        <f t="shared" si="37"/>
        <v>103</v>
      </c>
      <c r="J106" s="16">
        <f t="shared" si="37"/>
        <v>60</v>
      </c>
      <c r="K106" s="16">
        <f t="shared" si="37"/>
        <v>11</v>
      </c>
      <c r="L106" s="16">
        <f t="shared" si="37"/>
        <v>9</v>
      </c>
      <c r="M106" s="16">
        <f t="shared" si="37"/>
        <v>1751</v>
      </c>
      <c r="N106" s="16">
        <f t="shared" si="37"/>
        <v>3</v>
      </c>
      <c r="O106" s="16">
        <f t="shared" si="37"/>
        <v>1081</v>
      </c>
      <c r="P106" s="16">
        <f t="shared" si="37"/>
        <v>2832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0.19032485875706215</v>
      </c>
      <c r="D107" s="43">
        <f t="shared" si="38"/>
        <v>1.7655367231638418E-3</v>
      </c>
      <c r="E107" s="43">
        <f t="shared" si="38"/>
        <v>3.1426553672316386E-2</v>
      </c>
      <c r="F107" s="43">
        <f t="shared" si="38"/>
        <v>3.2485875706214688E-2</v>
      </c>
      <c r="G107" s="43">
        <f t="shared" si="38"/>
        <v>1.7655367231638418E-3</v>
      </c>
      <c r="H107" s="43">
        <f t="shared" si="38"/>
        <v>3.5310734463276836E-3</v>
      </c>
      <c r="I107" s="43">
        <f t="shared" si="38"/>
        <v>3.6370056497175139E-2</v>
      </c>
      <c r="J107" s="43">
        <f t="shared" si="38"/>
        <v>2.1186440677966101E-2</v>
      </c>
      <c r="K107" s="43">
        <f t="shared" si="38"/>
        <v>3.8841807909604522E-3</v>
      </c>
      <c r="L107" s="43">
        <f t="shared" si="38"/>
        <v>3.1779661016949155E-3</v>
      </c>
      <c r="M107" s="43">
        <f t="shared" si="38"/>
        <v>0.6182909604519774</v>
      </c>
      <c r="N107" s="43">
        <f t="shared" si="38"/>
        <v>1.0593220338983051E-3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0.49861239592969475</v>
      </c>
      <c r="D108" s="44">
        <f t="shared" ref="D108:N108" si="39">D106/$O$106</f>
        <v>4.6253469010175763E-3</v>
      </c>
      <c r="E108" s="44">
        <f t="shared" si="39"/>
        <v>8.2331174838112864E-2</v>
      </c>
      <c r="F108" s="44">
        <f t="shared" si="39"/>
        <v>8.5106382978723402E-2</v>
      </c>
      <c r="G108" s="44">
        <f t="shared" si="39"/>
        <v>4.6253469010175763E-3</v>
      </c>
      <c r="H108" s="44">
        <f t="shared" si="39"/>
        <v>9.2506938020351526E-3</v>
      </c>
      <c r="I108" s="44">
        <f t="shared" si="39"/>
        <v>9.5282146160962075E-2</v>
      </c>
      <c r="J108" s="44">
        <f t="shared" si="39"/>
        <v>5.5504162812210912E-2</v>
      </c>
      <c r="K108" s="44">
        <f t="shared" si="39"/>
        <v>1.0175763182238668E-2</v>
      </c>
      <c r="L108" s="44">
        <f t="shared" si="39"/>
        <v>8.3256244218316375E-3</v>
      </c>
      <c r="M108" s="44"/>
      <c r="N108" s="44">
        <f t="shared" si="39"/>
        <v>2.7752081406105457E-3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 tint="-0.249977111117893"/>
  </sheetPr>
  <dimension ref="B1:AF174"/>
  <sheetViews>
    <sheetView view="pageBreakPreview" topLeftCell="B43" zoomScale="60" workbookViewId="0">
      <selection activeCell="C105" sqref="C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55" t="str">
        <f>'26.10 Mbarara-Isingiro-24Hr'!G5:H5</f>
        <v>KASENYI</v>
      </c>
      <c r="H5" s="56"/>
      <c r="I5" s="14"/>
      <c r="J5" s="2" t="s">
        <v>5</v>
      </c>
      <c r="K5" s="55" t="s">
        <v>172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'26.10 Mbarara-Isingiro-24Hr'!K6:L6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10</v>
      </c>
      <c r="D10" s="50">
        <v>1</v>
      </c>
      <c r="E10" s="50">
        <v>1</v>
      </c>
      <c r="F10" s="50">
        <v>1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10</v>
      </c>
      <c r="N10" s="50">
        <v>0</v>
      </c>
      <c r="O10" s="15">
        <f t="shared" ref="O10:O73" si="0">SUM(C10:L10,N10)</f>
        <v>15</v>
      </c>
      <c r="P10" s="15">
        <f t="shared" ref="P10:P73" si="1">SUM(C10:N10)</f>
        <v>25</v>
      </c>
      <c r="R10" s="1" t="s">
        <v>6</v>
      </c>
      <c r="S10" s="17">
        <f t="shared" ref="S10:AF10" si="2">SUM(C10:C13)</f>
        <v>53</v>
      </c>
      <c r="T10" s="17">
        <f t="shared" si="2"/>
        <v>13</v>
      </c>
      <c r="U10" s="17">
        <f t="shared" si="2"/>
        <v>9</v>
      </c>
      <c r="V10" s="17">
        <f t="shared" si="2"/>
        <v>9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8</v>
      </c>
      <c r="AA10" s="17">
        <f t="shared" si="2"/>
        <v>1</v>
      </c>
      <c r="AB10" s="17">
        <f t="shared" si="2"/>
        <v>0</v>
      </c>
      <c r="AC10" s="17">
        <f t="shared" si="2"/>
        <v>141</v>
      </c>
      <c r="AD10" s="17">
        <f t="shared" si="2"/>
        <v>0</v>
      </c>
      <c r="AE10" s="31">
        <f t="shared" si="2"/>
        <v>96</v>
      </c>
      <c r="AF10" s="31">
        <f t="shared" si="2"/>
        <v>237</v>
      </c>
    </row>
    <row r="11" spans="2:32" s="6" customFormat="1" ht="23.1" customHeight="1" x14ac:dyDescent="0.25">
      <c r="B11" s="45" t="s">
        <v>38</v>
      </c>
      <c r="C11" s="50">
        <v>22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1</v>
      </c>
      <c r="J11" s="50">
        <v>1</v>
      </c>
      <c r="K11" s="50">
        <v>0</v>
      </c>
      <c r="L11" s="50">
        <v>0</v>
      </c>
      <c r="M11" s="50">
        <v>37</v>
      </c>
      <c r="N11" s="50">
        <v>0</v>
      </c>
      <c r="O11" s="15">
        <f t="shared" si="0"/>
        <v>27</v>
      </c>
      <c r="P11" s="15">
        <f t="shared" si="1"/>
        <v>64</v>
      </c>
      <c r="R11" s="1" t="s">
        <v>7</v>
      </c>
      <c r="S11" s="17">
        <f t="shared" ref="S11:AF11" si="3">SUM(C14:C17)</f>
        <v>44</v>
      </c>
      <c r="T11" s="17">
        <f t="shared" si="3"/>
        <v>10</v>
      </c>
      <c r="U11" s="17">
        <f t="shared" si="3"/>
        <v>8</v>
      </c>
      <c r="V11" s="17">
        <f t="shared" si="3"/>
        <v>11</v>
      </c>
      <c r="W11" s="17">
        <f t="shared" si="3"/>
        <v>1</v>
      </c>
      <c r="X11" s="17">
        <f t="shared" si="3"/>
        <v>0</v>
      </c>
      <c r="Y11" s="17">
        <f t="shared" si="3"/>
        <v>12</v>
      </c>
      <c r="Z11" s="17">
        <f t="shared" si="3"/>
        <v>6</v>
      </c>
      <c r="AA11" s="17">
        <f t="shared" si="3"/>
        <v>1</v>
      </c>
      <c r="AB11" s="17">
        <f t="shared" si="3"/>
        <v>0</v>
      </c>
      <c r="AC11" s="17">
        <f t="shared" si="3"/>
        <v>158</v>
      </c>
      <c r="AD11" s="17">
        <f t="shared" si="3"/>
        <v>0</v>
      </c>
      <c r="AE11" s="31">
        <f t="shared" si="3"/>
        <v>93</v>
      </c>
      <c r="AF11" s="31">
        <f t="shared" si="3"/>
        <v>251</v>
      </c>
    </row>
    <row r="12" spans="2:32" ht="23.1" customHeight="1" x14ac:dyDescent="0.25">
      <c r="B12" s="45" t="s">
        <v>39</v>
      </c>
      <c r="C12" s="50">
        <v>10</v>
      </c>
      <c r="D12" s="50">
        <v>3</v>
      </c>
      <c r="E12" s="50">
        <v>4</v>
      </c>
      <c r="F12" s="50">
        <v>3</v>
      </c>
      <c r="G12" s="50">
        <v>0</v>
      </c>
      <c r="H12" s="50">
        <v>0</v>
      </c>
      <c r="I12" s="50">
        <v>1</v>
      </c>
      <c r="J12" s="50">
        <v>6</v>
      </c>
      <c r="K12" s="50">
        <v>0</v>
      </c>
      <c r="L12" s="50">
        <v>0</v>
      </c>
      <c r="M12" s="50">
        <v>47</v>
      </c>
      <c r="N12" s="50">
        <v>0</v>
      </c>
      <c r="O12" s="15">
        <f t="shared" si="0"/>
        <v>27</v>
      </c>
      <c r="P12" s="15">
        <f t="shared" si="1"/>
        <v>74</v>
      </c>
      <c r="R12" s="1" t="s">
        <v>8</v>
      </c>
      <c r="S12" s="17">
        <f t="shared" ref="S12:AF12" si="4">SUM(C18:C21)</f>
        <v>48</v>
      </c>
      <c r="T12" s="17">
        <f t="shared" si="4"/>
        <v>4</v>
      </c>
      <c r="U12" s="17">
        <f t="shared" si="4"/>
        <v>12</v>
      </c>
      <c r="V12" s="17">
        <f t="shared" si="4"/>
        <v>9</v>
      </c>
      <c r="W12" s="17">
        <f t="shared" si="4"/>
        <v>0</v>
      </c>
      <c r="X12" s="17">
        <f t="shared" si="4"/>
        <v>2</v>
      </c>
      <c r="Y12" s="17">
        <f t="shared" si="4"/>
        <v>9</v>
      </c>
      <c r="Z12" s="17">
        <f t="shared" si="4"/>
        <v>6</v>
      </c>
      <c r="AA12" s="17">
        <f t="shared" si="4"/>
        <v>0</v>
      </c>
      <c r="AB12" s="17">
        <f t="shared" si="4"/>
        <v>0</v>
      </c>
      <c r="AC12" s="17">
        <f t="shared" si="4"/>
        <v>162</v>
      </c>
      <c r="AD12" s="17">
        <f t="shared" si="4"/>
        <v>0</v>
      </c>
      <c r="AE12" s="31">
        <f t="shared" si="4"/>
        <v>90</v>
      </c>
      <c r="AF12" s="31">
        <f t="shared" si="4"/>
        <v>252</v>
      </c>
    </row>
    <row r="13" spans="2:32" ht="23.1" customHeight="1" x14ac:dyDescent="0.25">
      <c r="B13" s="45" t="s">
        <v>40</v>
      </c>
      <c r="C13" s="50">
        <v>11</v>
      </c>
      <c r="D13" s="50">
        <v>8</v>
      </c>
      <c r="E13" s="50">
        <v>3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1</v>
      </c>
      <c r="L13" s="50">
        <v>0</v>
      </c>
      <c r="M13" s="50">
        <v>47</v>
      </c>
      <c r="N13" s="50">
        <v>0</v>
      </c>
      <c r="O13" s="15">
        <f t="shared" si="0"/>
        <v>27</v>
      </c>
      <c r="P13" s="15">
        <f t="shared" si="1"/>
        <v>74</v>
      </c>
      <c r="R13" s="1" t="s">
        <v>9</v>
      </c>
      <c r="S13" s="17">
        <f t="shared" ref="S13:AF13" si="5">SUM(C22:C25)</f>
        <v>30</v>
      </c>
      <c r="T13" s="17">
        <f t="shared" si="5"/>
        <v>7</v>
      </c>
      <c r="U13" s="17">
        <f t="shared" si="5"/>
        <v>7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13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130</v>
      </c>
      <c r="AD13" s="17">
        <f t="shared" si="5"/>
        <v>0</v>
      </c>
      <c r="AE13" s="31">
        <f t="shared" si="5"/>
        <v>75</v>
      </c>
      <c r="AF13" s="31">
        <f t="shared" si="5"/>
        <v>205</v>
      </c>
    </row>
    <row r="14" spans="2:32" ht="23.1" customHeight="1" x14ac:dyDescent="0.25">
      <c r="B14" s="45" t="s">
        <v>41</v>
      </c>
      <c r="C14" s="50">
        <v>16</v>
      </c>
      <c r="D14" s="50">
        <v>0</v>
      </c>
      <c r="E14" s="50">
        <v>0</v>
      </c>
      <c r="F14" s="50">
        <v>5</v>
      </c>
      <c r="G14" s="50">
        <v>1</v>
      </c>
      <c r="H14" s="50">
        <v>0</v>
      </c>
      <c r="I14" s="50">
        <v>2</v>
      </c>
      <c r="J14" s="50">
        <v>2</v>
      </c>
      <c r="K14" s="50">
        <v>1</v>
      </c>
      <c r="L14" s="50">
        <v>0</v>
      </c>
      <c r="M14" s="50">
        <v>37</v>
      </c>
      <c r="N14" s="50">
        <v>0</v>
      </c>
      <c r="O14" s="15">
        <f t="shared" si="0"/>
        <v>27</v>
      </c>
      <c r="P14" s="15">
        <f t="shared" si="1"/>
        <v>64</v>
      </c>
      <c r="R14" s="1" t="s">
        <v>10</v>
      </c>
      <c r="S14" s="17">
        <f t="shared" ref="S14:AF14" si="6">SUM(C26:C29)</f>
        <v>51</v>
      </c>
      <c r="T14" s="17">
        <f t="shared" si="6"/>
        <v>5</v>
      </c>
      <c r="U14" s="17">
        <f t="shared" si="6"/>
        <v>6</v>
      </c>
      <c r="V14" s="17">
        <f t="shared" si="6"/>
        <v>10</v>
      </c>
      <c r="W14" s="17">
        <f t="shared" si="6"/>
        <v>0</v>
      </c>
      <c r="X14" s="17">
        <f t="shared" si="6"/>
        <v>0</v>
      </c>
      <c r="Y14" s="17">
        <f t="shared" si="6"/>
        <v>14</v>
      </c>
      <c r="Z14" s="17">
        <f t="shared" si="6"/>
        <v>3</v>
      </c>
      <c r="AA14" s="17">
        <f t="shared" si="6"/>
        <v>0</v>
      </c>
      <c r="AB14" s="17">
        <f t="shared" si="6"/>
        <v>0</v>
      </c>
      <c r="AC14" s="17">
        <f t="shared" si="6"/>
        <v>186</v>
      </c>
      <c r="AD14" s="17">
        <f t="shared" si="6"/>
        <v>0</v>
      </c>
      <c r="AE14" s="31">
        <f t="shared" si="6"/>
        <v>89</v>
      </c>
      <c r="AF14" s="31">
        <f t="shared" si="6"/>
        <v>275</v>
      </c>
    </row>
    <row r="15" spans="2:32" ht="23.1" customHeight="1" x14ac:dyDescent="0.25">
      <c r="B15" s="45" t="s">
        <v>42</v>
      </c>
      <c r="C15" s="50">
        <v>8</v>
      </c>
      <c r="D15" s="50">
        <v>5</v>
      </c>
      <c r="E15" s="50">
        <v>3</v>
      </c>
      <c r="F15" s="50">
        <v>2</v>
      </c>
      <c r="G15" s="50">
        <v>0</v>
      </c>
      <c r="H15" s="50">
        <v>0</v>
      </c>
      <c r="I15" s="50">
        <v>4</v>
      </c>
      <c r="J15" s="50">
        <v>0</v>
      </c>
      <c r="K15" s="50">
        <v>0</v>
      </c>
      <c r="L15" s="50">
        <v>0</v>
      </c>
      <c r="M15" s="50">
        <v>37</v>
      </c>
      <c r="N15" s="50">
        <v>0</v>
      </c>
      <c r="O15" s="15">
        <f t="shared" si="0"/>
        <v>22</v>
      </c>
      <c r="P15" s="15">
        <f t="shared" si="1"/>
        <v>59</v>
      </c>
      <c r="R15" s="1" t="s">
        <v>11</v>
      </c>
      <c r="S15" s="17">
        <f t="shared" ref="S15:AF15" si="7">SUM(C30:C33)</f>
        <v>35</v>
      </c>
      <c r="T15" s="17">
        <f t="shared" si="7"/>
        <v>4</v>
      </c>
      <c r="U15" s="17">
        <f t="shared" si="7"/>
        <v>6</v>
      </c>
      <c r="V15" s="17">
        <f t="shared" si="7"/>
        <v>17</v>
      </c>
      <c r="W15" s="17">
        <f t="shared" si="7"/>
        <v>0</v>
      </c>
      <c r="X15" s="17">
        <f t="shared" si="7"/>
        <v>0</v>
      </c>
      <c r="Y15" s="17">
        <f t="shared" si="7"/>
        <v>12</v>
      </c>
      <c r="Z15" s="17">
        <f t="shared" si="7"/>
        <v>1</v>
      </c>
      <c r="AA15" s="17">
        <f t="shared" si="7"/>
        <v>0</v>
      </c>
      <c r="AB15" s="17">
        <f t="shared" si="7"/>
        <v>0</v>
      </c>
      <c r="AC15" s="17">
        <f t="shared" si="7"/>
        <v>165</v>
      </c>
      <c r="AD15" s="17">
        <f t="shared" si="7"/>
        <v>0</v>
      </c>
      <c r="AE15" s="31">
        <f t="shared" si="7"/>
        <v>75</v>
      </c>
      <c r="AF15" s="31">
        <f t="shared" si="7"/>
        <v>240</v>
      </c>
    </row>
    <row r="16" spans="2:32" ht="23.1" customHeight="1" x14ac:dyDescent="0.25">
      <c r="B16" s="45" t="s">
        <v>43</v>
      </c>
      <c r="C16" s="50">
        <v>8</v>
      </c>
      <c r="D16" s="50">
        <v>3</v>
      </c>
      <c r="E16" s="50">
        <v>2</v>
      </c>
      <c r="F16" s="50">
        <v>4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46</v>
      </c>
      <c r="N16" s="50">
        <v>0</v>
      </c>
      <c r="O16" s="15">
        <f t="shared" si="0"/>
        <v>21</v>
      </c>
      <c r="P16" s="15">
        <f t="shared" si="1"/>
        <v>67</v>
      </c>
      <c r="R16" s="1" t="s">
        <v>12</v>
      </c>
      <c r="S16" s="17">
        <f t="shared" ref="S16:AF16" si="8">SUM(C34:C37)</f>
        <v>33</v>
      </c>
      <c r="T16" s="17">
        <f t="shared" si="8"/>
        <v>9</v>
      </c>
      <c r="U16" s="17">
        <f t="shared" si="8"/>
        <v>7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1</v>
      </c>
      <c r="AA16" s="17">
        <f t="shared" si="8"/>
        <v>1</v>
      </c>
      <c r="AB16" s="17">
        <f t="shared" si="8"/>
        <v>1</v>
      </c>
      <c r="AC16" s="17">
        <f t="shared" si="8"/>
        <v>128</v>
      </c>
      <c r="AD16" s="17">
        <f t="shared" si="8"/>
        <v>0</v>
      </c>
      <c r="AE16" s="31">
        <f t="shared" si="8"/>
        <v>69</v>
      </c>
      <c r="AF16" s="31">
        <f t="shared" si="8"/>
        <v>197</v>
      </c>
    </row>
    <row r="17" spans="2:32" ht="23.1" customHeight="1" x14ac:dyDescent="0.25">
      <c r="B17" s="45" t="s">
        <v>44</v>
      </c>
      <c r="C17" s="50">
        <v>12</v>
      </c>
      <c r="D17" s="50">
        <v>2</v>
      </c>
      <c r="E17" s="50">
        <v>3</v>
      </c>
      <c r="F17" s="50">
        <v>0</v>
      </c>
      <c r="G17" s="50">
        <v>0</v>
      </c>
      <c r="H17" s="50">
        <v>0</v>
      </c>
      <c r="I17" s="50">
        <v>3</v>
      </c>
      <c r="J17" s="50">
        <v>3</v>
      </c>
      <c r="K17" s="50">
        <v>0</v>
      </c>
      <c r="L17" s="50">
        <v>0</v>
      </c>
      <c r="M17" s="50">
        <v>38</v>
      </c>
      <c r="N17" s="50">
        <v>0</v>
      </c>
      <c r="O17" s="15">
        <f t="shared" si="0"/>
        <v>23</v>
      </c>
      <c r="P17" s="15">
        <f t="shared" si="1"/>
        <v>61</v>
      </c>
      <c r="R17" s="1" t="s">
        <v>13</v>
      </c>
      <c r="S17" s="17">
        <f t="shared" ref="S17:AF17" si="9">SUM(C38:C41)</f>
        <v>72</v>
      </c>
      <c r="T17" s="17">
        <f t="shared" si="9"/>
        <v>9</v>
      </c>
      <c r="U17" s="17">
        <f t="shared" si="9"/>
        <v>7</v>
      </c>
      <c r="V17" s="17">
        <f t="shared" si="9"/>
        <v>14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1</v>
      </c>
      <c r="AA17" s="17">
        <f t="shared" si="9"/>
        <v>1</v>
      </c>
      <c r="AB17" s="17">
        <f t="shared" si="9"/>
        <v>0</v>
      </c>
      <c r="AC17" s="17">
        <f t="shared" si="9"/>
        <v>51</v>
      </c>
      <c r="AD17" s="17">
        <f t="shared" si="9"/>
        <v>0</v>
      </c>
      <c r="AE17" s="31">
        <f t="shared" si="9"/>
        <v>113</v>
      </c>
      <c r="AF17" s="31">
        <f t="shared" si="9"/>
        <v>164</v>
      </c>
    </row>
    <row r="18" spans="2:32" ht="23.1" customHeight="1" x14ac:dyDescent="0.25">
      <c r="B18" s="45" t="s">
        <v>45</v>
      </c>
      <c r="C18" s="50">
        <v>7</v>
      </c>
      <c r="D18" s="50">
        <v>0</v>
      </c>
      <c r="E18" s="50">
        <v>1</v>
      </c>
      <c r="F18" s="50">
        <v>0</v>
      </c>
      <c r="G18" s="50">
        <v>0</v>
      </c>
      <c r="H18" s="50">
        <v>0</v>
      </c>
      <c r="I18" s="50">
        <v>2</v>
      </c>
      <c r="J18" s="50">
        <v>1</v>
      </c>
      <c r="K18" s="50">
        <v>0</v>
      </c>
      <c r="L18" s="50">
        <v>0</v>
      </c>
      <c r="M18" s="50">
        <v>46</v>
      </c>
      <c r="N18" s="50">
        <v>0</v>
      </c>
      <c r="O18" s="15">
        <f t="shared" si="0"/>
        <v>11</v>
      </c>
      <c r="P18" s="15">
        <f t="shared" si="1"/>
        <v>57</v>
      </c>
      <c r="R18" s="1" t="s">
        <v>14</v>
      </c>
      <c r="S18" s="17">
        <f t="shared" ref="S18:AF18" si="10">SUM(C42:C45)</f>
        <v>42</v>
      </c>
      <c r="T18" s="17">
        <f t="shared" si="10"/>
        <v>7</v>
      </c>
      <c r="U18" s="17">
        <f t="shared" si="10"/>
        <v>3</v>
      </c>
      <c r="V18" s="17">
        <f t="shared" si="10"/>
        <v>10</v>
      </c>
      <c r="W18" s="17">
        <f t="shared" si="10"/>
        <v>1</v>
      </c>
      <c r="X18" s="17">
        <f t="shared" si="10"/>
        <v>0</v>
      </c>
      <c r="Y18" s="17">
        <f t="shared" si="10"/>
        <v>3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79</v>
      </c>
      <c r="AD18" s="17">
        <f t="shared" si="10"/>
        <v>0</v>
      </c>
      <c r="AE18" s="31">
        <f t="shared" si="10"/>
        <v>70</v>
      </c>
      <c r="AF18" s="31">
        <f t="shared" si="10"/>
        <v>149</v>
      </c>
    </row>
    <row r="19" spans="2:32" ht="23.1" customHeight="1" x14ac:dyDescent="0.25">
      <c r="B19" s="45" t="s">
        <v>46</v>
      </c>
      <c r="C19" s="50">
        <v>10</v>
      </c>
      <c r="D19" s="50">
        <v>1</v>
      </c>
      <c r="E19" s="50">
        <v>2</v>
      </c>
      <c r="F19" s="50">
        <v>2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27</v>
      </c>
      <c r="N19" s="50">
        <v>0</v>
      </c>
      <c r="O19" s="15">
        <f t="shared" si="0"/>
        <v>18</v>
      </c>
      <c r="P19" s="15">
        <f t="shared" si="1"/>
        <v>45</v>
      </c>
      <c r="R19" s="1" t="s">
        <v>15</v>
      </c>
      <c r="S19" s="17">
        <f t="shared" ref="S19:AF19" si="11">SUM(C46:C49)</f>
        <v>52</v>
      </c>
      <c r="T19" s="17">
        <f t="shared" si="11"/>
        <v>14</v>
      </c>
      <c r="U19" s="17">
        <f t="shared" si="11"/>
        <v>9</v>
      </c>
      <c r="V19" s="17">
        <f t="shared" si="11"/>
        <v>23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184</v>
      </c>
      <c r="AD19" s="17">
        <f t="shared" si="11"/>
        <v>0</v>
      </c>
      <c r="AE19" s="31">
        <f t="shared" si="11"/>
        <v>108</v>
      </c>
      <c r="AF19" s="31">
        <f t="shared" si="11"/>
        <v>292</v>
      </c>
    </row>
    <row r="20" spans="2:32" ht="23.1" customHeight="1" x14ac:dyDescent="0.25">
      <c r="B20" s="45" t="s">
        <v>47</v>
      </c>
      <c r="C20" s="50">
        <v>15</v>
      </c>
      <c r="D20" s="50">
        <v>2</v>
      </c>
      <c r="E20" s="50">
        <v>4</v>
      </c>
      <c r="F20" s="50">
        <v>2</v>
      </c>
      <c r="G20" s="50">
        <v>0</v>
      </c>
      <c r="H20" s="50">
        <v>2</v>
      </c>
      <c r="I20" s="50">
        <v>4</v>
      </c>
      <c r="J20" s="50">
        <v>2</v>
      </c>
      <c r="K20" s="50">
        <v>0</v>
      </c>
      <c r="L20" s="50">
        <v>0</v>
      </c>
      <c r="M20" s="50">
        <v>50</v>
      </c>
      <c r="N20" s="50">
        <v>0</v>
      </c>
      <c r="O20" s="15">
        <f t="shared" si="0"/>
        <v>31</v>
      </c>
      <c r="P20" s="15">
        <f t="shared" si="1"/>
        <v>81</v>
      </c>
      <c r="R20" s="1" t="s">
        <v>16</v>
      </c>
      <c r="S20" s="17">
        <f t="shared" ref="S20:AF20" si="12">SUM(C50:C53)</f>
        <v>59</v>
      </c>
      <c r="T20" s="17">
        <f t="shared" si="12"/>
        <v>3</v>
      </c>
      <c r="U20" s="17">
        <f t="shared" si="12"/>
        <v>4</v>
      </c>
      <c r="V20" s="17">
        <f t="shared" si="12"/>
        <v>22</v>
      </c>
      <c r="W20" s="17">
        <f t="shared" si="12"/>
        <v>0</v>
      </c>
      <c r="X20" s="17">
        <f t="shared" si="12"/>
        <v>0</v>
      </c>
      <c r="Y20" s="17">
        <f t="shared" si="12"/>
        <v>17</v>
      </c>
      <c r="Z20" s="17">
        <f t="shared" si="12"/>
        <v>3</v>
      </c>
      <c r="AA20" s="17">
        <f t="shared" si="12"/>
        <v>0</v>
      </c>
      <c r="AB20" s="17">
        <f t="shared" si="12"/>
        <v>0</v>
      </c>
      <c r="AC20" s="17">
        <f t="shared" si="12"/>
        <v>198</v>
      </c>
      <c r="AD20" s="17">
        <f t="shared" si="12"/>
        <v>0</v>
      </c>
      <c r="AE20" s="31">
        <f t="shared" si="12"/>
        <v>108</v>
      </c>
      <c r="AF20" s="31">
        <f t="shared" si="12"/>
        <v>306</v>
      </c>
    </row>
    <row r="21" spans="2:32" ht="23.1" customHeight="1" x14ac:dyDescent="0.25">
      <c r="B21" s="45" t="s">
        <v>48</v>
      </c>
      <c r="C21" s="50">
        <v>16</v>
      </c>
      <c r="D21" s="50">
        <v>1</v>
      </c>
      <c r="E21" s="50">
        <v>5</v>
      </c>
      <c r="F21" s="50">
        <v>5</v>
      </c>
      <c r="G21" s="50">
        <v>0</v>
      </c>
      <c r="H21" s="50">
        <v>0</v>
      </c>
      <c r="I21" s="50">
        <v>2</v>
      </c>
      <c r="J21" s="50">
        <v>1</v>
      </c>
      <c r="K21" s="50">
        <v>0</v>
      </c>
      <c r="L21" s="50">
        <v>0</v>
      </c>
      <c r="M21" s="50">
        <v>39</v>
      </c>
      <c r="N21" s="50">
        <v>0</v>
      </c>
      <c r="O21" s="15">
        <f t="shared" si="0"/>
        <v>30</v>
      </c>
      <c r="P21" s="15">
        <f t="shared" si="1"/>
        <v>69</v>
      </c>
      <c r="R21" s="36" t="s">
        <v>20</v>
      </c>
      <c r="S21" s="34">
        <f t="shared" ref="S21:AF21" si="13">SUM(C54:C57)</f>
        <v>77</v>
      </c>
      <c r="T21" s="17">
        <f t="shared" si="13"/>
        <v>6</v>
      </c>
      <c r="U21" s="17">
        <f t="shared" si="13"/>
        <v>14</v>
      </c>
      <c r="V21" s="17">
        <f t="shared" si="13"/>
        <v>16</v>
      </c>
      <c r="W21" s="17">
        <f t="shared" si="13"/>
        <v>0</v>
      </c>
      <c r="X21" s="17">
        <f t="shared" si="13"/>
        <v>0</v>
      </c>
      <c r="Y21" s="17">
        <f t="shared" si="13"/>
        <v>15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194</v>
      </c>
      <c r="AD21" s="17">
        <f t="shared" si="13"/>
        <v>0</v>
      </c>
      <c r="AE21" s="31">
        <f t="shared" si="13"/>
        <v>130</v>
      </c>
      <c r="AF21" s="31">
        <f t="shared" si="13"/>
        <v>324</v>
      </c>
    </row>
    <row r="22" spans="2:32" ht="23.1" customHeight="1" x14ac:dyDescent="0.25">
      <c r="B22" s="45" t="s">
        <v>49</v>
      </c>
      <c r="C22" s="50">
        <v>11</v>
      </c>
      <c r="D22" s="50">
        <v>0</v>
      </c>
      <c r="E22" s="50">
        <v>3</v>
      </c>
      <c r="F22" s="50">
        <v>2</v>
      </c>
      <c r="G22" s="50">
        <v>0</v>
      </c>
      <c r="H22" s="50">
        <v>0</v>
      </c>
      <c r="I22" s="50">
        <v>6</v>
      </c>
      <c r="J22" s="50">
        <v>1</v>
      </c>
      <c r="K22" s="50">
        <v>0</v>
      </c>
      <c r="L22" s="50">
        <v>0</v>
      </c>
      <c r="M22" s="50">
        <v>34</v>
      </c>
      <c r="N22" s="50">
        <v>0</v>
      </c>
      <c r="O22" s="15">
        <f t="shared" si="0"/>
        <v>23</v>
      </c>
      <c r="P22" s="15">
        <f t="shared" si="1"/>
        <v>57</v>
      </c>
      <c r="R22" s="36" t="s">
        <v>146</v>
      </c>
      <c r="S22" s="34">
        <f>SUM(C58:C61)</f>
        <v>45</v>
      </c>
      <c r="T22" s="34">
        <f t="shared" ref="T22:AF22" si="14">SUM(D58:D61)</f>
        <v>4</v>
      </c>
      <c r="U22" s="34">
        <f t="shared" si="14"/>
        <v>6</v>
      </c>
      <c r="V22" s="34">
        <f t="shared" si="14"/>
        <v>8</v>
      </c>
      <c r="W22" s="34">
        <f t="shared" si="14"/>
        <v>0</v>
      </c>
      <c r="X22" s="34">
        <f t="shared" si="14"/>
        <v>0</v>
      </c>
      <c r="Y22" s="34">
        <f t="shared" si="14"/>
        <v>9</v>
      </c>
      <c r="Z22" s="34">
        <f t="shared" si="14"/>
        <v>3</v>
      </c>
      <c r="AA22" s="34">
        <f t="shared" si="14"/>
        <v>1</v>
      </c>
      <c r="AB22" s="34">
        <f t="shared" si="14"/>
        <v>0</v>
      </c>
      <c r="AC22" s="34">
        <f t="shared" si="14"/>
        <v>171</v>
      </c>
      <c r="AD22" s="34">
        <f t="shared" si="14"/>
        <v>0</v>
      </c>
      <c r="AE22" s="31">
        <f t="shared" si="14"/>
        <v>76</v>
      </c>
      <c r="AF22" s="31">
        <f t="shared" si="14"/>
        <v>247</v>
      </c>
    </row>
    <row r="23" spans="2:32" ht="23.1" customHeight="1" x14ac:dyDescent="0.25">
      <c r="B23" s="45" t="s">
        <v>50</v>
      </c>
      <c r="C23" s="50">
        <v>5</v>
      </c>
      <c r="D23" s="50">
        <v>3</v>
      </c>
      <c r="E23" s="50">
        <v>3</v>
      </c>
      <c r="F23" s="50">
        <v>6</v>
      </c>
      <c r="G23" s="50">
        <v>0</v>
      </c>
      <c r="H23" s="50">
        <v>0</v>
      </c>
      <c r="I23" s="50">
        <v>4</v>
      </c>
      <c r="J23" s="50">
        <v>2</v>
      </c>
      <c r="K23" s="50">
        <v>0</v>
      </c>
      <c r="L23" s="50">
        <v>0</v>
      </c>
      <c r="M23" s="50">
        <v>41</v>
      </c>
      <c r="N23" s="50">
        <v>0</v>
      </c>
      <c r="O23" s="15">
        <f t="shared" si="0"/>
        <v>23</v>
      </c>
      <c r="P23" s="15">
        <f t="shared" si="1"/>
        <v>64</v>
      </c>
      <c r="R23" s="36" t="s">
        <v>147</v>
      </c>
      <c r="S23" s="34">
        <f>SUM(C62:C65)</f>
        <v>23</v>
      </c>
      <c r="T23" s="34">
        <f t="shared" ref="T23:AF23" si="15">SUM(D62:D65)</f>
        <v>5</v>
      </c>
      <c r="U23" s="34">
        <f t="shared" si="15"/>
        <v>3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1</v>
      </c>
      <c r="AA23" s="34">
        <f t="shared" si="15"/>
        <v>0</v>
      </c>
      <c r="AB23" s="34">
        <f t="shared" si="15"/>
        <v>0</v>
      </c>
      <c r="AC23" s="34">
        <f t="shared" si="15"/>
        <v>110</v>
      </c>
      <c r="AD23" s="34">
        <f t="shared" si="15"/>
        <v>0</v>
      </c>
      <c r="AE23" s="31">
        <f t="shared" si="15"/>
        <v>40</v>
      </c>
      <c r="AF23" s="31">
        <f t="shared" si="15"/>
        <v>150</v>
      </c>
    </row>
    <row r="24" spans="2:32" ht="23.1" customHeight="1" x14ac:dyDescent="0.25">
      <c r="B24" s="45" t="s">
        <v>51</v>
      </c>
      <c r="C24" s="50">
        <v>8</v>
      </c>
      <c r="D24" s="50">
        <v>4</v>
      </c>
      <c r="E24" s="50">
        <v>0</v>
      </c>
      <c r="F24" s="50">
        <v>2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27</v>
      </c>
      <c r="N24" s="50">
        <v>0</v>
      </c>
      <c r="O24" s="15">
        <f t="shared" si="0"/>
        <v>18</v>
      </c>
      <c r="P24" s="15">
        <f t="shared" si="1"/>
        <v>45</v>
      </c>
      <c r="R24" s="36" t="s">
        <v>148</v>
      </c>
      <c r="S24" s="34">
        <f>SUM(C66:C69)</f>
        <v>11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6</v>
      </c>
      <c r="Z24" s="34">
        <f t="shared" si="16"/>
        <v>1</v>
      </c>
      <c r="AA24" s="34">
        <f t="shared" si="16"/>
        <v>1</v>
      </c>
      <c r="AB24" s="34">
        <f t="shared" si="16"/>
        <v>0</v>
      </c>
      <c r="AC24" s="34">
        <f t="shared" si="16"/>
        <v>50</v>
      </c>
      <c r="AD24" s="34">
        <f t="shared" si="16"/>
        <v>0</v>
      </c>
      <c r="AE24" s="31">
        <f t="shared" si="16"/>
        <v>21</v>
      </c>
      <c r="AF24" s="31">
        <f t="shared" si="16"/>
        <v>71</v>
      </c>
    </row>
    <row r="25" spans="2:32" ht="23.1" customHeight="1" x14ac:dyDescent="0.25">
      <c r="B25" s="45" t="s">
        <v>52</v>
      </c>
      <c r="C25" s="50">
        <v>6</v>
      </c>
      <c r="D25" s="50">
        <v>0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28</v>
      </c>
      <c r="N25" s="50">
        <v>0</v>
      </c>
      <c r="O25" s="15">
        <f t="shared" si="0"/>
        <v>11</v>
      </c>
      <c r="P25" s="15">
        <f t="shared" si="1"/>
        <v>39</v>
      </c>
      <c r="R25" s="36" t="s">
        <v>149</v>
      </c>
      <c r="S25" s="34">
        <f>SUM(C70:C73)</f>
        <v>14</v>
      </c>
      <c r="T25" s="34">
        <f t="shared" ref="T25:AF25" si="17">SUM(D70:D73)</f>
        <v>2</v>
      </c>
      <c r="U25" s="34">
        <f t="shared" si="17"/>
        <v>4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2</v>
      </c>
      <c r="AA25" s="34">
        <f t="shared" si="17"/>
        <v>0</v>
      </c>
      <c r="AB25" s="34">
        <f t="shared" si="17"/>
        <v>0</v>
      </c>
      <c r="AC25" s="34">
        <f t="shared" si="17"/>
        <v>50</v>
      </c>
      <c r="AD25" s="34">
        <f t="shared" si="17"/>
        <v>0</v>
      </c>
      <c r="AE25" s="31">
        <f t="shared" si="17"/>
        <v>27</v>
      </c>
      <c r="AF25" s="31">
        <f t="shared" si="17"/>
        <v>77</v>
      </c>
    </row>
    <row r="26" spans="2:32" ht="23.1" customHeight="1" x14ac:dyDescent="0.25">
      <c r="B26" s="45" t="s">
        <v>53</v>
      </c>
      <c r="C26" s="50">
        <v>13</v>
      </c>
      <c r="D26" s="50">
        <v>1</v>
      </c>
      <c r="E26" s="50">
        <v>0</v>
      </c>
      <c r="F26" s="50">
        <v>3</v>
      </c>
      <c r="G26" s="50">
        <v>0</v>
      </c>
      <c r="H26" s="50">
        <v>0</v>
      </c>
      <c r="I26" s="50">
        <v>4</v>
      </c>
      <c r="J26" s="50">
        <v>1</v>
      </c>
      <c r="K26" s="50">
        <v>0</v>
      </c>
      <c r="L26" s="50">
        <v>0</v>
      </c>
      <c r="M26" s="50">
        <v>52</v>
      </c>
      <c r="N26" s="50">
        <v>0</v>
      </c>
      <c r="O26" s="15">
        <f t="shared" si="0"/>
        <v>22</v>
      </c>
      <c r="P26" s="15">
        <f t="shared" si="1"/>
        <v>74</v>
      </c>
      <c r="R26" s="36" t="s">
        <v>150</v>
      </c>
      <c r="S26" s="34">
        <f>SUM(C74:C77)</f>
        <v>8</v>
      </c>
      <c r="T26" s="34">
        <f t="shared" ref="T26:AF26" si="18">SUM(D74:D77)</f>
        <v>4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24</v>
      </c>
      <c r="AD26" s="34">
        <f t="shared" si="18"/>
        <v>0</v>
      </c>
      <c r="AE26" s="31">
        <f t="shared" si="18"/>
        <v>17</v>
      </c>
      <c r="AF26" s="31">
        <f t="shared" si="18"/>
        <v>41</v>
      </c>
    </row>
    <row r="27" spans="2:32" ht="23.1" customHeight="1" x14ac:dyDescent="0.25">
      <c r="B27" s="45" t="s">
        <v>54</v>
      </c>
      <c r="C27" s="50">
        <v>12</v>
      </c>
      <c r="D27" s="50">
        <v>0</v>
      </c>
      <c r="E27" s="50">
        <v>1</v>
      </c>
      <c r="F27" s="50">
        <v>2</v>
      </c>
      <c r="G27" s="50">
        <v>0</v>
      </c>
      <c r="H27" s="50">
        <v>0</v>
      </c>
      <c r="I27" s="50">
        <v>5</v>
      </c>
      <c r="J27" s="50">
        <v>1</v>
      </c>
      <c r="K27" s="50">
        <v>0</v>
      </c>
      <c r="L27" s="50">
        <v>0</v>
      </c>
      <c r="M27" s="50">
        <v>46</v>
      </c>
      <c r="N27" s="50">
        <v>0</v>
      </c>
      <c r="O27" s="15">
        <f t="shared" si="0"/>
        <v>21</v>
      </c>
      <c r="P27" s="15">
        <f t="shared" si="1"/>
        <v>67</v>
      </c>
      <c r="R27" s="36" t="s">
        <v>151</v>
      </c>
      <c r="S27" s="34">
        <f>SUM(C78:C81)</f>
        <v>4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9</v>
      </c>
      <c r="AD27" s="34">
        <f t="shared" si="19"/>
        <v>0</v>
      </c>
      <c r="AE27" s="31">
        <f t="shared" si="19"/>
        <v>9</v>
      </c>
      <c r="AF27" s="31">
        <f t="shared" si="19"/>
        <v>18</v>
      </c>
    </row>
    <row r="28" spans="2:32" ht="23.1" customHeight="1" x14ac:dyDescent="0.25">
      <c r="B28" s="45" t="s">
        <v>55</v>
      </c>
      <c r="C28" s="50">
        <v>16</v>
      </c>
      <c r="D28" s="50">
        <v>2</v>
      </c>
      <c r="E28" s="50">
        <v>4</v>
      </c>
      <c r="F28" s="50">
        <v>1</v>
      </c>
      <c r="G28" s="50">
        <v>0</v>
      </c>
      <c r="H28" s="50">
        <v>0</v>
      </c>
      <c r="I28" s="50">
        <v>0</v>
      </c>
      <c r="J28" s="50">
        <v>1</v>
      </c>
      <c r="K28" s="50">
        <v>0</v>
      </c>
      <c r="L28" s="50">
        <v>0</v>
      </c>
      <c r="M28" s="50">
        <v>36</v>
      </c>
      <c r="N28" s="50">
        <v>0</v>
      </c>
      <c r="O28" s="15">
        <f t="shared" si="0"/>
        <v>24</v>
      </c>
      <c r="P28" s="15">
        <f t="shared" si="1"/>
        <v>60</v>
      </c>
      <c r="R28" s="36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8</v>
      </c>
      <c r="AD28" s="34">
        <f t="shared" si="20"/>
        <v>0</v>
      </c>
      <c r="AE28" s="31">
        <f t="shared" si="20"/>
        <v>6</v>
      </c>
      <c r="AF28" s="31">
        <f t="shared" si="20"/>
        <v>14</v>
      </c>
    </row>
    <row r="29" spans="2:32" ht="23.1" customHeight="1" x14ac:dyDescent="0.25">
      <c r="B29" s="45" t="s">
        <v>56</v>
      </c>
      <c r="C29" s="50">
        <v>10</v>
      </c>
      <c r="D29" s="50">
        <v>2</v>
      </c>
      <c r="E29" s="50">
        <v>1</v>
      </c>
      <c r="F29" s="50">
        <v>4</v>
      </c>
      <c r="G29" s="50">
        <v>0</v>
      </c>
      <c r="H29" s="50">
        <v>0</v>
      </c>
      <c r="I29" s="50">
        <v>5</v>
      </c>
      <c r="J29" s="50">
        <v>0</v>
      </c>
      <c r="K29" s="50">
        <v>0</v>
      </c>
      <c r="L29" s="50">
        <v>0</v>
      </c>
      <c r="M29" s="50">
        <v>52</v>
      </c>
      <c r="N29" s="50">
        <v>0</v>
      </c>
      <c r="O29" s="15">
        <f t="shared" si="0"/>
        <v>22</v>
      </c>
      <c r="P29" s="15">
        <f t="shared" si="1"/>
        <v>74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2</v>
      </c>
      <c r="AA29" s="34">
        <f t="shared" si="21"/>
        <v>0</v>
      </c>
      <c r="AB29" s="34">
        <f t="shared" si="21"/>
        <v>0</v>
      </c>
      <c r="AC29" s="34">
        <f t="shared" si="21"/>
        <v>2</v>
      </c>
      <c r="AD29" s="34">
        <f t="shared" si="21"/>
        <v>0</v>
      </c>
      <c r="AE29" s="31">
        <f t="shared" si="21"/>
        <v>4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9</v>
      </c>
      <c r="D30" s="50">
        <v>2</v>
      </c>
      <c r="E30" s="50">
        <v>0</v>
      </c>
      <c r="F30" s="50">
        <v>6</v>
      </c>
      <c r="G30" s="50">
        <v>0</v>
      </c>
      <c r="H30" s="50">
        <v>0</v>
      </c>
      <c r="I30" s="50">
        <v>2</v>
      </c>
      <c r="J30" s="50">
        <v>0</v>
      </c>
      <c r="K30" s="50">
        <v>0</v>
      </c>
      <c r="L30" s="50">
        <v>0</v>
      </c>
      <c r="M30" s="50">
        <v>40</v>
      </c>
      <c r="N30" s="50">
        <v>0</v>
      </c>
      <c r="O30" s="15">
        <f t="shared" si="0"/>
        <v>19</v>
      </c>
      <c r="P30" s="15">
        <f t="shared" si="1"/>
        <v>59</v>
      </c>
      <c r="R30" s="36" t="s">
        <v>154</v>
      </c>
      <c r="S30" s="34">
        <f>SUM(C90:C93)</f>
        <v>5</v>
      </c>
      <c r="T30" s="34">
        <f t="shared" ref="T30:AF30" si="22">SUM(D90:D93)</f>
        <v>2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0</v>
      </c>
      <c r="AB30" s="34">
        <f t="shared" si="22"/>
        <v>1</v>
      </c>
      <c r="AC30" s="34">
        <f t="shared" si="22"/>
        <v>1</v>
      </c>
      <c r="AD30" s="34">
        <f t="shared" si="22"/>
        <v>0</v>
      </c>
      <c r="AE30" s="31">
        <f t="shared" si="22"/>
        <v>10</v>
      </c>
      <c r="AF30" s="31">
        <f t="shared" si="22"/>
        <v>11</v>
      </c>
    </row>
    <row r="31" spans="2:32" ht="23.1" customHeight="1" x14ac:dyDescent="0.25">
      <c r="B31" s="46" t="s">
        <v>58</v>
      </c>
      <c r="C31" s="50">
        <v>8</v>
      </c>
      <c r="D31" s="50">
        <v>1</v>
      </c>
      <c r="E31" s="50">
        <v>5</v>
      </c>
      <c r="F31" s="50">
        <v>2</v>
      </c>
      <c r="G31" s="50">
        <v>0</v>
      </c>
      <c r="H31" s="50">
        <v>0</v>
      </c>
      <c r="I31" s="50">
        <v>4</v>
      </c>
      <c r="J31" s="50">
        <v>0</v>
      </c>
      <c r="K31" s="50">
        <v>0</v>
      </c>
      <c r="L31" s="50">
        <v>0</v>
      </c>
      <c r="M31" s="50">
        <v>43</v>
      </c>
      <c r="N31" s="50">
        <v>0</v>
      </c>
      <c r="O31" s="15">
        <f t="shared" si="0"/>
        <v>20</v>
      </c>
      <c r="P31" s="15">
        <f t="shared" si="1"/>
        <v>63</v>
      </c>
      <c r="R31" s="36" t="s">
        <v>155</v>
      </c>
      <c r="S31" s="34">
        <f>SUM(C94:C97)</f>
        <v>6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1</v>
      </c>
      <c r="AC31" s="34">
        <f t="shared" si="23"/>
        <v>2</v>
      </c>
      <c r="AD31" s="34">
        <f t="shared" si="23"/>
        <v>0</v>
      </c>
      <c r="AE31" s="31">
        <f t="shared" si="23"/>
        <v>8</v>
      </c>
      <c r="AF31" s="31">
        <f t="shared" si="23"/>
        <v>10</v>
      </c>
    </row>
    <row r="32" spans="2:32" ht="23.1" customHeight="1" x14ac:dyDescent="0.25">
      <c r="B32" s="46" t="s">
        <v>59</v>
      </c>
      <c r="C32" s="50">
        <v>12</v>
      </c>
      <c r="D32" s="50">
        <v>1</v>
      </c>
      <c r="E32" s="50">
        <v>1</v>
      </c>
      <c r="F32" s="50">
        <v>4</v>
      </c>
      <c r="G32" s="50">
        <v>0</v>
      </c>
      <c r="H32" s="50">
        <v>0</v>
      </c>
      <c r="I32" s="50">
        <v>5</v>
      </c>
      <c r="J32" s="50">
        <v>1</v>
      </c>
      <c r="K32" s="50">
        <v>0</v>
      </c>
      <c r="L32" s="50">
        <v>0</v>
      </c>
      <c r="M32" s="50">
        <v>40</v>
      </c>
      <c r="N32" s="50">
        <v>0</v>
      </c>
      <c r="O32" s="15">
        <f t="shared" si="0"/>
        <v>24</v>
      </c>
      <c r="P32" s="15">
        <f t="shared" si="1"/>
        <v>64</v>
      </c>
      <c r="R32" s="33" t="s">
        <v>156</v>
      </c>
      <c r="S32" s="34">
        <f>SUM(C98:C101)</f>
        <v>6</v>
      </c>
      <c r="T32" s="34">
        <f t="shared" ref="T32:AF32" si="24">SUM(D98:D101)</f>
        <v>0</v>
      </c>
      <c r="U32" s="34">
        <f t="shared" si="24"/>
        <v>2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2</v>
      </c>
      <c r="AA32" s="34">
        <f t="shared" si="24"/>
        <v>0</v>
      </c>
      <c r="AB32" s="34">
        <f t="shared" si="24"/>
        <v>2</v>
      </c>
      <c r="AC32" s="34">
        <f t="shared" si="24"/>
        <v>2</v>
      </c>
      <c r="AD32" s="34">
        <f t="shared" si="24"/>
        <v>0</v>
      </c>
      <c r="AE32" s="31">
        <f t="shared" si="24"/>
        <v>14</v>
      </c>
      <c r="AF32" s="31">
        <f t="shared" si="24"/>
        <v>16</v>
      </c>
    </row>
    <row r="33" spans="2:32" ht="23.1" customHeight="1" x14ac:dyDescent="0.25">
      <c r="B33" s="45" t="s">
        <v>60</v>
      </c>
      <c r="C33" s="50">
        <v>6</v>
      </c>
      <c r="D33" s="50">
        <v>0</v>
      </c>
      <c r="E33" s="50">
        <v>0</v>
      </c>
      <c r="F33" s="50">
        <v>5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42</v>
      </c>
      <c r="N33" s="50">
        <v>0</v>
      </c>
      <c r="O33" s="15">
        <f t="shared" si="0"/>
        <v>12</v>
      </c>
      <c r="P33" s="15">
        <f t="shared" si="1"/>
        <v>54</v>
      </c>
      <c r="R33" s="33" t="s">
        <v>157</v>
      </c>
      <c r="S33" s="34">
        <f>SUM(C102:C105)</f>
        <v>16</v>
      </c>
      <c r="T33" s="34">
        <f t="shared" ref="T33:AF33" si="25">SUM(D102:D105)</f>
        <v>2</v>
      </c>
      <c r="U33" s="34">
        <f t="shared" si="25"/>
        <v>1</v>
      </c>
      <c r="V33" s="34">
        <f t="shared" si="25"/>
        <v>6</v>
      </c>
      <c r="W33" s="34">
        <f t="shared" si="25"/>
        <v>0</v>
      </c>
      <c r="X33" s="34">
        <f t="shared" si="25"/>
        <v>0</v>
      </c>
      <c r="Y33" s="34">
        <f t="shared" si="25"/>
        <v>1</v>
      </c>
      <c r="Z33" s="34">
        <f t="shared" si="25"/>
        <v>3</v>
      </c>
      <c r="AA33" s="34">
        <f t="shared" si="25"/>
        <v>1</v>
      </c>
      <c r="AB33" s="34">
        <f t="shared" si="25"/>
        <v>1</v>
      </c>
      <c r="AC33" s="34">
        <f t="shared" si="25"/>
        <v>39</v>
      </c>
      <c r="AD33" s="34">
        <f t="shared" si="25"/>
        <v>0</v>
      </c>
      <c r="AE33" s="31">
        <f t="shared" si="25"/>
        <v>31</v>
      </c>
      <c r="AF33" s="31">
        <f t="shared" si="25"/>
        <v>70</v>
      </c>
    </row>
    <row r="34" spans="2:32" ht="23.1" customHeight="1" x14ac:dyDescent="0.25">
      <c r="B34" s="46" t="s">
        <v>61</v>
      </c>
      <c r="C34" s="50">
        <v>8</v>
      </c>
      <c r="D34" s="50">
        <v>1</v>
      </c>
      <c r="E34" s="50">
        <v>3</v>
      </c>
      <c r="F34" s="50">
        <v>4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25</v>
      </c>
      <c r="N34" s="50">
        <v>0</v>
      </c>
      <c r="O34" s="15">
        <f t="shared" si="0"/>
        <v>16</v>
      </c>
      <c r="P34" s="15">
        <f t="shared" si="1"/>
        <v>41</v>
      </c>
      <c r="R34" s="38" t="s">
        <v>90</v>
      </c>
      <c r="S34" s="39">
        <f t="shared" ref="S34:AF34" si="26">MAX(S10:S12)</f>
        <v>53</v>
      </c>
      <c r="T34" s="39">
        <f t="shared" si="26"/>
        <v>13</v>
      </c>
      <c r="U34" s="39">
        <f t="shared" si="26"/>
        <v>12</v>
      </c>
      <c r="V34" s="39">
        <f t="shared" si="26"/>
        <v>11</v>
      </c>
      <c r="W34" s="39">
        <f t="shared" si="26"/>
        <v>1</v>
      </c>
      <c r="X34" s="39">
        <f t="shared" si="26"/>
        <v>2</v>
      </c>
      <c r="Y34" s="39">
        <f t="shared" si="26"/>
        <v>12</v>
      </c>
      <c r="Z34" s="39">
        <f t="shared" si="26"/>
        <v>8</v>
      </c>
      <c r="AA34" s="39">
        <f t="shared" si="26"/>
        <v>1</v>
      </c>
      <c r="AB34" s="39">
        <f t="shared" si="26"/>
        <v>0</v>
      </c>
      <c r="AC34" s="39">
        <f t="shared" si="26"/>
        <v>162</v>
      </c>
      <c r="AD34" s="39">
        <f t="shared" si="26"/>
        <v>0</v>
      </c>
      <c r="AE34" s="40">
        <f t="shared" si="26"/>
        <v>96</v>
      </c>
      <c r="AF34" s="40">
        <f t="shared" si="26"/>
        <v>252</v>
      </c>
    </row>
    <row r="35" spans="2:32" ht="23.1" customHeight="1" x14ac:dyDescent="0.25">
      <c r="B35" s="46" t="s">
        <v>62</v>
      </c>
      <c r="C35" s="50">
        <v>11</v>
      </c>
      <c r="D35" s="50">
        <v>1</v>
      </c>
      <c r="E35" s="50">
        <v>3</v>
      </c>
      <c r="F35" s="50">
        <v>1</v>
      </c>
      <c r="G35" s="50">
        <v>0</v>
      </c>
      <c r="H35" s="50">
        <v>0</v>
      </c>
      <c r="I35" s="50">
        <v>3</v>
      </c>
      <c r="J35" s="50">
        <v>0</v>
      </c>
      <c r="K35" s="50">
        <v>0</v>
      </c>
      <c r="L35" s="50">
        <v>0</v>
      </c>
      <c r="M35" s="50">
        <v>36</v>
      </c>
      <c r="N35" s="50">
        <v>0</v>
      </c>
      <c r="O35" s="15">
        <f t="shared" si="0"/>
        <v>19</v>
      </c>
      <c r="P35" s="15">
        <f t="shared" si="1"/>
        <v>55</v>
      </c>
      <c r="R35" s="38" t="s">
        <v>91</v>
      </c>
      <c r="S35" s="39">
        <f t="shared" ref="S35:AF35" si="27">MAX(S13:S18)</f>
        <v>72</v>
      </c>
      <c r="T35" s="39">
        <f t="shared" si="27"/>
        <v>9</v>
      </c>
      <c r="U35" s="39">
        <f t="shared" si="27"/>
        <v>7</v>
      </c>
      <c r="V35" s="39">
        <f t="shared" si="27"/>
        <v>17</v>
      </c>
      <c r="W35" s="39">
        <f t="shared" si="27"/>
        <v>1</v>
      </c>
      <c r="X35" s="39">
        <f t="shared" si="27"/>
        <v>0</v>
      </c>
      <c r="Y35" s="39">
        <f t="shared" si="27"/>
        <v>14</v>
      </c>
      <c r="Z35" s="39">
        <f t="shared" si="27"/>
        <v>6</v>
      </c>
      <c r="AA35" s="39">
        <f t="shared" si="27"/>
        <v>1</v>
      </c>
      <c r="AB35" s="39">
        <f t="shared" si="27"/>
        <v>1</v>
      </c>
      <c r="AC35" s="39">
        <f t="shared" si="27"/>
        <v>186</v>
      </c>
      <c r="AD35" s="39">
        <f t="shared" si="27"/>
        <v>0</v>
      </c>
      <c r="AE35" s="40">
        <f t="shared" si="27"/>
        <v>113</v>
      </c>
      <c r="AF35" s="40">
        <f t="shared" si="27"/>
        <v>275</v>
      </c>
    </row>
    <row r="36" spans="2:32" ht="23.1" customHeight="1" x14ac:dyDescent="0.25">
      <c r="B36" s="46" t="s">
        <v>63</v>
      </c>
      <c r="C36" s="50">
        <v>5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1</v>
      </c>
      <c r="K36" s="50">
        <v>0</v>
      </c>
      <c r="L36" s="50">
        <v>0</v>
      </c>
      <c r="M36" s="50">
        <v>29</v>
      </c>
      <c r="N36" s="50">
        <v>0</v>
      </c>
      <c r="O36" s="15">
        <f t="shared" si="0"/>
        <v>12</v>
      </c>
      <c r="P36" s="15">
        <f t="shared" si="1"/>
        <v>41</v>
      </c>
      <c r="R36" s="38" t="s">
        <v>92</v>
      </c>
      <c r="S36" s="39">
        <f t="shared" ref="S36:AF36" si="28">MAX(S19:S21)</f>
        <v>77</v>
      </c>
      <c r="T36" s="39">
        <f t="shared" si="28"/>
        <v>14</v>
      </c>
      <c r="U36" s="39">
        <f t="shared" si="28"/>
        <v>14</v>
      </c>
      <c r="V36" s="39">
        <f t="shared" si="28"/>
        <v>23</v>
      </c>
      <c r="W36" s="39">
        <f t="shared" si="28"/>
        <v>0</v>
      </c>
      <c r="X36" s="39">
        <f t="shared" si="28"/>
        <v>0</v>
      </c>
      <c r="Y36" s="39">
        <f t="shared" si="28"/>
        <v>17</v>
      </c>
      <c r="Z36" s="39">
        <f t="shared" si="28"/>
        <v>3</v>
      </c>
      <c r="AA36" s="39">
        <f t="shared" si="28"/>
        <v>0</v>
      </c>
      <c r="AB36" s="39">
        <f t="shared" si="28"/>
        <v>0</v>
      </c>
      <c r="AC36" s="39">
        <f t="shared" si="28"/>
        <v>198</v>
      </c>
      <c r="AD36" s="39">
        <f t="shared" si="28"/>
        <v>0</v>
      </c>
      <c r="AE36" s="40">
        <f t="shared" si="28"/>
        <v>130</v>
      </c>
      <c r="AF36" s="40">
        <f t="shared" si="28"/>
        <v>324</v>
      </c>
    </row>
    <row r="37" spans="2:32" ht="23.1" customHeight="1" x14ac:dyDescent="0.25">
      <c r="B37" s="45" t="s">
        <v>64</v>
      </c>
      <c r="C37" s="50">
        <v>9</v>
      </c>
      <c r="D37" s="50">
        <v>6</v>
      </c>
      <c r="E37" s="50">
        <v>0</v>
      </c>
      <c r="F37" s="50">
        <v>2</v>
      </c>
      <c r="G37" s="50">
        <v>0</v>
      </c>
      <c r="H37" s="50">
        <v>0</v>
      </c>
      <c r="I37" s="50">
        <v>3</v>
      </c>
      <c r="J37" s="50">
        <v>0</v>
      </c>
      <c r="K37" s="50">
        <v>1</v>
      </c>
      <c r="L37" s="50">
        <v>1</v>
      </c>
      <c r="M37" s="50">
        <v>38</v>
      </c>
      <c r="N37" s="50">
        <v>0</v>
      </c>
      <c r="O37" s="15">
        <f t="shared" si="0"/>
        <v>22</v>
      </c>
      <c r="P37" s="15">
        <f t="shared" si="1"/>
        <v>60</v>
      </c>
      <c r="R37" s="37" t="s">
        <v>85</v>
      </c>
      <c r="S37" s="35">
        <f t="shared" ref="S37:AF37" si="29">SUM(S10:S12)</f>
        <v>145</v>
      </c>
      <c r="T37" s="16">
        <f t="shared" si="29"/>
        <v>27</v>
      </c>
      <c r="U37" s="16">
        <f t="shared" si="29"/>
        <v>29</v>
      </c>
      <c r="V37" s="16">
        <f t="shared" si="29"/>
        <v>29</v>
      </c>
      <c r="W37" s="16">
        <f t="shared" si="29"/>
        <v>1</v>
      </c>
      <c r="X37" s="16">
        <f t="shared" si="29"/>
        <v>2</v>
      </c>
      <c r="Y37" s="16">
        <f t="shared" si="29"/>
        <v>24</v>
      </c>
      <c r="Z37" s="16">
        <f t="shared" si="29"/>
        <v>20</v>
      </c>
      <c r="AA37" s="16">
        <f t="shared" si="29"/>
        <v>2</v>
      </c>
      <c r="AB37" s="16">
        <f t="shared" si="29"/>
        <v>0</v>
      </c>
      <c r="AC37" s="16">
        <f t="shared" si="29"/>
        <v>461</v>
      </c>
      <c r="AD37" s="16">
        <f t="shared" si="29"/>
        <v>0</v>
      </c>
      <c r="AE37" s="32">
        <f t="shared" si="29"/>
        <v>279</v>
      </c>
      <c r="AF37" s="32">
        <f t="shared" si="29"/>
        <v>740</v>
      </c>
    </row>
    <row r="38" spans="2:32" ht="23.1" customHeight="1" x14ac:dyDescent="0.25">
      <c r="B38" s="46" t="s">
        <v>65</v>
      </c>
      <c r="C38" s="50">
        <v>18</v>
      </c>
      <c r="D38" s="50">
        <v>2</v>
      </c>
      <c r="E38" s="50">
        <v>1</v>
      </c>
      <c r="F38" s="50">
        <v>4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33</v>
      </c>
      <c r="N38" s="50">
        <v>0</v>
      </c>
      <c r="O38" s="15">
        <f t="shared" si="0"/>
        <v>28</v>
      </c>
      <c r="P38" s="15">
        <f t="shared" si="1"/>
        <v>61</v>
      </c>
      <c r="R38" s="28" t="s">
        <v>86</v>
      </c>
      <c r="S38" s="16">
        <f t="shared" ref="S38:AF38" si="30">SUM(S13:S18)</f>
        <v>263</v>
      </c>
      <c r="T38" s="16">
        <f t="shared" si="30"/>
        <v>41</v>
      </c>
      <c r="U38" s="16">
        <f t="shared" si="30"/>
        <v>36</v>
      </c>
      <c r="V38" s="16">
        <f t="shared" si="30"/>
        <v>72</v>
      </c>
      <c r="W38" s="16">
        <f t="shared" si="30"/>
        <v>1</v>
      </c>
      <c r="X38" s="16">
        <f t="shared" si="30"/>
        <v>0</v>
      </c>
      <c r="Y38" s="16">
        <f t="shared" si="30"/>
        <v>59</v>
      </c>
      <c r="Z38" s="16">
        <f t="shared" si="30"/>
        <v>16</v>
      </c>
      <c r="AA38" s="16">
        <f t="shared" si="30"/>
        <v>2</v>
      </c>
      <c r="AB38" s="16">
        <f t="shared" si="30"/>
        <v>1</v>
      </c>
      <c r="AC38" s="16">
        <f t="shared" si="30"/>
        <v>739</v>
      </c>
      <c r="AD38" s="16">
        <f t="shared" si="30"/>
        <v>0</v>
      </c>
      <c r="AE38" s="32">
        <f t="shared" si="30"/>
        <v>491</v>
      </c>
      <c r="AF38" s="32">
        <f t="shared" si="30"/>
        <v>1230</v>
      </c>
    </row>
    <row r="39" spans="2:32" ht="23.1" customHeight="1" x14ac:dyDescent="0.25">
      <c r="B39" s="46" t="s">
        <v>66</v>
      </c>
      <c r="C39" s="50">
        <v>25</v>
      </c>
      <c r="D39" s="50">
        <v>3</v>
      </c>
      <c r="E39" s="50">
        <v>4</v>
      </c>
      <c r="F39" s="50">
        <v>9</v>
      </c>
      <c r="G39" s="50">
        <v>0</v>
      </c>
      <c r="H39" s="50">
        <v>0</v>
      </c>
      <c r="I39" s="50">
        <v>5</v>
      </c>
      <c r="J39" s="50">
        <v>0</v>
      </c>
      <c r="K39" s="50">
        <v>1</v>
      </c>
      <c r="L39" s="50">
        <v>0</v>
      </c>
      <c r="M39" s="50">
        <v>17</v>
      </c>
      <c r="N39" s="50">
        <v>0</v>
      </c>
      <c r="O39" s="15">
        <f t="shared" si="0"/>
        <v>47</v>
      </c>
      <c r="P39" s="15">
        <f t="shared" si="1"/>
        <v>64</v>
      </c>
      <c r="R39" s="29" t="s">
        <v>87</v>
      </c>
      <c r="S39" s="16">
        <f t="shared" ref="S39:AF39" si="31">SUM(S19:S21)</f>
        <v>188</v>
      </c>
      <c r="T39" s="16">
        <f t="shared" si="31"/>
        <v>23</v>
      </c>
      <c r="U39" s="16">
        <f t="shared" si="31"/>
        <v>27</v>
      </c>
      <c r="V39" s="16">
        <f t="shared" si="31"/>
        <v>61</v>
      </c>
      <c r="W39" s="16">
        <f t="shared" si="31"/>
        <v>0</v>
      </c>
      <c r="X39" s="16">
        <f t="shared" si="31"/>
        <v>0</v>
      </c>
      <c r="Y39" s="16">
        <f t="shared" si="31"/>
        <v>40</v>
      </c>
      <c r="Z39" s="16">
        <f t="shared" si="31"/>
        <v>7</v>
      </c>
      <c r="AA39" s="16">
        <f t="shared" si="31"/>
        <v>0</v>
      </c>
      <c r="AB39" s="16">
        <f t="shared" si="31"/>
        <v>0</v>
      </c>
      <c r="AC39" s="16">
        <f t="shared" si="31"/>
        <v>576</v>
      </c>
      <c r="AD39" s="16">
        <f t="shared" si="31"/>
        <v>0</v>
      </c>
      <c r="AE39" s="32">
        <f t="shared" si="31"/>
        <v>346</v>
      </c>
      <c r="AF39" s="32">
        <f t="shared" si="31"/>
        <v>922</v>
      </c>
    </row>
    <row r="40" spans="2:32" ht="23.1" customHeight="1" x14ac:dyDescent="0.25">
      <c r="B40" s="46" t="s">
        <v>67</v>
      </c>
      <c r="C40" s="50">
        <v>10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</v>
      </c>
      <c r="N40" s="50">
        <v>0</v>
      </c>
      <c r="O40" s="15">
        <f t="shared" si="0"/>
        <v>11</v>
      </c>
      <c r="P40" s="15">
        <f t="shared" si="1"/>
        <v>12</v>
      </c>
      <c r="R40" s="5" t="s">
        <v>17</v>
      </c>
      <c r="S40" s="16">
        <f t="shared" ref="S40:AF40" si="32">SUM(S10:S21)</f>
        <v>596</v>
      </c>
      <c r="T40" s="16">
        <f t="shared" si="32"/>
        <v>91</v>
      </c>
      <c r="U40" s="16">
        <f t="shared" si="32"/>
        <v>92</v>
      </c>
      <c r="V40" s="16">
        <f t="shared" si="32"/>
        <v>162</v>
      </c>
      <c r="W40" s="16">
        <f t="shared" si="32"/>
        <v>2</v>
      </c>
      <c r="X40" s="16">
        <f t="shared" si="32"/>
        <v>2</v>
      </c>
      <c r="Y40" s="16">
        <f t="shared" si="32"/>
        <v>123</v>
      </c>
      <c r="Z40" s="16">
        <f t="shared" si="32"/>
        <v>43</v>
      </c>
      <c r="AA40" s="16">
        <f t="shared" si="32"/>
        <v>4</v>
      </c>
      <c r="AB40" s="16">
        <f t="shared" si="32"/>
        <v>1</v>
      </c>
      <c r="AC40" s="16">
        <f t="shared" si="32"/>
        <v>1776</v>
      </c>
      <c r="AD40" s="16">
        <f t="shared" si="32"/>
        <v>0</v>
      </c>
      <c r="AE40" s="32">
        <f t="shared" si="32"/>
        <v>1116</v>
      </c>
      <c r="AF40" s="32">
        <f t="shared" si="32"/>
        <v>2892</v>
      </c>
    </row>
    <row r="41" spans="2:32" ht="23.1" customHeight="1" x14ac:dyDescent="0.25">
      <c r="B41" s="45" t="s">
        <v>68</v>
      </c>
      <c r="C41" s="50">
        <v>19</v>
      </c>
      <c r="D41" s="50">
        <v>4</v>
      </c>
      <c r="E41" s="50">
        <v>2</v>
      </c>
      <c r="F41" s="50">
        <v>1</v>
      </c>
      <c r="G41" s="50">
        <v>0</v>
      </c>
      <c r="H41" s="50">
        <v>0</v>
      </c>
      <c r="I41" s="50">
        <v>0</v>
      </c>
      <c r="J41" s="50">
        <v>1</v>
      </c>
      <c r="K41" s="50">
        <v>0</v>
      </c>
      <c r="L41" s="50">
        <v>0</v>
      </c>
      <c r="M41" s="50">
        <v>0</v>
      </c>
      <c r="N41" s="50">
        <v>0</v>
      </c>
      <c r="O41" s="15">
        <f t="shared" si="0"/>
        <v>27</v>
      </c>
      <c r="P41" s="15">
        <f t="shared" si="1"/>
        <v>27</v>
      </c>
      <c r="R41" s="5" t="s">
        <v>159</v>
      </c>
      <c r="S41" s="16">
        <f>SUM(S10:S33)</f>
        <v>739</v>
      </c>
      <c r="T41" s="16">
        <f t="shared" ref="T41:AF41" si="33">SUM(T10:T33)</f>
        <v>111</v>
      </c>
      <c r="U41" s="16">
        <f t="shared" si="33"/>
        <v>110</v>
      </c>
      <c r="V41" s="16">
        <f t="shared" si="33"/>
        <v>186</v>
      </c>
      <c r="W41" s="16">
        <f t="shared" si="33"/>
        <v>2</v>
      </c>
      <c r="X41" s="16">
        <f t="shared" si="33"/>
        <v>2</v>
      </c>
      <c r="Y41" s="16">
        <f t="shared" si="33"/>
        <v>153</v>
      </c>
      <c r="Z41" s="16">
        <f t="shared" si="33"/>
        <v>63</v>
      </c>
      <c r="AA41" s="16">
        <f t="shared" si="33"/>
        <v>7</v>
      </c>
      <c r="AB41" s="16">
        <f t="shared" si="33"/>
        <v>6</v>
      </c>
      <c r="AC41" s="16">
        <f t="shared" si="33"/>
        <v>2244</v>
      </c>
      <c r="AD41" s="16">
        <f t="shared" si="33"/>
        <v>0</v>
      </c>
      <c r="AE41" s="32">
        <f t="shared" si="33"/>
        <v>1379</v>
      </c>
      <c r="AF41" s="32">
        <f t="shared" si="33"/>
        <v>3623</v>
      </c>
    </row>
    <row r="42" spans="2:32" ht="23.1" customHeight="1" x14ac:dyDescent="0.25">
      <c r="B42" s="46" t="s">
        <v>69</v>
      </c>
      <c r="C42" s="50">
        <v>8</v>
      </c>
      <c r="D42" s="50">
        <v>3</v>
      </c>
      <c r="E42" s="50">
        <v>0</v>
      </c>
      <c r="F42" s="50">
        <v>4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6</v>
      </c>
      <c r="N42" s="50">
        <v>0</v>
      </c>
      <c r="O42" s="15">
        <f t="shared" si="0"/>
        <v>17</v>
      </c>
      <c r="P42" s="15">
        <f t="shared" si="1"/>
        <v>23</v>
      </c>
      <c r="R42" s="5" t="s">
        <v>160</v>
      </c>
      <c r="S42" s="48">
        <f>S41/S40</f>
        <v>1.2399328859060403</v>
      </c>
      <c r="T42" s="48">
        <f t="shared" ref="T42:AF42" si="34">T41/T40</f>
        <v>1.2197802197802199</v>
      </c>
      <c r="U42" s="48">
        <f t="shared" si="34"/>
        <v>1.1956521739130435</v>
      </c>
      <c r="V42" s="48">
        <f t="shared" si="34"/>
        <v>1.1481481481481481</v>
      </c>
      <c r="W42" s="48">
        <f t="shared" si="34"/>
        <v>1</v>
      </c>
      <c r="X42" s="48">
        <f t="shared" si="34"/>
        <v>1</v>
      </c>
      <c r="Y42" s="48">
        <f t="shared" si="34"/>
        <v>1.2439024390243902</v>
      </c>
      <c r="Z42" s="48">
        <f t="shared" si="34"/>
        <v>1.4651162790697674</v>
      </c>
      <c r="AA42" s="48">
        <f t="shared" si="34"/>
        <v>1.75</v>
      </c>
      <c r="AB42" s="48">
        <f t="shared" si="34"/>
        <v>6</v>
      </c>
      <c r="AC42" s="48">
        <f t="shared" si="34"/>
        <v>1.2635135135135136</v>
      </c>
      <c r="AD42" s="48" t="e">
        <f t="shared" si="34"/>
        <v>#DIV/0!</v>
      </c>
      <c r="AE42" s="48">
        <f t="shared" si="34"/>
        <v>1.2356630824372761</v>
      </c>
      <c r="AF42" s="48">
        <f t="shared" si="34"/>
        <v>1.2527662517289073</v>
      </c>
    </row>
    <row r="43" spans="2:32" ht="23.1" customHeight="1" x14ac:dyDescent="0.25">
      <c r="B43" s="45" t="s">
        <v>70</v>
      </c>
      <c r="C43" s="50">
        <v>8</v>
      </c>
      <c r="D43" s="50">
        <v>0</v>
      </c>
      <c r="E43" s="50">
        <v>1</v>
      </c>
      <c r="F43" s="50">
        <v>0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0</v>
      </c>
      <c r="M43" s="50">
        <v>5</v>
      </c>
      <c r="N43" s="50">
        <v>0</v>
      </c>
      <c r="O43" s="15">
        <f t="shared" si="0"/>
        <v>10</v>
      </c>
      <c r="P43" s="15">
        <f t="shared" si="1"/>
        <v>15</v>
      </c>
    </row>
    <row r="44" spans="2:32" ht="23.1" customHeight="1" x14ac:dyDescent="0.25">
      <c r="B44" s="47" t="s">
        <v>71</v>
      </c>
      <c r="C44" s="50">
        <v>10</v>
      </c>
      <c r="D44" s="50">
        <v>1</v>
      </c>
      <c r="E44" s="50">
        <v>1</v>
      </c>
      <c r="F44" s="50">
        <v>0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10</v>
      </c>
      <c r="N44" s="50">
        <v>0</v>
      </c>
      <c r="O44" s="15">
        <f t="shared" si="0"/>
        <v>15</v>
      </c>
      <c r="P44" s="15">
        <f t="shared" si="1"/>
        <v>25</v>
      </c>
    </row>
    <row r="45" spans="2:32" ht="23.1" customHeight="1" x14ac:dyDescent="0.25">
      <c r="B45" s="45" t="s">
        <v>72</v>
      </c>
      <c r="C45" s="50">
        <v>16</v>
      </c>
      <c r="D45" s="50">
        <v>3</v>
      </c>
      <c r="E45" s="50">
        <v>1</v>
      </c>
      <c r="F45" s="50">
        <v>6</v>
      </c>
      <c r="G45" s="50">
        <v>1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58</v>
      </c>
      <c r="N45" s="50">
        <v>0</v>
      </c>
      <c r="O45" s="15">
        <f t="shared" si="0"/>
        <v>28</v>
      </c>
      <c r="P45" s="15">
        <f t="shared" si="1"/>
        <v>86</v>
      </c>
    </row>
    <row r="46" spans="2:32" ht="23.1" customHeight="1" x14ac:dyDescent="0.25">
      <c r="B46" s="46" t="s">
        <v>73</v>
      </c>
      <c r="C46" s="50">
        <v>20</v>
      </c>
      <c r="D46" s="50">
        <v>2</v>
      </c>
      <c r="E46" s="50">
        <v>2</v>
      </c>
      <c r="F46" s="50">
        <v>6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53</v>
      </c>
      <c r="N46" s="50">
        <v>0</v>
      </c>
      <c r="O46" s="15">
        <f t="shared" si="0"/>
        <v>32</v>
      </c>
      <c r="P46" s="15">
        <f t="shared" si="1"/>
        <v>85</v>
      </c>
      <c r="R46" s="8"/>
      <c r="T46"/>
    </row>
    <row r="47" spans="2:32" ht="23.1" customHeight="1" x14ac:dyDescent="0.25">
      <c r="B47" s="46" t="s">
        <v>74</v>
      </c>
      <c r="C47" s="50">
        <v>13</v>
      </c>
      <c r="D47" s="50">
        <v>4</v>
      </c>
      <c r="E47" s="50">
        <v>1</v>
      </c>
      <c r="F47" s="50">
        <v>3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43</v>
      </c>
      <c r="N47" s="50">
        <v>0</v>
      </c>
      <c r="O47" s="15">
        <f t="shared" si="0"/>
        <v>27</v>
      </c>
      <c r="P47" s="15">
        <f t="shared" si="1"/>
        <v>70</v>
      </c>
      <c r="R47" s="8"/>
      <c r="T47"/>
    </row>
    <row r="48" spans="2:32" ht="23.1" customHeight="1" x14ac:dyDescent="0.25">
      <c r="B48" s="46" t="s">
        <v>75</v>
      </c>
      <c r="C48" s="50">
        <v>8</v>
      </c>
      <c r="D48" s="50">
        <v>6</v>
      </c>
      <c r="E48" s="50">
        <v>4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0</v>
      </c>
      <c r="M48" s="50">
        <v>50</v>
      </c>
      <c r="N48" s="50">
        <v>0</v>
      </c>
      <c r="O48" s="15">
        <f t="shared" si="0"/>
        <v>22</v>
      </c>
      <c r="P48" s="15">
        <f t="shared" si="1"/>
        <v>72</v>
      </c>
      <c r="R48" s="8"/>
      <c r="T48"/>
    </row>
    <row r="49" spans="2:20" ht="23.1" customHeight="1" x14ac:dyDescent="0.25">
      <c r="B49" s="45" t="s">
        <v>76</v>
      </c>
      <c r="C49" s="50">
        <v>11</v>
      </c>
      <c r="D49" s="50">
        <v>2</v>
      </c>
      <c r="E49" s="50">
        <v>2</v>
      </c>
      <c r="F49" s="50">
        <v>11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38</v>
      </c>
      <c r="N49" s="50">
        <v>0</v>
      </c>
      <c r="O49" s="15">
        <f t="shared" si="0"/>
        <v>27</v>
      </c>
      <c r="P49" s="15">
        <f t="shared" si="1"/>
        <v>65</v>
      </c>
      <c r="R49" s="8"/>
      <c r="T49"/>
    </row>
    <row r="50" spans="2:20" ht="23.1" customHeight="1" x14ac:dyDescent="0.25">
      <c r="B50" s="46" t="s">
        <v>77</v>
      </c>
      <c r="C50" s="50">
        <v>16</v>
      </c>
      <c r="D50" s="50">
        <v>0</v>
      </c>
      <c r="E50" s="50">
        <v>1</v>
      </c>
      <c r="F50" s="50">
        <v>4</v>
      </c>
      <c r="G50" s="50">
        <v>0</v>
      </c>
      <c r="H50" s="50">
        <v>0</v>
      </c>
      <c r="I50" s="50">
        <v>5</v>
      </c>
      <c r="J50" s="50">
        <v>1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27</v>
      </c>
      <c r="P50" s="15">
        <f t="shared" si="1"/>
        <v>77</v>
      </c>
      <c r="R50" s="8"/>
      <c r="T50"/>
    </row>
    <row r="51" spans="2:20" ht="23.1" customHeight="1" x14ac:dyDescent="0.25">
      <c r="B51" s="46" t="s">
        <v>78</v>
      </c>
      <c r="C51" s="50">
        <v>18</v>
      </c>
      <c r="D51" s="50">
        <v>1</v>
      </c>
      <c r="E51" s="50">
        <v>0</v>
      </c>
      <c r="F51" s="50">
        <v>7</v>
      </c>
      <c r="G51" s="50">
        <v>0</v>
      </c>
      <c r="H51" s="50">
        <v>0</v>
      </c>
      <c r="I51" s="50">
        <v>4</v>
      </c>
      <c r="J51" s="50">
        <v>0</v>
      </c>
      <c r="K51" s="50">
        <v>0</v>
      </c>
      <c r="L51" s="50">
        <v>0</v>
      </c>
      <c r="M51" s="50">
        <v>48</v>
      </c>
      <c r="N51" s="50">
        <v>0</v>
      </c>
      <c r="O51" s="15">
        <f t="shared" si="0"/>
        <v>30</v>
      </c>
      <c r="P51" s="15">
        <f t="shared" si="1"/>
        <v>78</v>
      </c>
      <c r="R51" s="8"/>
      <c r="T51"/>
    </row>
    <row r="52" spans="2:20" ht="23.1" customHeight="1" x14ac:dyDescent="0.25">
      <c r="B52" s="46" t="s">
        <v>79</v>
      </c>
      <c r="C52" s="50">
        <v>14</v>
      </c>
      <c r="D52" s="50">
        <v>1</v>
      </c>
      <c r="E52" s="50">
        <v>1</v>
      </c>
      <c r="F52" s="50">
        <v>5</v>
      </c>
      <c r="G52" s="50">
        <v>0</v>
      </c>
      <c r="H52" s="50">
        <v>0</v>
      </c>
      <c r="I52" s="50">
        <v>4</v>
      </c>
      <c r="J52" s="50">
        <v>1</v>
      </c>
      <c r="K52" s="50">
        <v>0</v>
      </c>
      <c r="L52" s="50">
        <v>0</v>
      </c>
      <c r="M52" s="50">
        <v>54</v>
      </c>
      <c r="N52" s="50">
        <v>0</v>
      </c>
      <c r="O52" s="15">
        <f t="shared" si="0"/>
        <v>26</v>
      </c>
      <c r="P52" s="15">
        <f t="shared" si="1"/>
        <v>80</v>
      </c>
      <c r="R52" s="8"/>
      <c r="T52"/>
    </row>
    <row r="53" spans="2:20" ht="23.1" customHeight="1" x14ac:dyDescent="0.25">
      <c r="B53" s="45" t="s">
        <v>80</v>
      </c>
      <c r="C53" s="50">
        <v>11</v>
      </c>
      <c r="D53" s="50">
        <v>1</v>
      </c>
      <c r="E53" s="50">
        <v>2</v>
      </c>
      <c r="F53" s="50">
        <v>6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46</v>
      </c>
      <c r="N53" s="50">
        <v>0</v>
      </c>
      <c r="O53" s="15">
        <f t="shared" si="0"/>
        <v>25</v>
      </c>
      <c r="P53" s="15">
        <f t="shared" si="1"/>
        <v>71</v>
      </c>
      <c r="R53" s="8"/>
      <c r="T53"/>
    </row>
    <row r="54" spans="2:20" ht="23.1" customHeight="1" x14ac:dyDescent="0.25">
      <c r="B54" s="45" t="s">
        <v>81</v>
      </c>
      <c r="C54" s="50">
        <v>19</v>
      </c>
      <c r="D54" s="50">
        <v>1</v>
      </c>
      <c r="E54" s="50">
        <v>3</v>
      </c>
      <c r="F54" s="50">
        <v>2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36</v>
      </c>
      <c r="N54" s="50">
        <v>0</v>
      </c>
      <c r="O54" s="15">
        <f t="shared" si="0"/>
        <v>28</v>
      </c>
      <c r="P54" s="15">
        <f t="shared" si="1"/>
        <v>64</v>
      </c>
      <c r="R54" s="8"/>
      <c r="T54"/>
    </row>
    <row r="55" spans="2:20" ht="23.1" customHeight="1" x14ac:dyDescent="0.25">
      <c r="B55" s="45" t="s">
        <v>82</v>
      </c>
      <c r="C55" s="50">
        <v>19</v>
      </c>
      <c r="D55" s="50">
        <v>1</v>
      </c>
      <c r="E55" s="50">
        <v>3</v>
      </c>
      <c r="F55" s="50">
        <v>7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46</v>
      </c>
      <c r="N55" s="50">
        <v>0</v>
      </c>
      <c r="O55" s="15">
        <f t="shared" si="0"/>
        <v>32</v>
      </c>
      <c r="P55" s="15">
        <f t="shared" si="1"/>
        <v>78</v>
      </c>
      <c r="R55" s="8"/>
      <c r="T55"/>
    </row>
    <row r="56" spans="2:20" ht="23.1" customHeight="1" x14ac:dyDescent="0.25">
      <c r="B56" s="45" t="s">
        <v>83</v>
      </c>
      <c r="C56" s="50">
        <v>18</v>
      </c>
      <c r="D56" s="50">
        <v>1</v>
      </c>
      <c r="E56" s="50">
        <v>1</v>
      </c>
      <c r="F56" s="50">
        <v>4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58</v>
      </c>
      <c r="N56" s="50">
        <v>0</v>
      </c>
      <c r="O56" s="15">
        <f t="shared" si="0"/>
        <v>27</v>
      </c>
      <c r="P56" s="15">
        <f t="shared" si="1"/>
        <v>85</v>
      </c>
      <c r="R56" s="8"/>
      <c r="T56"/>
    </row>
    <row r="57" spans="2:20" ht="23.1" customHeight="1" x14ac:dyDescent="0.25">
      <c r="B57" s="45" t="s">
        <v>84</v>
      </c>
      <c r="C57" s="50">
        <v>21</v>
      </c>
      <c r="D57" s="50">
        <v>3</v>
      </c>
      <c r="E57" s="50">
        <v>7</v>
      </c>
      <c r="F57" s="50">
        <v>3</v>
      </c>
      <c r="G57" s="50">
        <v>0</v>
      </c>
      <c r="H57" s="50">
        <v>0</v>
      </c>
      <c r="I57" s="50">
        <v>7</v>
      </c>
      <c r="J57" s="50">
        <v>2</v>
      </c>
      <c r="K57" s="50">
        <v>0</v>
      </c>
      <c r="L57" s="50">
        <v>0</v>
      </c>
      <c r="M57" s="50">
        <v>54</v>
      </c>
      <c r="N57" s="50">
        <v>0</v>
      </c>
      <c r="O57" s="15">
        <f t="shared" si="0"/>
        <v>43</v>
      </c>
      <c r="P57" s="15">
        <f t="shared" si="1"/>
        <v>97</v>
      </c>
      <c r="R57" s="8"/>
      <c r="T57"/>
    </row>
    <row r="58" spans="2:20" ht="23.1" customHeight="1" x14ac:dyDescent="0.25">
      <c r="B58" s="45" t="s">
        <v>99</v>
      </c>
      <c r="C58" s="50">
        <v>15</v>
      </c>
      <c r="D58" s="50">
        <v>1</v>
      </c>
      <c r="E58" s="50">
        <v>2</v>
      </c>
      <c r="F58" s="50">
        <v>3</v>
      </c>
      <c r="G58" s="50">
        <v>0</v>
      </c>
      <c r="H58" s="50">
        <v>0</v>
      </c>
      <c r="I58" s="50">
        <v>2</v>
      </c>
      <c r="J58" s="50">
        <v>0</v>
      </c>
      <c r="K58" s="50">
        <v>0</v>
      </c>
      <c r="L58" s="50">
        <v>0</v>
      </c>
      <c r="M58" s="50">
        <v>47</v>
      </c>
      <c r="N58" s="50">
        <v>0</v>
      </c>
      <c r="O58" s="15">
        <f t="shared" si="0"/>
        <v>23</v>
      </c>
      <c r="P58" s="15">
        <f t="shared" si="1"/>
        <v>70</v>
      </c>
      <c r="R58" s="8"/>
      <c r="T58"/>
    </row>
    <row r="59" spans="2:20" ht="23.1" customHeight="1" x14ac:dyDescent="0.25">
      <c r="B59" s="45" t="s">
        <v>100</v>
      </c>
      <c r="C59" s="50">
        <v>9</v>
      </c>
      <c r="D59" s="50">
        <v>1</v>
      </c>
      <c r="E59" s="50">
        <v>2</v>
      </c>
      <c r="F59" s="50">
        <v>1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53</v>
      </c>
      <c r="N59" s="50">
        <v>0</v>
      </c>
      <c r="O59" s="15">
        <f t="shared" si="0"/>
        <v>14</v>
      </c>
      <c r="P59" s="15">
        <f t="shared" si="1"/>
        <v>67</v>
      </c>
      <c r="R59" s="8"/>
      <c r="T59"/>
    </row>
    <row r="60" spans="2:20" ht="23.1" customHeight="1" x14ac:dyDescent="0.25">
      <c r="B60" s="45" t="s">
        <v>101</v>
      </c>
      <c r="C60" s="50">
        <v>14</v>
      </c>
      <c r="D60" s="50">
        <v>2</v>
      </c>
      <c r="E60" s="50">
        <v>0</v>
      </c>
      <c r="F60" s="50">
        <v>1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0</v>
      </c>
      <c r="M60" s="50">
        <v>35</v>
      </c>
      <c r="N60" s="50">
        <v>0</v>
      </c>
      <c r="O60" s="15">
        <f t="shared" si="0"/>
        <v>20</v>
      </c>
      <c r="P60" s="15">
        <f t="shared" si="1"/>
        <v>55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0</v>
      </c>
      <c r="E61" s="50">
        <v>2</v>
      </c>
      <c r="F61" s="50">
        <v>3</v>
      </c>
      <c r="G61" s="50">
        <v>0</v>
      </c>
      <c r="H61" s="50">
        <v>0</v>
      </c>
      <c r="I61" s="50">
        <v>3</v>
      </c>
      <c r="J61" s="50">
        <v>3</v>
      </c>
      <c r="K61" s="50">
        <v>1</v>
      </c>
      <c r="L61" s="50">
        <v>0</v>
      </c>
      <c r="M61" s="50">
        <v>36</v>
      </c>
      <c r="N61" s="50">
        <v>0</v>
      </c>
      <c r="O61" s="15">
        <f t="shared" si="0"/>
        <v>19</v>
      </c>
      <c r="P61" s="15">
        <f t="shared" si="1"/>
        <v>55</v>
      </c>
      <c r="R61" s="8"/>
      <c r="T61"/>
    </row>
    <row r="62" spans="2:20" ht="23.1" customHeight="1" x14ac:dyDescent="0.25">
      <c r="B62" s="45" t="s">
        <v>107</v>
      </c>
      <c r="C62" s="50">
        <v>15</v>
      </c>
      <c r="D62" s="50">
        <v>4</v>
      </c>
      <c r="E62" s="50">
        <v>2</v>
      </c>
      <c r="F62" s="50">
        <v>2</v>
      </c>
      <c r="G62" s="50">
        <v>0</v>
      </c>
      <c r="H62" s="50">
        <v>0</v>
      </c>
      <c r="I62" s="50">
        <v>4</v>
      </c>
      <c r="J62" s="50">
        <v>1</v>
      </c>
      <c r="K62" s="50">
        <v>0</v>
      </c>
      <c r="L62" s="50">
        <v>0</v>
      </c>
      <c r="M62" s="50">
        <v>58</v>
      </c>
      <c r="N62" s="50">
        <v>0</v>
      </c>
      <c r="O62" s="15">
        <f t="shared" si="0"/>
        <v>28</v>
      </c>
      <c r="P62" s="15">
        <f t="shared" si="1"/>
        <v>86</v>
      </c>
      <c r="R62" s="8"/>
      <c r="T62"/>
    </row>
    <row r="63" spans="2:20" ht="23.1" customHeight="1" x14ac:dyDescent="0.25">
      <c r="B63" s="45" t="s">
        <v>108</v>
      </c>
      <c r="C63" s="50">
        <v>0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5</v>
      </c>
      <c r="N63" s="50">
        <v>0</v>
      </c>
      <c r="O63" s="15">
        <f t="shared" si="0"/>
        <v>0</v>
      </c>
      <c r="P63" s="15">
        <f t="shared" si="1"/>
        <v>5</v>
      </c>
      <c r="R63" s="8"/>
      <c r="T63"/>
    </row>
    <row r="64" spans="2:20" ht="23.1" customHeight="1" x14ac:dyDescent="0.25">
      <c r="B64" s="45" t="s">
        <v>109</v>
      </c>
      <c r="C64" s="50">
        <v>3</v>
      </c>
      <c r="D64" s="50">
        <v>0</v>
      </c>
      <c r="E64" s="50">
        <v>0</v>
      </c>
      <c r="F64" s="50">
        <v>0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20</v>
      </c>
      <c r="N64" s="50">
        <v>0</v>
      </c>
      <c r="O64" s="15">
        <f t="shared" si="0"/>
        <v>3</v>
      </c>
      <c r="P64" s="15">
        <f t="shared" si="1"/>
        <v>23</v>
      </c>
      <c r="R64" s="8"/>
      <c r="T64"/>
    </row>
    <row r="65" spans="2:20" ht="23.1" customHeight="1" x14ac:dyDescent="0.25">
      <c r="B65" s="45" t="s">
        <v>158</v>
      </c>
      <c r="C65" s="50">
        <v>5</v>
      </c>
      <c r="D65" s="50">
        <v>1</v>
      </c>
      <c r="E65" s="50">
        <v>1</v>
      </c>
      <c r="F65" s="50">
        <v>1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27</v>
      </c>
      <c r="N65" s="50">
        <v>0</v>
      </c>
      <c r="O65" s="15">
        <f t="shared" si="0"/>
        <v>9</v>
      </c>
      <c r="P65" s="15">
        <f t="shared" si="1"/>
        <v>36</v>
      </c>
      <c r="R65" s="8"/>
      <c r="T65"/>
    </row>
    <row r="66" spans="2:20" ht="23.1" customHeight="1" x14ac:dyDescent="0.25">
      <c r="B66" s="45" t="s">
        <v>103</v>
      </c>
      <c r="C66" s="50">
        <v>3</v>
      </c>
      <c r="D66" s="50">
        <v>0</v>
      </c>
      <c r="E66" s="50">
        <v>0</v>
      </c>
      <c r="F66" s="50">
        <v>0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8</v>
      </c>
      <c r="N66" s="50">
        <v>0</v>
      </c>
      <c r="O66" s="15">
        <f t="shared" si="0"/>
        <v>5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0</v>
      </c>
      <c r="F67" s="50">
        <v>0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16</v>
      </c>
      <c r="N67" s="50">
        <v>0</v>
      </c>
      <c r="O67" s="15">
        <f t="shared" si="0"/>
        <v>3</v>
      </c>
      <c r="P67" s="15">
        <f t="shared" si="1"/>
        <v>19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1</v>
      </c>
      <c r="K68" s="50">
        <v>0</v>
      </c>
      <c r="L68" s="50">
        <v>0</v>
      </c>
      <c r="M68" s="50">
        <v>20</v>
      </c>
      <c r="N68" s="50">
        <v>0</v>
      </c>
      <c r="O68" s="15">
        <f t="shared" si="0"/>
        <v>8</v>
      </c>
      <c r="P68" s="15">
        <f t="shared" si="1"/>
        <v>28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1</v>
      </c>
      <c r="L69" s="50">
        <v>0</v>
      </c>
      <c r="M69" s="50">
        <v>6</v>
      </c>
      <c r="N69" s="50">
        <v>0</v>
      </c>
      <c r="O69" s="15">
        <f t="shared" si="0"/>
        <v>5</v>
      </c>
      <c r="P69" s="15">
        <f t="shared" si="1"/>
        <v>11</v>
      </c>
      <c r="R69" s="8"/>
      <c r="T69"/>
    </row>
    <row r="70" spans="2:20" ht="23.1" customHeight="1" x14ac:dyDescent="0.25">
      <c r="B70" s="45" t="s">
        <v>110</v>
      </c>
      <c r="C70" s="50">
        <v>4</v>
      </c>
      <c r="D70" s="50">
        <v>1</v>
      </c>
      <c r="E70" s="50">
        <v>3</v>
      </c>
      <c r="F70" s="50">
        <v>1</v>
      </c>
      <c r="G70" s="50">
        <v>0</v>
      </c>
      <c r="H70" s="50">
        <v>0</v>
      </c>
      <c r="I70" s="50">
        <v>0</v>
      </c>
      <c r="J70" s="50">
        <v>1</v>
      </c>
      <c r="K70" s="50">
        <v>0</v>
      </c>
      <c r="L70" s="50">
        <v>0</v>
      </c>
      <c r="M70" s="50">
        <v>20</v>
      </c>
      <c r="N70" s="50">
        <v>0</v>
      </c>
      <c r="O70" s="15">
        <f t="shared" si="0"/>
        <v>10</v>
      </c>
      <c r="P70" s="15">
        <f t="shared" si="1"/>
        <v>30</v>
      </c>
      <c r="R70" s="8"/>
      <c r="T70"/>
    </row>
    <row r="71" spans="2:20" ht="23.1" customHeight="1" x14ac:dyDescent="0.25">
      <c r="B71" s="45" t="s">
        <v>111</v>
      </c>
      <c r="C71" s="50">
        <v>5</v>
      </c>
      <c r="D71" s="50">
        <v>1</v>
      </c>
      <c r="E71" s="50">
        <v>1</v>
      </c>
      <c r="F71" s="50">
        <v>0</v>
      </c>
      <c r="G71" s="50">
        <v>0</v>
      </c>
      <c r="H71" s="50">
        <v>0</v>
      </c>
      <c r="I71" s="50">
        <v>1</v>
      </c>
      <c r="J71" s="50">
        <v>1</v>
      </c>
      <c r="K71" s="50">
        <v>0</v>
      </c>
      <c r="L71" s="50">
        <v>0</v>
      </c>
      <c r="M71" s="50">
        <v>8</v>
      </c>
      <c r="N71" s="50">
        <v>0</v>
      </c>
      <c r="O71" s="15">
        <f t="shared" si="0"/>
        <v>9</v>
      </c>
      <c r="P71" s="15">
        <f t="shared" si="1"/>
        <v>17</v>
      </c>
      <c r="R71" s="8"/>
      <c r="T71"/>
    </row>
    <row r="72" spans="2:20" ht="23.1" customHeight="1" x14ac:dyDescent="0.25">
      <c r="B72" s="45" t="s">
        <v>112</v>
      </c>
      <c r="C72" s="50">
        <v>3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18</v>
      </c>
      <c r="N72" s="50">
        <v>0</v>
      </c>
      <c r="O72" s="15">
        <f t="shared" si="0"/>
        <v>5</v>
      </c>
      <c r="P72" s="15">
        <f t="shared" si="1"/>
        <v>23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0</v>
      </c>
      <c r="G73" s="50">
        <v>0</v>
      </c>
      <c r="H73" s="50">
        <v>0</v>
      </c>
      <c r="I73" s="50">
        <v>1</v>
      </c>
      <c r="J73" s="50">
        <v>0</v>
      </c>
      <c r="K73" s="50">
        <v>0</v>
      </c>
      <c r="L73" s="50">
        <v>0</v>
      </c>
      <c r="M73" s="50">
        <v>4</v>
      </c>
      <c r="N73" s="50">
        <v>0</v>
      </c>
      <c r="O73" s="15">
        <f t="shared" si="0"/>
        <v>3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5</v>
      </c>
      <c r="N74" s="50">
        <v>0</v>
      </c>
      <c r="O74" s="15">
        <f t="shared" ref="O74:O105" si="35">SUM(C74:L74,N74)</f>
        <v>5</v>
      </c>
      <c r="P74" s="15">
        <f t="shared" ref="P74:P105" si="36">SUM(C74:N74)</f>
        <v>10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0</v>
      </c>
      <c r="M75" s="50">
        <v>4</v>
      </c>
      <c r="N75" s="50">
        <v>0</v>
      </c>
      <c r="O75" s="15">
        <f t="shared" si="35"/>
        <v>5</v>
      </c>
      <c r="P75" s="15">
        <f t="shared" si="36"/>
        <v>9</v>
      </c>
      <c r="R75" s="8"/>
      <c r="T75"/>
    </row>
    <row r="76" spans="2:20" ht="23.1" customHeight="1" x14ac:dyDescent="0.25">
      <c r="B76" s="45" t="s">
        <v>116</v>
      </c>
      <c r="C76" s="50">
        <v>3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1</v>
      </c>
      <c r="K76" s="50">
        <v>0</v>
      </c>
      <c r="L76" s="50">
        <v>0</v>
      </c>
      <c r="M76" s="50">
        <v>7</v>
      </c>
      <c r="N76" s="50">
        <v>0</v>
      </c>
      <c r="O76" s="15">
        <f t="shared" si="35"/>
        <v>5</v>
      </c>
      <c r="P76" s="15">
        <f t="shared" si="36"/>
        <v>12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1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8</v>
      </c>
      <c r="N77" s="50">
        <v>0</v>
      </c>
      <c r="O77" s="15">
        <f t="shared" si="35"/>
        <v>2</v>
      </c>
      <c r="P77" s="15">
        <f t="shared" si="36"/>
        <v>10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3</v>
      </c>
      <c r="N78" s="50">
        <v>0</v>
      </c>
      <c r="O78" s="15">
        <f t="shared" si="35"/>
        <v>2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2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1</v>
      </c>
      <c r="N79" s="50">
        <v>0</v>
      </c>
      <c r="O79" s="15">
        <f t="shared" si="35"/>
        <v>4</v>
      </c>
      <c r="P79" s="15">
        <f t="shared" si="36"/>
        <v>5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2</v>
      </c>
      <c r="K80" s="50">
        <v>0</v>
      </c>
      <c r="L80" s="50">
        <v>0</v>
      </c>
      <c r="M80" s="50">
        <v>3</v>
      </c>
      <c r="N80" s="50">
        <v>0</v>
      </c>
      <c r="O80" s="15">
        <f t="shared" si="35"/>
        <v>2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2</v>
      </c>
      <c r="N81" s="50">
        <v>0</v>
      </c>
      <c r="O81" s="15">
        <f t="shared" si="35"/>
        <v>1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6</v>
      </c>
      <c r="N82" s="50">
        <v>0</v>
      </c>
      <c r="O82" s="15">
        <f t="shared" si="35"/>
        <v>2</v>
      </c>
      <c r="P82" s="15">
        <f t="shared" si="36"/>
        <v>8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1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2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0</v>
      </c>
      <c r="N86" s="50">
        <v>0</v>
      </c>
      <c r="O86" s="15">
        <f t="shared" si="35"/>
        <v>0</v>
      </c>
      <c r="P86" s="15">
        <f t="shared" si="36"/>
        <v>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1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0</v>
      </c>
      <c r="P88" s="15">
        <f t="shared" si="36"/>
        <v>0</v>
      </c>
      <c r="R88" s="8"/>
      <c r="T88"/>
    </row>
    <row r="89" spans="2:20" ht="23.1" customHeight="1" x14ac:dyDescent="0.25">
      <c r="B89" s="45" t="s">
        <v>129</v>
      </c>
      <c r="C89" s="50">
        <v>2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1</v>
      </c>
      <c r="K89" s="50">
        <v>0</v>
      </c>
      <c r="L89" s="50">
        <v>0</v>
      </c>
      <c r="M89" s="50">
        <v>2</v>
      </c>
      <c r="N89" s="50">
        <v>0</v>
      </c>
      <c r="O89" s="15">
        <f t="shared" si="35"/>
        <v>3</v>
      </c>
      <c r="P89" s="15">
        <f t="shared" si="36"/>
        <v>5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1</v>
      </c>
      <c r="M90" s="50">
        <v>0</v>
      </c>
      <c r="N90" s="50">
        <v>0</v>
      </c>
      <c r="O90" s="15">
        <f t="shared" si="35"/>
        <v>2</v>
      </c>
      <c r="P90" s="15">
        <f t="shared" si="36"/>
        <v>2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5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1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6</v>
      </c>
      <c r="P92" s="15">
        <f t="shared" si="36"/>
        <v>6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1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2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1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1</v>
      </c>
      <c r="M96" s="50">
        <v>1</v>
      </c>
      <c r="N96" s="50">
        <v>0</v>
      </c>
      <c r="O96" s="15">
        <f t="shared" si="35"/>
        <v>3</v>
      </c>
      <c r="P96" s="15">
        <f t="shared" si="36"/>
        <v>4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1</v>
      </c>
      <c r="N98" s="50"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2</v>
      </c>
      <c r="K99" s="50">
        <v>0</v>
      </c>
      <c r="L99" s="50">
        <v>1</v>
      </c>
      <c r="M99" s="50">
        <v>0</v>
      </c>
      <c r="N99" s="50">
        <v>0</v>
      </c>
      <c r="O99" s="15">
        <f t="shared" si="35"/>
        <v>4</v>
      </c>
      <c r="P99" s="15">
        <f t="shared" si="36"/>
        <v>4</v>
      </c>
      <c r="R99" s="8"/>
      <c r="T99"/>
    </row>
    <row r="100" spans="2:20" ht="23.1" customHeight="1" x14ac:dyDescent="0.25">
      <c r="B100" s="47" t="s">
        <v>140</v>
      </c>
      <c r="C100" s="50">
        <v>2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1</v>
      </c>
      <c r="N100" s="50">
        <v>0</v>
      </c>
      <c r="O100" s="15">
        <f t="shared" si="35"/>
        <v>3</v>
      </c>
      <c r="P100" s="15">
        <f t="shared" si="36"/>
        <v>4</v>
      </c>
      <c r="R100" s="8"/>
      <c r="T100"/>
    </row>
    <row r="101" spans="2:20" ht="23.1" customHeight="1" x14ac:dyDescent="0.25">
      <c r="B101" s="45" t="s">
        <v>141</v>
      </c>
      <c r="C101" s="50">
        <v>3</v>
      </c>
      <c r="D101" s="50">
        <v>0</v>
      </c>
      <c r="E101" s="50">
        <v>2</v>
      </c>
      <c r="F101" s="50">
        <v>0</v>
      </c>
      <c r="G101" s="50">
        <v>0</v>
      </c>
      <c r="H101" s="50">
        <v>0</v>
      </c>
      <c r="I101" s="50">
        <v>1</v>
      </c>
      <c r="J101" s="50">
        <v>0</v>
      </c>
      <c r="K101" s="50">
        <v>0</v>
      </c>
      <c r="L101" s="50">
        <v>0</v>
      </c>
      <c r="M101" s="50">
        <v>0</v>
      </c>
      <c r="N101" s="50">
        <v>0</v>
      </c>
      <c r="O101" s="15">
        <f t="shared" si="35"/>
        <v>6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0</v>
      </c>
      <c r="J102" s="50">
        <v>1</v>
      </c>
      <c r="K102" s="50">
        <v>0</v>
      </c>
      <c r="L102" s="50">
        <v>0</v>
      </c>
      <c r="M102" s="50">
        <v>2</v>
      </c>
      <c r="N102" s="50">
        <v>0</v>
      </c>
      <c r="O102" s="15">
        <f t="shared" si="35"/>
        <v>4</v>
      </c>
      <c r="P102" s="15">
        <f t="shared" si="36"/>
        <v>6</v>
      </c>
      <c r="R102" s="8"/>
      <c r="T102"/>
    </row>
    <row r="103" spans="2:20" ht="23.1" customHeight="1" x14ac:dyDescent="0.25">
      <c r="B103" s="45" t="s">
        <v>143</v>
      </c>
      <c r="C103" s="50">
        <v>5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10</v>
      </c>
      <c r="N103" s="50">
        <v>0</v>
      </c>
      <c r="O103" s="15">
        <f t="shared" si="35"/>
        <v>7</v>
      </c>
      <c r="P103" s="15">
        <f t="shared" si="36"/>
        <v>17</v>
      </c>
      <c r="R103" s="8"/>
      <c r="T103"/>
    </row>
    <row r="104" spans="2:20" ht="23.1" customHeight="1" x14ac:dyDescent="0.25">
      <c r="B104" s="47" t="s">
        <v>144</v>
      </c>
      <c r="C104" s="50">
        <v>5</v>
      </c>
      <c r="D104" s="50">
        <v>0</v>
      </c>
      <c r="E104" s="50">
        <v>1</v>
      </c>
      <c r="F104" s="50">
        <v>3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12</v>
      </c>
      <c r="N104" s="50">
        <v>0</v>
      </c>
      <c r="O104" s="15">
        <f t="shared" si="35"/>
        <v>10</v>
      </c>
      <c r="P104" s="15">
        <f t="shared" si="36"/>
        <v>22</v>
      </c>
      <c r="R104" s="8"/>
      <c r="T104"/>
    </row>
    <row r="105" spans="2:20" ht="23.1" customHeight="1" x14ac:dyDescent="0.25">
      <c r="B105" s="45" t="s">
        <v>145</v>
      </c>
      <c r="C105" s="50">
        <v>3</v>
      </c>
      <c r="D105" s="50">
        <v>2</v>
      </c>
      <c r="E105" s="50">
        <v>0</v>
      </c>
      <c r="F105" s="50">
        <v>2</v>
      </c>
      <c r="G105" s="50">
        <v>0</v>
      </c>
      <c r="H105" s="50">
        <v>0</v>
      </c>
      <c r="I105" s="50">
        <v>1</v>
      </c>
      <c r="J105" s="50">
        <v>0</v>
      </c>
      <c r="K105" s="50">
        <v>1</v>
      </c>
      <c r="L105" s="50">
        <v>1</v>
      </c>
      <c r="M105" s="50">
        <v>15</v>
      </c>
      <c r="N105" s="50">
        <v>0</v>
      </c>
      <c r="O105" s="15">
        <f t="shared" si="35"/>
        <v>10</v>
      </c>
      <c r="P105" s="15">
        <f t="shared" si="36"/>
        <v>25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739</v>
      </c>
      <c r="D106" s="16">
        <f t="shared" ref="D106:P106" si="37">SUM(D10:D105)</f>
        <v>111</v>
      </c>
      <c r="E106" s="16">
        <f t="shared" si="37"/>
        <v>110</v>
      </c>
      <c r="F106" s="16">
        <f t="shared" si="37"/>
        <v>186</v>
      </c>
      <c r="G106" s="16">
        <f t="shared" si="37"/>
        <v>2</v>
      </c>
      <c r="H106" s="16">
        <f t="shared" si="37"/>
        <v>2</v>
      </c>
      <c r="I106" s="16">
        <f t="shared" si="37"/>
        <v>153</v>
      </c>
      <c r="J106" s="16">
        <f t="shared" si="37"/>
        <v>63</v>
      </c>
      <c r="K106" s="16">
        <f t="shared" si="37"/>
        <v>7</v>
      </c>
      <c r="L106" s="16">
        <f t="shared" si="37"/>
        <v>6</v>
      </c>
      <c r="M106" s="16">
        <f t="shared" si="37"/>
        <v>2244</v>
      </c>
      <c r="N106" s="16">
        <f t="shared" si="37"/>
        <v>0</v>
      </c>
      <c r="O106" s="16">
        <f t="shared" si="37"/>
        <v>1379</v>
      </c>
      <c r="P106" s="16">
        <f t="shared" si="37"/>
        <v>3623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0.20397460667954734</v>
      </c>
      <c r="D107" s="43">
        <f t="shared" si="38"/>
        <v>3.0637593154844052E-2</v>
      </c>
      <c r="E107" s="43">
        <f t="shared" si="38"/>
        <v>3.0361578802097708E-2</v>
      </c>
      <c r="F107" s="43">
        <f t="shared" si="38"/>
        <v>5.1338669610819759E-2</v>
      </c>
      <c r="G107" s="43">
        <f t="shared" si="38"/>
        <v>5.5202870549268563E-4</v>
      </c>
      <c r="H107" s="43">
        <f t="shared" si="38"/>
        <v>5.5202870549268563E-4</v>
      </c>
      <c r="I107" s="43">
        <f t="shared" si="38"/>
        <v>4.2230195970190447E-2</v>
      </c>
      <c r="J107" s="43">
        <f t="shared" si="38"/>
        <v>1.7388904223019596E-2</v>
      </c>
      <c r="K107" s="43">
        <f t="shared" si="38"/>
        <v>1.9321004692243997E-3</v>
      </c>
      <c r="L107" s="43">
        <f t="shared" si="38"/>
        <v>1.6560861164780568E-3</v>
      </c>
      <c r="M107" s="43">
        <f t="shared" si="38"/>
        <v>0.61937620756279321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0.53589557650471353</v>
      </c>
      <c r="D108" s="44">
        <f t="shared" ref="D108:N108" si="39">D106/$O$106</f>
        <v>8.0493110949963739E-2</v>
      </c>
      <c r="E108" s="44">
        <f t="shared" si="39"/>
        <v>7.9767947788252358E-2</v>
      </c>
      <c r="F108" s="44">
        <f t="shared" si="39"/>
        <v>0.13488034807831761</v>
      </c>
      <c r="G108" s="44">
        <f t="shared" si="39"/>
        <v>1.4503263234227702E-3</v>
      </c>
      <c r="H108" s="44">
        <f t="shared" si="39"/>
        <v>1.4503263234227702E-3</v>
      </c>
      <c r="I108" s="44">
        <f t="shared" si="39"/>
        <v>0.11094996374184192</v>
      </c>
      <c r="J108" s="44">
        <f t="shared" si="39"/>
        <v>4.5685279187817257E-2</v>
      </c>
      <c r="K108" s="44">
        <f t="shared" si="39"/>
        <v>5.076142131979695E-3</v>
      </c>
      <c r="L108" s="44">
        <f t="shared" si="39"/>
        <v>4.3509789702683103E-3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F126"/>
  <sheetViews>
    <sheetView view="pageBreakPreview" zoomScale="60" workbookViewId="0">
      <selection activeCell="K25" sqref="K2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Mbarara-Isingiro'!C3:G3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51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'29.10 Mbarara-Isingiro'!D5</f>
        <v>29.10.2019</v>
      </c>
      <c r="E5" s="3"/>
      <c r="F5" s="41" t="s">
        <v>1</v>
      </c>
      <c r="G5" s="55" t="str">
        <f>'25.10 Isingiro-Mbarara'!G5:H5</f>
        <v>KASENYI</v>
      </c>
      <c r="H5" s="56"/>
      <c r="I5" s="14"/>
      <c r="J5" s="2" t="s">
        <v>5</v>
      </c>
      <c r="K5" s="55" t="str">
        <f>'25.10 Isingiro-Mbarara'!K5:L5</f>
        <v>MIREMBE RUTH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164</v>
      </c>
      <c r="E6" s="56"/>
      <c r="F6" s="2" t="s">
        <v>2</v>
      </c>
      <c r="G6" s="55" t="s">
        <v>166</v>
      </c>
      <c r="H6" s="56"/>
      <c r="J6" s="2" t="s">
        <v>21</v>
      </c>
      <c r="K6" s="55" t="str">
        <f>'25.10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13</v>
      </c>
      <c r="D10" s="50">
        <v>3</v>
      </c>
      <c r="E10" s="50">
        <v>0</v>
      </c>
      <c r="F10" s="50">
        <v>5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0</v>
      </c>
      <c r="M10" s="50">
        <v>35</v>
      </c>
      <c r="N10" s="50">
        <v>0</v>
      </c>
      <c r="O10" s="15">
        <f t="shared" ref="O10:O57" si="0">SUM(C10:L10,N10)</f>
        <v>23</v>
      </c>
      <c r="P10" s="15">
        <f t="shared" ref="P10:P57" si="1">SUM(C10:N10)</f>
        <v>58</v>
      </c>
      <c r="R10" s="1" t="s">
        <v>6</v>
      </c>
      <c r="S10" s="17">
        <f t="shared" ref="S10:AF10" si="2">SUM(C10:C13)</f>
        <v>53</v>
      </c>
      <c r="T10" s="17">
        <f t="shared" si="2"/>
        <v>9</v>
      </c>
      <c r="U10" s="17">
        <f t="shared" si="2"/>
        <v>1</v>
      </c>
      <c r="V10" s="17">
        <f t="shared" si="2"/>
        <v>17</v>
      </c>
      <c r="W10" s="17">
        <f t="shared" si="2"/>
        <v>0</v>
      </c>
      <c r="X10" s="17">
        <f t="shared" si="2"/>
        <v>1</v>
      </c>
      <c r="Y10" s="17">
        <f t="shared" si="2"/>
        <v>6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157</v>
      </c>
      <c r="AD10" s="17">
        <f t="shared" si="2"/>
        <v>0</v>
      </c>
      <c r="AE10" s="31">
        <f t="shared" si="2"/>
        <v>88</v>
      </c>
      <c r="AF10" s="31">
        <f t="shared" si="2"/>
        <v>245</v>
      </c>
    </row>
    <row r="11" spans="2:32" s="6" customFormat="1" ht="23.1" customHeight="1" x14ac:dyDescent="0.25">
      <c r="B11" s="23" t="s">
        <v>38</v>
      </c>
      <c r="C11" s="50">
        <v>12</v>
      </c>
      <c r="D11" s="50">
        <v>2</v>
      </c>
      <c r="E11" s="50">
        <v>0</v>
      </c>
      <c r="F11" s="50">
        <v>1</v>
      </c>
      <c r="G11" s="50">
        <v>0</v>
      </c>
      <c r="H11" s="50">
        <v>0</v>
      </c>
      <c r="I11" s="50">
        <v>3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18</v>
      </c>
      <c r="P11" s="15">
        <f t="shared" si="1"/>
        <v>53</v>
      </c>
      <c r="R11" s="1" t="s">
        <v>7</v>
      </c>
      <c r="S11" s="17">
        <f t="shared" ref="S11:AF11" si="3">SUM(C14:C17)</f>
        <v>55</v>
      </c>
      <c r="T11" s="17">
        <f t="shared" si="3"/>
        <v>3</v>
      </c>
      <c r="U11" s="17">
        <f t="shared" si="3"/>
        <v>5</v>
      </c>
      <c r="V11" s="17">
        <f t="shared" si="3"/>
        <v>18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205</v>
      </c>
      <c r="AD11" s="17">
        <f t="shared" si="3"/>
        <v>0</v>
      </c>
      <c r="AE11" s="31">
        <f t="shared" si="3"/>
        <v>87</v>
      </c>
      <c r="AF11" s="31">
        <f t="shared" si="3"/>
        <v>292</v>
      </c>
    </row>
    <row r="12" spans="2:32" ht="23.1" customHeight="1" x14ac:dyDescent="0.25">
      <c r="B12" s="23" t="s">
        <v>39</v>
      </c>
      <c r="C12" s="50">
        <v>14</v>
      </c>
      <c r="D12" s="50">
        <v>2</v>
      </c>
      <c r="E12" s="50">
        <v>0</v>
      </c>
      <c r="F12" s="50">
        <v>5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38</v>
      </c>
      <c r="N12" s="50">
        <v>0</v>
      </c>
      <c r="O12" s="15">
        <f t="shared" si="0"/>
        <v>22</v>
      </c>
      <c r="P12" s="15">
        <f t="shared" si="1"/>
        <v>60</v>
      </c>
      <c r="R12" s="1" t="s">
        <v>8</v>
      </c>
      <c r="S12" s="17">
        <f t="shared" ref="S12:AF12" si="4">SUM(C18:C21)</f>
        <v>46</v>
      </c>
      <c r="T12" s="17">
        <f t="shared" si="4"/>
        <v>4</v>
      </c>
      <c r="U12" s="17">
        <f t="shared" si="4"/>
        <v>10</v>
      </c>
      <c r="V12" s="17">
        <f t="shared" si="4"/>
        <v>17</v>
      </c>
      <c r="W12" s="17">
        <f t="shared" si="4"/>
        <v>0</v>
      </c>
      <c r="X12" s="17">
        <f t="shared" si="4"/>
        <v>0</v>
      </c>
      <c r="Y12" s="17">
        <f t="shared" si="4"/>
        <v>9</v>
      </c>
      <c r="Z12" s="17">
        <f t="shared" si="4"/>
        <v>3</v>
      </c>
      <c r="AA12" s="17">
        <f t="shared" si="4"/>
        <v>1</v>
      </c>
      <c r="AB12" s="17">
        <f t="shared" si="4"/>
        <v>2</v>
      </c>
      <c r="AC12" s="17">
        <f t="shared" si="4"/>
        <v>153</v>
      </c>
      <c r="AD12" s="17">
        <f t="shared" si="4"/>
        <v>0</v>
      </c>
      <c r="AE12" s="31">
        <f t="shared" si="4"/>
        <v>92</v>
      </c>
      <c r="AF12" s="31">
        <f t="shared" si="4"/>
        <v>245</v>
      </c>
    </row>
    <row r="13" spans="2:32" ht="23.1" customHeight="1" x14ac:dyDescent="0.25">
      <c r="B13" s="23" t="s">
        <v>40</v>
      </c>
      <c r="C13" s="50">
        <v>14</v>
      </c>
      <c r="D13" s="50">
        <v>2</v>
      </c>
      <c r="E13" s="50">
        <v>1</v>
      </c>
      <c r="F13" s="50">
        <v>6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49</v>
      </c>
      <c r="N13" s="50">
        <v>0</v>
      </c>
      <c r="O13" s="15">
        <f t="shared" si="0"/>
        <v>25</v>
      </c>
      <c r="P13" s="15">
        <f t="shared" si="1"/>
        <v>74</v>
      </c>
      <c r="R13" s="1" t="s">
        <v>9</v>
      </c>
      <c r="S13" s="17">
        <f t="shared" ref="S13:AF13" si="5">SUM(C22:C25)</f>
        <v>34</v>
      </c>
      <c r="T13" s="17">
        <f t="shared" si="5"/>
        <v>8</v>
      </c>
      <c r="U13" s="17">
        <f t="shared" si="5"/>
        <v>7</v>
      </c>
      <c r="V13" s="17">
        <f t="shared" si="5"/>
        <v>13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172</v>
      </c>
      <c r="AD13" s="17">
        <f t="shared" si="5"/>
        <v>0</v>
      </c>
      <c r="AE13" s="31">
        <f t="shared" si="5"/>
        <v>72</v>
      </c>
      <c r="AF13" s="31">
        <f t="shared" si="5"/>
        <v>244</v>
      </c>
    </row>
    <row r="14" spans="2:32" ht="23.1" customHeight="1" x14ac:dyDescent="0.25">
      <c r="B14" s="23" t="s">
        <v>41</v>
      </c>
      <c r="C14" s="50">
        <v>19</v>
      </c>
      <c r="D14" s="50">
        <v>1</v>
      </c>
      <c r="E14" s="50">
        <v>0</v>
      </c>
      <c r="F14" s="50">
        <v>7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46</v>
      </c>
      <c r="N14" s="50">
        <v>0</v>
      </c>
      <c r="O14" s="15">
        <f t="shared" si="0"/>
        <v>29</v>
      </c>
      <c r="P14" s="15">
        <f t="shared" si="1"/>
        <v>75</v>
      </c>
      <c r="R14" s="1" t="s">
        <v>10</v>
      </c>
      <c r="S14" s="17">
        <f t="shared" ref="S14:AF14" si="6">SUM(C26:C29)</f>
        <v>42</v>
      </c>
      <c r="T14" s="17">
        <f t="shared" si="6"/>
        <v>7</v>
      </c>
      <c r="U14" s="17">
        <f t="shared" si="6"/>
        <v>5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6</v>
      </c>
      <c r="AA14" s="17">
        <f t="shared" si="6"/>
        <v>0</v>
      </c>
      <c r="AB14" s="17">
        <f t="shared" si="6"/>
        <v>1</v>
      </c>
      <c r="AC14" s="17">
        <f t="shared" si="6"/>
        <v>168</v>
      </c>
      <c r="AD14" s="17">
        <f t="shared" si="6"/>
        <v>0</v>
      </c>
      <c r="AE14" s="31">
        <f t="shared" si="6"/>
        <v>75</v>
      </c>
      <c r="AF14" s="31">
        <f t="shared" si="6"/>
        <v>243</v>
      </c>
    </row>
    <row r="15" spans="2:32" ht="23.1" customHeight="1" x14ac:dyDescent="0.25">
      <c r="B15" s="23" t="s">
        <v>42</v>
      </c>
      <c r="C15" s="50">
        <v>17</v>
      </c>
      <c r="D15" s="50">
        <v>0</v>
      </c>
      <c r="E15" s="50">
        <v>3</v>
      </c>
      <c r="F15" s="50">
        <v>4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59</v>
      </c>
      <c r="N15" s="50">
        <v>0</v>
      </c>
      <c r="O15" s="15">
        <f t="shared" si="0"/>
        <v>26</v>
      </c>
      <c r="P15" s="15">
        <f t="shared" si="1"/>
        <v>85</v>
      </c>
      <c r="R15" s="1" t="s">
        <v>11</v>
      </c>
      <c r="S15" s="17">
        <f t="shared" ref="S15:AF15" si="7">SUM(C30:C33)</f>
        <v>28</v>
      </c>
      <c r="T15" s="17">
        <f t="shared" si="7"/>
        <v>4</v>
      </c>
      <c r="U15" s="17">
        <f t="shared" si="7"/>
        <v>8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8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106</v>
      </c>
      <c r="AD15" s="17">
        <f t="shared" si="7"/>
        <v>0</v>
      </c>
      <c r="AE15" s="31">
        <f t="shared" si="7"/>
        <v>60</v>
      </c>
      <c r="AF15" s="31">
        <f t="shared" si="7"/>
        <v>166</v>
      </c>
    </row>
    <row r="16" spans="2:32" ht="23.1" customHeight="1" x14ac:dyDescent="0.25">
      <c r="B16" s="23" t="s">
        <v>43</v>
      </c>
      <c r="C16" s="50">
        <v>8</v>
      </c>
      <c r="D16" s="50">
        <v>1</v>
      </c>
      <c r="E16" s="50">
        <v>0</v>
      </c>
      <c r="F16" s="50">
        <v>2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45</v>
      </c>
      <c r="N16" s="50">
        <v>0</v>
      </c>
      <c r="O16" s="15">
        <f t="shared" si="0"/>
        <v>13</v>
      </c>
      <c r="P16" s="15">
        <f t="shared" si="1"/>
        <v>58</v>
      </c>
      <c r="R16" s="1" t="s">
        <v>12</v>
      </c>
      <c r="S16" s="17">
        <f t="shared" ref="S16:AF16" si="8">SUM(C34:C37)</f>
        <v>44</v>
      </c>
      <c r="T16" s="17">
        <f t="shared" si="8"/>
        <v>1</v>
      </c>
      <c r="U16" s="17">
        <f t="shared" si="8"/>
        <v>7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7</v>
      </c>
      <c r="Z16" s="17">
        <f t="shared" si="8"/>
        <v>7</v>
      </c>
      <c r="AA16" s="17">
        <f t="shared" si="8"/>
        <v>0</v>
      </c>
      <c r="AB16" s="17">
        <f t="shared" si="8"/>
        <v>0</v>
      </c>
      <c r="AC16" s="17">
        <f t="shared" si="8"/>
        <v>146</v>
      </c>
      <c r="AD16" s="17">
        <f t="shared" si="8"/>
        <v>0</v>
      </c>
      <c r="AE16" s="31">
        <f t="shared" si="8"/>
        <v>72</v>
      </c>
      <c r="AF16" s="31">
        <f t="shared" si="8"/>
        <v>218</v>
      </c>
    </row>
    <row r="17" spans="2:32" ht="23.1" customHeight="1" x14ac:dyDescent="0.25">
      <c r="B17" s="23" t="s">
        <v>44</v>
      </c>
      <c r="C17" s="50">
        <v>11</v>
      </c>
      <c r="D17" s="50">
        <v>1</v>
      </c>
      <c r="E17" s="50">
        <v>2</v>
      </c>
      <c r="F17" s="50">
        <v>5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55</v>
      </c>
      <c r="N17" s="50">
        <v>0</v>
      </c>
      <c r="O17" s="15">
        <f t="shared" si="0"/>
        <v>19</v>
      </c>
      <c r="P17" s="15">
        <f t="shared" si="1"/>
        <v>74</v>
      </c>
      <c r="R17" s="1" t="s">
        <v>13</v>
      </c>
      <c r="S17" s="17">
        <f t="shared" ref="S17:AF17" si="9">SUM(C38:C41)</f>
        <v>32</v>
      </c>
      <c r="T17" s="17">
        <f t="shared" si="9"/>
        <v>4</v>
      </c>
      <c r="U17" s="17">
        <f t="shared" si="9"/>
        <v>10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12</v>
      </c>
      <c r="Z17" s="17">
        <f t="shared" si="9"/>
        <v>6</v>
      </c>
      <c r="AA17" s="17">
        <f t="shared" si="9"/>
        <v>0</v>
      </c>
      <c r="AB17" s="17">
        <f t="shared" si="9"/>
        <v>0</v>
      </c>
      <c r="AC17" s="17">
        <f t="shared" si="9"/>
        <v>142</v>
      </c>
      <c r="AD17" s="17">
        <f t="shared" si="9"/>
        <v>0</v>
      </c>
      <c r="AE17" s="31">
        <f t="shared" si="9"/>
        <v>69</v>
      </c>
      <c r="AF17" s="31">
        <f t="shared" si="9"/>
        <v>211</v>
      </c>
    </row>
    <row r="18" spans="2:32" ht="23.1" customHeight="1" x14ac:dyDescent="0.25">
      <c r="B18" s="23" t="s">
        <v>45</v>
      </c>
      <c r="C18" s="50">
        <v>12</v>
      </c>
      <c r="D18" s="50">
        <v>1</v>
      </c>
      <c r="E18" s="50">
        <v>1</v>
      </c>
      <c r="F18" s="50">
        <v>6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1</v>
      </c>
      <c r="M18" s="50">
        <v>41</v>
      </c>
      <c r="N18" s="50">
        <v>0</v>
      </c>
      <c r="O18" s="15">
        <f t="shared" si="0"/>
        <v>24</v>
      </c>
      <c r="P18" s="15">
        <f t="shared" si="1"/>
        <v>65</v>
      </c>
      <c r="R18" s="1" t="s">
        <v>14</v>
      </c>
      <c r="S18" s="17">
        <f t="shared" ref="S18:AF18" si="10">SUM(C42:C45)</f>
        <v>48</v>
      </c>
      <c r="T18" s="17">
        <f t="shared" si="10"/>
        <v>6</v>
      </c>
      <c r="U18" s="17">
        <f t="shared" si="10"/>
        <v>4</v>
      </c>
      <c r="V18" s="17">
        <f t="shared" si="10"/>
        <v>11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5</v>
      </c>
      <c r="AA18" s="17">
        <f t="shared" si="10"/>
        <v>2</v>
      </c>
      <c r="AB18" s="17">
        <f t="shared" si="10"/>
        <v>0</v>
      </c>
      <c r="AC18" s="17">
        <f t="shared" si="10"/>
        <v>105</v>
      </c>
      <c r="AD18" s="17">
        <f t="shared" si="10"/>
        <v>0</v>
      </c>
      <c r="AE18" s="31">
        <f t="shared" si="10"/>
        <v>88</v>
      </c>
      <c r="AF18" s="31">
        <f t="shared" si="10"/>
        <v>193</v>
      </c>
    </row>
    <row r="19" spans="2:32" ht="23.1" customHeight="1" x14ac:dyDescent="0.25">
      <c r="B19" s="23" t="s">
        <v>46</v>
      </c>
      <c r="C19" s="50">
        <v>16</v>
      </c>
      <c r="D19" s="50">
        <v>1</v>
      </c>
      <c r="E19" s="50">
        <v>4</v>
      </c>
      <c r="F19" s="50">
        <v>4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29</v>
      </c>
      <c r="N19" s="50">
        <v>0</v>
      </c>
      <c r="O19" s="15">
        <f t="shared" si="0"/>
        <v>29</v>
      </c>
      <c r="P19" s="15">
        <f t="shared" si="1"/>
        <v>58</v>
      </c>
      <c r="R19" s="1" t="s">
        <v>15</v>
      </c>
      <c r="S19" s="17">
        <f t="shared" ref="S19:AF19" si="11">SUM(C46:C49)</f>
        <v>28</v>
      </c>
      <c r="T19" s="17">
        <f t="shared" si="11"/>
        <v>5</v>
      </c>
      <c r="U19" s="17">
        <f t="shared" si="11"/>
        <v>8</v>
      </c>
      <c r="V19" s="17">
        <f t="shared" si="11"/>
        <v>6</v>
      </c>
      <c r="W19" s="17">
        <f t="shared" si="11"/>
        <v>1</v>
      </c>
      <c r="X19" s="17">
        <f t="shared" si="11"/>
        <v>0</v>
      </c>
      <c r="Y19" s="17">
        <f t="shared" si="11"/>
        <v>10</v>
      </c>
      <c r="Z19" s="17">
        <f t="shared" si="11"/>
        <v>4</v>
      </c>
      <c r="AA19" s="17">
        <f t="shared" si="11"/>
        <v>0</v>
      </c>
      <c r="AB19" s="17">
        <f t="shared" si="11"/>
        <v>1</v>
      </c>
      <c r="AC19" s="17">
        <f t="shared" si="11"/>
        <v>136</v>
      </c>
      <c r="AD19" s="17">
        <f t="shared" si="11"/>
        <v>1</v>
      </c>
      <c r="AE19" s="31">
        <f t="shared" si="11"/>
        <v>64</v>
      </c>
      <c r="AF19" s="31">
        <f t="shared" si="11"/>
        <v>200</v>
      </c>
    </row>
    <row r="20" spans="2:32" ht="23.1" customHeight="1" x14ac:dyDescent="0.25">
      <c r="B20" s="23" t="s">
        <v>47</v>
      </c>
      <c r="C20" s="50">
        <v>13</v>
      </c>
      <c r="D20" s="50">
        <v>2</v>
      </c>
      <c r="E20" s="50">
        <v>1</v>
      </c>
      <c r="F20" s="50">
        <v>3</v>
      </c>
      <c r="G20" s="50">
        <v>0</v>
      </c>
      <c r="H20" s="50">
        <v>0</v>
      </c>
      <c r="I20" s="50">
        <v>1</v>
      </c>
      <c r="J20" s="50">
        <v>2</v>
      </c>
      <c r="K20" s="50">
        <v>1</v>
      </c>
      <c r="L20" s="50">
        <v>0</v>
      </c>
      <c r="M20" s="50">
        <v>49</v>
      </c>
      <c r="N20" s="50">
        <v>0</v>
      </c>
      <c r="O20" s="15">
        <f t="shared" si="0"/>
        <v>23</v>
      </c>
      <c r="P20" s="15">
        <f t="shared" si="1"/>
        <v>72</v>
      </c>
      <c r="R20" s="1" t="s">
        <v>16</v>
      </c>
      <c r="S20" s="17">
        <f t="shared" ref="S20:AF20" si="12">SUM(C50:C53)</f>
        <v>63</v>
      </c>
      <c r="T20" s="17">
        <f t="shared" si="12"/>
        <v>11</v>
      </c>
      <c r="U20" s="17">
        <f t="shared" si="12"/>
        <v>12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5</v>
      </c>
      <c r="AA20" s="17">
        <f t="shared" si="12"/>
        <v>1</v>
      </c>
      <c r="AB20" s="17">
        <f t="shared" si="12"/>
        <v>0</v>
      </c>
      <c r="AC20" s="17">
        <f t="shared" si="12"/>
        <v>160</v>
      </c>
      <c r="AD20" s="17">
        <f t="shared" si="12"/>
        <v>0</v>
      </c>
      <c r="AE20" s="31">
        <f t="shared" si="12"/>
        <v>113</v>
      </c>
      <c r="AF20" s="31">
        <f t="shared" si="12"/>
        <v>273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4</v>
      </c>
      <c r="F21" s="50">
        <v>4</v>
      </c>
      <c r="G21" s="50">
        <v>0</v>
      </c>
      <c r="H21" s="50">
        <v>0</v>
      </c>
      <c r="I21" s="50">
        <v>1</v>
      </c>
      <c r="J21" s="50">
        <v>1</v>
      </c>
      <c r="K21" s="50">
        <v>0</v>
      </c>
      <c r="L21" s="50">
        <v>1</v>
      </c>
      <c r="M21" s="50">
        <v>34</v>
      </c>
      <c r="N21" s="50">
        <v>0</v>
      </c>
      <c r="O21" s="15">
        <f t="shared" si="0"/>
        <v>16</v>
      </c>
      <c r="P21" s="15">
        <f t="shared" si="1"/>
        <v>50</v>
      </c>
      <c r="R21" s="36" t="s">
        <v>20</v>
      </c>
      <c r="S21" s="34">
        <f t="shared" ref="S21:AF21" si="13">SUM(C54:C57)</f>
        <v>59</v>
      </c>
      <c r="T21" s="17">
        <f t="shared" si="13"/>
        <v>12</v>
      </c>
      <c r="U21" s="17">
        <f t="shared" si="13"/>
        <v>13</v>
      </c>
      <c r="V21" s="17">
        <f t="shared" si="13"/>
        <v>8</v>
      </c>
      <c r="W21" s="17">
        <f t="shared" si="13"/>
        <v>2</v>
      </c>
      <c r="X21" s="17">
        <f t="shared" si="13"/>
        <v>0</v>
      </c>
      <c r="Y21" s="17">
        <f t="shared" si="13"/>
        <v>7</v>
      </c>
      <c r="Z21" s="17">
        <f t="shared" si="13"/>
        <v>10</v>
      </c>
      <c r="AA21" s="17">
        <f t="shared" si="13"/>
        <v>0</v>
      </c>
      <c r="AB21" s="17">
        <f t="shared" si="13"/>
        <v>1</v>
      </c>
      <c r="AC21" s="17">
        <f t="shared" si="13"/>
        <v>178</v>
      </c>
      <c r="AD21" s="17">
        <f t="shared" si="13"/>
        <v>0</v>
      </c>
      <c r="AE21" s="31">
        <f t="shared" si="13"/>
        <v>112</v>
      </c>
      <c r="AF21" s="31">
        <f t="shared" si="13"/>
        <v>290</v>
      </c>
    </row>
    <row r="22" spans="2:32" ht="23.1" customHeight="1" x14ac:dyDescent="0.25">
      <c r="B22" s="23" t="s">
        <v>49</v>
      </c>
      <c r="C22" s="50">
        <v>11</v>
      </c>
      <c r="D22" s="50">
        <v>1</v>
      </c>
      <c r="E22" s="50">
        <v>2</v>
      </c>
      <c r="F22" s="50">
        <v>3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38</v>
      </c>
      <c r="N22" s="50">
        <v>0</v>
      </c>
      <c r="O22" s="15">
        <f t="shared" si="0"/>
        <v>19</v>
      </c>
      <c r="P22" s="15">
        <f t="shared" si="1"/>
        <v>57</v>
      </c>
      <c r="R22" s="38" t="s">
        <v>90</v>
      </c>
      <c r="S22" s="39">
        <f>MAX(S10:S12)</f>
        <v>55</v>
      </c>
      <c r="T22" s="39">
        <f t="shared" ref="T22:AF22" si="14">MAX(T10:T12)</f>
        <v>9</v>
      </c>
      <c r="U22" s="39">
        <f t="shared" si="14"/>
        <v>10</v>
      </c>
      <c r="V22" s="39">
        <f t="shared" si="14"/>
        <v>18</v>
      </c>
      <c r="W22" s="39">
        <f t="shared" si="14"/>
        <v>0</v>
      </c>
      <c r="X22" s="39">
        <f t="shared" si="14"/>
        <v>1</v>
      </c>
      <c r="Y22" s="39">
        <f t="shared" si="14"/>
        <v>9</v>
      </c>
      <c r="Z22" s="39">
        <f t="shared" si="14"/>
        <v>4</v>
      </c>
      <c r="AA22" s="39">
        <f t="shared" si="14"/>
        <v>1</v>
      </c>
      <c r="AB22" s="39">
        <f t="shared" si="14"/>
        <v>2</v>
      </c>
      <c r="AC22" s="39">
        <f t="shared" si="14"/>
        <v>205</v>
      </c>
      <c r="AD22" s="39">
        <f t="shared" si="14"/>
        <v>0</v>
      </c>
      <c r="AE22" s="40">
        <f t="shared" si="14"/>
        <v>92</v>
      </c>
      <c r="AF22" s="40">
        <f t="shared" si="14"/>
        <v>292</v>
      </c>
    </row>
    <row r="23" spans="2:32" ht="23.1" customHeight="1" x14ac:dyDescent="0.25">
      <c r="B23" s="23" t="s">
        <v>50</v>
      </c>
      <c r="C23" s="50">
        <v>9</v>
      </c>
      <c r="D23" s="50">
        <v>3</v>
      </c>
      <c r="E23" s="50">
        <v>1</v>
      </c>
      <c r="F23" s="50">
        <v>3</v>
      </c>
      <c r="G23" s="50">
        <v>0</v>
      </c>
      <c r="H23" s="50">
        <v>0</v>
      </c>
      <c r="I23" s="50">
        <v>4</v>
      </c>
      <c r="J23" s="50">
        <v>1</v>
      </c>
      <c r="K23" s="50">
        <v>0</v>
      </c>
      <c r="L23" s="50">
        <v>0</v>
      </c>
      <c r="M23" s="50">
        <v>46</v>
      </c>
      <c r="N23" s="50">
        <v>0</v>
      </c>
      <c r="O23" s="15">
        <f t="shared" si="0"/>
        <v>21</v>
      </c>
      <c r="P23" s="15">
        <f t="shared" si="1"/>
        <v>67</v>
      </c>
      <c r="R23" s="38" t="s">
        <v>91</v>
      </c>
      <c r="S23" s="39">
        <f>MAX(S13:S18)</f>
        <v>48</v>
      </c>
      <c r="T23" s="39">
        <f t="shared" ref="T23:AF23" si="15">MAX(T13:T18)</f>
        <v>8</v>
      </c>
      <c r="U23" s="39">
        <f t="shared" si="15"/>
        <v>10</v>
      </c>
      <c r="V23" s="39">
        <f t="shared" si="15"/>
        <v>13</v>
      </c>
      <c r="W23" s="39">
        <f t="shared" si="15"/>
        <v>0</v>
      </c>
      <c r="X23" s="39">
        <f t="shared" si="15"/>
        <v>0</v>
      </c>
      <c r="Y23" s="39">
        <f t="shared" si="15"/>
        <v>12</v>
      </c>
      <c r="Z23" s="39">
        <f t="shared" si="15"/>
        <v>7</v>
      </c>
      <c r="AA23" s="39">
        <f t="shared" si="15"/>
        <v>2</v>
      </c>
      <c r="AB23" s="39">
        <f t="shared" si="15"/>
        <v>1</v>
      </c>
      <c r="AC23" s="39">
        <f t="shared" si="15"/>
        <v>172</v>
      </c>
      <c r="AD23" s="39">
        <f t="shared" si="15"/>
        <v>0</v>
      </c>
      <c r="AE23" s="40">
        <f t="shared" si="15"/>
        <v>88</v>
      </c>
      <c r="AF23" s="40">
        <f t="shared" si="15"/>
        <v>244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3</v>
      </c>
      <c r="F24" s="50">
        <v>1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42</v>
      </c>
      <c r="N24" s="50">
        <v>0</v>
      </c>
      <c r="O24" s="15">
        <f t="shared" si="0"/>
        <v>13</v>
      </c>
      <c r="P24" s="15">
        <f t="shared" si="1"/>
        <v>55</v>
      </c>
      <c r="R24" s="38" t="s">
        <v>92</v>
      </c>
      <c r="S24" s="39">
        <f>MAX(S19:S21)</f>
        <v>63</v>
      </c>
      <c r="T24" s="39">
        <f t="shared" ref="T24:AF24" si="16">MAX(T19:T21)</f>
        <v>12</v>
      </c>
      <c r="U24" s="39">
        <f t="shared" si="16"/>
        <v>13</v>
      </c>
      <c r="V24" s="39">
        <f t="shared" si="16"/>
        <v>12</v>
      </c>
      <c r="W24" s="39">
        <f t="shared" si="16"/>
        <v>2</v>
      </c>
      <c r="X24" s="39">
        <f t="shared" si="16"/>
        <v>0</v>
      </c>
      <c r="Y24" s="39">
        <f t="shared" si="16"/>
        <v>10</v>
      </c>
      <c r="Z24" s="39">
        <f t="shared" si="16"/>
        <v>10</v>
      </c>
      <c r="AA24" s="39">
        <f t="shared" si="16"/>
        <v>1</v>
      </c>
      <c r="AB24" s="39">
        <f t="shared" si="16"/>
        <v>1</v>
      </c>
      <c r="AC24" s="39">
        <f t="shared" si="16"/>
        <v>178</v>
      </c>
      <c r="AD24" s="39">
        <f t="shared" si="16"/>
        <v>1</v>
      </c>
      <c r="AE24" s="40">
        <f t="shared" si="16"/>
        <v>113</v>
      </c>
      <c r="AF24" s="40">
        <f t="shared" si="16"/>
        <v>290</v>
      </c>
    </row>
    <row r="25" spans="2:32" ht="23.1" customHeight="1" x14ac:dyDescent="0.25">
      <c r="B25" s="23" t="s">
        <v>52</v>
      </c>
      <c r="C25" s="50">
        <v>6</v>
      </c>
      <c r="D25" s="50">
        <v>4</v>
      </c>
      <c r="E25" s="50">
        <v>1</v>
      </c>
      <c r="F25" s="50">
        <v>6</v>
      </c>
      <c r="G25" s="50">
        <v>0</v>
      </c>
      <c r="H25" s="50">
        <v>0</v>
      </c>
      <c r="I25" s="50">
        <v>2</v>
      </c>
      <c r="J25" s="50">
        <v>0</v>
      </c>
      <c r="K25" s="50">
        <v>0</v>
      </c>
      <c r="L25" s="50">
        <v>0</v>
      </c>
      <c r="M25" s="50">
        <v>46</v>
      </c>
      <c r="N25" s="50">
        <v>0</v>
      </c>
      <c r="O25" s="15">
        <f t="shared" si="0"/>
        <v>19</v>
      </c>
      <c r="P25" s="15">
        <f t="shared" si="1"/>
        <v>65</v>
      </c>
      <c r="R25" s="37" t="s">
        <v>85</v>
      </c>
      <c r="S25" s="35">
        <f t="shared" ref="S25:AF25" si="17">SUM(S10:S12)</f>
        <v>154</v>
      </c>
      <c r="T25" s="16">
        <f t="shared" si="17"/>
        <v>16</v>
      </c>
      <c r="U25" s="16">
        <f t="shared" si="17"/>
        <v>16</v>
      </c>
      <c r="V25" s="16">
        <f t="shared" si="17"/>
        <v>52</v>
      </c>
      <c r="W25" s="16">
        <f t="shared" si="17"/>
        <v>0</v>
      </c>
      <c r="X25" s="16">
        <f t="shared" si="17"/>
        <v>1</v>
      </c>
      <c r="Y25" s="16">
        <f t="shared" si="17"/>
        <v>17</v>
      </c>
      <c r="Z25" s="16">
        <f t="shared" si="17"/>
        <v>8</v>
      </c>
      <c r="AA25" s="16">
        <f t="shared" si="17"/>
        <v>1</v>
      </c>
      <c r="AB25" s="16">
        <f t="shared" si="17"/>
        <v>2</v>
      </c>
      <c r="AC25" s="16">
        <f t="shared" si="17"/>
        <v>515</v>
      </c>
      <c r="AD25" s="16">
        <f t="shared" si="17"/>
        <v>0</v>
      </c>
      <c r="AE25" s="32">
        <f t="shared" si="17"/>
        <v>267</v>
      </c>
      <c r="AF25" s="32">
        <f t="shared" si="17"/>
        <v>782</v>
      </c>
    </row>
    <row r="26" spans="2:32" ht="23.1" customHeight="1" x14ac:dyDescent="0.25">
      <c r="B26" s="23" t="s">
        <v>53</v>
      </c>
      <c r="C26" s="50">
        <v>9</v>
      </c>
      <c r="D26" s="50">
        <v>0</v>
      </c>
      <c r="E26" s="50">
        <v>2</v>
      </c>
      <c r="F26" s="50">
        <v>2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43</v>
      </c>
      <c r="N26" s="50">
        <v>0</v>
      </c>
      <c r="O26" s="15">
        <f t="shared" si="0"/>
        <v>16</v>
      </c>
      <c r="P26" s="15">
        <f t="shared" si="1"/>
        <v>59</v>
      </c>
      <c r="R26" s="28" t="s">
        <v>86</v>
      </c>
      <c r="S26" s="16">
        <f t="shared" ref="S26:AF26" si="18">SUM(S13:S18)</f>
        <v>228</v>
      </c>
      <c r="T26" s="16">
        <f t="shared" si="18"/>
        <v>30</v>
      </c>
      <c r="U26" s="16">
        <f t="shared" si="18"/>
        <v>41</v>
      </c>
      <c r="V26" s="16">
        <f t="shared" si="18"/>
        <v>51</v>
      </c>
      <c r="W26" s="16">
        <f t="shared" si="18"/>
        <v>0</v>
      </c>
      <c r="X26" s="16">
        <f t="shared" si="18"/>
        <v>0</v>
      </c>
      <c r="Y26" s="16">
        <f t="shared" si="18"/>
        <v>55</v>
      </c>
      <c r="Z26" s="16">
        <f t="shared" si="18"/>
        <v>28</v>
      </c>
      <c r="AA26" s="16">
        <f t="shared" si="18"/>
        <v>2</v>
      </c>
      <c r="AB26" s="16">
        <f t="shared" si="18"/>
        <v>1</v>
      </c>
      <c r="AC26" s="16">
        <f t="shared" si="18"/>
        <v>839</v>
      </c>
      <c r="AD26" s="16">
        <f t="shared" si="18"/>
        <v>0</v>
      </c>
      <c r="AE26" s="32">
        <f t="shared" si="18"/>
        <v>436</v>
      </c>
      <c r="AF26" s="32">
        <f t="shared" si="18"/>
        <v>1275</v>
      </c>
    </row>
    <row r="27" spans="2:32" ht="23.1" customHeight="1" x14ac:dyDescent="0.25">
      <c r="B27" s="23" t="s">
        <v>54</v>
      </c>
      <c r="C27" s="50">
        <v>8</v>
      </c>
      <c r="D27" s="50">
        <v>4</v>
      </c>
      <c r="E27" s="50">
        <v>1</v>
      </c>
      <c r="F27" s="50">
        <v>3</v>
      </c>
      <c r="G27" s="50">
        <v>0</v>
      </c>
      <c r="H27" s="50">
        <v>0</v>
      </c>
      <c r="I27" s="50">
        <v>0</v>
      </c>
      <c r="J27" s="50">
        <v>2</v>
      </c>
      <c r="K27" s="50">
        <v>0</v>
      </c>
      <c r="L27" s="50">
        <v>0</v>
      </c>
      <c r="M27" s="50">
        <v>32</v>
      </c>
      <c r="N27" s="50">
        <v>0</v>
      </c>
      <c r="O27" s="15">
        <f t="shared" si="0"/>
        <v>18</v>
      </c>
      <c r="P27" s="15">
        <f t="shared" si="1"/>
        <v>50</v>
      </c>
      <c r="R27" s="29" t="s">
        <v>87</v>
      </c>
      <c r="S27" s="16">
        <f t="shared" ref="S27:AF27" si="19">SUM(S19:S21)</f>
        <v>150</v>
      </c>
      <c r="T27" s="16">
        <f t="shared" si="19"/>
        <v>28</v>
      </c>
      <c r="U27" s="16">
        <f t="shared" si="19"/>
        <v>33</v>
      </c>
      <c r="V27" s="16">
        <f t="shared" si="19"/>
        <v>26</v>
      </c>
      <c r="W27" s="16">
        <f t="shared" si="19"/>
        <v>3</v>
      </c>
      <c r="X27" s="16">
        <f t="shared" si="19"/>
        <v>0</v>
      </c>
      <c r="Y27" s="16">
        <f t="shared" si="19"/>
        <v>26</v>
      </c>
      <c r="Z27" s="16">
        <f t="shared" si="19"/>
        <v>19</v>
      </c>
      <c r="AA27" s="16">
        <f t="shared" si="19"/>
        <v>1</v>
      </c>
      <c r="AB27" s="16">
        <f t="shared" si="19"/>
        <v>2</v>
      </c>
      <c r="AC27" s="16">
        <f t="shared" si="19"/>
        <v>474</v>
      </c>
      <c r="AD27" s="16">
        <f t="shared" si="19"/>
        <v>1</v>
      </c>
      <c r="AE27" s="32">
        <f t="shared" si="19"/>
        <v>289</v>
      </c>
      <c r="AF27" s="32">
        <f t="shared" si="19"/>
        <v>763</v>
      </c>
    </row>
    <row r="28" spans="2:32" ht="23.1" customHeight="1" x14ac:dyDescent="0.25">
      <c r="B28" s="23" t="s">
        <v>55</v>
      </c>
      <c r="C28" s="50">
        <v>11</v>
      </c>
      <c r="D28" s="50">
        <v>3</v>
      </c>
      <c r="E28" s="50">
        <v>2</v>
      </c>
      <c r="F28" s="50">
        <v>1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1</v>
      </c>
      <c r="M28" s="50">
        <v>51</v>
      </c>
      <c r="N28" s="50">
        <v>0</v>
      </c>
      <c r="O28" s="15">
        <f t="shared" si="0"/>
        <v>22</v>
      </c>
      <c r="P28" s="15">
        <f t="shared" si="1"/>
        <v>73</v>
      </c>
      <c r="R28" s="5" t="s">
        <v>17</v>
      </c>
      <c r="S28" s="16">
        <f t="shared" ref="S28:AF28" si="20">SUM(S10:S21)</f>
        <v>532</v>
      </c>
      <c r="T28" s="16">
        <f t="shared" si="20"/>
        <v>74</v>
      </c>
      <c r="U28" s="16">
        <f t="shared" si="20"/>
        <v>90</v>
      </c>
      <c r="V28" s="16">
        <f t="shared" si="20"/>
        <v>129</v>
      </c>
      <c r="W28" s="16">
        <f t="shared" si="20"/>
        <v>3</v>
      </c>
      <c r="X28" s="16">
        <f t="shared" si="20"/>
        <v>1</v>
      </c>
      <c r="Y28" s="16">
        <f t="shared" si="20"/>
        <v>98</v>
      </c>
      <c r="Z28" s="16">
        <f t="shared" si="20"/>
        <v>55</v>
      </c>
      <c r="AA28" s="16">
        <f t="shared" si="20"/>
        <v>4</v>
      </c>
      <c r="AB28" s="16">
        <f t="shared" si="20"/>
        <v>5</v>
      </c>
      <c r="AC28" s="16">
        <f t="shared" si="20"/>
        <v>1828</v>
      </c>
      <c r="AD28" s="16">
        <f t="shared" si="20"/>
        <v>1</v>
      </c>
      <c r="AE28" s="32">
        <f t="shared" si="20"/>
        <v>992</v>
      </c>
      <c r="AF28" s="32">
        <f t="shared" si="20"/>
        <v>2820</v>
      </c>
    </row>
    <row r="29" spans="2:32" ht="23.1" customHeight="1" x14ac:dyDescent="0.25">
      <c r="B29" s="23" t="s">
        <v>56</v>
      </c>
      <c r="C29" s="50">
        <v>14</v>
      </c>
      <c r="D29" s="50">
        <v>0</v>
      </c>
      <c r="E29" s="50">
        <v>0</v>
      </c>
      <c r="F29" s="50">
        <v>0</v>
      </c>
      <c r="G29" s="50">
        <v>0</v>
      </c>
      <c r="H29" s="50">
        <v>0</v>
      </c>
      <c r="I29" s="50">
        <v>4</v>
      </c>
      <c r="J29" s="50">
        <v>1</v>
      </c>
      <c r="K29" s="50">
        <v>0</v>
      </c>
      <c r="L29" s="50">
        <v>0</v>
      </c>
      <c r="M29" s="50">
        <v>42</v>
      </c>
      <c r="N29" s="50">
        <v>0</v>
      </c>
      <c r="O29" s="15">
        <f t="shared" si="0"/>
        <v>19</v>
      </c>
      <c r="P29" s="15">
        <f t="shared" si="1"/>
        <v>61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1</v>
      </c>
      <c r="E30" s="50">
        <v>3</v>
      </c>
      <c r="F30" s="50">
        <v>3</v>
      </c>
      <c r="G30" s="50">
        <v>0</v>
      </c>
      <c r="H30" s="50">
        <v>0</v>
      </c>
      <c r="I30" s="50">
        <v>0</v>
      </c>
      <c r="J30" s="50">
        <v>2</v>
      </c>
      <c r="K30" s="50">
        <v>0</v>
      </c>
      <c r="L30" s="50">
        <v>0</v>
      </c>
      <c r="M30" s="50">
        <v>26</v>
      </c>
      <c r="N30" s="50">
        <v>0</v>
      </c>
      <c r="O30" s="15">
        <f t="shared" si="0"/>
        <v>16</v>
      </c>
      <c r="P30" s="15">
        <f t="shared" si="1"/>
        <v>42</v>
      </c>
    </row>
    <row r="31" spans="2:32" ht="23.1" customHeight="1" x14ac:dyDescent="0.25">
      <c r="B31" s="24" t="s">
        <v>58</v>
      </c>
      <c r="C31" s="50">
        <v>7</v>
      </c>
      <c r="D31" s="50">
        <v>1</v>
      </c>
      <c r="E31" s="50">
        <v>0</v>
      </c>
      <c r="F31" s="50">
        <v>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34</v>
      </c>
      <c r="N31" s="50">
        <v>0</v>
      </c>
      <c r="O31" s="15">
        <f t="shared" si="0"/>
        <v>13</v>
      </c>
      <c r="P31" s="15">
        <f t="shared" si="1"/>
        <v>47</v>
      </c>
    </row>
    <row r="32" spans="2:32" ht="23.1" customHeight="1" x14ac:dyDescent="0.25">
      <c r="B32" s="24" t="s">
        <v>59</v>
      </c>
      <c r="C32" s="50">
        <v>6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4</v>
      </c>
      <c r="J32" s="50">
        <v>0</v>
      </c>
      <c r="K32" s="50">
        <v>0</v>
      </c>
      <c r="L32" s="50">
        <v>0</v>
      </c>
      <c r="M32" s="50">
        <v>22</v>
      </c>
      <c r="N32" s="50">
        <v>0</v>
      </c>
      <c r="O32" s="15">
        <f t="shared" si="0"/>
        <v>13</v>
      </c>
      <c r="P32" s="15">
        <f t="shared" si="1"/>
        <v>35</v>
      </c>
    </row>
    <row r="33" spans="2:20" ht="23.1" customHeight="1" x14ac:dyDescent="0.25">
      <c r="B33" s="23" t="s">
        <v>60</v>
      </c>
      <c r="C33" s="50">
        <v>8</v>
      </c>
      <c r="D33" s="50">
        <v>2</v>
      </c>
      <c r="E33" s="50">
        <v>4</v>
      </c>
      <c r="F33" s="50">
        <v>3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24</v>
      </c>
      <c r="N33" s="50">
        <v>0</v>
      </c>
      <c r="O33" s="15">
        <f t="shared" si="0"/>
        <v>18</v>
      </c>
      <c r="P33" s="15">
        <f t="shared" si="1"/>
        <v>42</v>
      </c>
    </row>
    <row r="34" spans="2:20" ht="23.1" customHeight="1" x14ac:dyDescent="0.25">
      <c r="B34" s="24" t="s">
        <v>61</v>
      </c>
      <c r="C34" s="50">
        <v>12</v>
      </c>
      <c r="D34" s="50">
        <v>0</v>
      </c>
      <c r="E34" s="50">
        <v>2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42</v>
      </c>
      <c r="N34" s="50">
        <v>0</v>
      </c>
      <c r="O34" s="15">
        <f t="shared" si="0"/>
        <v>16</v>
      </c>
      <c r="P34" s="15">
        <f t="shared" si="1"/>
        <v>58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3</v>
      </c>
      <c r="F35" s="50">
        <v>1</v>
      </c>
      <c r="G35" s="50">
        <v>0</v>
      </c>
      <c r="H35" s="50">
        <v>0</v>
      </c>
      <c r="I35" s="50">
        <v>4</v>
      </c>
      <c r="J35" s="50">
        <v>4</v>
      </c>
      <c r="K35" s="50">
        <v>0</v>
      </c>
      <c r="L35" s="50">
        <v>0</v>
      </c>
      <c r="M35" s="50">
        <v>33</v>
      </c>
      <c r="N35" s="50">
        <v>0</v>
      </c>
      <c r="O35" s="15">
        <f t="shared" si="0"/>
        <v>20</v>
      </c>
      <c r="P35" s="15">
        <f t="shared" si="1"/>
        <v>53</v>
      </c>
    </row>
    <row r="36" spans="2:20" ht="23.1" customHeight="1" x14ac:dyDescent="0.25">
      <c r="B36" s="24" t="s">
        <v>63</v>
      </c>
      <c r="C36" s="50">
        <v>13</v>
      </c>
      <c r="D36" s="50">
        <v>1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38</v>
      </c>
      <c r="N36" s="50">
        <v>0</v>
      </c>
      <c r="O36" s="15">
        <f t="shared" si="0"/>
        <v>19</v>
      </c>
      <c r="P36" s="15">
        <f t="shared" si="1"/>
        <v>57</v>
      </c>
    </row>
    <row r="37" spans="2:20" ht="23.1" customHeight="1" x14ac:dyDescent="0.25">
      <c r="B37" s="23" t="s">
        <v>64</v>
      </c>
      <c r="C37" s="50">
        <v>11</v>
      </c>
      <c r="D37" s="50">
        <v>0</v>
      </c>
      <c r="E37" s="50">
        <v>1</v>
      </c>
      <c r="F37" s="50">
        <v>1</v>
      </c>
      <c r="G37" s="50">
        <v>0</v>
      </c>
      <c r="H37" s="50">
        <v>0</v>
      </c>
      <c r="I37" s="50">
        <v>1</v>
      </c>
      <c r="J37" s="50">
        <v>3</v>
      </c>
      <c r="K37" s="50">
        <v>0</v>
      </c>
      <c r="L37" s="50">
        <v>0</v>
      </c>
      <c r="M37" s="50">
        <v>33</v>
      </c>
      <c r="N37" s="50">
        <v>0</v>
      </c>
      <c r="O37" s="15">
        <f t="shared" si="0"/>
        <v>17</v>
      </c>
      <c r="P37" s="15">
        <f t="shared" si="1"/>
        <v>50</v>
      </c>
    </row>
    <row r="38" spans="2:20" ht="23.1" customHeight="1" x14ac:dyDescent="0.25">
      <c r="B38" s="24" t="s">
        <v>65</v>
      </c>
      <c r="C38" s="50">
        <v>7</v>
      </c>
      <c r="D38" s="50">
        <v>2</v>
      </c>
      <c r="E38" s="50">
        <v>3</v>
      </c>
      <c r="F38" s="50">
        <v>0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30</v>
      </c>
      <c r="N38" s="50">
        <v>0</v>
      </c>
      <c r="O38" s="15">
        <f t="shared" si="0"/>
        <v>16</v>
      </c>
      <c r="P38" s="15">
        <f t="shared" si="1"/>
        <v>46</v>
      </c>
    </row>
    <row r="39" spans="2:20" ht="23.1" customHeight="1" x14ac:dyDescent="0.25">
      <c r="B39" s="24" t="s">
        <v>66</v>
      </c>
      <c r="C39" s="50">
        <v>7</v>
      </c>
      <c r="D39" s="50">
        <v>0</v>
      </c>
      <c r="E39" s="50">
        <v>3</v>
      </c>
      <c r="F39" s="50">
        <v>2</v>
      </c>
      <c r="G39" s="50">
        <v>0</v>
      </c>
      <c r="H39" s="50">
        <v>0</v>
      </c>
      <c r="I39" s="50">
        <v>3</v>
      </c>
      <c r="J39" s="50">
        <v>2</v>
      </c>
      <c r="K39" s="50">
        <v>0</v>
      </c>
      <c r="L39" s="50">
        <v>0</v>
      </c>
      <c r="M39" s="50">
        <v>35</v>
      </c>
      <c r="N39" s="50">
        <v>0</v>
      </c>
      <c r="O39" s="15">
        <f t="shared" si="0"/>
        <v>17</v>
      </c>
      <c r="P39" s="15">
        <f t="shared" si="1"/>
        <v>52</v>
      </c>
    </row>
    <row r="40" spans="2:20" ht="23.1" customHeight="1" x14ac:dyDescent="0.25">
      <c r="B40" s="24" t="s">
        <v>67</v>
      </c>
      <c r="C40" s="50">
        <v>10</v>
      </c>
      <c r="D40" s="50">
        <v>1</v>
      </c>
      <c r="E40" s="50">
        <v>4</v>
      </c>
      <c r="F40" s="50">
        <v>1</v>
      </c>
      <c r="G40" s="50">
        <v>0</v>
      </c>
      <c r="H40" s="50">
        <v>0</v>
      </c>
      <c r="I40" s="50">
        <v>5</v>
      </c>
      <c r="J40" s="50">
        <v>2</v>
      </c>
      <c r="K40" s="50">
        <v>0</v>
      </c>
      <c r="L40" s="50">
        <v>0</v>
      </c>
      <c r="M40" s="50">
        <v>37</v>
      </c>
      <c r="N40" s="50">
        <v>0</v>
      </c>
      <c r="O40" s="15">
        <f t="shared" si="0"/>
        <v>23</v>
      </c>
      <c r="P40" s="15">
        <f t="shared" si="1"/>
        <v>60</v>
      </c>
    </row>
    <row r="41" spans="2:20" ht="23.1" customHeight="1" x14ac:dyDescent="0.25">
      <c r="B41" s="23" t="s">
        <v>68</v>
      </c>
      <c r="C41" s="50">
        <v>8</v>
      </c>
      <c r="D41" s="50">
        <v>1</v>
      </c>
      <c r="E41" s="50">
        <v>0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40</v>
      </c>
      <c r="N41" s="50">
        <v>0</v>
      </c>
      <c r="O41" s="15">
        <f t="shared" si="0"/>
        <v>13</v>
      </c>
      <c r="P41" s="15">
        <f t="shared" si="1"/>
        <v>53</v>
      </c>
    </row>
    <row r="42" spans="2:20" ht="23.1" customHeight="1" x14ac:dyDescent="0.25">
      <c r="B42" s="24" t="s">
        <v>69</v>
      </c>
      <c r="C42" s="50">
        <v>12</v>
      </c>
      <c r="D42" s="50">
        <v>2</v>
      </c>
      <c r="E42" s="50">
        <v>0</v>
      </c>
      <c r="F42" s="50">
        <v>4</v>
      </c>
      <c r="G42" s="50">
        <v>0</v>
      </c>
      <c r="H42" s="50">
        <v>0</v>
      </c>
      <c r="I42" s="50">
        <v>3</v>
      </c>
      <c r="J42" s="50">
        <v>1</v>
      </c>
      <c r="K42" s="50">
        <v>1</v>
      </c>
      <c r="L42" s="50">
        <v>0</v>
      </c>
      <c r="M42" s="50">
        <v>42</v>
      </c>
      <c r="N42" s="50">
        <v>0</v>
      </c>
      <c r="O42" s="15">
        <f t="shared" si="0"/>
        <v>23</v>
      </c>
      <c r="P42" s="15">
        <f t="shared" si="1"/>
        <v>65</v>
      </c>
    </row>
    <row r="43" spans="2:20" ht="23.1" customHeight="1" x14ac:dyDescent="0.25">
      <c r="B43" s="23" t="s">
        <v>70</v>
      </c>
      <c r="C43" s="50">
        <v>7</v>
      </c>
      <c r="D43" s="50">
        <v>2</v>
      </c>
      <c r="E43" s="50">
        <v>1</v>
      </c>
      <c r="F43" s="50">
        <v>2</v>
      </c>
      <c r="G43" s="50">
        <v>0</v>
      </c>
      <c r="H43" s="50">
        <v>0</v>
      </c>
      <c r="I43" s="50">
        <v>5</v>
      </c>
      <c r="J43" s="50">
        <v>2</v>
      </c>
      <c r="K43" s="50">
        <v>0</v>
      </c>
      <c r="L43" s="50">
        <v>0</v>
      </c>
      <c r="M43" s="50">
        <v>21</v>
      </c>
      <c r="N43" s="50">
        <v>0</v>
      </c>
      <c r="O43" s="15">
        <f t="shared" si="0"/>
        <v>19</v>
      </c>
      <c r="P43" s="15">
        <f t="shared" si="1"/>
        <v>40</v>
      </c>
    </row>
    <row r="44" spans="2:20" ht="23.1" customHeight="1" x14ac:dyDescent="0.25">
      <c r="B44" s="25" t="s">
        <v>71</v>
      </c>
      <c r="C44" s="50">
        <v>14</v>
      </c>
      <c r="D44" s="50">
        <v>0</v>
      </c>
      <c r="E44" s="50">
        <v>1</v>
      </c>
      <c r="F44" s="50">
        <v>3</v>
      </c>
      <c r="G44" s="50">
        <v>0</v>
      </c>
      <c r="H44" s="50">
        <v>0</v>
      </c>
      <c r="I44" s="50">
        <v>3</v>
      </c>
      <c r="J44" s="50">
        <v>0</v>
      </c>
      <c r="K44" s="50">
        <v>1</v>
      </c>
      <c r="L44" s="50">
        <v>0</v>
      </c>
      <c r="M44" s="50">
        <v>22</v>
      </c>
      <c r="N44" s="50">
        <v>0</v>
      </c>
      <c r="O44" s="15">
        <f t="shared" si="0"/>
        <v>22</v>
      </c>
      <c r="P44" s="15">
        <f t="shared" si="1"/>
        <v>44</v>
      </c>
    </row>
    <row r="45" spans="2:20" ht="23.1" customHeight="1" x14ac:dyDescent="0.25">
      <c r="B45" s="23" t="s">
        <v>72</v>
      </c>
      <c r="C45" s="50">
        <v>15</v>
      </c>
      <c r="D45" s="50">
        <v>2</v>
      </c>
      <c r="E45" s="50">
        <v>2</v>
      </c>
      <c r="F45" s="50">
        <v>2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0</v>
      </c>
      <c r="M45" s="50">
        <v>20</v>
      </c>
      <c r="N45" s="50">
        <v>0</v>
      </c>
      <c r="O45" s="15">
        <f t="shared" si="0"/>
        <v>24</v>
      </c>
      <c r="P45" s="15">
        <f t="shared" si="1"/>
        <v>44</v>
      </c>
    </row>
    <row r="46" spans="2:20" ht="23.1" customHeight="1" x14ac:dyDescent="0.25">
      <c r="B46" s="24" t="s">
        <v>73</v>
      </c>
      <c r="C46" s="50">
        <v>8</v>
      </c>
      <c r="D46" s="50">
        <v>3</v>
      </c>
      <c r="E46" s="50">
        <v>0</v>
      </c>
      <c r="F46" s="50">
        <v>0</v>
      </c>
      <c r="G46" s="50">
        <v>1</v>
      </c>
      <c r="H46" s="50">
        <v>0</v>
      </c>
      <c r="I46" s="50">
        <v>1</v>
      </c>
      <c r="J46" s="50">
        <v>2</v>
      </c>
      <c r="K46" s="50">
        <v>0</v>
      </c>
      <c r="L46" s="50">
        <v>1</v>
      </c>
      <c r="M46" s="50">
        <v>45</v>
      </c>
      <c r="N46" s="50">
        <v>0</v>
      </c>
      <c r="O46" s="15">
        <f t="shared" si="0"/>
        <v>16</v>
      </c>
      <c r="P46" s="15">
        <f t="shared" si="1"/>
        <v>61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1</v>
      </c>
      <c r="E47" s="50">
        <v>2</v>
      </c>
      <c r="F47" s="50">
        <v>0</v>
      </c>
      <c r="G47" s="50">
        <v>0</v>
      </c>
      <c r="H47" s="50">
        <v>0</v>
      </c>
      <c r="I47" s="50">
        <v>2</v>
      </c>
      <c r="J47" s="50">
        <v>1</v>
      </c>
      <c r="K47" s="50">
        <v>0</v>
      </c>
      <c r="L47" s="50">
        <v>0</v>
      </c>
      <c r="M47" s="50">
        <v>25</v>
      </c>
      <c r="N47" s="50">
        <v>0</v>
      </c>
      <c r="O47" s="15">
        <f t="shared" si="0"/>
        <v>9</v>
      </c>
      <c r="P47" s="15">
        <f t="shared" si="1"/>
        <v>34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1</v>
      </c>
      <c r="E48" s="50">
        <v>3</v>
      </c>
      <c r="F48" s="50">
        <v>3</v>
      </c>
      <c r="G48" s="50">
        <v>0</v>
      </c>
      <c r="H48" s="50">
        <v>0</v>
      </c>
      <c r="I48" s="50">
        <v>5</v>
      </c>
      <c r="J48" s="50">
        <v>0</v>
      </c>
      <c r="K48" s="50">
        <v>0</v>
      </c>
      <c r="L48" s="50">
        <v>0</v>
      </c>
      <c r="M48" s="50">
        <v>34</v>
      </c>
      <c r="N48" s="50">
        <v>1</v>
      </c>
      <c r="O48" s="15">
        <f t="shared" si="0"/>
        <v>22</v>
      </c>
      <c r="P48" s="15">
        <f t="shared" si="1"/>
        <v>56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0</v>
      </c>
      <c r="E49" s="50">
        <v>3</v>
      </c>
      <c r="F49" s="50">
        <v>3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0</v>
      </c>
      <c r="M49" s="50">
        <v>32</v>
      </c>
      <c r="N49" s="50">
        <v>0</v>
      </c>
      <c r="O49" s="15">
        <f t="shared" si="0"/>
        <v>17</v>
      </c>
      <c r="P49" s="15">
        <f t="shared" si="1"/>
        <v>49</v>
      </c>
      <c r="R49" s="8"/>
      <c r="T49"/>
    </row>
    <row r="50" spans="2:20" ht="23.1" customHeight="1" x14ac:dyDescent="0.25">
      <c r="B50" s="24" t="s">
        <v>77</v>
      </c>
      <c r="C50" s="50">
        <v>17</v>
      </c>
      <c r="D50" s="50">
        <v>4</v>
      </c>
      <c r="E50" s="50">
        <v>1</v>
      </c>
      <c r="F50" s="50">
        <v>5</v>
      </c>
      <c r="G50" s="50">
        <v>0</v>
      </c>
      <c r="H50" s="50">
        <v>0</v>
      </c>
      <c r="I50" s="50">
        <v>1</v>
      </c>
      <c r="J50" s="50">
        <v>2</v>
      </c>
      <c r="K50" s="50">
        <v>0</v>
      </c>
      <c r="L50" s="50">
        <v>0</v>
      </c>
      <c r="M50" s="50">
        <v>40</v>
      </c>
      <c r="N50" s="50">
        <v>0</v>
      </c>
      <c r="O50" s="15">
        <f t="shared" si="0"/>
        <v>30</v>
      </c>
      <c r="P50" s="15">
        <f t="shared" si="1"/>
        <v>70</v>
      </c>
      <c r="R50" s="8"/>
      <c r="T50"/>
    </row>
    <row r="51" spans="2:20" ht="23.1" customHeight="1" x14ac:dyDescent="0.25">
      <c r="B51" s="24" t="s">
        <v>78</v>
      </c>
      <c r="C51" s="50">
        <v>14</v>
      </c>
      <c r="D51" s="50">
        <v>2</v>
      </c>
      <c r="E51" s="50">
        <v>4</v>
      </c>
      <c r="F51" s="50">
        <v>1</v>
      </c>
      <c r="G51" s="50">
        <v>0</v>
      </c>
      <c r="H51" s="50">
        <v>0</v>
      </c>
      <c r="I51" s="50">
        <v>4</v>
      </c>
      <c r="J51" s="50">
        <v>2</v>
      </c>
      <c r="K51" s="50">
        <v>0</v>
      </c>
      <c r="L51" s="50">
        <v>0</v>
      </c>
      <c r="M51" s="50">
        <v>45</v>
      </c>
      <c r="N51" s="50">
        <v>0</v>
      </c>
      <c r="O51" s="15">
        <f t="shared" si="0"/>
        <v>27</v>
      </c>
      <c r="P51" s="15">
        <f t="shared" si="1"/>
        <v>72</v>
      </c>
      <c r="R51" s="8"/>
      <c r="T51"/>
    </row>
    <row r="52" spans="2:20" ht="23.1" customHeight="1" x14ac:dyDescent="0.25">
      <c r="B52" s="24" t="s">
        <v>79</v>
      </c>
      <c r="C52" s="50">
        <v>11</v>
      </c>
      <c r="D52" s="50">
        <v>4</v>
      </c>
      <c r="E52" s="50">
        <v>4</v>
      </c>
      <c r="F52" s="50">
        <v>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23</v>
      </c>
      <c r="P52" s="15">
        <f t="shared" si="1"/>
        <v>64</v>
      </c>
      <c r="R52" s="8"/>
      <c r="T52"/>
    </row>
    <row r="53" spans="2:20" ht="23.1" customHeight="1" x14ac:dyDescent="0.25">
      <c r="B53" s="23" t="s">
        <v>80</v>
      </c>
      <c r="C53" s="50">
        <v>21</v>
      </c>
      <c r="D53" s="50">
        <v>1</v>
      </c>
      <c r="E53" s="50">
        <v>3</v>
      </c>
      <c r="F53" s="50">
        <v>3</v>
      </c>
      <c r="G53" s="50">
        <v>0</v>
      </c>
      <c r="H53" s="50">
        <v>0</v>
      </c>
      <c r="I53" s="50">
        <v>3</v>
      </c>
      <c r="J53" s="50">
        <v>1</v>
      </c>
      <c r="K53" s="50">
        <v>1</v>
      </c>
      <c r="L53" s="50">
        <v>0</v>
      </c>
      <c r="M53" s="50">
        <v>34</v>
      </c>
      <c r="N53" s="50">
        <v>0</v>
      </c>
      <c r="O53" s="15">
        <f t="shared" si="0"/>
        <v>33</v>
      </c>
      <c r="P53" s="15">
        <f t="shared" si="1"/>
        <v>67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4</v>
      </c>
      <c r="E54" s="50">
        <v>3</v>
      </c>
      <c r="F54" s="50">
        <v>1</v>
      </c>
      <c r="G54" s="50">
        <v>0</v>
      </c>
      <c r="H54" s="50">
        <v>0</v>
      </c>
      <c r="I54" s="50">
        <v>2</v>
      </c>
      <c r="J54" s="50">
        <v>3</v>
      </c>
      <c r="K54" s="50">
        <v>0</v>
      </c>
      <c r="L54" s="50">
        <v>0</v>
      </c>
      <c r="M54" s="50">
        <v>43</v>
      </c>
      <c r="N54" s="50">
        <v>0</v>
      </c>
      <c r="O54" s="15">
        <f t="shared" si="0"/>
        <v>20</v>
      </c>
      <c r="P54" s="15">
        <f t="shared" si="1"/>
        <v>63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4</v>
      </c>
      <c r="E55" s="50">
        <v>3</v>
      </c>
      <c r="F55" s="50">
        <v>2</v>
      </c>
      <c r="G55" s="50">
        <v>0</v>
      </c>
      <c r="H55" s="50">
        <v>0</v>
      </c>
      <c r="I55" s="50">
        <v>0</v>
      </c>
      <c r="J55" s="50">
        <v>3</v>
      </c>
      <c r="K55" s="50">
        <v>0</v>
      </c>
      <c r="L55" s="50">
        <v>1</v>
      </c>
      <c r="M55" s="50">
        <v>53</v>
      </c>
      <c r="N55" s="50">
        <v>0</v>
      </c>
      <c r="O55" s="15">
        <f t="shared" si="0"/>
        <v>28</v>
      </c>
      <c r="P55" s="15">
        <f t="shared" si="1"/>
        <v>81</v>
      </c>
      <c r="R55" s="8"/>
      <c r="T55"/>
    </row>
    <row r="56" spans="2:20" ht="23.1" customHeight="1" x14ac:dyDescent="0.25">
      <c r="B56" s="23" t="s">
        <v>83</v>
      </c>
      <c r="C56" s="50">
        <v>20</v>
      </c>
      <c r="D56" s="50">
        <v>1</v>
      </c>
      <c r="E56" s="50">
        <v>7</v>
      </c>
      <c r="F56" s="50">
        <v>1</v>
      </c>
      <c r="G56" s="50">
        <v>2</v>
      </c>
      <c r="H56" s="50">
        <v>0</v>
      </c>
      <c r="I56" s="50">
        <v>2</v>
      </c>
      <c r="J56" s="50">
        <v>1</v>
      </c>
      <c r="K56" s="50">
        <v>0</v>
      </c>
      <c r="L56" s="50">
        <v>0</v>
      </c>
      <c r="M56" s="50">
        <v>41</v>
      </c>
      <c r="N56" s="50">
        <v>0</v>
      </c>
      <c r="O56" s="15">
        <f t="shared" si="0"/>
        <v>34</v>
      </c>
      <c r="P56" s="15">
        <f t="shared" si="1"/>
        <v>75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3</v>
      </c>
      <c r="E57" s="50">
        <v>0</v>
      </c>
      <c r="F57" s="50">
        <v>4</v>
      </c>
      <c r="G57" s="50">
        <v>0</v>
      </c>
      <c r="H57" s="50">
        <v>0</v>
      </c>
      <c r="I57" s="50">
        <v>3</v>
      </c>
      <c r="J57" s="50">
        <v>3</v>
      </c>
      <c r="K57" s="50">
        <v>0</v>
      </c>
      <c r="L57" s="50">
        <v>0</v>
      </c>
      <c r="M57" s="50">
        <v>41</v>
      </c>
      <c r="N57" s="50">
        <v>0</v>
      </c>
      <c r="O57" s="15">
        <f t="shared" si="0"/>
        <v>30</v>
      </c>
      <c r="P57" s="15">
        <f t="shared" si="1"/>
        <v>71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532</v>
      </c>
      <c r="D58" s="16">
        <f t="shared" si="21"/>
        <v>74</v>
      </c>
      <c r="E58" s="16">
        <f t="shared" si="21"/>
        <v>90</v>
      </c>
      <c r="F58" s="16">
        <f t="shared" si="21"/>
        <v>129</v>
      </c>
      <c r="G58" s="16">
        <f t="shared" si="21"/>
        <v>3</v>
      </c>
      <c r="H58" s="16">
        <f t="shared" si="21"/>
        <v>1</v>
      </c>
      <c r="I58" s="16">
        <f t="shared" si="21"/>
        <v>98</v>
      </c>
      <c r="J58" s="16">
        <f t="shared" si="21"/>
        <v>55</v>
      </c>
      <c r="K58" s="16">
        <f t="shared" si="21"/>
        <v>4</v>
      </c>
      <c r="L58" s="16">
        <f t="shared" si="21"/>
        <v>5</v>
      </c>
      <c r="M58" s="16">
        <f t="shared" si="21"/>
        <v>1828</v>
      </c>
      <c r="N58" s="16">
        <f t="shared" si="21"/>
        <v>1</v>
      </c>
      <c r="O58" s="16">
        <f t="shared" si="21"/>
        <v>992</v>
      </c>
      <c r="P58" s="16">
        <f t="shared" si="21"/>
        <v>2820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0.18865248226950354</v>
      </c>
      <c r="D59" s="43">
        <f t="shared" si="22"/>
        <v>2.6241134751773049E-2</v>
      </c>
      <c r="E59" s="43">
        <f t="shared" si="22"/>
        <v>3.1914893617021274E-2</v>
      </c>
      <c r="F59" s="43">
        <f t="shared" si="22"/>
        <v>4.5744680851063826E-2</v>
      </c>
      <c r="G59" s="43">
        <f t="shared" si="22"/>
        <v>1.0638297872340426E-3</v>
      </c>
      <c r="H59" s="43">
        <f t="shared" si="22"/>
        <v>3.5460992907801421E-4</v>
      </c>
      <c r="I59" s="43">
        <f t="shared" si="22"/>
        <v>3.4751773049645392E-2</v>
      </c>
      <c r="J59" s="43">
        <f t="shared" si="22"/>
        <v>1.9503546099290781E-2</v>
      </c>
      <c r="K59" s="43">
        <f t="shared" si="22"/>
        <v>1.4184397163120568E-3</v>
      </c>
      <c r="L59" s="43">
        <f t="shared" si="22"/>
        <v>1.7730496453900709E-3</v>
      </c>
      <c r="M59" s="43">
        <f t="shared" si="22"/>
        <v>0.64822695035460998</v>
      </c>
      <c r="N59" s="43">
        <f t="shared" si="22"/>
        <v>3.5460992907801421E-4</v>
      </c>
      <c r="R59" s="8"/>
      <c r="T59"/>
    </row>
    <row r="60" spans="2:20" ht="23.1" customHeight="1" x14ac:dyDescent="0.25">
      <c r="B60" s="42" t="s">
        <v>94</v>
      </c>
      <c r="C60" s="44">
        <f>C58/$O$58</f>
        <v>0.53629032258064513</v>
      </c>
      <c r="D60" s="44">
        <f t="shared" ref="D60:N60" si="23">D58/$O$58</f>
        <v>7.459677419354839E-2</v>
      </c>
      <c r="E60" s="44">
        <f t="shared" si="23"/>
        <v>9.0725806451612906E-2</v>
      </c>
      <c r="F60" s="44">
        <f t="shared" si="23"/>
        <v>0.13004032258064516</v>
      </c>
      <c r="G60" s="44">
        <f t="shared" si="23"/>
        <v>3.0241935483870967E-3</v>
      </c>
      <c r="H60" s="44">
        <f t="shared" si="23"/>
        <v>1.0080645161290322E-3</v>
      </c>
      <c r="I60" s="44">
        <f t="shared" si="23"/>
        <v>9.8790322580645157E-2</v>
      </c>
      <c r="J60" s="44">
        <f t="shared" si="23"/>
        <v>5.5443548387096774E-2</v>
      </c>
      <c r="K60" s="44">
        <f t="shared" si="23"/>
        <v>4.0322580645161289E-3</v>
      </c>
      <c r="L60" s="44">
        <f t="shared" si="23"/>
        <v>5.0403225806451612E-3</v>
      </c>
      <c r="M60" s="44"/>
      <c r="N60" s="44">
        <f t="shared" si="23"/>
        <v>1.0080645161290322E-3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55" t="str">
        <f>'25.10 Isingiro-Mbarara'!G5:H5</f>
        <v>KASENYI</v>
      </c>
      <c r="H5" s="56"/>
      <c r="I5" s="14"/>
      <c r="J5" s="2" t="s">
        <v>5</v>
      </c>
      <c r="K5" s="55" t="s">
        <v>169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'25.10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1</v>
      </c>
      <c r="E10" s="50">
        <v>3</v>
      </c>
      <c r="F10" s="50">
        <v>1</v>
      </c>
      <c r="G10" s="50">
        <v>0</v>
      </c>
      <c r="H10" s="50">
        <v>0</v>
      </c>
      <c r="I10" s="50">
        <v>0</v>
      </c>
      <c r="J10" s="50">
        <v>4</v>
      </c>
      <c r="K10" s="50">
        <v>0</v>
      </c>
      <c r="L10" s="50">
        <v>2</v>
      </c>
      <c r="M10" s="50">
        <v>19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36</v>
      </c>
      <c r="R10" s="1" t="s">
        <v>6</v>
      </c>
      <c r="S10" s="17">
        <f t="shared" ref="S10:AF10" si="2">SUM(C10:C13)</f>
        <v>39</v>
      </c>
      <c r="T10" s="17">
        <f t="shared" si="2"/>
        <v>12</v>
      </c>
      <c r="U10" s="17">
        <f t="shared" si="2"/>
        <v>5</v>
      </c>
      <c r="V10" s="17">
        <f t="shared" si="2"/>
        <v>7</v>
      </c>
      <c r="W10" s="17">
        <f t="shared" si="2"/>
        <v>0</v>
      </c>
      <c r="X10" s="17">
        <f t="shared" si="2"/>
        <v>1</v>
      </c>
      <c r="Y10" s="17">
        <f t="shared" si="2"/>
        <v>3</v>
      </c>
      <c r="Z10" s="17">
        <f t="shared" si="2"/>
        <v>10</v>
      </c>
      <c r="AA10" s="17">
        <f t="shared" si="2"/>
        <v>2</v>
      </c>
      <c r="AB10" s="17">
        <f t="shared" si="2"/>
        <v>2</v>
      </c>
      <c r="AC10" s="17">
        <f t="shared" si="2"/>
        <v>104</v>
      </c>
      <c r="AD10" s="17">
        <f t="shared" si="2"/>
        <v>0</v>
      </c>
      <c r="AE10" s="31">
        <f t="shared" si="2"/>
        <v>81</v>
      </c>
      <c r="AF10" s="31">
        <f t="shared" si="2"/>
        <v>185</v>
      </c>
    </row>
    <row r="11" spans="2:32" s="6" customFormat="1" ht="23.1" customHeight="1" x14ac:dyDescent="0.25">
      <c r="B11" s="23" t="s">
        <v>38</v>
      </c>
      <c r="C11" s="50">
        <v>6</v>
      </c>
      <c r="D11" s="50">
        <v>1</v>
      </c>
      <c r="E11" s="50">
        <v>0</v>
      </c>
      <c r="F11" s="50">
        <v>3</v>
      </c>
      <c r="G11" s="50">
        <v>0</v>
      </c>
      <c r="H11" s="50">
        <v>0</v>
      </c>
      <c r="I11" s="50">
        <v>1</v>
      </c>
      <c r="J11" s="50">
        <v>1</v>
      </c>
      <c r="K11" s="50">
        <v>1</v>
      </c>
      <c r="L11" s="50">
        <v>0</v>
      </c>
      <c r="M11" s="50">
        <v>13</v>
      </c>
      <c r="N11" s="50">
        <v>0</v>
      </c>
      <c r="O11" s="15">
        <f t="shared" si="0"/>
        <v>13</v>
      </c>
      <c r="P11" s="15">
        <f t="shared" si="1"/>
        <v>26</v>
      </c>
      <c r="R11" s="1" t="s">
        <v>7</v>
      </c>
      <c r="S11" s="17">
        <f t="shared" ref="S11:AF11" si="3">SUM(C14:C17)</f>
        <v>30</v>
      </c>
      <c r="T11" s="17">
        <f t="shared" si="3"/>
        <v>8</v>
      </c>
      <c r="U11" s="17">
        <f t="shared" si="3"/>
        <v>21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12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143</v>
      </c>
      <c r="AD11" s="17">
        <f t="shared" si="3"/>
        <v>0</v>
      </c>
      <c r="AE11" s="31">
        <f t="shared" si="3"/>
        <v>85</v>
      </c>
      <c r="AF11" s="31">
        <f t="shared" si="3"/>
        <v>228</v>
      </c>
    </row>
    <row r="12" spans="2:32" ht="23.1" customHeight="1" x14ac:dyDescent="0.25">
      <c r="B12" s="23" t="s">
        <v>39</v>
      </c>
      <c r="C12" s="50">
        <v>14</v>
      </c>
      <c r="D12" s="50">
        <v>5</v>
      </c>
      <c r="E12" s="50">
        <v>1</v>
      </c>
      <c r="F12" s="50">
        <v>3</v>
      </c>
      <c r="G12" s="50">
        <v>0</v>
      </c>
      <c r="H12" s="50">
        <v>1</v>
      </c>
      <c r="I12" s="50">
        <v>1</v>
      </c>
      <c r="J12" s="50">
        <v>1</v>
      </c>
      <c r="K12" s="50">
        <v>1</v>
      </c>
      <c r="L12" s="50">
        <v>0</v>
      </c>
      <c r="M12" s="50">
        <v>38</v>
      </c>
      <c r="N12" s="50">
        <v>0</v>
      </c>
      <c r="O12" s="15">
        <f t="shared" si="0"/>
        <v>27</v>
      </c>
      <c r="P12" s="15">
        <f t="shared" si="1"/>
        <v>65</v>
      </c>
      <c r="R12" s="1" t="s">
        <v>8</v>
      </c>
      <c r="S12" s="17">
        <f t="shared" ref="S12:AF12" si="4">SUM(C18:C21)</f>
        <v>31</v>
      </c>
      <c r="T12" s="17">
        <f t="shared" si="4"/>
        <v>10</v>
      </c>
      <c r="U12" s="17">
        <f t="shared" si="4"/>
        <v>19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8</v>
      </c>
      <c r="AA12" s="17">
        <f t="shared" si="4"/>
        <v>1</v>
      </c>
      <c r="AB12" s="17">
        <f t="shared" si="4"/>
        <v>3</v>
      </c>
      <c r="AC12" s="17">
        <f t="shared" si="4"/>
        <v>133</v>
      </c>
      <c r="AD12" s="17">
        <f t="shared" si="4"/>
        <v>0</v>
      </c>
      <c r="AE12" s="31">
        <f t="shared" si="4"/>
        <v>89</v>
      </c>
      <c r="AF12" s="31">
        <f t="shared" si="4"/>
        <v>222</v>
      </c>
    </row>
    <row r="13" spans="2:32" ht="23.1" customHeight="1" x14ac:dyDescent="0.25">
      <c r="B13" s="23" t="s">
        <v>40</v>
      </c>
      <c r="C13" s="50">
        <v>13</v>
      </c>
      <c r="D13" s="50">
        <v>5</v>
      </c>
      <c r="E13" s="50">
        <v>1</v>
      </c>
      <c r="F13" s="50">
        <v>0</v>
      </c>
      <c r="G13" s="50">
        <v>0</v>
      </c>
      <c r="H13" s="50">
        <v>0</v>
      </c>
      <c r="I13" s="50">
        <v>1</v>
      </c>
      <c r="J13" s="50">
        <v>4</v>
      </c>
      <c r="K13" s="50">
        <v>0</v>
      </c>
      <c r="L13" s="50">
        <v>0</v>
      </c>
      <c r="M13" s="50">
        <v>34</v>
      </c>
      <c r="N13" s="50">
        <v>0</v>
      </c>
      <c r="O13" s="15">
        <f t="shared" si="0"/>
        <v>24</v>
      </c>
      <c r="P13" s="15">
        <f t="shared" si="1"/>
        <v>58</v>
      </c>
      <c r="R13" s="1" t="s">
        <v>9</v>
      </c>
      <c r="S13" s="17">
        <f t="shared" ref="S13:AF13" si="5">SUM(C22:C25)</f>
        <v>35</v>
      </c>
      <c r="T13" s="17">
        <f t="shared" si="5"/>
        <v>8</v>
      </c>
      <c r="U13" s="17">
        <f t="shared" si="5"/>
        <v>6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7</v>
      </c>
      <c r="AA13" s="17">
        <f t="shared" si="5"/>
        <v>7</v>
      </c>
      <c r="AB13" s="17">
        <f t="shared" si="5"/>
        <v>0</v>
      </c>
      <c r="AC13" s="17">
        <f t="shared" si="5"/>
        <v>181</v>
      </c>
      <c r="AD13" s="17">
        <f t="shared" si="5"/>
        <v>0</v>
      </c>
      <c r="AE13" s="31">
        <f t="shared" si="5"/>
        <v>78</v>
      </c>
      <c r="AF13" s="31">
        <f t="shared" si="5"/>
        <v>259</v>
      </c>
    </row>
    <row r="14" spans="2:32" ht="23.1" customHeight="1" x14ac:dyDescent="0.25">
      <c r="B14" s="23" t="s">
        <v>41</v>
      </c>
      <c r="C14" s="50">
        <v>7</v>
      </c>
      <c r="D14" s="50">
        <v>2</v>
      </c>
      <c r="E14" s="50">
        <v>3</v>
      </c>
      <c r="F14" s="50">
        <v>1</v>
      </c>
      <c r="G14" s="50">
        <v>1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34</v>
      </c>
      <c r="N14" s="50">
        <v>0</v>
      </c>
      <c r="O14" s="15">
        <f t="shared" si="0"/>
        <v>16</v>
      </c>
      <c r="P14" s="15">
        <f t="shared" si="1"/>
        <v>50</v>
      </c>
      <c r="R14" s="1" t="s">
        <v>10</v>
      </c>
      <c r="S14" s="17">
        <f t="shared" ref="S14:AF14" si="6">SUM(C26:C29)</f>
        <v>30</v>
      </c>
      <c r="T14" s="17">
        <f t="shared" si="6"/>
        <v>6</v>
      </c>
      <c r="U14" s="17">
        <f t="shared" si="6"/>
        <v>5</v>
      </c>
      <c r="V14" s="17">
        <f t="shared" si="6"/>
        <v>7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4</v>
      </c>
      <c r="AA14" s="17">
        <f t="shared" si="6"/>
        <v>0</v>
      </c>
      <c r="AB14" s="17">
        <f t="shared" si="6"/>
        <v>1</v>
      </c>
      <c r="AC14" s="17">
        <f t="shared" si="6"/>
        <v>139</v>
      </c>
      <c r="AD14" s="17">
        <f t="shared" si="6"/>
        <v>0</v>
      </c>
      <c r="AE14" s="31">
        <f t="shared" si="6"/>
        <v>59</v>
      </c>
      <c r="AF14" s="31">
        <f t="shared" si="6"/>
        <v>198</v>
      </c>
    </row>
    <row r="15" spans="2:32" ht="23.1" customHeight="1" x14ac:dyDescent="0.25">
      <c r="B15" s="23" t="s">
        <v>42</v>
      </c>
      <c r="C15" s="50">
        <v>12</v>
      </c>
      <c r="D15" s="50">
        <v>2</v>
      </c>
      <c r="E15" s="50">
        <v>4</v>
      </c>
      <c r="F15" s="50">
        <v>1</v>
      </c>
      <c r="G15" s="50">
        <v>0</v>
      </c>
      <c r="H15" s="50">
        <v>0</v>
      </c>
      <c r="I15" s="50">
        <v>4</v>
      </c>
      <c r="J15" s="50">
        <v>1</v>
      </c>
      <c r="K15" s="50">
        <v>0</v>
      </c>
      <c r="L15" s="50">
        <v>0</v>
      </c>
      <c r="M15" s="50">
        <v>44</v>
      </c>
      <c r="N15" s="50">
        <v>0</v>
      </c>
      <c r="O15" s="15">
        <f t="shared" si="0"/>
        <v>24</v>
      </c>
      <c r="P15" s="15">
        <f t="shared" si="1"/>
        <v>68</v>
      </c>
      <c r="R15" s="1" t="s">
        <v>11</v>
      </c>
      <c r="S15" s="17">
        <f t="shared" ref="S15:AF15" si="7">SUM(C30:C33)</f>
        <v>29</v>
      </c>
      <c r="T15" s="17">
        <f t="shared" si="7"/>
        <v>7</v>
      </c>
      <c r="U15" s="17">
        <f t="shared" si="7"/>
        <v>10</v>
      </c>
      <c r="V15" s="17">
        <f t="shared" si="7"/>
        <v>11</v>
      </c>
      <c r="W15" s="17">
        <f t="shared" si="7"/>
        <v>0</v>
      </c>
      <c r="X15" s="17">
        <f t="shared" si="7"/>
        <v>0</v>
      </c>
      <c r="Y15" s="17">
        <f t="shared" si="7"/>
        <v>3</v>
      </c>
      <c r="Z15" s="17">
        <f t="shared" si="7"/>
        <v>8</v>
      </c>
      <c r="AA15" s="17">
        <f t="shared" si="7"/>
        <v>0</v>
      </c>
      <c r="AB15" s="17">
        <f t="shared" si="7"/>
        <v>0</v>
      </c>
      <c r="AC15" s="17">
        <f t="shared" si="7"/>
        <v>106</v>
      </c>
      <c r="AD15" s="17">
        <f t="shared" si="7"/>
        <v>0</v>
      </c>
      <c r="AE15" s="31">
        <f t="shared" si="7"/>
        <v>68</v>
      </c>
      <c r="AF15" s="31">
        <f t="shared" si="7"/>
        <v>174</v>
      </c>
    </row>
    <row r="16" spans="2:32" ht="23.1" customHeight="1" x14ac:dyDescent="0.25">
      <c r="B16" s="23" t="s">
        <v>43</v>
      </c>
      <c r="C16" s="50">
        <v>3</v>
      </c>
      <c r="D16" s="50">
        <v>2</v>
      </c>
      <c r="E16" s="50">
        <v>6</v>
      </c>
      <c r="F16" s="50">
        <v>3</v>
      </c>
      <c r="G16" s="50">
        <v>0</v>
      </c>
      <c r="H16" s="50">
        <v>0</v>
      </c>
      <c r="I16" s="50">
        <v>1</v>
      </c>
      <c r="J16" s="50">
        <v>2</v>
      </c>
      <c r="K16" s="50">
        <v>0</v>
      </c>
      <c r="L16" s="50">
        <v>0</v>
      </c>
      <c r="M16" s="50">
        <v>34</v>
      </c>
      <c r="N16" s="50">
        <v>0</v>
      </c>
      <c r="O16" s="15">
        <f t="shared" si="0"/>
        <v>17</v>
      </c>
      <c r="P16" s="15">
        <f t="shared" si="1"/>
        <v>51</v>
      </c>
      <c r="R16" s="1" t="s">
        <v>12</v>
      </c>
      <c r="S16" s="17">
        <f t="shared" ref="S16:AF16" si="8">SUM(C34:C37)</f>
        <v>32</v>
      </c>
      <c r="T16" s="17">
        <f t="shared" si="8"/>
        <v>7</v>
      </c>
      <c r="U16" s="17">
        <f t="shared" si="8"/>
        <v>12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8</v>
      </c>
      <c r="AA16" s="17">
        <f t="shared" si="8"/>
        <v>1</v>
      </c>
      <c r="AB16" s="17">
        <f t="shared" si="8"/>
        <v>1</v>
      </c>
      <c r="AC16" s="17">
        <f t="shared" si="8"/>
        <v>152</v>
      </c>
      <c r="AD16" s="17">
        <f t="shared" si="8"/>
        <v>0</v>
      </c>
      <c r="AE16" s="31">
        <f t="shared" si="8"/>
        <v>76</v>
      </c>
      <c r="AF16" s="31">
        <f t="shared" si="8"/>
        <v>228</v>
      </c>
    </row>
    <row r="17" spans="2:32" ht="23.1" customHeight="1" x14ac:dyDescent="0.25">
      <c r="B17" s="23" t="s">
        <v>44</v>
      </c>
      <c r="C17" s="50">
        <v>8</v>
      </c>
      <c r="D17" s="50">
        <v>2</v>
      </c>
      <c r="E17" s="50">
        <v>8</v>
      </c>
      <c r="F17" s="50">
        <v>2</v>
      </c>
      <c r="G17" s="50">
        <v>0</v>
      </c>
      <c r="H17" s="50">
        <v>0</v>
      </c>
      <c r="I17" s="50">
        <v>7</v>
      </c>
      <c r="J17" s="50">
        <v>1</v>
      </c>
      <c r="K17" s="50">
        <v>0</v>
      </c>
      <c r="L17" s="50">
        <v>0</v>
      </c>
      <c r="M17" s="50">
        <v>31</v>
      </c>
      <c r="N17" s="50">
        <v>0</v>
      </c>
      <c r="O17" s="15">
        <f t="shared" si="0"/>
        <v>28</v>
      </c>
      <c r="P17" s="15">
        <f t="shared" si="1"/>
        <v>59</v>
      </c>
      <c r="R17" s="1" t="s">
        <v>13</v>
      </c>
      <c r="S17" s="17">
        <f t="shared" ref="S17:AF17" si="9">SUM(C38:C41)</f>
        <v>32</v>
      </c>
      <c r="T17" s="17">
        <f t="shared" si="9"/>
        <v>7</v>
      </c>
      <c r="U17" s="17">
        <f t="shared" si="9"/>
        <v>7</v>
      </c>
      <c r="V17" s="17">
        <f t="shared" si="9"/>
        <v>10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5</v>
      </c>
      <c r="AA17" s="17">
        <f t="shared" si="9"/>
        <v>1</v>
      </c>
      <c r="AB17" s="17">
        <f t="shared" si="9"/>
        <v>2</v>
      </c>
      <c r="AC17" s="17">
        <f t="shared" si="9"/>
        <v>142</v>
      </c>
      <c r="AD17" s="17">
        <f t="shared" si="9"/>
        <v>0</v>
      </c>
      <c r="AE17" s="31">
        <f t="shared" si="9"/>
        <v>72</v>
      </c>
      <c r="AF17" s="31">
        <f t="shared" si="9"/>
        <v>214</v>
      </c>
    </row>
    <row r="18" spans="2:32" ht="23.1" customHeight="1" x14ac:dyDescent="0.25">
      <c r="B18" s="23" t="s">
        <v>45</v>
      </c>
      <c r="C18" s="50">
        <v>8</v>
      </c>
      <c r="D18" s="50">
        <v>3</v>
      </c>
      <c r="E18" s="50">
        <v>5</v>
      </c>
      <c r="F18" s="50">
        <v>3</v>
      </c>
      <c r="G18" s="50">
        <v>0</v>
      </c>
      <c r="H18" s="50">
        <v>0</v>
      </c>
      <c r="I18" s="50">
        <v>1</v>
      </c>
      <c r="J18" s="50">
        <v>2</v>
      </c>
      <c r="K18" s="50">
        <v>0</v>
      </c>
      <c r="L18" s="50">
        <v>1</v>
      </c>
      <c r="M18" s="50">
        <v>30</v>
      </c>
      <c r="N18" s="50">
        <v>0</v>
      </c>
      <c r="O18" s="15">
        <f t="shared" si="0"/>
        <v>23</v>
      </c>
      <c r="P18" s="15">
        <f t="shared" si="1"/>
        <v>53</v>
      </c>
      <c r="R18" s="1" t="s">
        <v>14</v>
      </c>
      <c r="S18" s="17">
        <f t="shared" ref="S18:AF18" si="10">SUM(C42:C45)</f>
        <v>42</v>
      </c>
      <c r="T18" s="17">
        <f t="shared" si="10"/>
        <v>6</v>
      </c>
      <c r="U18" s="17">
        <f t="shared" si="10"/>
        <v>7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10</v>
      </c>
      <c r="AA18" s="17">
        <f t="shared" si="10"/>
        <v>0</v>
      </c>
      <c r="AB18" s="17">
        <f t="shared" si="10"/>
        <v>1</v>
      </c>
      <c r="AC18" s="17">
        <f t="shared" si="10"/>
        <v>135</v>
      </c>
      <c r="AD18" s="17">
        <f t="shared" si="10"/>
        <v>0</v>
      </c>
      <c r="AE18" s="31">
        <f t="shared" si="10"/>
        <v>83</v>
      </c>
      <c r="AF18" s="31">
        <f t="shared" si="10"/>
        <v>218</v>
      </c>
    </row>
    <row r="19" spans="2:32" ht="23.1" customHeight="1" x14ac:dyDescent="0.25">
      <c r="B19" s="23" t="s">
        <v>46</v>
      </c>
      <c r="C19" s="50">
        <v>11</v>
      </c>
      <c r="D19" s="50">
        <v>3</v>
      </c>
      <c r="E19" s="50">
        <v>4</v>
      </c>
      <c r="F19" s="50">
        <v>1</v>
      </c>
      <c r="G19" s="50">
        <v>0</v>
      </c>
      <c r="H19" s="50">
        <v>0</v>
      </c>
      <c r="I19" s="50">
        <v>3</v>
      </c>
      <c r="J19" s="50">
        <v>3</v>
      </c>
      <c r="K19" s="50">
        <v>0</v>
      </c>
      <c r="L19" s="50">
        <v>0</v>
      </c>
      <c r="M19" s="50">
        <v>39</v>
      </c>
      <c r="N19" s="50">
        <v>0</v>
      </c>
      <c r="O19" s="15">
        <f t="shared" si="0"/>
        <v>25</v>
      </c>
      <c r="P19" s="15">
        <f t="shared" si="1"/>
        <v>64</v>
      </c>
      <c r="R19" s="1" t="s">
        <v>15</v>
      </c>
      <c r="S19" s="17">
        <f t="shared" ref="S19:AF19" si="11">SUM(C46:C49)</f>
        <v>56</v>
      </c>
      <c r="T19" s="17">
        <f t="shared" si="11"/>
        <v>9</v>
      </c>
      <c r="U19" s="17">
        <f t="shared" si="11"/>
        <v>7</v>
      </c>
      <c r="V19" s="17">
        <f t="shared" si="11"/>
        <v>14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8</v>
      </c>
      <c r="AA19" s="17">
        <f t="shared" si="11"/>
        <v>0</v>
      </c>
      <c r="AB19" s="17">
        <f t="shared" si="11"/>
        <v>2</v>
      </c>
      <c r="AC19" s="17">
        <f t="shared" si="11"/>
        <v>145</v>
      </c>
      <c r="AD19" s="17">
        <f t="shared" si="11"/>
        <v>0</v>
      </c>
      <c r="AE19" s="31">
        <f t="shared" si="11"/>
        <v>100</v>
      </c>
      <c r="AF19" s="31">
        <f t="shared" si="11"/>
        <v>245</v>
      </c>
    </row>
    <row r="20" spans="2:32" ht="23.1" customHeight="1" x14ac:dyDescent="0.25">
      <c r="B20" s="23" t="s">
        <v>47</v>
      </c>
      <c r="C20" s="50">
        <v>0</v>
      </c>
      <c r="D20" s="50">
        <v>0</v>
      </c>
      <c r="E20" s="50">
        <v>4</v>
      </c>
      <c r="F20" s="50">
        <v>0</v>
      </c>
      <c r="G20" s="50">
        <v>0</v>
      </c>
      <c r="H20" s="50">
        <v>0</v>
      </c>
      <c r="I20" s="50">
        <v>3</v>
      </c>
      <c r="J20" s="50">
        <v>2</v>
      </c>
      <c r="K20" s="50">
        <v>1</v>
      </c>
      <c r="L20" s="50">
        <v>2</v>
      </c>
      <c r="M20" s="50">
        <v>28</v>
      </c>
      <c r="N20" s="50">
        <v>0</v>
      </c>
      <c r="O20" s="15">
        <f t="shared" si="0"/>
        <v>12</v>
      </c>
      <c r="P20" s="15">
        <f t="shared" si="1"/>
        <v>40</v>
      </c>
      <c r="R20" s="1" t="s">
        <v>16</v>
      </c>
      <c r="S20" s="17">
        <f t="shared" ref="S20:AF20" si="12">SUM(C50:C53)</f>
        <v>51</v>
      </c>
      <c r="T20" s="17">
        <f t="shared" si="12"/>
        <v>9</v>
      </c>
      <c r="U20" s="17">
        <f t="shared" si="12"/>
        <v>2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170</v>
      </c>
      <c r="AD20" s="17">
        <f t="shared" si="12"/>
        <v>0</v>
      </c>
      <c r="AE20" s="31">
        <f t="shared" si="12"/>
        <v>83</v>
      </c>
      <c r="AF20" s="31">
        <f t="shared" si="12"/>
        <v>253</v>
      </c>
    </row>
    <row r="21" spans="2:32" ht="23.1" customHeight="1" x14ac:dyDescent="0.25">
      <c r="B21" s="23" t="s">
        <v>48</v>
      </c>
      <c r="C21" s="50">
        <v>12</v>
      </c>
      <c r="D21" s="50">
        <v>4</v>
      </c>
      <c r="E21" s="50">
        <v>6</v>
      </c>
      <c r="F21" s="50">
        <v>6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36</v>
      </c>
      <c r="N21" s="50">
        <v>0</v>
      </c>
      <c r="O21" s="15">
        <f t="shared" si="0"/>
        <v>29</v>
      </c>
      <c r="P21" s="15">
        <f t="shared" si="1"/>
        <v>65</v>
      </c>
      <c r="R21" s="36" t="s">
        <v>20</v>
      </c>
      <c r="S21" s="34">
        <f t="shared" ref="S21:AF21" si="13">SUM(C54:C57)</f>
        <v>42</v>
      </c>
      <c r="T21" s="17">
        <f t="shared" si="13"/>
        <v>6</v>
      </c>
      <c r="U21" s="17">
        <f t="shared" si="13"/>
        <v>7</v>
      </c>
      <c r="V21" s="17">
        <f t="shared" si="13"/>
        <v>8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189</v>
      </c>
      <c r="AD21" s="17">
        <f t="shared" si="13"/>
        <v>0</v>
      </c>
      <c r="AE21" s="31">
        <f t="shared" si="13"/>
        <v>75</v>
      </c>
      <c r="AF21" s="31">
        <f t="shared" si="13"/>
        <v>264</v>
      </c>
    </row>
    <row r="22" spans="2:32" ht="23.1" customHeight="1" x14ac:dyDescent="0.25">
      <c r="B22" s="23" t="s">
        <v>49</v>
      </c>
      <c r="C22" s="50">
        <v>10</v>
      </c>
      <c r="D22" s="50">
        <v>3</v>
      </c>
      <c r="E22" s="50">
        <v>2</v>
      </c>
      <c r="F22" s="50">
        <v>1</v>
      </c>
      <c r="G22" s="50">
        <v>0</v>
      </c>
      <c r="H22" s="50">
        <v>0</v>
      </c>
      <c r="I22" s="50">
        <v>2</v>
      </c>
      <c r="J22" s="50">
        <v>0</v>
      </c>
      <c r="K22" s="50">
        <v>1</v>
      </c>
      <c r="L22" s="50">
        <v>0</v>
      </c>
      <c r="M22" s="50">
        <v>46</v>
      </c>
      <c r="N22" s="50">
        <v>0</v>
      </c>
      <c r="O22" s="15">
        <f t="shared" si="0"/>
        <v>19</v>
      </c>
      <c r="P22" s="15">
        <f t="shared" si="1"/>
        <v>65</v>
      </c>
      <c r="R22" s="38" t="s">
        <v>90</v>
      </c>
      <c r="S22" s="39">
        <f>MAX(S10:S12)</f>
        <v>39</v>
      </c>
      <c r="T22" s="39">
        <f t="shared" ref="T22:AF22" si="14">MAX(T10:T12)</f>
        <v>12</v>
      </c>
      <c r="U22" s="39">
        <f t="shared" si="14"/>
        <v>21</v>
      </c>
      <c r="V22" s="39">
        <f t="shared" si="14"/>
        <v>10</v>
      </c>
      <c r="W22" s="39">
        <f t="shared" si="14"/>
        <v>1</v>
      </c>
      <c r="X22" s="39">
        <f t="shared" si="14"/>
        <v>1</v>
      </c>
      <c r="Y22" s="39">
        <f t="shared" si="14"/>
        <v>12</v>
      </c>
      <c r="Z22" s="39">
        <f t="shared" si="14"/>
        <v>10</v>
      </c>
      <c r="AA22" s="39">
        <f t="shared" si="14"/>
        <v>2</v>
      </c>
      <c r="AB22" s="39">
        <f t="shared" si="14"/>
        <v>3</v>
      </c>
      <c r="AC22" s="39">
        <f t="shared" si="14"/>
        <v>143</v>
      </c>
      <c r="AD22" s="39">
        <f t="shared" si="14"/>
        <v>0</v>
      </c>
      <c r="AE22" s="40">
        <f t="shared" si="14"/>
        <v>89</v>
      </c>
      <c r="AF22" s="40">
        <f t="shared" si="14"/>
        <v>228</v>
      </c>
    </row>
    <row r="23" spans="2:32" ht="23.1" customHeight="1" x14ac:dyDescent="0.25">
      <c r="B23" s="23" t="s">
        <v>50</v>
      </c>
      <c r="C23" s="50">
        <v>13</v>
      </c>
      <c r="D23" s="50">
        <v>2</v>
      </c>
      <c r="E23" s="50">
        <v>0</v>
      </c>
      <c r="F23" s="50">
        <v>0</v>
      </c>
      <c r="G23" s="50">
        <v>0</v>
      </c>
      <c r="H23" s="50">
        <v>0</v>
      </c>
      <c r="I23" s="50">
        <v>3</v>
      </c>
      <c r="J23" s="50">
        <v>3</v>
      </c>
      <c r="K23" s="50">
        <v>0</v>
      </c>
      <c r="L23" s="50">
        <v>0</v>
      </c>
      <c r="M23" s="50">
        <v>49</v>
      </c>
      <c r="N23" s="50">
        <v>0</v>
      </c>
      <c r="O23" s="15">
        <f t="shared" si="0"/>
        <v>21</v>
      </c>
      <c r="P23" s="15">
        <f t="shared" si="1"/>
        <v>70</v>
      </c>
      <c r="R23" s="38" t="s">
        <v>91</v>
      </c>
      <c r="S23" s="39">
        <f>MAX(S13:S18)</f>
        <v>42</v>
      </c>
      <c r="T23" s="39">
        <f t="shared" ref="T23:AF23" si="15">MAX(T13:T18)</f>
        <v>8</v>
      </c>
      <c r="U23" s="39">
        <f t="shared" si="15"/>
        <v>12</v>
      </c>
      <c r="V23" s="39">
        <f t="shared" si="15"/>
        <v>13</v>
      </c>
      <c r="W23" s="39">
        <f t="shared" si="15"/>
        <v>0</v>
      </c>
      <c r="X23" s="39">
        <f t="shared" si="15"/>
        <v>0</v>
      </c>
      <c r="Y23" s="39">
        <f t="shared" si="15"/>
        <v>8</v>
      </c>
      <c r="Z23" s="39">
        <f t="shared" si="15"/>
        <v>10</v>
      </c>
      <c r="AA23" s="39">
        <f t="shared" si="15"/>
        <v>7</v>
      </c>
      <c r="AB23" s="39">
        <f t="shared" si="15"/>
        <v>2</v>
      </c>
      <c r="AC23" s="39">
        <f t="shared" si="15"/>
        <v>181</v>
      </c>
      <c r="AD23" s="39">
        <f t="shared" si="15"/>
        <v>0</v>
      </c>
      <c r="AE23" s="40">
        <f t="shared" si="15"/>
        <v>83</v>
      </c>
      <c r="AF23" s="40">
        <f t="shared" si="15"/>
        <v>259</v>
      </c>
    </row>
    <row r="24" spans="2:32" ht="23.1" customHeight="1" x14ac:dyDescent="0.25">
      <c r="B24" s="23" t="s">
        <v>51</v>
      </c>
      <c r="C24" s="50">
        <v>5</v>
      </c>
      <c r="D24" s="50">
        <v>2</v>
      </c>
      <c r="E24" s="50">
        <v>2</v>
      </c>
      <c r="F24" s="50">
        <v>6</v>
      </c>
      <c r="G24" s="50">
        <v>0</v>
      </c>
      <c r="H24" s="50">
        <v>0</v>
      </c>
      <c r="I24" s="50">
        <v>0</v>
      </c>
      <c r="J24" s="50">
        <v>1</v>
      </c>
      <c r="K24" s="50">
        <v>6</v>
      </c>
      <c r="L24" s="50">
        <v>0</v>
      </c>
      <c r="M24" s="50">
        <v>46</v>
      </c>
      <c r="N24" s="50">
        <v>0</v>
      </c>
      <c r="O24" s="15">
        <f t="shared" si="0"/>
        <v>22</v>
      </c>
      <c r="P24" s="15">
        <f t="shared" si="1"/>
        <v>68</v>
      </c>
      <c r="R24" s="38" t="s">
        <v>92</v>
      </c>
      <c r="S24" s="39">
        <f>MAX(S19:S21)</f>
        <v>56</v>
      </c>
      <c r="T24" s="39">
        <f t="shared" ref="T24:AF24" si="16">MAX(T19:T21)</f>
        <v>9</v>
      </c>
      <c r="U24" s="39">
        <f t="shared" si="16"/>
        <v>7</v>
      </c>
      <c r="V24" s="39">
        <f t="shared" si="16"/>
        <v>14</v>
      </c>
      <c r="W24" s="39">
        <f t="shared" si="16"/>
        <v>0</v>
      </c>
      <c r="X24" s="39">
        <f t="shared" si="16"/>
        <v>0</v>
      </c>
      <c r="Y24" s="39">
        <f t="shared" si="16"/>
        <v>6</v>
      </c>
      <c r="Z24" s="39">
        <f t="shared" si="16"/>
        <v>8</v>
      </c>
      <c r="AA24" s="39">
        <f t="shared" si="16"/>
        <v>0</v>
      </c>
      <c r="AB24" s="39">
        <f t="shared" si="16"/>
        <v>2</v>
      </c>
      <c r="AC24" s="39">
        <f t="shared" si="16"/>
        <v>189</v>
      </c>
      <c r="AD24" s="39">
        <f t="shared" si="16"/>
        <v>0</v>
      </c>
      <c r="AE24" s="40">
        <f t="shared" si="16"/>
        <v>100</v>
      </c>
      <c r="AF24" s="40">
        <f t="shared" si="16"/>
        <v>264</v>
      </c>
    </row>
    <row r="25" spans="2:32" ht="23.1" customHeight="1" x14ac:dyDescent="0.25">
      <c r="B25" s="23" t="s">
        <v>52</v>
      </c>
      <c r="C25" s="50">
        <v>7</v>
      </c>
      <c r="D25" s="50">
        <v>1</v>
      </c>
      <c r="E25" s="50">
        <v>2</v>
      </c>
      <c r="F25" s="50">
        <v>2</v>
      </c>
      <c r="G25" s="50">
        <v>0</v>
      </c>
      <c r="H25" s="50">
        <v>0</v>
      </c>
      <c r="I25" s="50">
        <v>1</v>
      </c>
      <c r="J25" s="50">
        <v>3</v>
      </c>
      <c r="K25" s="50">
        <v>0</v>
      </c>
      <c r="L25" s="50">
        <v>0</v>
      </c>
      <c r="M25" s="50">
        <v>40</v>
      </c>
      <c r="N25" s="50">
        <v>0</v>
      </c>
      <c r="O25" s="15">
        <f t="shared" si="0"/>
        <v>16</v>
      </c>
      <c r="P25" s="15">
        <f t="shared" si="1"/>
        <v>56</v>
      </c>
      <c r="R25" s="37" t="s">
        <v>85</v>
      </c>
      <c r="S25" s="35">
        <f t="shared" ref="S25:AF25" si="17">SUM(S10:S12)</f>
        <v>100</v>
      </c>
      <c r="T25" s="16">
        <f t="shared" si="17"/>
        <v>30</v>
      </c>
      <c r="U25" s="16">
        <f t="shared" si="17"/>
        <v>45</v>
      </c>
      <c r="V25" s="16">
        <f t="shared" si="17"/>
        <v>24</v>
      </c>
      <c r="W25" s="16">
        <f t="shared" si="17"/>
        <v>1</v>
      </c>
      <c r="X25" s="16">
        <f t="shared" si="17"/>
        <v>1</v>
      </c>
      <c r="Y25" s="16">
        <f t="shared" si="17"/>
        <v>22</v>
      </c>
      <c r="Z25" s="16">
        <f t="shared" si="17"/>
        <v>24</v>
      </c>
      <c r="AA25" s="16">
        <f t="shared" si="17"/>
        <v>3</v>
      </c>
      <c r="AB25" s="16">
        <f t="shared" si="17"/>
        <v>5</v>
      </c>
      <c r="AC25" s="16">
        <f t="shared" si="17"/>
        <v>380</v>
      </c>
      <c r="AD25" s="16">
        <f t="shared" si="17"/>
        <v>0</v>
      </c>
      <c r="AE25" s="32">
        <f t="shared" si="17"/>
        <v>255</v>
      </c>
      <c r="AF25" s="32">
        <f t="shared" si="17"/>
        <v>635</v>
      </c>
    </row>
    <row r="26" spans="2:32" ht="23.1" customHeight="1" x14ac:dyDescent="0.25">
      <c r="B26" s="23" t="s">
        <v>53</v>
      </c>
      <c r="C26" s="50">
        <v>12</v>
      </c>
      <c r="D26" s="50">
        <v>1</v>
      </c>
      <c r="E26" s="50">
        <v>2</v>
      </c>
      <c r="F26" s="50">
        <v>2</v>
      </c>
      <c r="G26" s="50">
        <v>0</v>
      </c>
      <c r="H26" s="50">
        <v>0</v>
      </c>
      <c r="I26" s="50">
        <v>3</v>
      </c>
      <c r="J26" s="50">
        <v>3</v>
      </c>
      <c r="K26" s="50">
        <v>0</v>
      </c>
      <c r="L26" s="50">
        <v>0</v>
      </c>
      <c r="M26" s="50">
        <v>45</v>
      </c>
      <c r="N26" s="50">
        <v>0</v>
      </c>
      <c r="O26" s="15">
        <f t="shared" si="0"/>
        <v>23</v>
      </c>
      <c r="P26" s="15">
        <f t="shared" si="1"/>
        <v>68</v>
      </c>
      <c r="R26" s="28" t="s">
        <v>86</v>
      </c>
      <c r="S26" s="16">
        <f t="shared" ref="S26:AF26" si="18">SUM(S13:S18)</f>
        <v>200</v>
      </c>
      <c r="T26" s="16">
        <f t="shared" si="18"/>
        <v>41</v>
      </c>
      <c r="U26" s="16">
        <f t="shared" si="18"/>
        <v>47</v>
      </c>
      <c r="V26" s="16">
        <f t="shared" si="18"/>
        <v>60</v>
      </c>
      <c r="W26" s="16">
        <f t="shared" si="18"/>
        <v>0</v>
      </c>
      <c r="X26" s="16">
        <f t="shared" si="18"/>
        <v>0</v>
      </c>
      <c r="Y26" s="16">
        <f t="shared" si="18"/>
        <v>32</v>
      </c>
      <c r="Z26" s="16">
        <f t="shared" si="18"/>
        <v>42</v>
      </c>
      <c r="AA26" s="16">
        <f t="shared" si="18"/>
        <v>9</v>
      </c>
      <c r="AB26" s="16">
        <f t="shared" si="18"/>
        <v>5</v>
      </c>
      <c r="AC26" s="16">
        <f t="shared" si="18"/>
        <v>855</v>
      </c>
      <c r="AD26" s="16">
        <f t="shared" si="18"/>
        <v>0</v>
      </c>
      <c r="AE26" s="32">
        <f t="shared" si="18"/>
        <v>436</v>
      </c>
      <c r="AF26" s="32">
        <f t="shared" si="18"/>
        <v>1291</v>
      </c>
    </row>
    <row r="27" spans="2:32" ht="23.1" customHeight="1" x14ac:dyDescent="0.25">
      <c r="B27" s="23" t="s">
        <v>54</v>
      </c>
      <c r="C27" s="50">
        <v>6</v>
      </c>
      <c r="D27" s="50">
        <v>3</v>
      </c>
      <c r="E27" s="50">
        <v>1</v>
      </c>
      <c r="F27" s="50">
        <v>2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26</v>
      </c>
      <c r="N27" s="50">
        <v>0</v>
      </c>
      <c r="O27" s="15">
        <f t="shared" si="0"/>
        <v>13</v>
      </c>
      <c r="P27" s="15">
        <f t="shared" si="1"/>
        <v>39</v>
      </c>
      <c r="R27" s="29" t="s">
        <v>87</v>
      </c>
      <c r="S27" s="16">
        <f t="shared" ref="S27:AF27" si="19">SUM(S19:S21)</f>
        <v>149</v>
      </c>
      <c r="T27" s="16">
        <f t="shared" si="19"/>
        <v>24</v>
      </c>
      <c r="U27" s="16">
        <f t="shared" si="19"/>
        <v>16</v>
      </c>
      <c r="V27" s="16">
        <f t="shared" si="19"/>
        <v>33</v>
      </c>
      <c r="W27" s="16">
        <f t="shared" si="19"/>
        <v>0</v>
      </c>
      <c r="X27" s="16">
        <f t="shared" si="19"/>
        <v>0</v>
      </c>
      <c r="Y27" s="16">
        <f t="shared" si="19"/>
        <v>15</v>
      </c>
      <c r="Z27" s="16">
        <f t="shared" si="19"/>
        <v>19</v>
      </c>
      <c r="AA27" s="16">
        <f t="shared" si="19"/>
        <v>0</v>
      </c>
      <c r="AB27" s="16">
        <f t="shared" si="19"/>
        <v>2</v>
      </c>
      <c r="AC27" s="16">
        <f t="shared" si="19"/>
        <v>504</v>
      </c>
      <c r="AD27" s="16">
        <f t="shared" si="19"/>
        <v>0</v>
      </c>
      <c r="AE27" s="32">
        <f t="shared" si="19"/>
        <v>258</v>
      </c>
      <c r="AF27" s="32">
        <f t="shared" si="19"/>
        <v>762</v>
      </c>
    </row>
    <row r="28" spans="2:32" ht="23.1" customHeight="1" x14ac:dyDescent="0.25">
      <c r="B28" s="23" t="s">
        <v>55</v>
      </c>
      <c r="C28" s="50">
        <v>6</v>
      </c>
      <c r="D28" s="50">
        <v>1</v>
      </c>
      <c r="E28" s="50">
        <v>0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10</v>
      </c>
      <c r="P28" s="15">
        <f t="shared" si="1"/>
        <v>55</v>
      </c>
      <c r="R28" s="5" t="s">
        <v>17</v>
      </c>
      <c r="S28" s="16">
        <f t="shared" ref="S28:AF28" si="20">SUM(S10:S21)</f>
        <v>449</v>
      </c>
      <c r="T28" s="16">
        <f t="shared" si="20"/>
        <v>95</v>
      </c>
      <c r="U28" s="16">
        <f t="shared" si="20"/>
        <v>108</v>
      </c>
      <c r="V28" s="16">
        <f t="shared" si="20"/>
        <v>117</v>
      </c>
      <c r="W28" s="16">
        <f t="shared" si="20"/>
        <v>1</v>
      </c>
      <c r="X28" s="16">
        <f t="shared" si="20"/>
        <v>1</v>
      </c>
      <c r="Y28" s="16">
        <f t="shared" si="20"/>
        <v>69</v>
      </c>
      <c r="Z28" s="16">
        <f t="shared" si="20"/>
        <v>85</v>
      </c>
      <c r="AA28" s="16">
        <f t="shared" si="20"/>
        <v>12</v>
      </c>
      <c r="AB28" s="16">
        <f t="shared" si="20"/>
        <v>12</v>
      </c>
      <c r="AC28" s="16">
        <f t="shared" si="20"/>
        <v>1739</v>
      </c>
      <c r="AD28" s="16">
        <f t="shared" si="20"/>
        <v>0</v>
      </c>
      <c r="AE28" s="32">
        <f t="shared" si="20"/>
        <v>949</v>
      </c>
      <c r="AF28" s="32">
        <f t="shared" si="20"/>
        <v>2688</v>
      </c>
    </row>
    <row r="29" spans="2:32" ht="23.1" customHeight="1" x14ac:dyDescent="0.25">
      <c r="B29" s="23" t="s">
        <v>56</v>
      </c>
      <c r="C29" s="50">
        <v>6</v>
      </c>
      <c r="D29" s="50">
        <v>1</v>
      </c>
      <c r="E29" s="50">
        <v>2</v>
      </c>
      <c r="F29" s="50">
        <v>1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1</v>
      </c>
      <c r="M29" s="50">
        <v>23</v>
      </c>
      <c r="N29" s="50">
        <v>0</v>
      </c>
      <c r="O29" s="15">
        <f t="shared" si="0"/>
        <v>13</v>
      </c>
      <c r="P29" s="15">
        <f t="shared" si="1"/>
        <v>36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0</v>
      </c>
      <c r="E30" s="50">
        <v>8</v>
      </c>
      <c r="F30" s="50">
        <v>0</v>
      </c>
      <c r="G30" s="50">
        <v>0</v>
      </c>
      <c r="H30" s="50">
        <v>0</v>
      </c>
      <c r="I30" s="50">
        <v>3</v>
      </c>
      <c r="J30" s="50">
        <v>0</v>
      </c>
      <c r="K30" s="50">
        <v>0</v>
      </c>
      <c r="L30" s="50">
        <v>0</v>
      </c>
      <c r="M30" s="50">
        <v>21</v>
      </c>
      <c r="N30" s="50">
        <v>0</v>
      </c>
      <c r="O30" s="15">
        <f t="shared" si="0"/>
        <v>16</v>
      </c>
      <c r="P30" s="15">
        <f t="shared" si="1"/>
        <v>37</v>
      </c>
    </row>
    <row r="31" spans="2:32" ht="23.1" customHeight="1" x14ac:dyDescent="0.25">
      <c r="B31" s="24" t="s">
        <v>58</v>
      </c>
      <c r="C31" s="50">
        <v>7</v>
      </c>
      <c r="D31" s="50">
        <v>3</v>
      </c>
      <c r="E31" s="50">
        <v>0</v>
      </c>
      <c r="F31" s="50">
        <v>6</v>
      </c>
      <c r="G31" s="50">
        <v>0</v>
      </c>
      <c r="H31" s="50">
        <v>0</v>
      </c>
      <c r="I31" s="50">
        <v>0</v>
      </c>
      <c r="J31" s="50">
        <v>4</v>
      </c>
      <c r="K31" s="50">
        <v>0</v>
      </c>
      <c r="L31" s="50">
        <v>0</v>
      </c>
      <c r="M31" s="50">
        <v>26</v>
      </c>
      <c r="N31" s="50">
        <v>0</v>
      </c>
      <c r="O31" s="15">
        <f t="shared" si="0"/>
        <v>20</v>
      </c>
      <c r="P31" s="15">
        <f t="shared" si="1"/>
        <v>46</v>
      </c>
    </row>
    <row r="32" spans="2:32" ht="23.1" customHeight="1" x14ac:dyDescent="0.25">
      <c r="B32" s="24" t="s">
        <v>59</v>
      </c>
      <c r="C32" s="50">
        <v>7</v>
      </c>
      <c r="D32" s="50">
        <v>1</v>
      </c>
      <c r="E32" s="50">
        <v>0</v>
      </c>
      <c r="F32" s="50">
        <v>2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23</v>
      </c>
      <c r="N32" s="50">
        <v>0</v>
      </c>
      <c r="O32" s="15">
        <f t="shared" si="0"/>
        <v>11</v>
      </c>
      <c r="P32" s="15">
        <f t="shared" si="1"/>
        <v>34</v>
      </c>
    </row>
    <row r="33" spans="2:20" ht="23.1" customHeight="1" x14ac:dyDescent="0.25">
      <c r="B33" s="23" t="s">
        <v>60</v>
      </c>
      <c r="C33" s="50">
        <v>10</v>
      </c>
      <c r="D33" s="50">
        <v>3</v>
      </c>
      <c r="E33" s="50">
        <v>2</v>
      </c>
      <c r="F33" s="50">
        <v>3</v>
      </c>
      <c r="G33" s="50">
        <v>0</v>
      </c>
      <c r="H33" s="50">
        <v>0</v>
      </c>
      <c r="I33" s="50">
        <v>0</v>
      </c>
      <c r="J33" s="50">
        <v>3</v>
      </c>
      <c r="K33" s="50">
        <v>0</v>
      </c>
      <c r="L33" s="50">
        <v>0</v>
      </c>
      <c r="M33" s="50">
        <v>36</v>
      </c>
      <c r="N33" s="50">
        <v>0</v>
      </c>
      <c r="O33" s="15">
        <f t="shared" si="0"/>
        <v>21</v>
      </c>
      <c r="P33" s="15">
        <f t="shared" si="1"/>
        <v>57</v>
      </c>
    </row>
    <row r="34" spans="2:20" ht="23.1" customHeight="1" x14ac:dyDescent="0.25">
      <c r="B34" s="24" t="s">
        <v>61</v>
      </c>
      <c r="C34" s="50">
        <v>7</v>
      </c>
      <c r="D34" s="50">
        <v>1</v>
      </c>
      <c r="E34" s="50">
        <v>3</v>
      </c>
      <c r="F34" s="50">
        <v>2</v>
      </c>
      <c r="G34" s="50">
        <v>0</v>
      </c>
      <c r="H34" s="50">
        <v>0</v>
      </c>
      <c r="I34" s="50">
        <v>3</v>
      </c>
      <c r="J34" s="50">
        <v>3</v>
      </c>
      <c r="K34" s="50">
        <v>1</v>
      </c>
      <c r="L34" s="50">
        <v>1</v>
      </c>
      <c r="M34" s="50">
        <v>39</v>
      </c>
      <c r="N34" s="50">
        <v>0</v>
      </c>
      <c r="O34" s="15">
        <f t="shared" si="0"/>
        <v>21</v>
      </c>
      <c r="P34" s="15">
        <f t="shared" si="1"/>
        <v>60</v>
      </c>
    </row>
    <row r="35" spans="2:20" ht="23.1" customHeight="1" x14ac:dyDescent="0.25">
      <c r="B35" s="24" t="s">
        <v>62</v>
      </c>
      <c r="C35" s="50">
        <v>9</v>
      </c>
      <c r="D35" s="50">
        <v>4</v>
      </c>
      <c r="E35" s="50">
        <v>1</v>
      </c>
      <c r="F35" s="50">
        <v>4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32</v>
      </c>
      <c r="N35" s="50">
        <v>0</v>
      </c>
      <c r="O35" s="15">
        <f t="shared" si="0"/>
        <v>19</v>
      </c>
      <c r="P35" s="15">
        <f t="shared" si="1"/>
        <v>51</v>
      </c>
    </row>
    <row r="36" spans="2:20" ht="23.1" customHeight="1" x14ac:dyDescent="0.25">
      <c r="B36" s="24" t="s">
        <v>63</v>
      </c>
      <c r="C36" s="50">
        <v>6</v>
      </c>
      <c r="D36" s="50">
        <v>1</v>
      </c>
      <c r="E36" s="50">
        <v>3</v>
      </c>
      <c r="F36" s="50">
        <v>1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35</v>
      </c>
      <c r="N36" s="50">
        <v>0</v>
      </c>
      <c r="O36" s="15">
        <f t="shared" si="0"/>
        <v>14</v>
      </c>
      <c r="P36" s="15">
        <f t="shared" si="1"/>
        <v>49</v>
      </c>
    </row>
    <row r="37" spans="2:20" ht="23.1" customHeight="1" x14ac:dyDescent="0.25">
      <c r="B37" s="23" t="s">
        <v>64</v>
      </c>
      <c r="C37" s="50">
        <v>10</v>
      </c>
      <c r="D37" s="50">
        <v>1</v>
      </c>
      <c r="E37" s="50">
        <v>5</v>
      </c>
      <c r="F37" s="50">
        <v>3</v>
      </c>
      <c r="G37" s="50">
        <v>0</v>
      </c>
      <c r="H37" s="50">
        <v>0</v>
      </c>
      <c r="I37" s="50">
        <v>0</v>
      </c>
      <c r="J37" s="50">
        <v>3</v>
      </c>
      <c r="K37" s="50">
        <v>0</v>
      </c>
      <c r="L37" s="50">
        <v>0</v>
      </c>
      <c r="M37" s="50">
        <v>46</v>
      </c>
      <c r="N37" s="50">
        <v>0</v>
      </c>
      <c r="O37" s="15">
        <f t="shared" si="0"/>
        <v>22</v>
      </c>
      <c r="P37" s="15">
        <f t="shared" si="1"/>
        <v>68</v>
      </c>
    </row>
    <row r="38" spans="2:20" ht="23.1" customHeight="1" x14ac:dyDescent="0.25">
      <c r="B38" s="24" t="s">
        <v>65</v>
      </c>
      <c r="C38" s="50">
        <v>8</v>
      </c>
      <c r="D38" s="50">
        <v>4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2</v>
      </c>
      <c r="K38" s="50">
        <v>1</v>
      </c>
      <c r="L38" s="50">
        <v>1</v>
      </c>
      <c r="M38" s="50">
        <v>37</v>
      </c>
      <c r="N38" s="50">
        <v>0</v>
      </c>
      <c r="O38" s="15">
        <f t="shared" si="0"/>
        <v>19</v>
      </c>
      <c r="P38" s="15">
        <f t="shared" si="1"/>
        <v>56</v>
      </c>
    </row>
    <row r="39" spans="2:20" ht="23.1" customHeight="1" x14ac:dyDescent="0.25">
      <c r="B39" s="24" t="s">
        <v>66</v>
      </c>
      <c r="C39" s="50">
        <v>9</v>
      </c>
      <c r="D39" s="50">
        <v>0</v>
      </c>
      <c r="E39" s="50">
        <v>3</v>
      </c>
      <c r="F39" s="50">
        <v>3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34</v>
      </c>
      <c r="N39" s="50">
        <v>0</v>
      </c>
      <c r="O39" s="15">
        <f t="shared" si="0"/>
        <v>19</v>
      </c>
      <c r="P39" s="15">
        <f t="shared" si="1"/>
        <v>53</v>
      </c>
    </row>
    <row r="40" spans="2:20" ht="23.1" customHeight="1" x14ac:dyDescent="0.25">
      <c r="B40" s="24" t="s">
        <v>67</v>
      </c>
      <c r="C40" s="50">
        <v>7</v>
      </c>
      <c r="D40" s="50">
        <v>3</v>
      </c>
      <c r="E40" s="50">
        <v>1</v>
      </c>
      <c r="F40" s="50">
        <v>4</v>
      </c>
      <c r="G40" s="50">
        <v>0</v>
      </c>
      <c r="H40" s="50">
        <v>0</v>
      </c>
      <c r="I40" s="50">
        <v>2</v>
      </c>
      <c r="J40" s="50">
        <v>2</v>
      </c>
      <c r="K40" s="50">
        <v>0</v>
      </c>
      <c r="L40" s="50">
        <v>1</v>
      </c>
      <c r="M40" s="50">
        <v>40</v>
      </c>
      <c r="N40" s="50">
        <v>0</v>
      </c>
      <c r="O40" s="15">
        <f t="shared" si="0"/>
        <v>20</v>
      </c>
      <c r="P40" s="15">
        <f t="shared" si="1"/>
        <v>60</v>
      </c>
    </row>
    <row r="41" spans="2:20" ht="23.1" customHeight="1" x14ac:dyDescent="0.25">
      <c r="B41" s="23" t="s">
        <v>68</v>
      </c>
      <c r="C41" s="50">
        <v>8</v>
      </c>
      <c r="D41" s="50">
        <v>0</v>
      </c>
      <c r="E41" s="50">
        <v>1</v>
      </c>
      <c r="F41" s="50">
        <v>2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31</v>
      </c>
      <c r="N41" s="50">
        <v>0</v>
      </c>
      <c r="O41" s="15">
        <f t="shared" si="0"/>
        <v>14</v>
      </c>
      <c r="P41" s="15">
        <f t="shared" si="1"/>
        <v>45</v>
      </c>
    </row>
    <row r="42" spans="2:20" ht="23.1" customHeight="1" x14ac:dyDescent="0.25">
      <c r="B42" s="24" t="s">
        <v>69</v>
      </c>
      <c r="C42" s="50">
        <v>11</v>
      </c>
      <c r="D42" s="50">
        <v>3</v>
      </c>
      <c r="E42" s="50">
        <v>1</v>
      </c>
      <c r="F42" s="50">
        <v>5</v>
      </c>
      <c r="G42" s="50">
        <v>0</v>
      </c>
      <c r="H42" s="50">
        <v>0</v>
      </c>
      <c r="I42" s="50">
        <v>0</v>
      </c>
      <c r="J42" s="50">
        <v>4</v>
      </c>
      <c r="K42" s="50">
        <v>0</v>
      </c>
      <c r="L42" s="50">
        <v>0</v>
      </c>
      <c r="M42" s="50">
        <v>28</v>
      </c>
      <c r="N42" s="50">
        <v>0</v>
      </c>
      <c r="O42" s="15">
        <f t="shared" si="0"/>
        <v>24</v>
      </c>
      <c r="P42" s="15">
        <f t="shared" si="1"/>
        <v>52</v>
      </c>
    </row>
    <row r="43" spans="2:20" ht="23.1" customHeight="1" x14ac:dyDescent="0.25">
      <c r="B43" s="23" t="s">
        <v>70</v>
      </c>
      <c r="C43" s="50">
        <v>10</v>
      </c>
      <c r="D43" s="50">
        <v>1</v>
      </c>
      <c r="E43" s="50">
        <v>2</v>
      </c>
      <c r="F43" s="50">
        <v>2</v>
      </c>
      <c r="G43" s="50">
        <v>0</v>
      </c>
      <c r="H43" s="50">
        <v>0</v>
      </c>
      <c r="I43" s="50">
        <v>2</v>
      </c>
      <c r="J43" s="50">
        <v>2</v>
      </c>
      <c r="K43" s="50">
        <v>0</v>
      </c>
      <c r="L43" s="50">
        <v>0</v>
      </c>
      <c r="M43" s="50">
        <v>45</v>
      </c>
      <c r="N43" s="50">
        <v>0</v>
      </c>
      <c r="O43" s="15">
        <f t="shared" si="0"/>
        <v>19</v>
      </c>
      <c r="P43" s="15">
        <f t="shared" si="1"/>
        <v>64</v>
      </c>
    </row>
    <row r="44" spans="2:20" ht="23.1" customHeight="1" x14ac:dyDescent="0.25">
      <c r="B44" s="25" t="s">
        <v>71</v>
      </c>
      <c r="C44" s="50">
        <v>10</v>
      </c>
      <c r="D44" s="50">
        <v>1</v>
      </c>
      <c r="E44" s="50">
        <v>3</v>
      </c>
      <c r="F44" s="50">
        <v>4</v>
      </c>
      <c r="G44" s="50">
        <v>0</v>
      </c>
      <c r="H44" s="50">
        <v>0</v>
      </c>
      <c r="I44" s="50">
        <v>2</v>
      </c>
      <c r="J44" s="50">
        <v>4</v>
      </c>
      <c r="K44" s="50">
        <v>0</v>
      </c>
      <c r="L44" s="50">
        <v>1</v>
      </c>
      <c r="M44" s="50">
        <v>26</v>
      </c>
      <c r="N44" s="50">
        <v>0</v>
      </c>
      <c r="O44" s="15">
        <f t="shared" si="0"/>
        <v>25</v>
      </c>
      <c r="P44" s="15">
        <f t="shared" si="1"/>
        <v>51</v>
      </c>
    </row>
    <row r="45" spans="2:20" ht="23.1" customHeight="1" x14ac:dyDescent="0.25">
      <c r="B45" s="23" t="s">
        <v>72</v>
      </c>
      <c r="C45" s="50">
        <v>11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36</v>
      </c>
      <c r="N45" s="50">
        <v>0</v>
      </c>
      <c r="O45" s="15">
        <f t="shared" si="0"/>
        <v>15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4</v>
      </c>
      <c r="D46" s="50">
        <v>2</v>
      </c>
      <c r="E46" s="50">
        <v>1</v>
      </c>
      <c r="F46" s="50">
        <v>4</v>
      </c>
      <c r="G46" s="50">
        <v>0</v>
      </c>
      <c r="H46" s="50">
        <v>0</v>
      </c>
      <c r="I46" s="50">
        <v>2</v>
      </c>
      <c r="J46" s="50">
        <v>3</v>
      </c>
      <c r="K46" s="50">
        <v>0</v>
      </c>
      <c r="L46" s="50">
        <v>0</v>
      </c>
      <c r="M46" s="50">
        <v>37</v>
      </c>
      <c r="N46" s="50">
        <v>0</v>
      </c>
      <c r="O46" s="15">
        <f t="shared" si="0"/>
        <v>16</v>
      </c>
      <c r="P46" s="15">
        <f t="shared" si="1"/>
        <v>53</v>
      </c>
      <c r="R46" s="8"/>
      <c r="T46"/>
    </row>
    <row r="47" spans="2:20" ht="23.1" customHeight="1" x14ac:dyDescent="0.25">
      <c r="B47" s="24" t="s">
        <v>74</v>
      </c>
      <c r="C47" s="50">
        <v>12</v>
      </c>
      <c r="D47" s="50">
        <v>2</v>
      </c>
      <c r="E47" s="50">
        <v>2</v>
      </c>
      <c r="F47" s="50">
        <v>3</v>
      </c>
      <c r="G47" s="50">
        <v>0</v>
      </c>
      <c r="H47" s="50">
        <v>0</v>
      </c>
      <c r="I47" s="50">
        <v>0</v>
      </c>
      <c r="J47" s="50">
        <v>0</v>
      </c>
      <c r="K47" s="50">
        <v>0</v>
      </c>
      <c r="L47" s="50">
        <v>1</v>
      </c>
      <c r="M47" s="50">
        <v>30</v>
      </c>
      <c r="N47" s="50">
        <v>0</v>
      </c>
      <c r="O47" s="15">
        <f t="shared" si="0"/>
        <v>20</v>
      </c>
      <c r="P47" s="15">
        <f t="shared" si="1"/>
        <v>50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2</v>
      </c>
      <c r="E48" s="50">
        <v>2</v>
      </c>
      <c r="F48" s="50">
        <v>3</v>
      </c>
      <c r="G48" s="50">
        <v>0</v>
      </c>
      <c r="H48" s="50">
        <v>0</v>
      </c>
      <c r="I48" s="50">
        <v>0</v>
      </c>
      <c r="J48" s="50">
        <v>4</v>
      </c>
      <c r="K48" s="50">
        <v>0</v>
      </c>
      <c r="L48" s="50">
        <v>0</v>
      </c>
      <c r="M48" s="50">
        <v>46</v>
      </c>
      <c r="N48" s="50">
        <v>0</v>
      </c>
      <c r="O48" s="15">
        <f t="shared" si="0"/>
        <v>19</v>
      </c>
      <c r="P48" s="15">
        <f t="shared" si="1"/>
        <v>65</v>
      </c>
      <c r="R48" s="8"/>
      <c r="T48"/>
    </row>
    <row r="49" spans="2:20" ht="23.1" customHeight="1" x14ac:dyDescent="0.25">
      <c r="B49" s="23" t="s">
        <v>76</v>
      </c>
      <c r="C49" s="50">
        <v>32</v>
      </c>
      <c r="D49" s="50">
        <v>3</v>
      </c>
      <c r="E49" s="50">
        <v>2</v>
      </c>
      <c r="F49" s="50">
        <v>4</v>
      </c>
      <c r="G49" s="50">
        <v>0</v>
      </c>
      <c r="H49" s="50">
        <v>0</v>
      </c>
      <c r="I49" s="50">
        <v>2</v>
      </c>
      <c r="J49" s="50">
        <v>1</v>
      </c>
      <c r="K49" s="50">
        <v>0</v>
      </c>
      <c r="L49" s="50">
        <v>1</v>
      </c>
      <c r="M49" s="50">
        <v>32</v>
      </c>
      <c r="N49" s="50">
        <v>0</v>
      </c>
      <c r="O49" s="15">
        <f t="shared" si="0"/>
        <v>45</v>
      </c>
      <c r="P49" s="15">
        <f t="shared" si="1"/>
        <v>77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3</v>
      </c>
      <c r="E50" s="50">
        <v>0</v>
      </c>
      <c r="F50" s="50">
        <v>3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44</v>
      </c>
      <c r="N50" s="50">
        <v>0</v>
      </c>
      <c r="O50" s="15">
        <f t="shared" si="0"/>
        <v>16</v>
      </c>
      <c r="P50" s="15">
        <f t="shared" si="1"/>
        <v>60</v>
      </c>
      <c r="R50" s="8"/>
      <c r="T50"/>
    </row>
    <row r="51" spans="2:20" ht="23.1" customHeight="1" x14ac:dyDescent="0.25">
      <c r="B51" s="24" t="s">
        <v>78</v>
      </c>
      <c r="C51" s="50">
        <v>12</v>
      </c>
      <c r="D51" s="50">
        <v>2</v>
      </c>
      <c r="E51" s="50">
        <v>0</v>
      </c>
      <c r="F51" s="50">
        <v>1</v>
      </c>
      <c r="G51" s="50">
        <v>0</v>
      </c>
      <c r="H51" s="50">
        <v>0</v>
      </c>
      <c r="I51" s="50">
        <v>1</v>
      </c>
      <c r="J51" s="50">
        <v>3</v>
      </c>
      <c r="K51" s="50">
        <v>0</v>
      </c>
      <c r="L51" s="50">
        <v>0</v>
      </c>
      <c r="M51" s="50">
        <v>39</v>
      </c>
      <c r="N51" s="50">
        <v>0</v>
      </c>
      <c r="O51" s="15">
        <f t="shared" si="0"/>
        <v>19</v>
      </c>
      <c r="P51" s="15">
        <f t="shared" si="1"/>
        <v>58</v>
      </c>
      <c r="R51" s="8"/>
      <c r="T51"/>
    </row>
    <row r="52" spans="2:20" ht="23.1" customHeight="1" x14ac:dyDescent="0.25">
      <c r="B52" s="24" t="s">
        <v>79</v>
      </c>
      <c r="C52" s="50">
        <v>16</v>
      </c>
      <c r="D52" s="50">
        <v>1</v>
      </c>
      <c r="E52" s="50">
        <v>0</v>
      </c>
      <c r="F52" s="50">
        <v>0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19</v>
      </c>
      <c r="P52" s="15">
        <f t="shared" si="1"/>
        <v>60</v>
      </c>
      <c r="R52" s="8"/>
      <c r="T52"/>
    </row>
    <row r="53" spans="2:20" ht="23.1" customHeight="1" x14ac:dyDescent="0.25">
      <c r="B53" s="23" t="s">
        <v>80</v>
      </c>
      <c r="C53" s="50">
        <v>15</v>
      </c>
      <c r="D53" s="50">
        <v>3</v>
      </c>
      <c r="E53" s="50">
        <v>2</v>
      </c>
      <c r="F53" s="50">
        <v>7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0</v>
      </c>
      <c r="M53" s="50">
        <v>46</v>
      </c>
      <c r="N53" s="50">
        <v>0</v>
      </c>
      <c r="O53" s="15">
        <f t="shared" si="0"/>
        <v>29</v>
      </c>
      <c r="P53" s="15">
        <f t="shared" si="1"/>
        <v>75</v>
      </c>
      <c r="R53" s="8"/>
      <c r="T53"/>
    </row>
    <row r="54" spans="2:20" ht="23.1" customHeight="1" x14ac:dyDescent="0.25">
      <c r="B54" s="23" t="s">
        <v>81</v>
      </c>
      <c r="C54" s="50">
        <v>11</v>
      </c>
      <c r="D54" s="50">
        <v>1</v>
      </c>
      <c r="E54" s="50">
        <v>2</v>
      </c>
      <c r="F54" s="50">
        <v>2</v>
      </c>
      <c r="G54" s="50">
        <v>0</v>
      </c>
      <c r="H54" s="50">
        <v>0</v>
      </c>
      <c r="I54" s="50">
        <v>1</v>
      </c>
      <c r="J54" s="50">
        <v>3</v>
      </c>
      <c r="K54" s="50">
        <v>0</v>
      </c>
      <c r="L54" s="50">
        <v>0</v>
      </c>
      <c r="M54" s="50">
        <v>47</v>
      </c>
      <c r="N54" s="50">
        <v>0</v>
      </c>
      <c r="O54" s="15">
        <f t="shared" si="0"/>
        <v>20</v>
      </c>
      <c r="P54" s="15">
        <f t="shared" si="1"/>
        <v>67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2</v>
      </c>
      <c r="E55" s="50">
        <v>2</v>
      </c>
      <c r="F55" s="50">
        <v>1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41</v>
      </c>
      <c r="N55" s="50">
        <v>0</v>
      </c>
      <c r="O55" s="15">
        <f t="shared" si="0"/>
        <v>17</v>
      </c>
      <c r="P55" s="15">
        <f t="shared" si="1"/>
        <v>58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1</v>
      </c>
      <c r="E56" s="50">
        <v>0</v>
      </c>
      <c r="F56" s="50">
        <v>4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54</v>
      </c>
      <c r="N56" s="50">
        <v>0</v>
      </c>
      <c r="O56" s="15">
        <f t="shared" si="0"/>
        <v>15</v>
      </c>
      <c r="P56" s="15">
        <f t="shared" si="1"/>
        <v>69</v>
      </c>
      <c r="R56" s="8"/>
      <c r="T56"/>
    </row>
    <row r="57" spans="2:20" ht="23.1" customHeight="1" x14ac:dyDescent="0.25">
      <c r="B57" s="23" t="s">
        <v>84</v>
      </c>
      <c r="C57" s="50">
        <v>15</v>
      </c>
      <c r="D57" s="50">
        <v>2</v>
      </c>
      <c r="E57" s="50">
        <v>3</v>
      </c>
      <c r="F57" s="50">
        <v>1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47</v>
      </c>
      <c r="N57" s="50">
        <v>0</v>
      </c>
      <c r="O57" s="15">
        <f t="shared" si="0"/>
        <v>23</v>
      </c>
      <c r="P57" s="15">
        <f t="shared" si="1"/>
        <v>70</v>
      </c>
      <c r="R57" s="8"/>
      <c r="T57"/>
    </row>
    <row r="58" spans="2:20" ht="23.1" customHeight="1" x14ac:dyDescent="0.25">
      <c r="B58" s="26" t="s">
        <v>18</v>
      </c>
      <c r="C58" s="16">
        <f>SUM(C10:C57)</f>
        <v>449</v>
      </c>
      <c r="D58" s="16">
        <f>SUM(D10:D57)</f>
        <v>95</v>
      </c>
      <c r="E58" s="16">
        <f t="shared" ref="E58:P58" si="21">SUM(E10:E57)</f>
        <v>108</v>
      </c>
      <c r="F58" s="16">
        <f t="shared" si="21"/>
        <v>117</v>
      </c>
      <c r="G58" s="16">
        <f t="shared" si="21"/>
        <v>1</v>
      </c>
      <c r="H58" s="16">
        <f t="shared" si="21"/>
        <v>1</v>
      </c>
      <c r="I58" s="16">
        <f t="shared" si="21"/>
        <v>69</v>
      </c>
      <c r="J58" s="16">
        <f t="shared" si="21"/>
        <v>85</v>
      </c>
      <c r="K58" s="16">
        <f t="shared" si="21"/>
        <v>12</v>
      </c>
      <c r="L58" s="16">
        <f t="shared" si="21"/>
        <v>12</v>
      </c>
      <c r="M58" s="16">
        <f t="shared" si="21"/>
        <v>1739</v>
      </c>
      <c r="N58" s="16">
        <f t="shared" si="21"/>
        <v>0</v>
      </c>
      <c r="O58" s="16">
        <f t="shared" si="21"/>
        <v>949</v>
      </c>
      <c r="P58" s="16">
        <f t="shared" si="21"/>
        <v>2688</v>
      </c>
      <c r="R58" s="8"/>
      <c r="T58"/>
    </row>
    <row r="59" spans="2:20" ht="23.1" customHeight="1" x14ac:dyDescent="0.25">
      <c r="B59" s="26" t="s">
        <v>93</v>
      </c>
      <c r="C59" s="43">
        <f t="shared" ref="C59:N60" si="22">C58/$P$58</f>
        <v>0.16703869047619047</v>
      </c>
      <c r="D59" s="43">
        <f t="shared" si="22"/>
        <v>3.5342261904761904E-2</v>
      </c>
      <c r="E59" s="43">
        <f t="shared" si="22"/>
        <v>4.0178571428571432E-2</v>
      </c>
      <c r="F59" s="43">
        <f t="shared" si="22"/>
        <v>4.3526785714285712E-2</v>
      </c>
      <c r="G59" s="43">
        <f t="shared" si="22"/>
        <v>3.720238095238095E-4</v>
      </c>
      <c r="H59" s="43">
        <f t="shared" si="22"/>
        <v>3.720238095238095E-4</v>
      </c>
      <c r="I59" s="43">
        <f t="shared" si="22"/>
        <v>2.5669642857142856E-2</v>
      </c>
      <c r="J59" s="43">
        <f t="shared" si="22"/>
        <v>3.1622023809523808E-2</v>
      </c>
      <c r="K59" s="43">
        <f t="shared" si="22"/>
        <v>4.464285714285714E-3</v>
      </c>
      <c r="L59" s="43">
        <f t="shared" si="22"/>
        <v>4.464285714285714E-3</v>
      </c>
      <c r="M59" s="43">
        <f t="shared" si="22"/>
        <v>0.64694940476190477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3">
        <f t="shared" si="22"/>
        <v>6.2142369968820854E-5</v>
      </c>
      <c r="D60" s="43">
        <f t="shared" si="22"/>
        <v>1.3148162910997733E-5</v>
      </c>
      <c r="E60" s="44">
        <f t="shared" ref="E60:N60" si="23">E58/$O$58</f>
        <v>0.11380400421496312</v>
      </c>
      <c r="F60" s="44">
        <f t="shared" si="23"/>
        <v>0.12328767123287671</v>
      </c>
      <c r="G60" s="44">
        <f t="shared" si="23"/>
        <v>1.053740779768177E-3</v>
      </c>
      <c r="H60" s="44">
        <f t="shared" si="23"/>
        <v>1.053740779768177E-3</v>
      </c>
      <c r="I60" s="44">
        <f t="shared" si="23"/>
        <v>7.2708113804004215E-2</v>
      </c>
      <c r="J60" s="44">
        <f t="shared" si="23"/>
        <v>8.956796628029505E-2</v>
      </c>
      <c r="K60" s="44">
        <f t="shared" si="23"/>
        <v>1.2644889357218124E-2</v>
      </c>
      <c r="L60" s="44">
        <f t="shared" si="23"/>
        <v>1.2644889357218124E-2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176</v>
      </c>
      <c r="E5" s="3"/>
      <c r="F5" s="41" t="s">
        <v>1</v>
      </c>
      <c r="G5" s="55" t="str">
        <f>'29.10 Isingiro-Mbarara'!G5:H5</f>
        <v>KASENYI</v>
      </c>
      <c r="H5" s="56"/>
      <c r="I5" s="14"/>
      <c r="J5" s="2" t="s">
        <v>5</v>
      </c>
      <c r="K5" s="55" t="str">
        <f>'29.10 Isingiro-Mbarara'!K5:L5</f>
        <v>MIREMBE RUTH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'25.10 Isingiro-Mbarara'!D6:E6</f>
        <v>ISINGIRO</v>
      </c>
      <c r="E6" s="56"/>
      <c r="F6" s="2" t="s">
        <v>2</v>
      </c>
      <c r="G6" s="55" t="str">
        <f>'25.10 Isingiro-Mbarara'!G6:H6</f>
        <v>MBARARA</v>
      </c>
      <c r="H6" s="56"/>
      <c r="J6" s="2" t="s">
        <v>21</v>
      </c>
      <c r="K6" s="55" t="str">
        <f>'29.10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9</v>
      </c>
      <c r="D10" s="50">
        <v>1</v>
      </c>
      <c r="E10" s="50">
        <v>1</v>
      </c>
      <c r="F10" s="50">
        <v>3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45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61</v>
      </c>
      <c r="R10" s="1" t="s">
        <v>6</v>
      </c>
      <c r="S10" s="17">
        <f t="shared" ref="S10:AF10" si="2">SUM(C10:C13)</f>
        <v>51</v>
      </c>
      <c r="T10" s="17">
        <f t="shared" si="2"/>
        <v>4</v>
      </c>
      <c r="U10" s="17">
        <f t="shared" si="2"/>
        <v>2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208</v>
      </c>
      <c r="AD10" s="17">
        <f t="shared" si="2"/>
        <v>0</v>
      </c>
      <c r="AE10" s="31">
        <f t="shared" si="2"/>
        <v>75</v>
      </c>
      <c r="AF10" s="31">
        <f t="shared" si="2"/>
        <v>283</v>
      </c>
    </row>
    <row r="11" spans="2:32" s="6" customFormat="1" ht="23.1" customHeight="1" x14ac:dyDescent="0.25">
      <c r="B11" s="23" t="s">
        <v>38</v>
      </c>
      <c r="C11" s="50">
        <v>11</v>
      </c>
      <c r="D11" s="50"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11</v>
      </c>
      <c r="P11" s="15">
        <f t="shared" si="1"/>
        <v>46</v>
      </c>
      <c r="R11" s="1" t="s">
        <v>7</v>
      </c>
      <c r="S11" s="17">
        <f t="shared" ref="S11:AF11" si="3">SUM(C14:C17)</f>
        <v>42</v>
      </c>
      <c r="T11" s="17">
        <f t="shared" si="3"/>
        <v>1</v>
      </c>
      <c r="U11" s="17">
        <f t="shared" si="3"/>
        <v>4</v>
      </c>
      <c r="V11" s="17">
        <f t="shared" si="3"/>
        <v>25</v>
      </c>
      <c r="W11" s="17">
        <f t="shared" si="3"/>
        <v>0</v>
      </c>
      <c r="X11" s="17">
        <f t="shared" si="3"/>
        <v>0</v>
      </c>
      <c r="Y11" s="17">
        <f t="shared" si="3"/>
        <v>6</v>
      </c>
      <c r="Z11" s="17">
        <f t="shared" si="3"/>
        <v>3</v>
      </c>
      <c r="AA11" s="17">
        <f t="shared" si="3"/>
        <v>0</v>
      </c>
      <c r="AB11" s="17">
        <f t="shared" si="3"/>
        <v>0</v>
      </c>
      <c r="AC11" s="17">
        <f t="shared" si="3"/>
        <v>149</v>
      </c>
      <c r="AD11" s="17">
        <f t="shared" si="3"/>
        <v>0</v>
      </c>
      <c r="AE11" s="31">
        <f t="shared" si="3"/>
        <v>81</v>
      </c>
      <c r="AF11" s="31">
        <f t="shared" si="3"/>
        <v>230</v>
      </c>
    </row>
    <row r="12" spans="2:32" ht="23.1" customHeight="1" x14ac:dyDescent="0.25">
      <c r="B12" s="23" t="s">
        <v>39</v>
      </c>
      <c r="C12" s="50">
        <v>16</v>
      </c>
      <c r="D12" s="50">
        <v>3</v>
      </c>
      <c r="E12" s="50">
        <v>0</v>
      </c>
      <c r="F12" s="50">
        <v>2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68</v>
      </c>
      <c r="N12" s="50">
        <v>0</v>
      </c>
      <c r="O12" s="15">
        <f t="shared" si="0"/>
        <v>23</v>
      </c>
      <c r="P12" s="15">
        <f t="shared" si="1"/>
        <v>91</v>
      </c>
      <c r="R12" s="1" t="s">
        <v>8</v>
      </c>
      <c r="S12" s="17">
        <f t="shared" ref="S12:AF12" si="4">SUM(C18:C21)</f>
        <v>42</v>
      </c>
      <c r="T12" s="17">
        <f t="shared" si="4"/>
        <v>5</v>
      </c>
      <c r="U12" s="17">
        <f t="shared" si="4"/>
        <v>8</v>
      </c>
      <c r="V12" s="17">
        <f t="shared" si="4"/>
        <v>15</v>
      </c>
      <c r="W12" s="17">
        <f t="shared" si="4"/>
        <v>0</v>
      </c>
      <c r="X12" s="17">
        <f t="shared" si="4"/>
        <v>0</v>
      </c>
      <c r="Y12" s="17">
        <f t="shared" si="4"/>
        <v>3</v>
      </c>
      <c r="Z12" s="17">
        <f t="shared" si="4"/>
        <v>4</v>
      </c>
      <c r="AA12" s="17">
        <f t="shared" si="4"/>
        <v>1</v>
      </c>
      <c r="AB12" s="17">
        <f t="shared" si="4"/>
        <v>0</v>
      </c>
      <c r="AC12" s="17">
        <f t="shared" si="4"/>
        <v>156</v>
      </c>
      <c r="AD12" s="17">
        <f t="shared" si="4"/>
        <v>0</v>
      </c>
      <c r="AE12" s="31">
        <f t="shared" si="4"/>
        <v>78</v>
      </c>
      <c r="AF12" s="31">
        <f t="shared" si="4"/>
        <v>234</v>
      </c>
    </row>
    <row r="13" spans="2:32" ht="23.1" customHeight="1" x14ac:dyDescent="0.25">
      <c r="B13" s="23" t="s">
        <v>40</v>
      </c>
      <c r="C13" s="50">
        <v>15</v>
      </c>
      <c r="D13" s="50">
        <v>0</v>
      </c>
      <c r="E13" s="50">
        <v>1</v>
      </c>
      <c r="F13" s="50">
        <v>6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60</v>
      </c>
      <c r="N13" s="50">
        <v>0</v>
      </c>
      <c r="O13" s="15">
        <f t="shared" si="0"/>
        <v>25</v>
      </c>
      <c r="P13" s="15">
        <f t="shared" si="1"/>
        <v>85</v>
      </c>
      <c r="R13" s="1" t="s">
        <v>9</v>
      </c>
      <c r="S13" s="17">
        <f t="shared" ref="S13:AF13" si="5">SUM(C22:C25)</f>
        <v>41</v>
      </c>
      <c r="T13" s="17">
        <f t="shared" si="5"/>
        <v>7</v>
      </c>
      <c r="U13" s="17">
        <f t="shared" si="5"/>
        <v>6</v>
      </c>
      <c r="V13" s="17">
        <f t="shared" si="5"/>
        <v>17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151</v>
      </c>
      <c r="AD13" s="17">
        <f t="shared" si="5"/>
        <v>0</v>
      </c>
      <c r="AE13" s="31">
        <f t="shared" si="5"/>
        <v>82</v>
      </c>
      <c r="AF13" s="31">
        <f t="shared" si="5"/>
        <v>233</v>
      </c>
    </row>
    <row r="14" spans="2:32" ht="23.1" customHeight="1" x14ac:dyDescent="0.25">
      <c r="B14" s="23" t="s">
        <v>41</v>
      </c>
      <c r="C14" s="50">
        <v>14</v>
      </c>
      <c r="D14" s="50">
        <v>0</v>
      </c>
      <c r="E14" s="50">
        <v>0</v>
      </c>
      <c r="F14" s="50">
        <v>8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43</v>
      </c>
      <c r="N14" s="50">
        <v>0</v>
      </c>
      <c r="O14" s="15">
        <f t="shared" si="0"/>
        <v>23</v>
      </c>
      <c r="P14" s="15">
        <f t="shared" si="1"/>
        <v>66</v>
      </c>
      <c r="R14" s="1" t="s">
        <v>10</v>
      </c>
      <c r="S14" s="17">
        <f t="shared" ref="S14:AF14" si="6">SUM(C26:C29)</f>
        <v>37</v>
      </c>
      <c r="T14" s="17">
        <f t="shared" si="6"/>
        <v>3</v>
      </c>
      <c r="U14" s="17">
        <f t="shared" si="6"/>
        <v>8</v>
      </c>
      <c r="V14" s="17">
        <f t="shared" si="6"/>
        <v>10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5</v>
      </c>
      <c r="AA14" s="17">
        <f t="shared" si="6"/>
        <v>0</v>
      </c>
      <c r="AB14" s="17">
        <f t="shared" si="6"/>
        <v>3</v>
      </c>
      <c r="AC14" s="17">
        <f t="shared" si="6"/>
        <v>180</v>
      </c>
      <c r="AD14" s="17">
        <f t="shared" si="6"/>
        <v>0</v>
      </c>
      <c r="AE14" s="31">
        <f t="shared" si="6"/>
        <v>70</v>
      </c>
      <c r="AF14" s="31">
        <f t="shared" si="6"/>
        <v>250</v>
      </c>
    </row>
    <row r="15" spans="2:32" ht="23.1" customHeight="1" x14ac:dyDescent="0.25">
      <c r="B15" s="23" t="s">
        <v>42</v>
      </c>
      <c r="C15" s="50">
        <v>7</v>
      </c>
      <c r="D15" s="50">
        <v>0</v>
      </c>
      <c r="E15" s="50">
        <v>0</v>
      </c>
      <c r="F15" s="50">
        <v>4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35</v>
      </c>
      <c r="N15" s="50">
        <v>0</v>
      </c>
      <c r="O15" s="15">
        <f t="shared" si="0"/>
        <v>13</v>
      </c>
      <c r="P15" s="15">
        <f t="shared" si="1"/>
        <v>48</v>
      </c>
      <c r="R15" s="1" t="s">
        <v>11</v>
      </c>
      <c r="S15" s="17">
        <f t="shared" ref="S15:AF15" si="7">SUM(C30:C33)</f>
        <v>34</v>
      </c>
      <c r="T15" s="17">
        <f t="shared" si="7"/>
        <v>4</v>
      </c>
      <c r="U15" s="17">
        <f t="shared" si="7"/>
        <v>10</v>
      </c>
      <c r="V15" s="17">
        <f t="shared" si="7"/>
        <v>8</v>
      </c>
      <c r="W15" s="17">
        <f t="shared" si="7"/>
        <v>1</v>
      </c>
      <c r="X15" s="17">
        <f t="shared" si="7"/>
        <v>0</v>
      </c>
      <c r="Y15" s="17">
        <f t="shared" si="7"/>
        <v>2</v>
      </c>
      <c r="Z15" s="17">
        <f t="shared" si="7"/>
        <v>5</v>
      </c>
      <c r="AA15" s="17">
        <f t="shared" si="7"/>
        <v>0</v>
      </c>
      <c r="AB15" s="17">
        <f t="shared" si="7"/>
        <v>2</v>
      </c>
      <c r="AC15" s="17">
        <f t="shared" si="7"/>
        <v>167</v>
      </c>
      <c r="AD15" s="17">
        <f t="shared" si="7"/>
        <v>0</v>
      </c>
      <c r="AE15" s="31">
        <f t="shared" si="7"/>
        <v>66</v>
      </c>
      <c r="AF15" s="31">
        <f t="shared" si="7"/>
        <v>233</v>
      </c>
    </row>
    <row r="16" spans="2:32" ht="23.1" customHeight="1" x14ac:dyDescent="0.25">
      <c r="B16" s="23" t="s">
        <v>43</v>
      </c>
      <c r="C16" s="50">
        <v>13</v>
      </c>
      <c r="D16" s="50">
        <v>1</v>
      </c>
      <c r="E16" s="50">
        <v>3</v>
      </c>
      <c r="F16" s="50">
        <v>7</v>
      </c>
      <c r="G16" s="50">
        <v>0</v>
      </c>
      <c r="H16" s="50">
        <v>0</v>
      </c>
      <c r="I16" s="50">
        <v>3</v>
      </c>
      <c r="J16" s="50">
        <v>1</v>
      </c>
      <c r="K16" s="50">
        <v>0</v>
      </c>
      <c r="L16" s="50">
        <v>0</v>
      </c>
      <c r="M16" s="50">
        <v>35</v>
      </c>
      <c r="N16" s="50">
        <v>0</v>
      </c>
      <c r="O16" s="15">
        <f t="shared" si="0"/>
        <v>28</v>
      </c>
      <c r="P16" s="15">
        <f t="shared" si="1"/>
        <v>63</v>
      </c>
      <c r="R16" s="1" t="s">
        <v>12</v>
      </c>
      <c r="S16" s="17">
        <f t="shared" ref="S16:AF16" si="8">SUM(C34:C37)</f>
        <v>43</v>
      </c>
      <c r="T16" s="17">
        <f t="shared" si="8"/>
        <v>3</v>
      </c>
      <c r="U16" s="17">
        <f t="shared" si="8"/>
        <v>6</v>
      </c>
      <c r="V16" s="17">
        <f t="shared" si="8"/>
        <v>6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118</v>
      </c>
      <c r="AD16" s="17">
        <f t="shared" si="8"/>
        <v>0</v>
      </c>
      <c r="AE16" s="31">
        <f t="shared" si="8"/>
        <v>66</v>
      </c>
      <c r="AF16" s="31">
        <f t="shared" si="8"/>
        <v>184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1</v>
      </c>
      <c r="F17" s="50">
        <v>6</v>
      </c>
      <c r="G17" s="50">
        <v>0</v>
      </c>
      <c r="H17" s="50">
        <v>0</v>
      </c>
      <c r="I17" s="50">
        <v>2</v>
      </c>
      <c r="J17" s="50">
        <v>0</v>
      </c>
      <c r="K17" s="50">
        <v>0</v>
      </c>
      <c r="L17" s="50">
        <v>0</v>
      </c>
      <c r="M17" s="50">
        <v>36</v>
      </c>
      <c r="N17" s="50">
        <v>0</v>
      </c>
      <c r="O17" s="15">
        <f t="shared" si="0"/>
        <v>17</v>
      </c>
      <c r="P17" s="15">
        <f t="shared" si="1"/>
        <v>53</v>
      </c>
      <c r="R17" s="1" t="s">
        <v>13</v>
      </c>
      <c r="S17" s="17">
        <f t="shared" ref="S17:AF17" si="9">SUM(C38:C41)</f>
        <v>28</v>
      </c>
      <c r="T17" s="17">
        <f t="shared" si="9"/>
        <v>4</v>
      </c>
      <c r="U17" s="17">
        <f t="shared" si="9"/>
        <v>8</v>
      </c>
      <c r="V17" s="17">
        <f t="shared" si="9"/>
        <v>5</v>
      </c>
      <c r="W17" s="17">
        <f t="shared" si="9"/>
        <v>0</v>
      </c>
      <c r="X17" s="17">
        <f t="shared" si="9"/>
        <v>0</v>
      </c>
      <c r="Y17" s="17">
        <f t="shared" si="9"/>
        <v>9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109</v>
      </c>
      <c r="AD17" s="17">
        <f t="shared" si="9"/>
        <v>0</v>
      </c>
      <c r="AE17" s="31">
        <f t="shared" si="9"/>
        <v>59</v>
      </c>
      <c r="AF17" s="31">
        <f t="shared" si="9"/>
        <v>168</v>
      </c>
    </row>
    <row r="18" spans="2:32" ht="23.1" customHeight="1" x14ac:dyDescent="0.25">
      <c r="B18" s="23" t="s">
        <v>45</v>
      </c>
      <c r="C18" s="50">
        <v>12</v>
      </c>
      <c r="D18" s="50">
        <v>2</v>
      </c>
      <c r="E18" s="50">
        <v>2</v>
      </c>
      <c r="F18" s="50">
        <v>2</v>
      </c>
      <c r="G18" s="50">
        <v>0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40</v>
      </c>
      <c r="N18" s="50">
        <v>0</v>
      </c>
      <c r="O18" s="15">
        <f t="shared" si="0"/>
        <v>19</v>
      </c>
      <c r="P18" s="15">
        <f t="shared" si="1"/>
        <v>59</v>
      </c>
      <c r="R18" s="1" t="s">
        <v>14</v>
      </c>
      <c r="S18" s="17">
        <f t="shared" ref="S18:AF18" si="10">SUM(C42:C45)</f>
        <v>31</v>
      </c>
      <c r="T18" s="17">
        <f t="shared" si="10"/>
        <v>10</v>
      </c>
      <c r="U18" s="17">
        <f t="shared" si="10"/>
        <v>10</v>
      </c>
      <c r="V18" s="17">
        <f t="shared" si="10"/>
        <v>8</v>
      </c>
      <c r="W18" s="17">
        <f t="shared" si="10"/>
        <v>0</v>
      </c>
      <c r="X18" s="17">
        <f t="shared" si="10"/>
        <v>0</v>
      </c>
      <c r="Y18" s="17">
        <f t="shared" si="10"/>
        <v>11</v>
      </c>
      <c r="Z18" s="17">
        <f t="shared" si="10"/>
        <v>7</v>
      </c>
      <c r="AA18" s="17">
        <f t="shared" si="10"/>
        <v>1</v>
      </c>
      <c r="AB18" s="17">
        <f t="shared" si="10"/>
        <v>3</v>
      </c>
      <c r="AC18" s="17">
        <f t="shared" si="10"/>
        <v>137</v>
      </c>
      <c r="AD18" s="17">
        <f t="shared" si="10"/>
        <v>0</v>
      </c>
      <c r="AE18" s="31">
        <f t="shared" si="10"/>
        <v>81</v>
      </c>
      <c r="AF18" s="31">
        <f t="shared" si="10"/>
        <v>218</v>
      </c>
    </row>
    <row r="19" spans="2:32" ht="23.1" customHeight="1" x14ac:dyDescent="0.25">
      <c r="B19" s="23" t="s">
        <v>46</v>
      </c>
      <c r="C19" s="50">
        <v>8</v>
      </c>
      <c r="D19" s="50">
        <v>0</v>
      </c>
      <c r="E19" s="50">
        <v>0</v>
      </c>
      <c r="F19" s="50">
        <v>2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0</v>
      </c>
      <c r="M19" s="50">
        <v>42</v>
      </c>
      <c r="N19" s="50">
        <v>0</v>
      </c>
      <c r="O19" s="15">
        <f t="shared" si="0"/>
        <v>10</v>
      </c>
      <c r="P19" s="15">
        <f t="shared" si="1"/>
        <v>52</v>
      </c>
      <c r="R19" s="1" t="s">
        <v>15</v>
      </c>
      <c r="S19" s="17">
        <f t="shared" ref="S19:AF19" si="11">SUM(C46:C49)</f>
        <v>39</v>
      </c>
      <c r="T19" s="17">
        <f t="shared" si="11"/>
        <v>8</v>
      </c>
      <c r="U19" s="17">
        <f t="shared" si="11"/>
        <v>11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13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133</v>
      </c>
      <c r="AD19" s="17">
        <f t="shared" si="11"/>
        <v>0</v>
      </c>
      <c r="AE19" s="31">
        <f t="shared" si="11"/>
        <v>84</v>
      </c>
      <c r="AF19" s="31">
        <f t="shared" si="11"/>
        <v>217</v>
      </c>
    </row>
    <row r="20" spans="2:32" ht="23.1" customHeight="1" x14ac:dyDescent="0.25">
      <c r="B20" s="23" t="s">
        <v>47</v>
      </c>
      <c r="C20" s="50">
        <v>11</v>
      </c>
      <c r="D20" s="50">
        <v>1</v>
      </c>
      <c r="E20" s="50">
        <v>4</v>
      </c>
      <c r="F20" s="50">
        <v>4</v>
      </c>
      <c r="G20" s="50">
        <v>0</v>
      </c>
      <c r="H20" s="50">
        <v>0</v>
      </c>
      <c r="I20" s="50">
        <v>3</v>
      </c>
      <c r="J20" s="50">
        <v>2</v>
      </c>
      <c r="K20" s="50">
        <v>0</v>
      </c>
      <c r="L20" s="50">
        <v>0</v>
      </c>
      <c r="M20" s="50">
        <v>46</v>
      </c>
      <c r="N20" s="50">
        <v>0</v>
      </c>
      <c r="O20" s="15">
        <f t="shared" si="0"/>
        <v>25</v>
      </c>
      <c r="P20" s="15">
        <f t="shared" si="1"/>
        <v>71</v>
      </c>
      <c r="R20" s="1" t="s">
        <v>16</v>
      </c>
      <c r="S20" s="17">
        <f t="shared" ref="S20:AF20" si="12">SUM(C50:C53)</f>
        <v>30</v>
      </c>
      <c r="T20" s="17">
        <f t="shared" si="12"/>
        <v>8</v>
      </c>
      <c r="U20" s="17">
        <f t="shared" si="12"/>
        <v>11</v>
      </c>
      <c r="V20" s="17">
        <f t="shared" si="12"/>
        <v>7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10</v>
      </c>
      <c r="AA20" s="17">
        <f t="shared" si="12"/>
        <v>0</v>
      </c>
      <c r="AB20" s="17">
        <f t="shared" si="12"/>
        <v>1</v>
      </c>
      <c r="AC20" s="17">
        <f t="shared" si="12"/>
        <v>165</v>
      </c>
      <c r="AD20" s="17">
        <f t="shared" si="12"/>
        <v>0</v>
      </c>
      <c r="AE20" s="31">
        <f t="shared" si="12"/>
        <v>72</v>
      </c>
      <c r="AF20" s="31">
        <f t="shared" si="12"/>
        <v>237</v>
      </c>
    </row>
    <row r="21" spans="2:32" ht="23.1" customHeight="1" x14ac:dyDescent="0.25">
      <c r="B21" s="23" t="s">
        <v>48</v>
      </c>
      <c r="C21" s="50">
        <v>11</v>
      </c>
      <c r="D21" s="50">
        <v>2</v>
      </c>
      <c r="E21" s="50">
        <v>2</v>
      </c>
      <c r="F21" s="50">
        <v>7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28</v>
      </c>
      <c r="N21" s="50">
        <v>0</v>
      </c>
      <c r="O21" s="15">
        <f t="shared" si="0"/>
        <v>24</v>
      </c>
      <c r="P21" s="15">
        <f t="shared" si="1"/>
        <v>52</v>
      </c>
      <c r="R21" s="36" t="s">
        <v>20</v>
      </c>
      <c r="S21" s="34">
        <f t="shared" ref="S21:AF21" si="13">SUM(C54:C57)</f>
        <v>68</v>
      </c>
      <c r="T21" s="17">
        <f t="shared" si="13"/>
        <v>15</v>
      </c>
      <c r="U21" s="17">
        <f t="shared" si="13"/>
        <v>12</v>
      </c>
      <c r="V21" s="17">
        <f t="shared" si="13"/>
        <v>7</v>
      </c>
      <c r="W21" s="17">
        <f t="shared" si="13"/>
        <v>0</v>
      </c>
      <c r="X21" s="17">
        <f t="shared" si="13"/>
        <v>0</v>
      </c>
      <c r="Y21" s="17">
        <f t="shared" si="13"/>
        <v>10</v>
      </c>
      <c r="Z21" s="17">
        <f t="shared" si="13"/>
        <v>6</v>
      </c>
      <c r="AA21" s="17">
        <f t="shared" si="13"/>
        <v>1</v>
      </c>
      <c r="AB21" s="17">
        <f t="shared" si="13"/>
        <v>0</v>
      </c>
      <c r="AC21" s="17">
        <f t="shared" si="13"/>
        <v>158</v>
      </c>
      <c r="AD21" s="17">
        <f t="shared" si="13"/>
        <v>0</v>
      </c>
      <c r="AE21" s="31">
        <f t="shared" si="13"/>
        <v>119</v>
      </c>
      <c r="AF21" s="31">
        <f t="shared" si="13"/>
        <v>277</v>
      </c>
    </row>
    <row r="22" spans="2:32" ht="23.1" customHeight="1" x14ac:dyDescent="0.25">
      <c r="B22" s="23" t="s">
        <v>49</v>
      </c>
      <c r="C22" s="50">
        <v>6</v>
      </c>
      <c r="D22" s="50">
        <v>3</v>
      </c>
      <c r="E22" s="50">
        <v>0</v>
      </c>
      <c r="F22" s="50">
        <v>2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0</v>
      </c>
      <c r="M22" s="50">
        <v>34</v>
      </c>
      <c r="N22" s="50">
        <v>0</v>
      </c>
      <c r="O22" s="15">
        <f t="shared" si="0"/>
        <v>13</v>
      </c>
      <c r="P22" s="15">
        <f t="shared" si="1"/>
        <v>47</v>
      </c>
      <c r="R22" s="38" t="s">
        <v>90</v>
      </c>
      <c r="S22" s="39">
        <f>MAX(S10:S12)</f>
        <v>51</v>
      </c>
      <c r="T22" s="39">
        <f t="shared" ref="T22:AF22" si="14">MAX(T10:T12)</f>
        <v>5</v>
      </c>
      <c r="U22" s="39">
        <f t="shared" si="14"/>
        <v>8</v>
      </c>
      <c r="V22" s="39">
        <f t="shared" si="14"/>
        <v>25</v>
      </c>
      <c r="W22" s="39">
        <f t="shared" si="14"/>
        <v>0</v>
      </c>
      <c r="X22" s="39">
        <f t="shared" si="14"/>
        <v>0</v>
      </c>
      <c r="Y22" s="39">
        <f t="shared" si="14"/>
        <v>6</v>
      </c>
      <c r="Z22" s="39">
        <f t="shared" si="14"/>
        <v>4</v>
      </c>
      <c r="AA22" s="39">
        <f t="shared" si="14"/>
        <v>1</v>
      </c>
      <c r="AB22" s="39">
        <f t="shared" si="14"/>
        <v>0</v>
      </c>
      <c r="AC22" s="39">
        <f t="shared" si="14"/>
        <v>208</v>
      </c>
      <c r="AD22" s="39">
        <f t="shared" si="14"/>
        <v>0</v>
      </c>
      <c r="AE22" s="40">
        <f t="shared" si="14"/>
        <v>81</v>
      </c>
      <c r="AF22" s="40">
        <f t="shared" si="14"/>
        <v>283</v>
      </c>
    </row>
    <row r="23" spans="2:32" ht="23.1" customHeight="1" x14ac:dyDescent="0.25">
      <c r="B23" s="23" t="s">
        <v>50</v>
      </c>
      <c r="C23" s="50">
        <v>15</v>
      </c>
      <c r="D23" s="50">
        <v>2</v>
      </c>
      <c r="E23" s="50">
        <v>2</v>
      </c>
      <c r="F23" s="50">
        <v>3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42</v>
      </c>
      <c r="N23" s="50">
        <v>0</v>
      </c>
      <c r="O23" s="15">
        <f t="shared" si="0"/>
        <v>27</v>
      </c>
      <c r="P23" s="15">
        <f t="shared" si="1"/>
        <v>69</v>
      </c>
      <c r="R23" s="38" t="s">
        <v>91</v>
      </c>
      <c r="S23" s="39">
        <f>MAX(S13:S18)</f>
        <v>43</v>
      </c>
      <c r="T23" s="39">
        <f t="shared" ref="T23:AF23" si="15">MAX(T13:T18)</f>
        <v>10</v>
      </c>
      <c r="U23" s="39">
        <f t="shared" si="15"/>
        <v>10</v>
      </c>
      <c r="V23" s="39">
        <f t="shared" si="15"/>
        <v>17</v>
      </c>
      <c r="W23" s="39">
        <f t="shared" si="15"/>
        <v>1</v>
      </c>
      <c r="X23" s="39">
        <f t="shared" si="15"/>
        <v>0</v>
      </c>
      <c r="Y23" s="39">
        <f t="shared" si="15"/>
        <v>11</v>
      </c>
      <c r="Z23" s="39">
        <f t="shared" si="15"/>
        <v>7</v>
      </c>
      <c r="AA23" s="39">
        <f t="shared" si="15"/>
        <v>1</v>
      </c>
      <c r="AB23" s="39">
        <f t="shared" si="15"/>
        <v>3</v>
      </c>
      <c r="AC23" s="39">
        <f t="shared" si="15"/>
        <v>180</v>
      </c>
      <c r="AD23" s="39">
        <f t="shared" si="15"/>
        <v>0</v>
      </c>
      <c r="AE23" s="40">
        <f t="shared" si="15"/>
        <v>82</v>
      </c>
      <c r="AF23" s="40">
        <f t="shared" si="15"/>
        <v>250</v>
      </c>
    </row>
    <row r="24" spans="2:32" ht="23.1" customHeight="1" x14ac:dyDescent="0.25">
      <c r="B24" s="23" t="s">
        <v>51</v>
      </c>
      <c r="C24" s="50">
        <v>11</v>
      </c>
      <c r="D24" s="50">
        <v>0</v>
      </c>
      <c r="E24" s="50">
        <v>2</v>
      </c>
      <c r="F24" s="50">
        <v>6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40</v>
      </c>
      <c r="N24" s="50">
        <v>0</v>
      </c>
      <c r="O24" s="15">
        <f t="shared" si="0"/>
        <v>21</v>
      </c>
      <c r="P24" s="15">
        <f t="shared" si="1"/>
        <v>61</v>
      </c>
      <c r="R24" s="38" t="s">
        <v>92</v>
      </c>
      <c r="S24" s="39">
        <f>MAX(S19:S21)</f>
        <v>68</v>
      </c>
      <c r="T24" s="39">
        <f t="shared" ref="T24:AF24" si="16">MAX(T19:T21)</f>
        <v>15</v>
      </c>
      <c r="U24" s="39">
        <f t="shared" si="16"/>
        <v>12</v>
      </c>
      <c r="V24" s="39">
        <f t="shared" si="16"/>
        <v>10</v>
      </c>
      <c r="W24" s="39">
        <f t="shared" si="16"/>
        <v>0</v>
      </c>
      <c r="X24" s="39">
        <f t="shared" si="16"/>
        <v>0</v>
      </c>
      <c r="Y24" s="39">
        <f t="shared" si="16"/>
        <v>13</v>
      </c>
      <c r="Z24" s="39">
        <f t="shared" si="16"/>
        <v>10</v>
      </c>
      <c r="AA24" s="39">
        <f t="shared" si="16"/>
        <v>1</v>
      </c>
      <c r="AB24" s="39">
        <f t="shared" si="16"/>
        <v>1</v>
      </c>
      <c r="AC24" s="39">
        <f t="shared" si="16"/>
        <v>165</v>
      </c>
      <c r="AD24" s="39">
        <f t="shared" si="16"/>
        <v>0</v>
      </c>
      <c r="AE24" s="40">
        <f t="shared" si="16"/>
        <v>119</v>
      </c>
      <c r="AF24" s="40">
        <f t="shared" si="16"/>
        <v>277</v>
      </c>
    </row>
    <row r="25" spans="2:32" ht="23.1" customHeight="1" x14ac:dyDescent="0.25">
      <c r="B25" s="23" t="s">
        <v>52</v>
      </c>
      <c r="C25" s="50">
        <v>9</v>
      </c>
      <c r="D25" s="50">
        <v>2</v>
      </c>
      <c r="E25" s="50">
        <v>2</v>
      </c>
      <c r="F25" s="50">
        <v>6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35</v>
      </c>
      <c r="N25" s="50">
        <v>0</v>
      </c>
      <c r="O25" s="15">
        <f t="shared" si="0"/>
        <v>21</v>
      </c>
      <c r="P25" s="15">
        <f t="shared" si="1"/>
        <v>56</v>
      </c>
      <c r="R25" s="37" t="s">
        <v>85</v>
      </c>
      <c r="S25" s="35">
        <f t="shared" ref="S25:AF25" si="17">SUM(S10:S12)</f>
        <v>135</v>
      </c>
      <c r="T25" s="16">
        <f t="shared" si="17"/>
        <v>10</v>
      </c>
      <c r="U25" s="16">
        <f t="shared" si="17"/>
        <v>14</v>
      </c>
      <c r="V25" s="16">
        <f t="shared" si="17"/>
        <v>51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9</v>
      </c>
      <c r="AA25" s="16">
        <f t="shared" si="17"/>
        <v>1</v>
      </c>
      <c r="AB25" s="16">
        <f t="shared" si="17"/>
        <v>0</v>
      </c>
      <c r="AC25" s="16">
        <f t="shared" si="17"/>
        <v>513</v>
      </c>
      <c r="AD25" s="16">
        <f t="shared" si="17"/>
        <v>0</v>
      </c>
      <c r="AE25" s="32">
        <f t="shared" si="17"/>
        <v>234</v>
      </c>
      <c r="AF25" s="32">
        <f t="shared" si="17"/>
        <v>747</v>
      </c>
    </row>
    <row r="26" spans="2:32" ht="23.1" customHeight="1" x14ac:dyDescent="0.25">
      <c r="B26" s="23" t="s">
        <v>53</v>
      </c>
      <c r="C26" s="50">
        <v>14</v>
      </c>
      <c r="D26" s="50">
        <v>2</v>
      </c>
      <c r="E26" s="50">
        <v>3</v>
      </c>
      <c r="F26" s="50">
        <v>5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2</v>
      </c>
      <c r="M26" s="50">
        <v>50</v>
      </c>
      <c r="N26" s="50">
        <v>0</v>
      </c>
      <c r="O26" s="15">
        <f t="shared" si="0"/>
        <v>28</v>
      </c>
      <c r="P26" s="15">
        <f t="shared" si="1"/>
        <v>78</v>
      </c>
      <c r="R26" s="28" t="s">
        <v>86</v>
      </c>
      <c r="S26" s="16">
        <f t="shared" ref="S26:AF26" si="18">SUM(S13:S18)</f>
        <v>214</v>
      </c>
      <c r="T26" s="16">
        <f t="shared" si="18"/>
        <v>31</v>
      </c>
      <c r="U26" s="16">
        <f t="shared" si="18"/>
        <v>48</v>
      </c>
      <c r="V26" s="16">
        <f t="shared" si="18"/>
        <v>54</v>
      </c>
      <c r="W26" s="16">
        <f t="shared" si="18"/>
        <v>1</v>
      </c>
      <c r="X26" s="16">
        <f t="shared" si="18"/>
        <v>0</v>
      </c>
      <c r="Y26" s="16">
        <f t="shared" si="18"/>
        <v>40</v>
      </c>
      <c r="Z26" s="16">
        <f t="shared" si="18"/>
        <v>27</v>
      </c>
      <c r="AA26" s="16">
        <f t="shared" si="18"/>
        <v>1</v>
      </c>
      <c r="AB26" s="16">
        <f t="shared" si="18"/>
        <v>8</v>
      </c>
      <c r="AC26" s="16">
        <f t="shared" si="18"/>
        <v>862</v>
      </c>
      <c r="AD26" s="16">
        <f t="shared" si="18"/>
        <v>0</v>
      </c>
      <c r="AE26" s="32">
        <f t="shared" si="18"/>
        <v>424</v>
      </c>
      <c r="AF26" s="32">
        <f t="shared" si="18"/>
        <v>1286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1</v>
      </c>
      <c r="F27" s="50">
        <v>2</v>
      </c>
      <c r="G27" s="50">
        <v>0</v>
      </c>
      <c r="H27" s="50">
        <v>0</v>
      </c>
      <c r="I27" s="50">
        <v>1</v>
      </c>
      <c r="J27" s="50">
        <v>1</v>
      </c>
      <c r="K27" s="50">
        <v>0</v>
      </c>
      <c r="L27" s="50">
        <v>0</v>
      </c>
      <c r="M27" s="50">
        <v>35</v>
      </c>
      <c r="N27" s="50">
        <v>0</v>
      </c>
      <c r="O27" s="15">
        <f t="shared" si="0"/>
        <v>11</v>
      </c>
      <c r="P27" s="15">
        <f t="shared" si="1"/>
        <v>46</v>
      </c>
      <c r="R27" s="29" t="s">
        <v>87</v>
      </c>
      <c r="S27" s="16">
        <f t="shared" ref="S27:AF27" si="19">SUM(S19:S21)</f>
        <v>137</v>
      </c>
      <c r="T27" s="16">
        <f t="shared" si="19"/>
        <v>31</v>
      </c>
      <c r="U27" s="16">
        <f t="shared" si="19"/>
        <v>34</v>
      </c>
      <c r="V27" s="16">
        <f t="shared" si="19"/>
        <v>24</v>
      </c>
      <c r="W27" s="16">
        <f t="shared" si="19"/>
        <v>0</v>
      </c>
      <c r="X27" s="16">
        <f t="shared" si="19"/>
        <v>0</v>
      </c>
      <c r="Y27" s="16">
        <f t="shared" si="19"/>
        <v>28</v>
      </c>
      <c r="Z27" s="16">
        <f t="shared" si="19"/>
        <v>19</v>
      </c>
      <c r="AA27" s="16">
        <f t="shared" si="19"/>
        <v>1</v>
      </c>
      <c r="AB27" s="16">
        <f t="shared" si="19"/>
        <v>1</v>
      </c>
      <c r="AC27" s="16">
        <f t="shared" si="19"/>
        <v>456</v>
      </c>
      <c r="AD27" s="16">
        <f t="shared" si="19"/>
        <v>0</v>
      </c>
      <c r="AE27" s="32">
        <f t="shared" si="19"/>
        <v>275</v>
      </c>
      <c r="AF27" s="32">
        <f t="shared" si="19"/>
        <v>731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4</v>
      </c>
      <c r="F28" s="50">
        <v>0</v>
      </c>
      <c r="G28" s="50">
        <v>0</v>
      </c>
      <c r="H28" s="50">
        <v>0</v>
      </c>
      <c r="I28" s="50">
        <v>1</v>
      </c>
      <c r="J28" s="50">
        <v>3</v>
      </c>
      <c r="K28" s="50">
        <v>0</v>
      </c>
      <c r="L28" s="50">
        <v>0</v>
      </c>
      <c r="M28" s="50">
        <v>58</v>
      </c>
      <c r="N28" s="50">
        <v>0</v>
      </c>
      <c r="O28" s="15">
        <f t="shared" si="0"/>
        <v>15</v>
      </c>
      <c r="P28" s="15">
        <f t="shared" si="1"/>
        <v>73</v>
      </c>
      <c r="R28" s="5" t="s">
        <v>17</v>
      </c>
      <c r="S28" s="16">
        <f t="shared" ref="S28:AF28" si="20">SUM(S10:S21)</f>
        <v>486</v>
      </c>
      <c r="T28" s="16">
        <f t="shared" si="20"/>
        <v>72</v>
      </c>
      <c r="U28" s="16">
        <f t="shared" si="20"/>
        <v>96</v>
      </c>
      <c r="V28" s="16">
        <f t="shared" si="20"/>
        <v>129</v>
      </c>
      <c r="W28" s="16">
        <f t="shared" si="20"/>
        <v>1</v>
      </c>
      <c r="X28" s="16">
        <f t="shared" si="20"/>
        <v>0</v>
      </c>
      <c r="Y28" s="16">
        <f t="shared" si="20"/>
        <v>82</v>
      </c>
      <c r="Z28" s="16">
        <f t="shared" si="20"/>
        <v>55</v>
      </c>
      <c r="AA28" s="16">
        <f t="shared" si="20"/>
        <v>3</v>
      </c>
      <c r="AB28" s="16">
        <f t="shared" si="20"/>
        <v>9</v>
      </c>
      <c r="AC28" s="16">
        <f t="shared" si="20"/>
        <v>1831</v>
      </c>
      <c r="AD28" s="16">
        <f t="shared" si="20"/>
        <v>0</v>
      </c>
      <c r="AE28" s="32">
        <f t="shared" si="20"/>
        <v>933</v>
      </c>
      <c r="AF28" s="32">
        <f t="shared" si="20"/>
        <v>2764</v>
      </c>
    </row>
    <row r="29" spans="2:32" ht="23.1" customHeight="1" x14ac:dyDescent="0.25">
      <c r="B29" s="23" t="s">
        <v>56</v>
      </c>
      <c r="C29" s="50">
        <v>11</v>
      </c>
      <c r="D29" s="50">
        <v>0</v>
      </c>
      <c r="E29" s="50">
        <v>0</v>
      </c>
      <c r="F29" s="50">
        <v>3</v>
      </c>
      <c r="G29" s="50">
        <v>0</v>
      </c>
      <c r="H29" s="50">
        <v>0</v>
      </c>
      <c r="I29" s="50">
        <v>0</v>
      </c>
      <c r="J29" s="50">
        <v>1</v>
      </c>
      <c r="K29" s="50">
        <v>0</v>
      </c>
      <c r="L29" s="50">
        <v>1</v>
      </c>
      <c r="M29" s="50">
        <v>37</v>
      </c>
      <c r="N29" s="50">
        <v>0</v>
      </c>
      <c r="O29" s="15">
        <f t="shared" si="0"/>
        <v>16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11</v>
      </c>
      <c r="D30" s="50">
        <v>3</v>
      </c>
      <c r="E30" s="50">
        <v>5</v>
      </c>
      <c r="F30" s="50">
        <v>3</v>
      </c>
      <c r="G30" s="50">
        <v>0</v>
      </c>
      <c r="H30" s="50">
        <v>0</v>
      </c>
      <c r="I30" s="50">
        <v>0</v>
      </c>
      <c r="J30" s="50">
        <v>1</v>
      </c>
      <c r="K30" s="50">
        <v>0</v>
      </c>
      <c r="L30" s="50">
        <v>0</v>
      </c>
      <c r="M30" s="50">
        <v>49</v>
      </c>
      <c r="N30" s="50">
        <v>0</v>
      </c>
      <c r="O30" s="15">
        <f t="shared" si="0"/>
        <v>23</v>
      </c>
      <c r="P30" s="15">
        <f t="shared" si="1"/>
        <v>72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0</v>
      </c>
      <c r="J31" s="50">
        <v>2</v>
      </c>
      <c r="K31" s="50">
        <v>0</v>
      </c>
      <c r="L31" s="50">
        <v>0</v>
      </c>
      <c r="M31" s="50">
        <v>47</v>
      </c>
      <c r="N31" s="50">
        <v>0</v>
      </c>
      <c r="O31" s="15">
        <f t="shared" si="0"/>
        <v>10</v>
      </c>
      <c r="P31" s="15">
        <f t="shared" si="1"/>
        <v>57</v>
      </c>
    </row>
    <row r="32" spans="2:32" ht="23.1" customHeight="1" x14ac:dyDescent="0.25">
      <c r="B32" s="24" t="s">
        <v>59</v>
      </c>
      <c r="C32" s="50">
        <v>10</v>
      </c>
      <c r="D32" s="50">
        <v>0</v>
      </c>
      <c r="E32" s="50">
        <v>1</v>
      </c>
      <c r="F32" s="50">
        <v>2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2</v>
      </c>
      <c r="M32" s="50">
        <v>38</v>
      </c>
      <c r="N32" s="50">
        <v>0</v>
      </c>
      <c r="O32" s="15">
        <f t="shared" si="0"/>
        <v>17</v>
      </c>
      <c r="P32" s="15">
        <f t="shared" si="1"/>
        <v>55</v>
      </c>
    </row>
    <row r="33" spans="2:20" ht="23.1" customHeight="1" x14ac:dyDescent="0.25">
      <c r="B33" s="23" t="s">
        <v>60</v>
      </c>
      <c r="C33" s="50">
        <v>8</v>
      </c>
      <c r="D33" s="50">
        <v>1</v>
      </c>
      <c r="E33" s="50">
        <v>2</v>
      </c>
      <c r="F33" s="50">
        <v>2</v>
      </c>
      <c r="G33" s="50">
        <v>1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33</v>
      </c>
      <c r="N33" s="50">
        <v>0</v>
      </c>
      <c r="O33" s="15">
        <f t="shared" si="0"/>
        <v>16</v>
      </c>
      <c r="P33" s="15">
        <f t="shared" si="1"/>
        <v>49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33</v>
      </c>
      <c r="N34" s="50">
        <v>0</v>
      </c>
      <c r="O34" s="15">
        <f t="shared" si="0"/>
        <v>14</v>
      </c>
      <c r="P34" s="15">
        <f t="shared" si="1"/>
        <v>47</v>
      </c>
    </row>
    <row r="35" spans="2:20" ht="23.1" customHeight="1" x14ac:dyDescent="0.25">
      <c r="B35" s="24" t="s">
        <v>62</v>
      </c>
      <c r="C35" s="50">
        <v>12</v>
      </c>
      <c r="D35" s="50">
        <v>1</v>
      </c>
      <c r="E35" s="50">
        <v>1</v>
      </c>
      <c r="F35" s="50">
        <v>1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25</v>
      </c>
      <c r="N35" s="50">
        <v>0</v>
      </c>
      <c r="O35" s="15">
        <f t="shared" si="0"/>
        <v>16</v>
      </c>
      <c r="P35" s="15">
        <f t="shared" si="1"/>
        <v>41</v>
      </c>
    </row>
    <row r="36" spans="2:20" ht="23.1" customHeight="1" x14ac:dyDescent="0.25">
      <c r="B36" s="24" t="s">
        <v>63</v>
      </c>
      <c r="C36" s="50">
        <v>8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3</v>
      </c>
      <c r="J36" s="50">
        <v>0</v>
      </c>
      <c r="K36" s="50">
        <v>0</v>
      </c>
      <c r="L36" s="50">
        <v>0</v>
      </c>
      <c r="M36" s="50">
        <v>20</v>
      </c>
      <c r="N36" s="50">
        <v>0</v>
      </c>
      <c r="O36" s="15">
        <f t="shared" si="0"/>
        <v>14</v>
      </c>
      <c r="P36" s="15">
        <f t="shared" si="1"/>
        <v>34</v>
      </c>
    </row>
    <row r="37" spans="2:20" ht="23.1" customHeight="1" x14ac:dyDescent="0.25">
      <c r="B37" s="23" t="s">
        <v>64</v>
      </c>
      <c r="C37" s="50">
        <v>16</v>
      </c>
      <c r="D37" s="50">
        <v>2</v>
      </c>
      <c r="E37" s="50">
        <v>2</v>
      </c>
      <c r="F37" s="50">
        <v>0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22</v>
      </c>
      <c r="P37" s="15">
        <f t="shared" si="1"/>
        <v>62</v>
      </c>
    </row>
    <row r="38" spans="2:20" ht="23.1" customHeight="1" x14ac:dyDescent="0.25">
      <c r="B38" s="24" t="s">
        <v>65</v>
      </c>
      <c r="C38" s="50">
        <v>5</v>
      </c>
      <c r="D38" s="50">
        <v>1</v>
      </c>
      <c r="E38" s="50">
        <v>1</v>
      </c>
      <c r="F38" s="50">
        <v>0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23</v>
      </c>
      <c r="N38" s="50">
        <v>0</v>
      </c>
      <c r="O38" s="15">
        <f t="shared" si="0"/>
        <v>8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12</v>
      </c>
      <c r="D39" s="50">
        <v>2</v>
      </c>
      <c r="E39" s="50">
        <v>3</v>
      </c>
      <c r="F39" s="50">
        <v>1</v>
      </c>
      <c r="G39" s="50">
        <v>0</v>
      </c>
      <c r="H39" s="50">
        <v>0</v>
      </c>
      <c r="I39" s="50">
        <v>3</v>
      </c>
      <c r="J39" s="50">
        <v>1</v>
      </c>
      <c r="K39" s="50">
        <v>0</v>
      </c>
      <c r="L39" s="50">
        <v>0</v>
      </c>
      <c r="M39" s="50">
        <v>27</v>
      </c>
      <c r="N39" s="50">
        <v>0</v>
      </c>
      <c r="O39" s="15">
        <f t="shared" si="0"/>
        <v>22</v>
      </c>
      <c r="P39" s="15">
        <f t="shared" si="1"/>
        <v>49</v>
      </c>
    </row>
    <row r="40" spans="2:20" ht="23.1" customHeight="1" x14ac:dyDescent="0.25">
      <c r="B40" s="24" t="s">
        <v>67</v>
      </c>
      <c r="C40" s="50">
        <v>7</v>
      </c>
      <c r="D40" s="50">
        <v>1</v>
      </c>
      <c r="E40" s="50">
        <v>2</v>
      </c>
      <c r="F40" s="50">
        <v>1</v>
      </c>
      <c r="G40" s="50">
        <v>0</v>
      </c>
      <c r="H40" s="50">
        <v>0</v>
      </c>
      <c r="I40" s="50">
        <v>2</v>
      </c>
      <c r="J40" s="50">
        <v>4</v>
      </c>
      <c r="K40" s="50">
        <v>0</v>
      </c>
      <c r="L40" s="50">
        <v>0</v>
      </c>
      <c r="M40" s="50">
        <v>34</v>
      </c>
      <c r="N40" s="50">
        <v>0</v>
      </c>
      <c r="O40" s="15">
        <f t="shared" si="0"/>
        <v>17</v>
      </c>
      <c r="P40" s="15">
        <f t="shared" si="1"/>
        <v>51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2</v>
      </c>
      <c r="F41" s="50">
        <v>3</v>
      </c>
      <c r="G41" s="50">
        <v>0</v>
      </c>
      <c r="H41" s="50">
        <v>0</v>
      </c>
      <c r="I41" s="50">
        <v>3</v>
      </c>
      <c r="J41" s="50">
        <v>0</v>
      </c>
      <c r="K41" s="50">
        <v>0</v>
      </c>
      <c r="L41" s="50">
        <v>0</v>
      </c>
      <c r="M41" s="50">
        <v>25</v>
      </c>
      <c r="N41" s="50">
        <v>0</v>
      </c>
      <c r="O41" s="15">
        <f t="shared" si="0"/>
        <v>12</v>
      </c>
      <c r="P41" s="15">
        <f t="shared" si="1"/>
        <v>37</v>
      </c>
    </row>
    <row r="42" spans="2:20" ht="23.1" customHeight="1" x14ac:dyDescent="0.25">
      <c r="B42" s="24" t="s">
        <v>69</v>
      </c>
      <c r="C42" s="50">
        <v>7</v>
      </c>
      <c r="D42" s="50">
        <v>1</v>
      </c>
      <c r="E42" s="50">
        <v>0</v>
      </c>
      <c r="F42" s="50">
        <v>2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3</v>
      </c>
      <c r="M42" s="50">
        <v>27</v>
      </c>
      <c r="N42" s="50">
        <v>0</v>
      </c>
      <c r="O42" s="15">
        <f t="shared" si="0"/>
        <v>15</v>
      </c>
      <c r="P42" s="15">
        <f t="shared" si="1"/>
        <v>42</v>
      </c>
    </row>
    <row r="43" spans="2:20" ht="23.1" customHeight="1" x14ac:dyDescent="0.25">
      <c r="B43" s="23" t="s">
        <v>70</v>
      </c>
      <c r="C43" s="50">
        <v>10</v>
      </c>
      <c r="D43" s="50">
        <v>3</v>
      </c>
      <c r="E43" s="50">
        <v>3</v>
      </c>
      <c r="F43" s="50">
        <v>4</v>
      </c>
      <c r="G43" s="50">
        <v>0</v>
      </c>
      <c r="H43" s="50">
        <v>0</v>
      </c>
      <c r="I43" s="50">
        <v>4</v>
      </c>
      <c r="J43" s="50">
        <v>2</v>
      </c>
      <c r="K43" s="50">
        <v>0</v>
      </c>
      <c r="L43" s="50">
        <v>0</v>
      </c>
      <c r="M43" s="50">
        <v>39</v>
      </c>
      <c r="N43" s="50">
        <v>0</v>
      </c>
      <c r="O43" s="15">
        <f t="shared" si="0"/>
        <v>26</v>
      </c>
      <c r="P43" s="15">
        <f t="shared" si="1"/>
        <v>65</v>
      </c>
    </row>
    <row r="44" spans="2:20" ht="23.1" customHeight="1" x14ac:dyDescent="0.25">
      <c r="B44" s="25" t="s">
        <v>71</v>
      </c>
      <c r="C44" s="50">
        <v>4</v>
      </c>
      <c r="D44" s="50">
        <v>4</v>
      </c>
      <c r="E44" s="50">
        <v>4</v>
      </c>
      <c r="F44" s="50">
        <v>2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0</v>
      </c>
      <c r="M44" s="50">
        <v>29</v>
      </c>
      <c r="N44" s="50">
        <v>0</v>
      </c>
      <c r="O44" s="15">
        <f t="shared" si="0"/>
        <v>18</v>
      </c>
      <c r="P44" s="15">
        <f t="shared" si="1"/>
        <v>47</v>
      </c>
    </row>
    <row r="45" spans="2:20" ht="23.1" customHeight="1" x14ac:dyDescent="0.25">
      <c r="B45" s="23" t="s">
        <v>72</v>
      </c>
      <c r="C45" s="50">
        <v>10</v>
      </c>
      <c r="D45" s="50">
        <v>2</v>
      </c>
      <c r="E45" s="50">
        <v>3</v>
      </c>
      <c r="F45" s="50">
        <v>0</v>
      </c>
      <c r="G45" s="50">
        <v>0</v>
      </c>
      <c r="H45" s="50">
        <v>0</v>
      </c>
      <c r="I45" s="50">
        <v>3</v>
      </c>
      <c r="J45" s="50">
        <v>4</v>
      </c>
      <c r="K45" s="50">
        <v>0</v>
      </c>
      <c r="L45" s="50">
        <v>0</v>
      </c>
      <c r="M45" s="50">
        <v>42</v>
      </c>
      <c r="N45" s="50">
        <v>0</v>
      </c>
      <c r="O45" s="15">
        <f t="shared" si="0"/>
        <v>22</v>
      </c>
      <c r="P45" s="15">
        <f t="shared" si="1"/>
        <v>64</v>
      </c>
    </row>
    <row r="46" spans="2:20" ht="23.1" customHeight="1" x14ac:dyDescent="0.25">
      <c r="B46" s="24" t="s">
        <v>73</v>
      </c>
      <c r="C46" s="50">
        <v>11</v>
      </c>
      <c r="D46" s="50">
        <v>0</v>
      </c>
      <c r="E46" s="50">
        <v>4</v>
      </c>
      <c r="F46" s="50">
        <v>2</v>
      </c>
      <c r="G46" s="50">
        <v>0</v>
      </c>
      <c r="H46" s="50">
        <v>0</v>
      </c>
      <c r="I46" s="50">
        <v>4</v>
      </c>
      <c r="J46" s="50">
        <v>2</v>
      </c>
      <c r="K46" s="50">
        <v>0</v>
      </c>
      <c r="L46" s="50">
        <v>0</v>
      </c>
      <c r="M46" s="50">
        <v>39</v>
      </c>
      <c r="N46" s="50">
        <v>0</v>
      </c>
      <c r="O46" s="15">
        <f t="shared" si="0"/>
        <v>23</v>
      </c>
      <c r="P46" s="15">
        <f t="shared" si="1"/>
        <v>62</v>
      </c>
      <c r="R46" s="8"/>
      <c r="T46"/>
    </row>
    <row r="47" spans="2:20" ht="23.1" customHeight="1" x14ac:dyDescent="0.25">
      <c r="B47" s="24" t="s">
        <v>74</v>
      </c>
      <c r="C47" s="50">
        <v>11</v>
      </c>
      <c r="D47" s="50">
        <v>3</v>
      </c>
      <c r="E47" s="50">
        <v>3</v>
      </c>
      <c r="F47" s="50">
        <v>4</v>
      </c>
      <c r="G47" s="50">
        <v>0</v>
      </c>
      <c r="H47" s="50">
        <v>0</v>
      </c>
      <c r="I47" s="50">
        <v>5</v>
      </c>
      <c r="J47" s="50">
        <v>1</v>
      </c>
      <c r="K47" s="50">
        <v>0</v>
      </c>
      <c r="L47" s="50">
        <v>0</v>
      </c>
      <c r="M47" s="50">
        <v>33</v>
      </c>
      <c r="N47" s="50">
        <v>0</v>
      </c>
      <c r="O47" s="15">
        <f t="shared" si="0"/>
        <v>27</v>
      </c>
      <c r="P47" s="15">
        <f t="shared" si="1"/>
        <v>60</v>
      </c>
      <c r="R47" s="8"/>
      <c r="T47"/>
    </row>
    <row r="48" spans="2:20" ht="23.1" customHeight="1" x14ac:dyDescent="0.25">
      <c r="B48" s="24" t="s">
        <v>75</v>
      </c>
      <c r="C48" s="50">
        <v>9</v>
      </c>
      <c r="D48" s="50">
        <v>3</v>
      </c>
      <c r="E48" s="50">
        <v>2</v>
      </c>
      <c r="F48" s="50">
        <v>0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24</v>
      </c>
      <c r="N48" s="50">
        <v>0</v>
      </c>
      <c r="O48" s="15">
        <f t="shared" si="0"/>
        <v>18</v>
      </c>
      <c r="P48" s="15">
        <f t="shared" si="1"/>
        <v>42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2</v>
      </c>
      <c r="E49" s="50">
        <v>2</v>
      </c>
      <c r="F49" s="50">
        <v>4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37</v>
      </c>
      <c r="N49" s="50">
        <v>0</v>
      </c>
      <c r="O49" s="15">
        <f t="shared" si="0"/>
        <v>16</v>
      </c>
      <c r="P49" s="15">
        <f t="shared" si="1"/>
        <v>53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0</v>
      </c>
      <c r="E50" s="50">
        <v>3</v>
      </c>
      <c r="F50" s="50">
        <v>3</v>
      </c>
      <c r="G50" s="50">
        <v>0</v>
      </c>
      <c r="H50" s="50">
        <v>0</v>
      </c>
      <c r="I50" s="50">
        <v>0</v>
      </c>
      <c r="J50" s="50">
        <v>0</v>
      </c>
      <c r="K50" s="50">
        <v>0</v>
      </c>
      <c r="L50" s="50">
        <v>0</v>
      </c>
      <c r="M50" s="50">
        <v>31</v>
      </c>
      <c r="N50" s="50">
        <v>0</v>
      </c>
      <c r="O50" s="15">
        <f t="shared" si="0"/>
        <v>12</v>
      </c>
      <c r="P50" s="15">
        <f t="shared" si="1"/>
        <v>43</v>
      </c>
      <c r="R50" s="8"/>
      <c r="T50"/>
    </row>
    <row r="51" spans="2:20" ht="23.1" customHeight="1" x14ac:dyDescent="0.25">
      <c r="B51" s="24" t="s">
        <v>78</v>
      </c>
      <c r="C51" s="50">
        <v>10</v>
      </c>
      <c r="D51" s="50">
        <v>3</v>
      </c>
      <c r="E51" s="50">
        <v>4</v>
      </c>
      <c r="F51" s="50">
        <v>1</v>
      </c>
      <c r="G51" s="50">
        <v>0</v>
      </c>
      <c r="H51" s="50">
        <v>0</v>
      </c>
      <c r="I51" s="50">
        <v>1</v>
      </c>
      <c r="J51" s="50">
        <v>6</v>
      </c>
      <c r="K51" s="50">
        <v>0</v>
      </c>
      <c r="L51" s="50">
        <v>0</v>
      </c>
      <c r="M51" s="50">
        <v>44</v>
      </c>
      <c r="N51" s="50">
        <v>0</v>
      </c>
      <c r="O51" s="15">
        <f t="shared" si="0"/>
        <v>25</v>
      </c>
      <c r="P51" s="15">
        <f t="shared" si="1"/>
        <v>69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2</v>
      </c>
      <c r="E52" s="50">
        <v>3</v>
      </c>
      <c r="F52" s="50">
        <v>2</v>
      </c>
      <c r="G52" s="50">
        <v>0</v>
      </c>
      <c r="H52" s="50">
        <v>0</v>
      </c>
      <c r="I52" s="50">
        <v>1</v>
      </c>
      <c r="J52" s="50">
        <v>3</v>
      </c>
      <c r="K52" s="50">
        <v>0</v>
      </c>
      <c r="L52" s="50">
        <v>1</v>
      </c>
      <c r="M52" s="50">
        <v>50</v>
      </c>
      <c r="N52" s="50">
        <v>0</v>
      </c>
      <c r="O52" s="15">
        <f t="shared" si="0"/>
        <v>20</v>
      </c>
      <c r="P52" s="15">
        <f t="shared" si="1"/>
        <v>70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3</v>
      </c>
      <c r="E53" s="50">
        <v>1</v>
      </c>
      <c r="F53" s="50">
        <v>1</v>
      </c>
      <c r="G53" s="50">
        <v>0</v>
      </c>
      <c r="H53" s="50">
        <v>0</v>
      </c>
      <c r="I53" s="50">
        <v>3</v>
      </c>
      <c r="J53" s="50">
        <v>1</v>
      </c>
      <c r="K53" s="50">
        <v>0</v>
      </c>
      <c r="L53" s="50">
        <v>0</v>
      </c>
      <c r="M53" s="50">
        <v>40</v>
      </c>
      <c r="N53" s="50">
        <v>0</v>
      </c>
      <c r="O53" s="15">
        <f t="shared" si="0"/>
        <v>15</v>
      </c>
      <c r="P53" s="15">
        <f t="shared" si="1"/>
        <v>55</v>
      </c>
      <c r="R53" s="8"/>
      <c r="T53"/>
    </row>
    <row r="54" spans="2:20" ht="23.1" customHeight="1" x14ac:dyDescent="0.25">
      <c r="B54" s="23" t="s">
        <v>81</v>
      </c>
      <c r="C54" s="50">
        <v>21</v>
      </c>
      <c r="D54" s="50">
        <v>3</v>
      </c>
      <c r="E54" s="50">
        <v>2</v>
      </c>
      <c r="F54" s="50">
        <v>3</v>
      </c>
      <c r="G54" s="50">
        <v>0</v>
      </c>
      <c r="H54" s="50">
        <v>0</v>
      </c>
      <c r="I54" s="50">
        <v>2</v>
      </c>
      <c r="J54" s="50">
        <v>2</v>
      </c>
      <c r="K54" s="50">
        <v>0</v>
      </c>
      <c r="L54" s="50">
        <v>0</v>
      </c>
      <c r="M54" s="50">
        <v>47</v>
      </c>
      <c r="N54" s="50">
        <v>0</v>
      </c>
      <c r="O54" s="15">
        <f t="shared" si="0"/>
        <v>33</v>
      </c>
      <c r="P54" s="15">
        <f t="shared" si="1"/>
        <v>80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9</v>
      </c>
      <c r="E55" s="50">
        <v>4</v>
      </c>
      <c r="F55" s="50">
        <v>2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27</v>
      </c>
      <c r="N55" s="50">
        <v>0</v>
      </c>
      <c r="O55" s="15">
        <f t="shared" si="0"/>
        <v>34</v>
      </c>
      <c r="P55" s="15">
        <f t="shared" si="1"/>
        <v>61</v>
      </c>
      <c r="R55" s="8"/>
      <c r="T55"/>
    </row>
    <row r="56" spans="2:20" ht="23.1" customHeight="1" x14ac:dyDescent="0.25">
      <c r="B56" s="23" t="s">
        <v>83</v>
      </c>
      <c r="C56" s="50">
        <v>18</v>
      </c>
      <c r="D56" s="50">
        <v>1</v>
      </c>
      <c r="E56" s="50">
        <v>3</v>
      </c>
      <c r="F56" s="50">
        <v>0</v>
      </c>
      <c r="G56" s="50">
        <v>0</v>
      </c>
      <c r="H56" s="50">
        <v>0</v>
      </c>
      <c r="I56" s="50">
        <v>2</v>
      </c>
      <c r="J56" s="50">
        <v>0</v>
      </c>
      <c r="K56" s="50">
        <v>1</v>
      </c>
      <c r="L56" s="50">
        <v>0</v>
      </c>
      <c r="M56" s="50">
        <v>45</v>
      </c>
      <c r="N56" s="50">
        <v>0</v>
      </c>
      <c r="O56" s="15">
        <f t="shared" si="0"/>
        <v>25</v>
      </c>
      <c r="P56" s="15">
        <f t="shared" si="1"/>
        <v>70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2</v>
      </c>
      <c r="E57" s="50">
        <v>3</v>
      </c>
      <c r="F57" s="50">
        <v>2</v>
      </c>
      <c r="G57" s="50">
        <v>0</v>
      </c>
      <c r="H57" s="50">
        <v>0</v>
      </c>
      <c r="I57" s="50">
        <v>3</v>
      </c>
      <c r="J57" s="50">
        <v>3</v>
      </c>
      <c r="K57" s="50">
        <v>0</v>
      </c>
      <c r="L57" s="50">
        <v>0</v>
      </c>
      <c r="M57" s="50">
        <v>39</v>
      </c>
      <c r="N57" s="50">
        <v>0</v>
      </c>
      <c r="O57" s="15">
        <f t="shared" si="0"/>
        <v>27</v>
      </c>
      <c r="P57" s="15">
        <f t="shared" si="1"/>
        <v>66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486</v>
      </c>
      <c r="D58" s="16">
        <f t="shared" si="21"/>
        <v>72</v>
      </c>
      <c r="E58" s="16">
        <f t="shared" si="21"/>
        <v>96</v>
      </c>
      <c r="F58" s="16">
        <f t="shared" si="21"/>
        <v>129</v>
      </c>
      <c r="G58" s="16">
        <f t="shared" si="21"/>
        <v>1</v>
      </c>
      <c r="H58" s="16">
        <f t="shared" si="21"/>
        <v>0</v>
      </c>
      <c r="I58" s="16">
        <f t="shared" si="21"/>
        <v>82</v>
      </c>
      <c r="J58" s="16">
        <f t="shared" si="21"/>
        <v>55</v>
      </c>
      <c r="K58" s="16">
        <f t="shared" si="21"/>
        <v>3</v>
      </c>
      <c r="L58" s="16">
        <f t="shared" si="21"/>
        <v>9</v>
      </c>
      <c r="M58" s="16">
        <f t="shared" si="21"/>
        <v>1831</v>
      </c>
      <c r="N58" s="16">
        <f t="shared" si="21"/>
        <v>0</v>
      </c>
      <c r="O58" s="16">
        <f t="shared" si="21"/>
        <v>933</v>
      </c>
      <c r="P58" s="16">
        <f t="shared" si="21"/>
        <v>2764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0.17583212735166426</v>
      </c>
      <c r="D59" s="43">
        <f t="shared" si="22"/>
        <v>2.6049204052098408E-2</v>
      </c>
      <c r="E59" s="43">
        <f t="shared" si="22"/>
        <v>3.4732272069464547E-2</v>
      </c>
      <c r="F59" s="43">
        <f t="shared" si="22"/>
        <v>4.6671490593342982E-2</v>
      </c>
      <c r="G59" s="43">
        <f t="shared" si="22"/>
        <v>3.6179450072358897E-4</v>
      </c>
      <c r="H59" s="43">
        <f t="shared" si="22"/>
        <v>0</v>
      </c>
      <c r="I59" s="43">
        <f t="shared" si="22"/>
        <v>2.9667149059334298E-2</v>
      </c>
      <c r="J59" s="43">
        <f t="shared" si="22"/>
        <v>1.9898697539797394E-2</v>
      </c>
      <c r="K59" s="43">
        <f t="shared" si="22"/>
        <v>1.0853835021707671E-3</v>
      </c>
      <c r="L59" s="43">
        <f t="shared" si="22"/>
        <v>3.256150506512301E-3</v>
      </c>
      <c r="M59" s="43">
        <f t="shared" si="22"/>
        <v>0.66244573082489144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0.52090032154340837</v>
      </c>
      <c r="D60" s="44">
        <f t="shared" ref="D60:N60" si="23">D58/$O$58</f>
        <v>7.7170418006430874E-2</v>
      </c>
      <c r="E60" s="44">
        <f t="shared" si="23"/>
        <v>0.10289389067524116</v>
      </c>
      <c r="F60" s="44">
        <f t="shared" si="23"/>
        <v>0.13826366559485531</v>
      </c>
      <c r="G60" s="44">
        <f t="shared" si="23"/>
        <v>1.0718113612004287E-3</v>
      </c>
      <c r="H60" s="44">
        <f t="shared" si="23"/>
        <v>0</v>
      </c>
      <c r="I60" s="44">
        <f t="shared" si="23"/>
        <v>8.7888531618435156E-2</v>
      </c>
      <c r="J60" s="44">
        <f t="shared" si="23"/>
        <v>5.8949624866023578E-2</v>
      </c>
      <c r="K60" s="44">
        <f t="shared" si="23"/>
        <v>3.2154340836012861E-3</v>
      </c>
      <c r="L60" s="44">
        <f t="shared" si="23"/>
        <v>9.6463022508038593E-3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zoomScale="60" workbookViewId="0">
      <selection activeCell="M7" sqref="M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Mbarara-Isingiro'!C3:G3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'30.10 Isingiro-Mbarara'!D5</f>
        <v>30.10 2019</v>
      </c>
      <c r="E5" s="3"/>
      <c r="F5" s="41" t="s">
        <v>1</v>
      </c>
      <c r="G5" s="55" t="str">
        <f>'30.10 Isingiro-Mbarara'!G5:H5</f>
        <v>KASENYI</v>
      </c>
      <c r="H5" s="56"/>
      <c r="I5" s="14"/>
      <c r="J5" s="2" t="s">
        <v>5</v>
      </c>
      <c r="K5" s="55" t="s">
        <v>169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'30.10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0</v>
      </c>
      <c r="E10" s="50">
        <v>0</v>
      </c>
      <c r="F10" s="50">
        <v>3</v>
      </c>
      <c r="G10" s="50">
        <v>0</v>
      </c>
      <c r="H10" s="50">
        <v>0</v>
      </c>
      <c r="I10" s="50">
        <v>1</v>
      </c>
      <c r="J10" s="50">
        <v>3</v>
      </c>
      <c r="K10" s="50">
        <v>0</v>
      </c>
      <c r="L10" s="50">
        <v>0</v>
      </c>
      <c r="M10" s="50">
        <v>38</v>
      </c>
      <c r="N10" s="50">
        <v>0</v>
      </c>
      <c r="O10" s="15">
        <f t="shared" ref="O10:O57" si="0">SUM(C10:L10,N10)</f>
        <v>17</v>
      </c>
      <c r="P10" s="15">
        <f t="shared" ref="P10:P57" si="1">SUM(C10:N10)</f>
        <v>55</v>
      </c>
      <c r="R10" s="1" t="s">
        <v>6</v>
      </c>
      <c r="S10" s="17">
        <f t="shared" ref="S10:AF10" si="2">SUM(C10:C13)</f>
        <v>36</v>
      </c>
      <c r="T10" s="17">
        <f t="shared" si="2"/>
        <v>5</v>
      </c>
      <c r="U10" s="17">
        <f t="shared" si="2"/>
        <v>4</v>
      </c>
      <c r="V10" s="17">
        <f t="shared" si="2"/>
        <v>7</v>
      </c>
      <c r="W10" s="17">
        <f t="shared" si="2"/>
        <v>0</v>
      </c>
      <c r="X10" s="17">
        <f t="shared" si="2"/>
        <v>0</v>
      </c>
      <c r="Y10" s="17">
        <f t="shared" si="2"/>
        <v>4</v>
      </c>
      <c r="Z10" s="17">
        <f t="shared" si="2"/>
        <v>8</v>
      </c>
      <c r="AA10" s="17">
        <f t="shared" si="2"/>
        <v>0</v>
      </c>
      <c r="AB10" s="17">
        <f t="shared" si="2"/>
        <v>0</v>
      </c>
      <c r="AC10" s="17">
        <f t="shared" si="2"/>
        <v>144</v>
      </c>
      <c r="AD10" s="17">
        <f t="shared" si="2"/>
        <v>0</v>
      </c>
      <c r="AE10" s="31">
        <f t="shared" si="2"/>
        <v>64</v>
      </c>
      <c r="AF10" s="31">
        <f t="shared" si="2"/>
        <v>208</v>
      </c>
    </row>
    <row r="11" spans="2:32" s="6" customFormat="1" ht="23.1" customHeight="1" x14ac:dyDescent="0.25">
      <c r="B11" s="23" t="s">
        <v>38</v>
      </c>
      <c r="C11" s="50">
        <v>9</v>
      </c>
      <c r="D11" s="50">
        <v>1</v>
      </c>
      <c r="E11" s="50">
        <v>1</v>
      </c>
      <c r="F11" s="50">
        <v>1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36</v>
      </c>
      <c r="N11" s="50">
        <v>0</v>
      </c>
      <c r="O11" s="15">
        <f t="shared" si="0"/>
        <v>15</v>
      </c>
      <c r="P11" s="15">
        <f t="shared" si="1"/>
        <v>51</v>
      </c>
      <c r="R11" s="1" t="s">
        <v>7</v>
      </c>
      <c r="S11" s="17">
        <f t="shared" ref="S11:AF11" si="3">SUM(C14:C17)</f>
        <v>29</v>
      </c>
      <c r="T11" s="17">
        <f t="shared" si="3"/>
        <v>16</v>
      </c>
      <c r="U11" s="17">
        <f t="shared" si="3"/>
        <v>15</v>
      </c>
      <c r="V11" s="17">
        <f t="shared" si="3"/>
        <v>7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12</v>
      </c>
      <c r="AA11" s="17">
        <f t="shared" si="3"/>
        <v>0</v>
      </c>
      <c r="AB11" s="17">
        <f t="shared" si="3"/>
        <v>0</v>
      </c>
      <c r="AC11" s="17">
        <f t="shared" si="3"/>
        <v>126</v>
      </c>
      <c r="AD11" s="17">
        <f t="shared" si="3"/>
        <v>0</v>
      </c>
      <c r="AE11" s="31">
        <f t="shared" si="3"/>
        <v>81</v>
      </c>
      <c r="AF11" s="31">
        <f t="shared" si="3"/>
        <v>207</v>
      </c>
    </row>
    <row r="12" spans="2:32" ht="23.1" customHeight="1" x14ac:dyDescent="0.25">
      <c r="B12" s="23" t="s">
        <v>39</v>
      </c>
      <c r="C12" s="50">
        <v>10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1</v>
      </c>
      <c r="J12" s="50">
        <v>1</v>
      </c>
      <c r="K12" s="50">
        <v>0</v>
      </c>
      <c r="L12" s="50">
        <v>0</v>
      </c>
      <c r="M12" s="50">
        <v>38</v>
      </c>
      <c r="N12" s="50">
        <v>0</v>
      </c>
      <c r="O12" s="15">
        <f t="shared" si="0"/>
        <v>14</v>
      </c>
      <c r="P12" s="15">
        <f t="shared" si="1"/>
        <v>52</v>
      </c>
      <c r="R12" s="1" t="s">
        <v>8</v>
      </c>
      <c r="S12" s="17">
        <f t="shared" ref="S12:AF12" si="4">SUM(C18:C21)</f>
        <v>31</v>
      </c>
      <c r="T12" s="17">
        <f t="shared" si="4"/>
        <v>9</v>
      </c>
      <c r="U12" s="17">
        <f t="shared" si="4"/>
        <v>9</v>
      </c>
      <c r="V12" s="17">
        <f t="shared" si="4"/>
        <v>8</v>
      </c>
      <c r="W12" s="17">
        <f t="shared" si="4"/>
        <v>0</v>
      </c>
      <c r="X12" s="17">
        <f t="shared" si="4"/>
        <v>0</v>
      </c>
      <c r="Y12" s="17">
        <f t="shared" si="4"/>
        <v>11</v>
      </c>
      <c r="Z12" s="17">
        <f t="shared" si="4"/>
        <v>7</v>
      </c>
      <c r="AA12" s="17">
        <f t="shared" si="4"/>
        <v>1</v>
      </c>
      <c r="AB12" s="17">
        <f t="shared" si="4"/>
        <v>1</v>
      </c>
      <c r="AC12" s="17">
        <f t="shared" si="4"/>
        <v>80</v>
      </c>
      <c r="AD12" s="17">
        <f t="shared" si="4"/>
        <v>0</v>
      </c>
      <c r="AE12" s="31">
        <f t="shared" si="4"/>
        <v>77</v>
      </c>
      <c r="AF12" s="31">
        <f t="shared" si="4"/>
        <v>157</v>
      </c>
    </row>
    <row r="13" spans="2:32" ht="23.1" customHeight="1" x14ac:dyDescent="0.25">
      <c r="B13" s="23" t="s">
        <v>40</v>
      </c>
      <c r="C13" s="50">
        <v>7</v>
      </c>
      <c r="D13" s="50">
        <v>4</v>
      </c>
      <c r="E13" s="50">
        <v>3</v>
      </c>
      <c r="F13" s="50">
        <v>1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32</v>
      </c>
      <c r="N13" s="50">
        <v>0</v>
      </c>
      <c r="O13" s="15">
        <f t="shared" si="0"/>
        <v>18</v>
      </c>
      <c r="P13" s="15">
        <f t="shared" si="1"/>
        <v>50</v>
      </c>
      <c r="R13" s="1" t="s">
        <v>9</v>
      </c>
      <c r="S13" s="17">
        <f t="shared" ref="S13:AF13" si="5">SUM(C22:C25)</f>
        <v>44</v>
      </c>
      <c r="T13" s="17">
        <f t="shared" si="5"/>
        <v>10</v>
      </c>
      <c r="U13" s="17">
        <f t="shared" si="5"/>
        <v>6</v>
      </c>
      <c r="V13" s="17">
        <f t="shared" si="5"/>
        <v>8</v>
      </c>
      <c r="W13" s="17">
        <f t="shared" si="5"/>
        <v>1</v>
      </c>
      <c r="X13" s="17">
        <f t="shared" si="5"/>
        <v>0</v>
      </c>
      <c r="Y13" s="17">
        <f t="shared" si="5"/>
        <v>9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123</v>
      </c>
      <c r="AD13" s="17">
        <f t="shared" si="5"/>
        <v>0</v>
      </c>
      <c r="AE13" s="31">
        <f t="shared" si="5"/>
        <v>86</v>
      </c>
      <c r="AF13" s="31">
        <f t="shared" si="5"/>
        <v>209</v>
      </c>
    </row>
    <row r="14" spans="2:32" ht="23.1" customHeight="1" x14ac:dyDescent="0.25">
      <c r="B14" s="23" t="s">
        <v>41</v>
      </c>
      <c r="C14" s="50">
        <v>11</v>
      </c>
      <c r="D14" s="50">
        <v>3</v>
      </c>
      <c r="E14" s="50">
        <v>6</v>
      </c>
      <c r="F14" s="50">
        <v>2</v>
      </c>
      <c r="G14" s="50">
        <v>1</v>
      </c>
      <c r="H14" s="50">
        <v>0</v>
      </c>
      <c r="I14" s="50">
        <v>0</v>
      </c>
      <c r="J14" s="50">
        <v>3</v>
      </c>
      <c r="K14" s="50">
        <v>0</v>
      </c>
      <c r="L14" s="50">
        <v>0</v>
      </c>
      <c r="M14" s="50">
        <v>41</v>
      </c>
      <c r="N14" s="50">
        <v>0</v>
      </c>
      <c r="O14" s="15">
        <f t="shared" si="0"/>
        <v>26</v>
      </c>
      <c r="P14" s="15">
        <f t="shared" si="1"/>
        <v>67</v>
      </c>
      <c r="R14" s="1" t="s">
        <v>10</v>
      </c>
      <c r="S14" s="17">
        <f t="shared" ref="S14:AF14" si="6">SUM(C26:C29)</f>
        <v>39</v>
      </c>
      <c r="T14" s="17">
        <f t="shared" si="6"/>
        <v>6</v>
      </c>
      <c r="U14" s="17">
        <f t="shared" si="6"/>
        <v>13</v>
      </c>
      <c r="V14" s="17">
        <f t="shared" si="6"/>
        <v>10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156</v>
      </c>
      <c r="AD14" s="17">
        <f t="shared" si="6"/>
        <v>0</v>
      </c>
      <c r="AE14" s="31">
        <f t="shared" si="6"/>
        <v>88</v>
      </c>
      <c r="AF14" s="31">
        <f t="shared" si="6"/>
        <v>244</v>
      </c>
    </row>
    <row r="15" spans="2:32" ht="23.1" customHeight="1" x14ac:dyDescent="0.25">
      <c r="B15" s="23" t="s">
        <v>42</v>
      </c>
      <c r="C15" s="50">
        <v>4</v>
      </c>
      <c r="D15" s="50">
        <v>3</v>
      </c>
      <c r="E15" s="50">
        <v>4</v>
      </c>
      <c r="F15" s="50">
        <v>2</v>
      </c>
      <c r="G15" s="50">
        <v>0</v>
      </c>
      <c r="H15" s="50">
        <v>0</v>
      </c>
      <c r="I15" s="50">
        <v>0</v>
      </c>
      <c r="J15" s="50">
        <v>3</v>
      </c>
      <c r="K15" s="50">
        <v>0</v>
      </c>
      <c r="L15" s="50">
        <v>0</v>
      </c>
      <c r="M15" s="50">
        <v>24</v>
      </c>
      <c r="N15" s="50">
        <v>0</v>
      </c>
      <c r="O15" s="15">
        <f t="shared" si="0"/>
        <v>16</v>
      </c>
      <c r="P15" s="15">
        <f t="shared" si="1"/>
        <v>40</v>
      </c>
      <c r="R15" s="1" t="s">
        <v>11</v>
      </c>
      <c r="S15" s="17">
        <f t="shared" ref="S15:AF15" si="7">SUM(C30:C33)</f>
        <v>23</v>
      </c>
      <c r="T15" s="17">
        <f t="shared" si="7"/>
        <v>10</v>
      </c>
      <c r="U15" s="17">
        <f t="shared" si="7"/>
        <v>3</v>
      </c>
      <c r="V15" s="17">
        <f t="shared" si="7"/>
        <v>18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12</v>
      </c>
      <c r="AA15" s="17">
        <f t="shared" si="7"/>
        <v>2</v>
      </c>
      <c r="AB15" s="17">
        <f t="shared" si="7"/>
        <v>0</v>
      </c>
      <c r="AC15" s="17">
        <f t="shared" si="7"/>
        <v>147</v>
      </c>
      <c r="AD15" s="17">
        <f t="shared" si="7"/>
        <v>0</v>
      </c>
      <c r="AE15" s="31">
        <f t="shared" si="7"/>
        <v>73</v>
      </c>
      <c r="AF15" s="31">
        <f t="shared" si="7"/>
        <v>220</v>
      </c>
    </row>
    <row r="16" spans="2:32" ht="23.1" customHeight="1" x14ac:dyDescent="0.25">
      <c r="B16" s="23" t="s">
        <v>43</v>
      </c>
      <c r="C16" s="50">
        <v>7</v>
      </c>
      <c r="D16" s="50">
        <v>7</v>
      </c>
      <c r="E16" s="50">
        <v>2</v>
      </c>
      <c r="F16" s="50">
        <v>3</v>
      </c>
      <c r="G16" s="50">
        <v>0</v>
      </c>
      <c r="H16" s="50">
        <v>0</v>
      </c>
      <c r="I16" s="50">
        <v>0</v>
      </c>
      <c r="J16" s="50">
        <v>3</v>
      </c>
      <c r="K16" s="50">
        <v>0</v>
      </c>
      <c r="L16" s="50">
        <v>0</v>
      </c>
      <c r="M16" s="50">
        <v>28</v>
      </c>
      <c r="N16" s="50">
        <v>0</v>
      </c>
      <c r="O16" s="15">
        <f t="shared" si="0"/>
        <v>22</v>
      </c>
      <c r="P16" s="15">
        <f t="shared" si="1"/>
        <v>50</v>
      </c>
      <c r="R16" s="1" t="s">
        <v>12</v>
      </c>
      <c r="S16" s="17">
        <f t="shared" ref="S16:AF16" si="8">SUM(C34:C37)</f>
        <v>35</v>
      </c>
      <c r="T16" s="17">
        <f t="shared" si="8"/>
        <v>6</v>
      </c>
      <c r="U16" s="17">
        <f t="shared" si="8"/>
        <v>9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8</v>
      </c>
      <c r="AA16" s="17">
        <f t="shared" si="8"/>
        <v>0</v>
      </c>
      <c r="AB16" s="17">
        <f t="shared" si="8"/>
        <v>0</v>
      </c>
      <c r="AC16" s="17">
        <f t="shared" si="8"/>
        <v>142</v>
      </c>
      <c r="AD16" s="17">
        <f t="shared" si="8"/>
        <v>0</v>
      </c>
      <c r="AE16" s="31">
        <f t="shared" si="8"/>
        <v>77</v>
      </c>
      <c r="AF16" s="31">
        <f t="shared" si="8"/>
        <v>219</v>
      </c>
    </row>
    <row r="17" spans="2:32" ht="23.1" customHeight="1" x14ac:dyDescent="0.25">
      <c r="B17" s="23" t="s">
        <v>44</v>
      </c>
      <c r="C17" s="50">
        <v>7</v>
      </c>
      <c r="D17" s="50">
        <v>3</v>
      </c>
      <c r="E17" s="50">
        <v>3</v>
      </c>
      <c r="F17" s="50">
        <v>0</v>
      </c>
      <c r="G17" s="50">
        <v>0</v>
      </c>
      <c r="H17" s="50">
        <v>0</v>
      </c>
      <c r="I17" s="50">
        <v>1</v>
      </c>
      <c r="J17" s="50">
        <v>3</v>
      </c>
      <c r="K17" s="50">
        <v>0</v>
      </c>
      <c r="L17" s="50">
        <v>0</v>
      </c>
      <c r="M17" s="50">
        <v>33</v>
      </c>
      <c r="N17" s="50">
        <v>0</v>
      </c>
      <c r="O17" s="15">
        <f t="shared" si="0"/>
        <v>17</v>
      </c>
      <c r="P17" s="15">
        <f t="shared" si="1"/>
        <v>50</v>
      </c>
      <c r="R17" s="1" t="s">
        <v>13</v>
      </c>
      <c r="S17" s="17">
        <f t="shared" ref="S17:AF17" si="9">SUM(C38:C41)</f>
        <v>26</v>
      </c>
      <c r="T17" s="17">
        <f t="shared" si="9"/>
        <v>12</v>
      </c>
      <c r="U17" s="17">
        <f t="shared" si="9"/>
        <v>4</v>
      </c>
      <c r="V17" s="17">
        <f t="shared" si="9"/>
        <v>13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5</v>
      </c>
      <c r="AA17" s="17">
        <f t="shared" si="9"/>
        <v>0</v>
      </c>
      <c r="AB17" s="17">
        <f t="shared" si="9"/>
        <v>0</v>
      </c>
      <c r="AC17" s="17">
        <f t="shared" si="9"/>
        <v>132</v>
      </c>
      <c r="AD17" s="17">
        <f t="shared" si="9"/>
        <v>0</v>
      </c>
      <c r="AE17" s="31">
        <f t="shared" si="9"/>
        <v>66</v>
      </c>
      <c r="AF17" s="31">
        <f t="shared" si="9"/>
        <v>198</v>
      </c>
    </row>
    <row r="18" spans="2:32" ht="23.1" customHeight="1" x14ac:dyDescent="0.25">
      <c r="B18" s="23" t="s">
        <v>45</v>
      </c>
      <c r="C18" s="50">
        <v>6</v>
      </c>
      <c r="D18" s="50">
        <v>3</v>
      </c>
      <c r="E18" s="50">
        <v>4</v>
      </c>
      <c r="F18" s="50">
        <v>1</v>
      </c>
      <c r="G18" s="50">
        <v>0</v>
      </c>
      <c r="H18" s="50">
        <v>0</v>
      </c>
      <c r="I18" s="50">
        <v>5</v>
      </c>
      <c r="J18" s="50">
        <v>2</v>
      </c>
      <c r="K18" s="50">
        <v>0</v>
      </c>
      <c r="L18" s="50">
        <v>1</v>
      </c>
      <c r="M18" s="50">
        <v>26</v>
      </c>
      <c r="N18" s="50">
        <v>0</v>
      </c>
      <c r="O18" s="15">
        <f t="shared" si="0"/>
        <v>22</v>
      </c>
      <c r="P18" s="15">
        <f t="shared" si="1"/>
        <v>48</v>
      </c>
      <c r="R18" s="1" t="s">
        <v>14</v>
      </c>
      <c r="S18" s="17">
        <f t="shared" ref="S18:AF18" si="10">SUM(C42:C45)</f>
        <v>31</v>
      </c>
      <c r="T18" s="17">
        <f t="shared" si="10"/>
        <v>4</v>
      </c>
      <c r="U18" s="17">
        <f t="shared" si="10"/>
        <v>6</v>
      </c>
      <c r="V18" s="17">
        <f t="shared" si="10"/>
        <v>10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6</v>
      </c>
      <c r="AA18" s="17">
        <f t="shared" si="10"/>
        <v>1</v>
      </c>
      <c r="AB18" s="17">
        <f t="shared" si="10"/>
        <v>1</v>
      </c>
      <c r="AC18" s="17">
        <f t="shared" si="10"/>
        <v>131</v>
      </c>
      <c r="AD18" s="17">
        <f t="shared" si="10"/>
        <v>0</v>
      </c>
      <c r="AE18" s="31">
        <f t="shared" si="10"/>
        <v>62</v>
      </c>
      <c r="AF18" s="31">
        <f t="shared" si="10"/>
        <v>193</v>
      </c>
    </row>
    <row r="19" spans="2:32" ht="23.1" customHeight="1" x14ac:dyDescent="0.25">
      <c r="B19" s="23" t="s">
        <v>46</v>
      </c>
      <c r="C19" s="50">
        <v>8</v>
      </c>
      <c r="D19" s="50">
        <v>1</v>
      </c>
      <c r="E19" s="50">
        <v>2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17</v>
      </c>
      <c r="N19" s="50">
        <v>0</v>
      </c>
      <c r="O19" s="15">
        <f t="shared" si="0"/>
        <v>15</v>
      </c>
      <c r="P19" s="15">
        <f t="shared" si="1"/>
        <v>32</v>
      </c>
      <c r="R19" s="1" t="s">
        <v>15</v>
      </c>
      <c r="S19" s="17">
        <f t="shared" ref="S19:AF19" si="11">SUM(C46:C49)</f>
        <v>30</v>
      </c>
      <c r="T19" s="17">
        <f t="shared" si="11"/>
        <v>8</v>
      </c>
      <c r="U19" s="17">
        <f t="shared" si="11"/>
        <v>7</v>
      </c>
      <c r="V19" s="17">
        <f t="shared" si="11"/>
        <v>21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8</v>
      </c>
      <c r="AA19" s="17">
        <f t="shared" si="11"/>
        <v>0</v>
      </c>
      <c r="AB19" s="17">
        <f t="shared" si="11"/>
        <v>0</v>
      </c>
      <c r="AC19" s="17">
        <f t="shared" si="11"/>
        <v>171</v>
      </c>
      <c r="AD19" s="17">
        <f t="shared" si="11"/>
        <v>0</v>
      </c>
      <c r="AE19" s="31">
        <f t="shared" si="11"/>
        <v>85</v>
      </c>
      <c r="AF19" s="31">
        <f t="shared" si="11"/>
        <v>256</v>
      </c>
    </row>
    <row r="20" spans="2:32" ht="23.1" customHeight="1" x14ac:dyDescent="0.25">
      <c r="B20" s="23" t="s">
        <v>47</v>
      </c>
      <c r="C20" s="50">
        <v>11</v>
      </c>
      <c r="D20" s="50">
        <v>3</v>
      </c>
      <c r="E20" s="50">
        <v>2</v>
      </c>
      <c r="F20" s="50">
        <v>2</v>
      </c>
      <c r="G20" s="50">
        <v>0</v>
      </c>
      <c r="H20" s="50">
        <v>0</v>
      </c>
      <c r="I20" s="50">
        <v>1</v>
      </c>
      <c r="J20" s="50">
        <v>2</v>
      </c>
      <c r="K20" s="50">
        <v>1</v>
      </c>
      <c r="L20" s="50">
        <v>0</v>
      </c>
      <c r="M20" s="50">
        <v>23</v>
      </c>
      <c r="N20" s="50">
        <v>0</v>
      </c>
      <c r="O20" s="15">
        <f t="shared" si="0"/>
        <v>22</v>
      </c>
      <c r="P20" s="15">
        <f t="shared" si="1"/>
        <v>45</v>
      </c>
      <c r="R20" s="1" t="s">
        <v>16</v>
      </c>
      <c r="S20" s="17">
        <f t="shared" ref="S20:AF20" si="12">SUM(C50:C53)</f>
        <v>23</v>
      </c>
      <c r="T20" s="17">
        <f t="shared" si="12"/>
        <v>7</v>
      </c>
      <c r="U20" s="17">
        <f t="shared" si="12"/>
        <v>10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4</v>
      </c>
      <c r="Z20" s="17">
        <f t="shared" si="12"/>
        <v>8</v>
      </c>
      <c r="AA20" s="17">
        <f t="shared" si="12"/>
        <v>0</v>
      </c>
      <c r="AB20" s="17">
        <f t="shared" si="12"/>
        <v>0</v>
      </c>
      <c r="AC20" s="17">
        <f t="shared" si="12"/>
        <v>187</v>
      </c>
      <c r="AD20" s="17">
        <f t="shared" si="12"/>
        <v>0</v>
      </c>
      <c r="AE20" s="31">
        <f t="shared" si="12"/>
        <v>64</v>
      </c>
      <c r="AF20" s="31">
        <f t="shared" si="12"/>
        <v>251</v>
      </c>
    </row>
    <row r="21" spans="2:32" ht="23.1" customHeight="1" x14ac:dyDescent="0.25">
      <c r="B21" s="23" t="s">
        <v>48</v>
      </c>
      <c r="C21" s="50">
        <v>6</v>
      </c>
      <c r="D21" s="50">
        <v>2</v>
      </c>
      <c r="E21" s="50">
        <v>1</v>
      </c>
      <c r="F21" s="50">
        <v>2</v>
      </c>
      <c r="G21" s="50">
        <v>0</v>
      </c>
      <c r="H21" s="50">
        <v>0</v>
      </c>
      <c r="I21" s="50">
        <v>4</v>
      </c>
      <c r="J21" s="50">
        <v>3</v>
      </c>
      <c r="K21" s="50">
        <v>0</v>
      </c>
      <c r="L21" s="50">
        <v>0</v>
      </c>
      <c r="M21" s="50">
        <v>14</v>
      </c>
      <c r="N21" s="50">
        <v>0</v>
      </c>
      <c r="O21" s="15">
        <f t="shared" si="0"/>
        <v>18</v>
      </c>
      <c r="P21" s="15">
        <f t="shared" si="1"/>
        <v>32</v>
      </c>
      <c r="R21" s="36" t="s">
        <v>20</v>
      </c>
      <c r="S21" s="34">
        <f t="shared" ref="S21:AF21" si="13">SUM(C54:C57)</f>
        <v>49</v>
      </c>
      <c r="T21" s="17">
        <f t="shared" si="13"/>
        <v>7</v>
      </c>
      <c r="U21" s="17">
        <f t="shared" si="13"/>
        <v>6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184</v>
      </c>
      <c r="AD21" s="17">
        <f t="shared" si="13"/>
        <v>0</v>
      </c>
      <c r="AE21" s="31">
        <f t="shared" si="13"/>
        <v>87</v>
      </c>
      <c r="AF21" s="31">
        <f t="shared" si="13"/>
        <v>271</v>
      </c>
    </row>
    <row r="22" spans="2:32" ht="23.1" customHeight="1" x14ac:dyDescent="0.25">
      <c r="B22" s="23" t="s">
        <v>49</v>
      </c>
      <c r="C22" s="50">
        <v>11</v>
      </c>
      <c r="D22" s="50">
        <v>3</v>
      </c>
      <c r="E22" s="50">
        <v>1</v>
      </c>
      <c r="F22" s="50">
        <v>3</v>
      </c>
      <c r="G22" s="50">
        <v>0</v>
      </c>
      <c r="H22" s="50">
        <v>0</v>
      </c>
      <c r="I22" s="50">
        <v>3</v>
      </c>
      <c r="J22" s="50">
        <v>3</v>
      </c>
      <c r="K22" s="50">
        <v>0</v>
      </c>
      <c r="L22" s="50">
        <v>0</v>
      </c>
      <c r="M22" s="50">
        <v>31</v>
      </c>
      <c r="N22" s="50">
        <v>0</v>
      </c>
      <c r="O22" s="15">
        <f t="shared" si="0"/>
        <v>24</v>
      </c>
      <c r="P22" s="15">
        <f t="shared" si="1"/>
        <v>55</v>
      </c>
      <c r="R22" s="38" t="s">
        <v>90</v>
      </c>
      <c r="S22" s="39">
        <f>MAX(S10:S12)</f>
        <v>36</v>
      </c>
      <c r="T22" s="39">
        <f t="shared" ref="T22:AF22" si="14">MAX(T10:T12)</f>
        <v>16</v>
      </c>
      <c r="U22" s="39">
        <f t="shared" si="14"/>
        <v>15</v>
      </c>
      <c r="V22" s="39">
        <f t="shared" si="14"/>
        <v>8</v>
      </c>
      <c r="W22" s="39">
        <f t="shared" si="14"/>
        <v>1</v>
      </c>
      <c r="X22" s="39">
        <f t="shared" si="14"/>
        <v>0</v>
      </c>
      <c r="Y22" s="39">
        <f t="shared" si="14"/>
        <v>11</v>
      </c>
      <c r="Z22" s="39">
        <f t="shared" si="14"/>
        <v>12</v>
      </c>
      <c r="AA22" s="39">
        <f t="shared" si="14"/>
        <v>1</v>
      </c>
      <c r="AB22" s="39">
        <f t="shared" si="14"/>
        <v>1</v>
      </c>
      <c r="AC22" s="39">
        <f t="shared" si="14"/>
        <v>144</v>
      </c>
      <c r="AD22" s="39">
        <f t="shared" si="14"/>
        <v>0</v>
      </c>
      <c r="AE22" s="40">
        <f t="shared" si="14"/>
        <v>81</v>
      </c>
      <c r="AF22" s="40">
        <f t="shared" si="14"/>
        <v>208</v>
      </c>
    </row>
    <row r="23" spans="2:32" ht="23.1" customHeight="1" x14ac:dyDescent="0.25">
      <c r="B23" s="23" t="s">
        <v>50</v>
      </c>
      <c r="C23" s="50">
        <v>13</v>
      </c>
      <c r="D23" s="50">
        <v>3</v>
      </c>
      <c r="E23" s="50">
        <v>3</v>
      </c>
      <c r="F23" s="50">
        <v>2</v>
      </c>
      <c r="G23" s="50">
        <v>1</v>
      </c>
      <c r="H23" s="50">
        <v>0</v>
      </c>
      <c r="I23" s="50">
        <v>0</v>
      </c>
      <c r="J23" s="50">
        <v>2</v>
      </c>
      <c r="K23" s="50">
        <v>0</v>
      </c>
      <c r="L23" s="50">
        <v>0</v>
      </c>
      <c r="M23" s="50">
        <v>29</v>
      </c>
      <c r="N23" s="50">
        <v>0</v>
      </c>
      <c r="O23" s="15">
        <f t="shared" si="0"/>
        <v>24</v>
      </c>
      <c r="P23" s="15">
        <f t="shared" si="1"/>
        <v>53</v>
      </c>
      <c r="R23" s="38" t="s">
        <v>91</v>
      </c>
      <c r="S23" s="39">
        <f>MAX(S13:S18)</f>
        <v>44</v>
      </c>
      <c r="T23" s="39">
        <f t="shared" ref="T23:AF23" si="15">MAX(T13:T18)</f>
        <v>12</v>
      </c>
      <c r="U23" s="39">
        <f t="shared" si="15"/>
        <v>13</v>
      </c>
      <c r="V23" s="39">
        <f t="shared" si="15"/>
        <v>18</v>
      </c>
      <c r="W23" s="39">
        <f t="shared" si="15"/>
        <v>1</v>
      </c>
      <c r="X23" s="39">
        <f t="shared" si="15"/>
        <v>0</v>
      </c>
      <c r="Y23" s="39">
        <f t="shared" si="15"/>
        <v>12</v>
      </c>
      <c r="Z23" s="39">
        <f t="shared" si="15"/>
        <v>12</v>
      </c>
      <c r="AA23" s="39">
        <f t="shared" si="15"/>
        <v>2</v>
      </c>
      <c r="AB23" s="39">
        <f t="shared" si="15"/>
        <v>1</v>
      </c>
      <c r="AC23" s="39">
        <f t="shared" si="15"/>
        <v>156</v>
      </c>
      <c r="AD23" s="39">
        <f t="shared" si="15"/>
        <v>0</v>
      </c>
      <c r="AE23" s="40">
        <f t="shared" si="15"/>
        <v>88</v>
      </c>
      <c r="AF23" s="40">
        <f t="shared" si="15"/>
        <v>244</v>
      </c>
    </row>
    <row r="24" spans="2:32" ht="23.1" customHeight="1" x14ac:dyDescent="0.25">
      <c r="B24" s="23" t="s">
        <v>51</v>
      </c>
      <c r="C24" s="50">
        <v>10</v>
      </c>
      <c r="D24" s="50">
        <v>3</v>
      </c>
      <c r="E24" s="50">
        <v>2</v>
      </c>
      <c r="F24" s="50">
        <v>2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32</v>
      </c>
      <c r="N24" s="50">
        <v>0</v>
      </c>
      <c r="O24" s="15">
        <f t="shared" si="0"/>
        <v>22</v>
      </c>
      <c r="P24" s="15">
        <f t="shared" si="1"/>
        <v>54</v>
      </c>
      <c r="R24" s="38" t="s">
        <v>92</v>
      </c>
      <c r="S24" s="39">
        <f>MAX(S19:S21)</f>
        <v>49</v>
      </c>
      <c r="T24" s="39">
        <f t="shared" ref="T24:AF24" si="16">MAX(T19:T21)</f>
        <v>8</v>
      </c>
      <c r="U24" s="39">
        <f t="shared" si="16"/>
        <v>10</v>
      </c>
      <c r="V24" s="39">
        <f t="shared" si="16"/>
        <v>21</v>
      </c>
      <c r="W24" s="39">
        <f t="shared" si="16"/>
        <v>0</v>
      </c>
      <c r="X24" s="39">
        <f t="shared" si="16"/>
        <v>0</v>
      </c>
      <c r="Y24" s="39">
        <f t="shared" si="16"/>
        <v>11</v>
      </c>
      <c r="Z24" s="39">
        <f t="shared" si="16"/>
        <v>8</v>
      </c>
      <c r="AA24" s="39">
        <f t="shared" si="16"/>
        <v>0</v>
      </c>
      <c r="AB24" s="39">
        <f t="shared" si="16"/>
        <v>0</v>
      </c>
      <c r="AC24" s="39">
        <f t="shared" si="16"/>
        <v>187</v>
      </c>
      <c r="AD24" s="39">
        <f t="shared" si="16"/>
        <v>0</v>
      </c>
      <c r="AE24" s="40">
        <f t="shared" si="16"/>
        <v>87</v>
      </c>
      <c r="AF24" s="40">
        <f t="shared" si="16"/>
        <v>271</v>
      </c>
    </row>
    <row r="25" spans="2:32" ht="23.1" customHeight="1" x14ac:dyDescent="0.25">
      <c r="B25" s="23" t="s">
        <v>52</v>
      </c>
      <c r="C25" s="50">
        <v>10</v>
      </c>
      <c r="D25" s="50">
        <v>1</v>
      </c>
      <c r="E25" s="50">
        <v>0</v>
      </c>
      <c r="F25" s="50">
        <v>1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31</v>
      </c>
      <c r="N25" s="50">
        <v>0</v>
      </c>
      <c r="O25" s="15">
        <f t="shared" si="0"/>
        <v>16</v>
      </c>
      <c r="P25" s="15">
        <f t="shared" si="1"/>
        <v>47</v>
      </c>
      <c r="R25" s="37" t="s">
        <v>85</v>
      </c>
      <c r="S25" s="35">
        <f t="shared" ref="S25:AF25" si="17">SUM(S10:S12)</f>
        <v>96</v>
      </c>
      <c r="T25" s="16">
        <f t="shared" si="17"/>
        <v>30</v>
      </c>
      <c r="U25" s="16">
        <f t="shared" si="17"/>
        <v>28</v>
      </c>
      <c r="V25" s="16">
        <f t="shared" si="17"/>
        <v>22</v>
      </c>
      <c r="W25" s="16">
        <f t="shared" si="17"/>
        <v>1</v>
      </c>
      <c r="X25" s="16">
        <f t="shared" si="17"/>
        <v>0</v>
      </c>
      <c r="Y25" s="16">
        <f t="shared" si="17"/>
        <v>16</v>
      </c>
      <c r="Z25" s="16">
        <f t="shared" si="17"/>
        <v>27</v>
      </c>
      <c r="AA25" s="16">
        <f t="shared" si="17"/>
        <v>1</v>
      </c>
      <c r="AB25" s="16">
        <f t="shared" si="17"/>
        <v>1</v>
      </c>
      <c r="AC25" s="16">
        <f t="shared" si="17"/>
        <v>350</v>
      </c>
      <c r="AD25" s="16">
        <f t="shared" si="17"/>
        <v>0</v>
      </c>
      <c r="AE25" s="32">
        <f t="shared" si="17"/>
        <v>222</v>
      </c>
      <c r="AF25" s="32">
        <f t="shared" si="17"/>
        <v>572</v>
      </c>
    </row>
    <row r="26" spans="2:32" ht="23.1" customHeight="1" x14ac:dyDescent="0.25">
      <c r="B26" s="23" t="s">
        <v>53</v>
      </c>
      <c r="C26" s="50">
        <v>10</v>
      </c>
      <c r="D26" s="50">
        <v>3</v>
      </c>
      <c r="E26" s="50">
        <v>5</v>
      </c>
      <c r="F26" s="50">
        <v>5</v>
      </c>
      <c r="G26" s="50">
        <v>0</v>
      </c>
      <c r="H26" s="50">
        <v>0</v>
      </c>
      <c r="I26" s="50">
        <v>3</v>
      </c>
      <c r="J26" s="50">
        <v>4</v>
      </c>
      <c r="K26" s="50">
        <v>0</v>
      </c>
      <c r="L26" s="50">
        <v>0</v>
      </c>
      <c r="M26" s="50">
        <v>47</v>
      </c>
      <c r="N26" s="50">
        <v>0</v>
      </c>
      <c r="O26" s="15">
        <f t="shared" si="0"/>
        <v>30</v>
      </c>
      <c r="P26" s="15">
        <f t="shared" si="1"/>
        <v>77</v>
      </c>
      <c r="R26" s="28" t="s">
        <v>86</v>
      </c>
      <c r="S26" s="16">
        <f t="shared" ref="S26:AF26" si="18">SUM(S13:S18)</f>
        <v>198</v>
      </c>
      <c r="T26" s="16">
        <f t="shared" si="18"/>
        <v>48</v>
      </c>
      <c r="U26" s="16">
        <f t="shared" si="18"/>
        <v>41</v>
      </c>
      <c r="V26" s="16">
        <f t="shared" si="18"/>
        <v>72</v>
      </c>
      <c r="W26" s="16">
        <f t="shared" si="18"/>
        <v>1</v>
      </c>
      <c r="X26" s="16">
        <f t="shared" si="18"/>
        <v>0</v>
      </c>
      <c r="Y26" s="16">
        <f t="shared" si="18"/>
        <v>41</v>
      </c>
      <c r="Z26" s="16">
        <f t="shared" si="18"/>
        <v>47</v>
      </c>
      <c r="AA26" s="16">
        <f t="shared" si="18"/>
        <v>3</v>
      </c>
      <c r="AB26" s="16">
        <f t="shared" si="18"/>
        <v>1</v>
      </c>
      <c r="AC26" s="16">
        <f t="shared" si="18"/>
        <v>831</v>
      </c>
      <c r="AD26" s="16">
        <f t="shared" si="18"/>
        <v>0</v>
      </c>
      <c r="AE26" s="32">
        <f t="shared" si="18"/>
        <v>452</v>
      </c>
      <c r="AF26" s="32">
        <f t="shared" si="18"/>
        <v>1283</v>
      </c>
    </row>
    <row r="27" spans="2:32" ht="23.1" customHeight="1" x14ac:dyDescent="0.25">
      <c r="B27" s="23" t="s">
        <v>54</v>
      </c>
      <c r="C27" s="50">
        <v>12</v>
      </c>
      <c r="D27" s="50">
        <v>2</v>
      </c>
      <c r="E27" s="50">
        <v>1</v>
      </c>
      <c r="F27" s="50">
        <v>2</v>
      </c>
      <c r="G27" s="50">
        <v>0</v>
      </c>
      <c r="H27" s="50">
        <v>0</v>
      </c>
      <c r="I27" s="50">
        <v>6</v>
      </c>
      <c r="J27" s="50">
        <v>2</v>
      </c>
      <c r="K27" s="50">
        <v>0</v>
      </c>
      <c r="L27" s="50">
        <v>0</v>
      </c>
      <c r="M27" s="50">
        <v>30</v>
      </c>
      <c r="N27" s="50">
        <v>0</v>
      </c>
      <c r="O27" s="15">
        <f t="shared" si="0"/>
        <v>25</v>
      </c>
      <c r="P27" s="15">
        <f t="shared" si="1"/>
        <v>55</v>
      </c>
      <c r="R27" s="29" t="s">
        <v>87</v>
      </c>
      <c r="S27" s="16">
        <f t="shared" ref="S27:AF27" si="19">SUM(S19:S21)</f>
        <v>102</v>
      </c>
      <c r="T27" s="16">
        <f t="shared" si="19"/>
        <v>22</v>
      </c>
      <c r="U27" s="16">
        <f t="shared" si="19"/>
        <v>23</v>
      </c>
      <c r="V27" s="16">
        <f t="shared" si="19"/>
        <v>47</v>
      </c>
      <c r="W27" s="16">
        <f t="shared" si="19"/>
        <v>0</v>
      </c>
      <c r="X27" s="16">
        <f t="shared" si="19"/>
        <v>0</v>
      </c>
      <c r="Y27" s="16">
        <f t="shared" si="19"/>
        <v>24</v>
      </c>
      <c r="Z27" s="16">
        <f t="shared" si="19"/>
        <v>18</v>
      </c>
      <c r="AA27" s="16">
        <f t="shared" si="19"/>
        <v>0</v>
      </c>
      <c r="AB27" s="16">
        <f t="shared" si="19"/>
        <v>0</v>
      </c>
      <c r="AC27" s="16">
        <f t="shared" si="19"/>
        <v>542</v>
      </c>
      <c r="AD27" s="16">
        <f t="shared" si="19"/>
        <v>0</v>
      </c>
      <c r="AE27" s="32">
        <f t="shared" si="19"/>
        <v>236</v>
      </c>
      <c r="AF27" s="32">
        <f t="shared" si="19"/>
        <v>778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5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45</v>
      </c>
      <c r="N28" s="50">
        <v>0</v>
      </c>
      <c r="O28" s="15">
        <f t="shared" si="0"/>
        <v>14</v>
      </c>
      <c r="P28" s="15">
        <f t="shared" si="1"/>
        <v>59</v>
      </c>
      <c r="R28" s="5" t="s">
        <v>17</v>
      </c>
      <c r="S28" s="16">
        <f t="shared" ref="S28:AF28" si="20">SUM(S10:S21)</f>
        <v>396</v>
      </c>
      <c r="T28" s="16">
        <f t="shared" si="20"/>
        <v>100</v>
      </c>
      <c r="U28" s="16">
        <f t="shared" si="20"/>
        <v>92</v>
      </c>
      <c r="V28" s="16">
        <f t="shared" si="20"/>
        <v>141</v>
      </c>
      <c r="W28" s="16">
        <f t="shared" si="20"/>
        <v>2</v>
      </c>
      <c r="X28" s="16">
        <f t="shared" si="20"/>
        <v>0</v>
      </c>
      <c r="Y28" s="16">
        <f t="shared" si="20"/>
        <v>81</v>
      </c>
      <c r="Z28" s="16">
        <f t="shared" si="20"/>
        <v>92</v>
      </c>
      <c r="AA28" s="16">
        <f t="shared" si="20"/>
        <v>4</v>
      </c>
      <c r="AB28" s="16">
        <f t="shared" si="20"/>
        <v>2</v>
      </c>
      <c r="AC28" s="16">
        <f t="shared" si="20"/>
        <v>1723</v>
      </c>
      <c r="AD28" s="16">
        <f t="shared" si="20"/>
        <v>0</v>
      </c>
      <c r="AE28" s="32">
        <f t="shared" si="20"/>
        <v>910</v>
      </c>
      <c r="AF28" s="32">
        <f t="shared" si="20"/>
        <v>2633</v>
      </c>
    </row>
    <row r="29" spans="2:32" ht="23.1" customHeight="1" x14ac:dyDescent="0.25">
      <c r="B29" s="23" t="s">
        <v>56</v>
      </c>
      <c r="C29" s="50">
        <v>12</v>
      </c>
      <c r="D29" s="50">
        <v>0</v>
      </c>
      <c r="E29" s="50">
        <v>2</v>
      </c>
      <c r="F29" s="50">
        <v>2</v>
      </c>
      <c r="G29" s="50">
        <v>0</v>
      </c>
      <c r="H29" s="50">
        <v>0</v>
      </c>
      <c r="I29" s="50">
        <v>2</v>
      </c>
      <c r="J29" s="50">
        <v>1</v>
      </c>
      <c r="K29" s="50">
        <v>0</v>
      </c>
      <c r="L29" s="50">
        <v>0</v>
      </c>
      <c r="M29" s="50">
        <v>34</v>
      </c>
      <c r="N29" s="50">
        <v>0</v>
      </c>
      <c r="O29" s="15">
        <f t="shared" si="0"/>
        <v>19</v>
      </c>
      <c r="P29" s="15">
        <f t="shared" si="1"/>
        <v>53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2</v>
      </c>
      <c r="E30" s="50">
        <v>0</v>
      </c>
      <c r="F30" s="50">
        <v>4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31</v>
      </c>
      <c r="N30" s="50">
        <v>0</v>
      </c>
      <c r="O30" s="15">
        <f t="shared" si="0"/>
        <v>10</v>
      </c>
      <c r="P30" s="15">
        <f t="shared" si="1"/>
        <v>41</v>
      </c>
    </row>
    <row r="31" spans="2:32" ht="23.1" customHeight="1" x14ac:dyDescent="0.25">
      <c r="B31" s="24" t="s">
        <v>58</v>
      </c>
      <c r="C31" s="50">
        <v>6</v>
      </c>
      <c r="D31" s="50">
        <v>1</v>
      </c>
      <c r="E31" s="50">
        <v>0</v>
      </c>
      <c r="F31" s="50">
        <v>2</v>
      </c>
      <c r="G31" s="50">
        <v>0</v>
      </c>
      <c r="H31" s="50">
        <v>0</v>
      </c>
      <c r="I31" s="50">
        <v>1</v>
      </c>
      <c r="J31" s="50">
        <v>6</v>
      </c>
      <c r="K31" s="50">
        <v>0</v>
      </c>
      <c r="L31" s="50">
        <v>0</v>
      </c>
      <c r="M31" s="50">
        <v>45</v>
      </c>
      <c r="N31" s="50">
        <v>0</v>
      </c>
      <c r="O31" s="15">
        <f t="shared" si="0"/>
        <v>16</v>
      </c>
      <c r="P31" s="15">
        <f t="shared" si="1"/>
        <v>61</v>
      </c>
    </row>
    <row r="32" spans="2:32" ht="23.1" customHeight="1" x14ac:dyDescent="0.25">
      <c r="B32" s="24" t="s">
        <v>59</v>
      </c>
      <c r="C32" s="50">
        <v>7</v>
      </c>
      <c r="D32" s="50">
        <v>4</v>
      </c>
      <c r="E32" s="50">
        <v>3</v>
      </c>
      <c r="F32" s="50">
        <v>4</v>
      </c>
      <c r="G32" s="50">
        <v>0</v>
      </c>
      <c r="H32" s="50">
        <v>0</v>
      </c>
      <c r="I32" s="50">
        <v>0</v>
      </c>
      <c r="J32" s="50">
        <v>1</v>
      </c>
      <c r="K32" s="50">
        <v>0</v>
      </c>
      <c r="L32" s="50">
        <v>0</v>
      </c>
      <c r="M32" s="50">
        <v>38</v>
      </c>
      <c r="N32" s="50">
        <v>0</v>
      </c>
      <c r="O32" s="15">
        <f t="shared" si="0"/>
        <v>19</v>
      </c>
      <c r="P32" s="15">
        <f t="shared" si="1"/>
        <v>57</v>
      </c>
    </row>
    <row r="33" spans="2:20" ht="23.1" customHeight="1" x14ac:dyDescent="0.25">
      <c r="B33" s="23" t="s">
        <v>60</v>
      </c>
      <c r="C33" s="50">
        <v>7</v>
      </c>
      <c r="D33" s="50">
        <v>3</v>
      </c>
      <c r="E33" s="50">
        <v>0</v>
      </c>
      <c r="F33" s="50">
        <v>8</v>
      </c>
      <c r="G33" s="50">
        <v>0</v>
      </c>
      <c r="H33" s="50">
        <v>0</v>
      </c>
      <c r="I33" s="50">
        <v>4</v>
      </c>
      <c r="J33" s="50">
        <v>5</v>
      </c>
      <c r="K33" s="50">
        <v>1</v>
      </c>
      <c r="L33" s="50">
        <v>0</v>
      </c>
      <c r="M33" s="50">
        <v>33</v>
      </c>
      <c r="N33" s="50">
        <v>0</v>
      </c>
      <c r="O33" s="15">
        <f t="shared" si="0"/>
        <v>28</v>
      </c>
      <c r="P33" s="15">
        <f t="shared" si="1"/>
        <v>61</v>
      </c>
    </row>
    <row r="34" spans="2:20" ht="23.1" customHeight="1" x14ac:dyDescent="0.25">
      <c r="B34" s="24" t="s">
        <v>61</v>
      </c>
      <c r="C34" s="50">
        <v>8</v>
      </c>
      <c r="D34" s="50">
        <v>1</v>
      </c>
      <c r="E34" s="50">
        <v>5</v>
      </c>
      <c r="F34" s="50">
        <v>0</v>
      </c>
      <c r="G34" s="50">
        <v>0</v>
      </c>
      <c r="H34" s="50">
        <v>0</v>
      </c>
      <c r="I34" s="50">
        <v>2</v>
      </c>
      <c r="J34" s="50">
        <v>2</v>
      </c>
      <c r="K34" s="50">
        <v>0</v>
      </c>
      <c r="L34" s="50">
        <v>0</v>
      </c>
      <c r="M34" s="50">
        <v>35</v>
      </c>
      <c r="N34" s="50">
        <v>0</v>
      </c>
      <c r="O34" s="15">
        <f t="shared" si="0"/>
        <v>18</v>
      </c>
      <c r="P34" s="15">
        <f t="shared" si="1"/>
        <v>53</v>
      </c>
    </row>
    <row r="35" spans="2:20" ht="23.1" customHeight="1" x14ac:dyDescent="0.25">
      <c r="B35" s="24" t="s">
        <v>62</v>
      </c>
      <c r="C35" s="50">
        <v>1</v>
      </c>
      <c r="D35" s="50">
        <v>2</v>
      </c>
      <c r="E35" s="50">
        <v>1</v>
      </c>
      <c r="F35" s="50">
        <v>5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39</v>
      </c>
      <c r="N35" s="50">
        <v>0</v>
      </c>
      <c r="O35" s="15">
        <f t="shared" si="0"/>
        <v>13</v>
      </c>
      <c r="P35" s="15">
        <f t="shared" si="1"/>
        <v>52</v>
      </c>
    </row>
    <row r="36" spans="2:20" ht="23.1" customHeight="1" x14ac:dyDescent="0.25">
      <c r="B36" s="24" t="s">
        <v>63</v>
      </c>
      <c r="C36" s="50">
        <v>12</v>
      </c>
      <c r="D36" s="50">
        <v>0</v>
      </c>
      <c r="E36" s="50">
        <v>2</v>
      </c>
      <c r="F36" s="50">
        <v>3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27</v>
      </c>
      <c r="N36" s="50">
        <v>0</v>
      </c>
      <c r="O36" s="15">
        <f t="shared" si="0"/>
        <v>18</v>
      </c>
      <c r="P36" s="15">
        <f t="shared" si="1"/>
        <v>45</v>
      </c>
    </row>
    <row r="37" spans="2:20" ht="23.1" customHeight="1" x14ac:dyDescent="0.25">
      <c r="B37" s="23" t="s">
        <v>64</v>
      </c>
      <c r="C37" s="50">
        <v>14</v>
      </c>
      <c r="D37" s="50">
        <v>3</v>
      </c>
      <c r="E37" s="50">
        <v>1</v>
      </c>
      <c r="F37" s="50">
        <v>5</v>
      </c>
      <c r="G37" s="50">
        <v>0</v>
      </c>
      <c r="H37" s="50">
        <v>0</v>
      </c>
      <c r="I37" s="50">
        <v>1</v>
      </c>
      <c r="J37" s="50">
        <v>4</v>
      </c>
      <c r="K37" s="50">
        <v>0</v>
      </c>
      <c r="L37" s="50">
        <v>0</v>
      </c>
      <c r="M37" s="50">
        <v>41</v>
      </c>
      <c r="N37" s="50">
        <v>0</v>
      </c>
      <c r="O37" s="15">
        <f t="shared" si="0"/>
        <v>28</v>
      </c>
      <c r="P37" s="15">
        <f t="shared" si="1"/>
        <v>69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1</v>
      </c>
      <c r="F38" s="50">
        <v>3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23</v>
      </c>
      <c r="N38" s="50">
        <v>0</v>
      </c>
      <c r="O38" s="15">
        <f t="shared" si="0"/>
        <v>8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8</v>
      </c>
      <c r="D39" s="50">
        <v>3</v>
      </c>
      <c r="E39" s="50">
        <v>1</v>
      </c>
      <c r="F39" s="50">
        <v>4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32</v>
      </c>
      <c r="N39" s="50">
        <v>0</v>
      </c>
      <c r="O39" s="15">
        <f t="shared" si="0"/>
        <v>18</v>
      </c>
      <c r="P39" s="15">
        <f t="shared" si="1"/>
        <v>50</v>
      </c>
    </row>
    <row r="40" spans="2:20" ht="23.1" customHeight="1" x14ac:dyDescent="0.25">
      <c r="B40" s="24" t="s">
        <v>67</v>
      </c>
      <c r="C40" s="50">
        <v>7</v>
      </c>
      <c r="D40" s="50">
        <v>6</v>
      </c>
      <c r="E40" s="50">
        <v>1</v>
      </c>
      <c r="F40" s="50">
        <v>4</v>
      </c>
      <c r="G40" s="50">
        <v>0</v>
      </c>
      <c r="H40" s="50">
        <v>0</v>
      </c>
      <c r="I40" s="50">
        <v>2</v>
      </c>
      <c r="J40" s="50">
        <v>0</v>
      </c>
      <c r="K40" s="50">
        <v>0</v>
      </c>
      <c r="L40" s="50">
        <v>0</v>
      </c>
      <c r="M40" s="50">
        <v>32</v>
      </c>
      <c r="N40" s="50">
        <v>0</v>
      </c>
      <c r="O40" s="15">
        <f t="shared" si="0"/>
        <v>20</v>
      </c>
      <c r="P40" s="15">
        <f t="shared" si="1"/>
        <v>52</v>
      </c>
    </row>
    <row r="41" spans="2:20" ht="23.1" customHeight="1" x14ac:dyDescent="0.25">
      <c r="B41" s="23" t="s">
        <v>68</v>
      </c>
      <c r="C41" s="50">
        <v>10</v>
      </c>
      <c r="D41" s="50">
        <v>2</v>
      </c>
      <c r="E41" s="50">
        <v>1</v>
      </c>
      <c r="F41" s="50">
        <v>2</v>
      </c>
      <c r="G41" s="50">
        <v>0</v>
      </c>
      <c r="H41" s="50">
        <v>0</v>
      </c>
      <c r="I41" s="50">
        <v>2</v>
      </c>
      <c r="J41" s="50">
        <v>3</v>
      </c>
      <c r="K41" s="50">
        <v>0</v>
      </c>
      <c r="L41" s="50">
        <v>0</v>
      </c>
      <c r="M41" s="50">
        <v>45</v>
      </c>
      <c r="N41" s="50">
        <v>0</v>
      </c>
      <c r="O41" s="15">
        <f t="shared" si="0"/>
        <v>20</v>
      </c>
      <c r="P41" s="15">
        <f t="shared" si="1"/>
        <v>65</v>
      </c>
    </row>
    <row r="42" spans="2:20" ht="23.1" customHeight="1" x14ac:dyDescent="0.25">
      <c r="B42" s="24" t="s">
        <v>69</v>
      </c>
      <c r="C42" s="50">
        <v>8</v>
      </c>
      <c r="D42" s="50">
        <v>3</v>
      </c>
      <c r="E42" s="50">
        <v>3</v>
      </c>
      <c r="F42" s="50">
        <v>2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31</v>
      </c>
      <c r="N42" s="50">
        <v>0</v>
      </c>
      <c r="O42" s="15">
        <f t="shared" si="0"/>
        <v>18</v>
      </c>
      <c r="P42" s="15">
        <f t="shared" si="1"/>
        <v>49</v>
      </c>
    </row>
    <row r="43" spans="2:20" ht="23.1" customHeight="1" x14ac:dyDescent="0.25">
      <c r="B43" s="23" t="s">
        <v>70</v>
      </c>
      <c r="C43" s="50">
        <v>5</v>
      </c>
      <c r="D43" s="50">
        <v>0</v>
      </c>
      <c r="E43" s="50">
        <v>3</v>
      </c>
      <c r="F43" s="50">
        <v>3</v>
      </c>
      <c r="G43" s="50">
        <v>0</v>
      </c>
      <c r="H43" s="50">
        <v>0</v>
      </c>
      <c r="I43" s="50">
        <v>1</v>
      </c>
      <c r="J43" s="50">
        <v>1</v>
      </c>
      <c r="K43" s="50">
        <v>1</v>
      </c>
      <c r="L43" s="50">
        <v>0</v>
      </c>
      <c r="M43" s="50">
        <v>40</v>
      </c>
      <c r="N43" s="50">
        <v>0</v>
      </c>
      <c r="O43" s="15">
        <f t="shared" si="0"/>
        <v>14</v>
      </c>
      <c r="P43" s="15">
        <f t="shared" si="1"/>
        <v>54</v>
      </c>
    </row>
    <row r="44" spans="2:20" ht="23.1" customHeight="1" x14ac:dyDescent="0.25">
      <c r="B44" s="25" t="s">
        <v>71</v>
      </c>
      <c r="C44" s="50">
        <v>6</v>
      </c>
      <c r="D44" s="50">
        <v>0</v>
      </c>
      <c r="E44" s="50">
        <v>0</v>
      </c>
      <c r="F44" s="50">
        <v>0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1</v>
      </c>
      <c r="M44" s="50">
        <v>30</v>
      </c>
      <c r="N44" s="50">
        <v>0</v>
      </c>
      <c r="O44" s="15">
        <f t="shared" si="0"/>
        <v>9</v>
      </c>
      <c r="P44" s="15">
        <f t="shared" si="1"/>
        <v>39</v>
      </c>
    </row>
    <row r="45" spans="2:20" ht="23.1" customHeight="1" x14ac:dyDescent="0.25">
      <c r="B45" s="23" t="s">
        <v>72</v>
      </c>
      <c r="C45" s="50">
        <v>12</v>
      </c>
      <c r="D45" s="50">
        <v>1</v>
      </c>
      <c r="E45" s="50">
        <v>0</v>
      </c>
      <c r="F45" s="50">
        <v>5</v>
      </c>
      <c r="G45" s="50">
        <v>0</v>
      </c>
      <c r="H45" s="50">
        <v>0</v>
      </c>
      <c r="I45" s="50">
        <v>1</v>
      </c>
      <c r="J45" s="50">
        <v>2</v>
      </c>
      <c r="K45" s="50">
        <v>0</v>
      </c>
      <c r="L45" s="50">
        <v>0</v>
      </c>
      <c r="M45" s="50">
        <v>30</v>
      </c>
      <c r="N45" s="50">
        <v>0</v>
      </c>
      <c r="O45" s="15">
        <f t="shared" si="0"/>
        <v>21</v>
      </c>
      <c r="P45" s="15">
        <f t="shared" si="1"/>
        <v>51</v>
      </c>
    </row>
    <row r="46" spans="2:20" ht="23.1" customHeight="1" x14ac:dyDescent="0.25">
      <c r="B46" s="24" t="s">
        <v>73</v>
      </c>
      <c r="C46" s="50">
        <v>7</v>
      </c>
      <c r="D46" s="50">
        <v>2</v>
      </c>
      <c r="E46" s="50">
        <v>1</v>
      </c>
      <c r="F46" s="50">
        <v>7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31</v>
      </c>
      <c r="N46" s="50">
        <v>0</v>
      </c>
      <c r="O46" s="15">
        <f t="shared" si="0"/>
        <v>21</v>
      </c>
      <c r="P46" s="15">
        <f t="shared" si="1"/>
        <v>52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1</v>
      </c>
      <c r="E47" s="50">
        <v>3</v>
      </c>
      <c r="F47" s="50">
        <v>4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0</v>
      </c>
      <c r="M47" s="50">
        <v>36</v>
      </c>
      <c r="N47" s="50">
        <v>0</v>
      </c>
      <c r="O47" s="15">
        <f t="shared" si="0"/>
        <v>17</v>
      </c>
      <c r="P47" s="15">
        <f t="shared" si="1"/>
        <v>53</v>
      </c>
      <c r="R47" s="8"/>
      <c r="T47"/>
    </row>
    <row r="48" spans="2:20" ht="23.1" customHeight="1" x14ac:dyDescent="0.25">
      <c r="B48" s="24" t="s">
        <v>75</v>
      </c>
      <c r="C48" s="50">
        <v>10</v>
      </c>
      <c r="D48" s="50">
        <v>0</v>
      </c>
      <c r="E48" s="50">
        <v>1</v>
      </c>
      <c r="F48" s="50">
        <v>6</v>
      </c>
      <c r="G48" s="50">
        <v>0</v>
      </c>
      <c r="H48" s="50">
        <v>0</v>
      </c>
      <c r="I48" s="50">
        <v>4</v>
      </c>
      <c r="J48" s="50">
        <v>2</v>
      </c>
      <c r="K48" s="50">
        <v>0</v>
      </c>
      <c r="L48" s="50">
        <v>0</v>
      </c>
      <c r="M48" s="50">
        <v>55</v>
      </c>
      <c r="N48" s="50">
        <v>0</v>
      </c>
      <c r="O48" s="15">
        <f t="shared" si="0"/>
        <v>23</v>
      </c>
      <c r="P48" s="15">
        <f t="shared" si="1"/>
        <v>78</v>
      </c>
      <c r="R48" s="8"/>
      <c r="T48"/>
    </row>
    <row r="49" spans="2:20" ht="23.1" customHeight="1" x14ac:dyDescent="0.25">
      <c r="B49" s="23" t="s">
        <v>76</v>
      </c>
      <c r="C49" s="50">
        <v>9</v>
      </c>
      <c r="D49" s="50">
        <v>5</v>
      </c>
      <c r="E49" s="50">
        <v>2</v>
      </c>
      <c r="F49" s="50">
        <v>4</v>
      </c>
      <c r="G49" s="50">
        <v>0</v>
      </c>
      <c r="H49" s="50">
        <v>0</v>
      </c>
      <c r="I49" s="50">
        <v>2</v>
      </c>
      <c r="J49" s="50">
        <v>2</v>
      </c>
      <c r="K49" s="50">
        <v>0</v>
      </c>
      <c r="L49" s="50">
        <v>0</v>
      </c>
      <c r="M49" s="50">
        <v>49</v>
      </c>
      <c r="N49" s="50">
        <v>0</v>
      </c>
      <c r="O49" s="15">
        <f t="shared" si="0"/>
        <v>24</v>
      </c>
      <c r="P49" s="15">
        <f t="shared" si="1"/>
        <v>73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2</v>
      </c>
      <c r="E50" s="50">
        <v>2</v>
      </c>
      <c r="F50" s="50">
        <v>1</v>
      </c>
      <c r="G50" s="50">
        <v>0</v>
      </c>
      <c r="H50" s="50">
        <v>0</v>
      </c>
      <c r="I50" s="50">
        <v>1</v>
      </c>
      <c r="J50" s="50">
        <v>4</v>
      </c>
      <c r="K50" s="50">
        <v>0</v>
      </c>
      <c r="L50" s="50">
        <v>0</v>
      </c>
      <c r="M50" s="50">
        <v>48</v>
      </c>
      <c r="N50" s="50">
        <v>0</v>
      </c>
      <c r="O50" s="15">
        <f t="shared" si="0"/>
        <v>15</v>
      </c>
      <c r="P50" s="15">
        <f t="shared" si="1"/>
        <v>63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3</v>
      </c>
      <c r="E51" s="50">
        <v>3</v>
      </c>
      <c r="F51" s="50">
        <v>3</v>
      </c>
      <c r="G51" s="50">
        <v>0</v>
      </c>
      <c r="H51" s="50">
        <v>0</v>
      </c>
      <c r="I51" s="50">
        <v>0</v>
      </c>
      <c r="J51" s="50">
        <v>3</v>
      </c>
      <c r="K51" s="50">
        <v>0</v>
      </c>
      <c r="L51" s="50">
        <v>0</v>
      </c>
      <c r="M51" s="50">
        <v>48</v>
      </c>
      <c r="N51" s="50">
        <v>0</v>
      </c>
      <c r="O51" s="15">
        <f t="shared" si="0"/>
        <v>16</v>
      </c>
      <c r="P51" s="15">
        <f t="shared" si="1"/>
        <v>64</v>
      </c>
      <c r="R51" s="8"/>
      <c r="T51"/>
    </row>
    <row r="52" spans="2:20" ht="23.1" customHeight="1" x14ac:dyDescent="0.25">
      <c r="B52" s="24" t="s">
        <v>79</v>
      </c>
      <c r="C52" s="50">
        <v>7</v>
      </c>
      <c r="D52" s="50">
        <v>1</v>
      </c>
      <c r="E52" s="50">
        <v>3</v>
      </c>
      <c r="F52" s="50">
        <v>1</v>
      </c>
      <c r="G52" s="50">
        <v>0</v>
      </c>
      <c r="H52" s="50">
        <v>0</v>
      </c>
      <c r="I52" s="50">
        <v>2</v>
      </c>
      <c r="J52" s="50">
        <v>0</v>
      </c>
      <c r="K52" s="50">
        <v>0</v>
      </c>
      <c r="L52" s="50">
        <v>0</v>
      </c>
      <c r="M52" s="50">
        <v>54</v>
      </c>
      <c r="N52" s="50">
        <v>0</v>
      </c>
      <c r="O52" s="15">
        <f t="shared" si="0"/>
        <v>14</v>
      </c>
      <c r="P52" s="15">
        <f t="shared" si="1"/>
        <v>68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1</v>
      </c>
      <c r="E53" s="50">
        <v>2</v>
      </c>
      <c r="F53" s="50">
        <v>7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37</v>
      </c>
      <c r="N53" s="50">
        <v>0</v>
      </c>
      <c r="O53" s="15">
        <f t="shared" si="0"/>
        <v>19</v>
      </c>
      <c r="P53" s="15">
        <f t="shared" si="1"/>
        <v>56</v>
      </c>
      <c r="R53" s="8"/>
      <c r="T53"/>
    </row>
    <row r="54" spans="2:20" ht="23.1" customHeight="1" x14ac:dyDescent="0.25">
      <c r="B54" s="23" t="s">
        <v>81</v>
      </c>
      <c r="C54" s="50">
        <v>10</v>
      </c>
      <c r="D54" s="50">
        <v>2</v>
      </c>
      <c r="E54" s="50">
        <v>0</v>
      </c>
      <c r="F54" s="50">
        <v>1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49</v>
      </c>
      <c r="N54" s="50">
        <v>0</v>
      </c>
      <c r="O54" s="15">
        <f t="shared" si="0"/>
        <v>13</v>
      </c>
      <c r="P54" s="15">
        <f t="shared" si="1"/>
        <v>62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1</v>
      </c>
      <c r="E55" s="50">
        <v>3</v>
      </c>
      <c r="F55" s="50">
        <v>5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41</v>
      </c>
      <c r="N55" s="50">
        <v>0</v>
      </c>
      <c r="O55" s="15">
        <f t="shared" si="0"/>
        <v>26</v>
      </c>
      <c r="P55" s="15">
        <f t="shared" si="1"/>
        <v>67</v>
      </c>
      <c r="R55" s="8"/>
      <c r="T55"/>
    </row>
    <row r="56" spans="2:20" ht="23.1" customHeight="1" x14ac:dyDescent="0.25">
      <c r="B56" s="23" t="s">
        <v>83</v>
      </c>
      <c r="C56" s="50">
        <v>12</v>
      </c>
      <c r="D56" s="50">
        <v>2</v>
      </c>
      <c r="E56" s="50">
        <v>3</v>
      </c>
      <c r="F56" s="50">
        <v>5</v>
      </c>
      <c r="G56" s="50">
        <v>0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46</v>
      </c>
      <c r="N56" s="50">
        <v>0</v>
      </c>
      <c r="O56" s="15">
        <f t="shared" si="0"/>
        <v>26</v>
      </c>
      <c r="P56" s="15">
        <f t="shared" si="1"/>
        <v>72</v>
      </c>
      <c r="R56" s="8"/>
      <c r="T56"/>
    </row>
    <row r="57" spans="2:20" ht="23.1" customHeight="1" x14ac:dyDescent="0.25">
      <c r="B57" s="23" t="s">
        <v>84</v>
      </c>
      <c r="C57" s="50">
        <v>14</v>
      </c>
      <c r="D57" s="50">
        <v>2</v>
      </c>
      <c r="E57" s="50">
        <v>0</v>
      </c>
      <c r="F57" s="50">
        <v>3</v>
      </c>
      <c r="G57" s="50">
        <v>0</v>
      </c>
      <c r="H57" s="50">
        <v>0</v>
      </c>
      <c r="I57" s="50">
        <v>2</v>
      </c>
      <c r="J57" s="50">
        <v>1</v>
      </c>
      <c r="K57" s="50">
        <v>0</v>
      </c>
      <c r="L57" s="50">
        <v>0</v>
      </c>
      <c r="M57" s="50">
        <v>48</v>
      </c>
      <c r="N57" s="50">
        <v>0</v>
      </c>
      <c r="O57" s="15">
        <f t="shared" si="0"/>
        <v>22</v>
      </c>
      <c r="P57" s="15">
        <f t="shared" si="1"/>
        <v>70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396</v>
      </c>
      <c r="D58" s="16">
        <f t="shared" si="21"/>
        <v>100</v>
      </c>
      <c r="E58" s="16">
        <f t="shared" si="21"/>
        <v>92</v>
      </c>
      <c r="F58" s="16">
        <f t="shared" si="21"/>
        <v>141</v>
      </c>
      <c r="G58" s="16">
        <f t="shared" si="21"/>
        <v>2</v>
      </c>
      <c r="H58" s="16">
        <f t="shared" si="21"/>
        <v>0</v>
      </c>
      <c r="I58" s="16">
        <f t="shared" si="21"/>
        <v>81</v>
      </c>
      <c r="J58" s="16">
        <f t="shared" si="21"/>
        <v>92</v>
      </c>
      <c r="K58" s="16">
        <f t="shared" si="21"/>
        <v>4</v>
      </c>
      <c r="L58" s="16">
        <f t="shared" si="21"/>
        <v>2</v>
      </c>
      <c r="M58" s="16">
        <f t="shared" si="21"/>
        <v>1723</v>
      </c>
      <c r="N58" s="16">
        <f t="shared" si="21"/>
        <v>0</v>
      </c>
      <c r="O58" s="16">
        <f t="shared" si="21"/>
        <v>910</v>
      </c>
      <c r="P58" s="16">
        <f t="shared" si="21"/>
        <v>2633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0.15039878465628562</v>
      </c>
      <c r="D59" s="43">
        <f t="shared" si="22"/>
        <v>3.7979491074819599E-2</v>
      </c>
      <c r="E59" s="43">
        <f t="shared" si="22"/>
        <v>3.4941131788834033E-2</v>
      </c>
      <c r="F59" s="43">
        <f t="shared" si="22"/>
        <v>5.3551082415495631E-2</v>
      </c>
      <c r="G59" s="43">
        <f t="shared" si="22"/>
        <v>7.5958982149639193E-4</v>
      </c>
      <c r="H59" s="43">
        <f t="shared" si="22"/>
        <v>0</v>
      </c>
      <c r="I59" s="43">
        <f t="shared" si="22"/>
        <v>3.0763387770603876E-2</v>
      </c>
      <c r="J59" s="43">
        <f t="shared" si="22"/>
        <v>3.4941131788834033E-2</v>
      </c>
      <c r="K59" s="43">
        <f t="shared" si="22"/>
        <v>1.5191796429927839E-3</v>
      </c>
      <c r="L59" s="43">
        <f t="shared" si="22"/>
        <v>7.5958982149639193E-4</v>
      </c>
      <c r="M59" s="43">
        <f t="shared" si="22"/>
        <v>0.65438663121914165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0.43516483516483517</v>
      </c>
      <c r="D60" s="44">
        <f t="shared" ref="D60:N60" si="23">D58/$O$58</f>
        <v>0.10989010989010989</v>
      </c>
      <c r="E60" s="44">
        <f t="shared" si="23"/>
        <v>0.1010989010989011</v>
      </c>
      <c r="F60" s="44">
        <f t="shared" si="23"/>
        <v>0.15494505494505495</v>
      </c>
      <c r="G60" s="44">
        <f t="shared" si="23"/>
        <v>2.1978021978021978E-3</v>
      </c>
      <c r="H60" s="44">
        <f t="shared" si="23"/>
        <v>0</v>
      </c>
      <c r="I60" s="44">
        <f t="shared" si="23"/>
        <v>8.9010989010989014E-2</v>
      </c>
      <c r="J60" s="44">
        <f t="shared" si="23"/>
        <v>0.1010989010989011</v>
      </c>
      <c r="K60" s="44">
        <f t="shared" si="23"/>
        <v>4.3956043956043956E-3</v>
      </c>
      <c r="L60" s="44">
        <f t="shared" si="23"/>
        <v>2.1978021978021978E-3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zoomScale="60" workbookViewId="0">
      <selection activeCell="M7" sqref="M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Isingiro-Mbarara'!C3:G3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177</v>
      </c>
      <c r="E5" s="3"/>
      <c r="F5" s="41" t="s">
        <v>1</v>
      </c>
      <c r="G5" s="55" t="str">
        <f>'28.10 Isingiro-Mbarara-24Hr'!G5:H5</f>
        <v>KASENYI</v>
      </c>
      <c r="H5" s="56"/>
      <c r="I5" s="14"/>
      <c r="J5" s="2" t="s">
        <v>5</v>
      </c>
      <c r="K5" s="55" t="s">
        <v>167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tr">
        <f>'25.10 Isingiro-Mbarara'!D6:E6</f>
        <v>ISINGIRO</v>
      </c>
      <c r="E6" s="56"/>
      <c r="F6" s="2" t="s">
        <v>2</v>
      </c>
      <c r="G6" s="55" t="str">
        <f>'25.10 Isingiro-Mbarara'!G6:H6</f>
        <v>MBARARA</v>
      </c>
      <c r="H6" s="56"/>
      <c r="J6" s="2" t="s">
        <v>21</v>
      </c>
      <c r="K6" s="55" t="str">
        <f>'28.10 Isingiro-Mbarara-24Hr'!K6:L6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2</v>
      </c>
      <c r="G10" s="50">
        <v>0</v>
      </c>
      <c r="H10" s="50">
        <v>0</v>
      </c>
      <c r="I10" s="50">
        <v>1</v>
      </c>
      <c r="J10" s="50">
        <v>0</v>
      </c>
      <c r="K10" s="50">
        <v>0</v>
      </c>
      <c r="L10" s="50">
        <v>0</v>
      </c>
      <c r="M10" s="50">
        <v>38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45</v>
      </c>
      <c r="R10" s="1" t="s">
        <v>6</v>
      </c>
      <c r="S10" s="17">
        <f t="shared" ref="S10:AF10" si="2">SUM(C10:C13)</f>
        <v>36</v>
      </c>
      <c r="T10" s="17">
        <f t="shared" si="2"/>
        <v>2</v>
      </c>
      <c r="U10" s="17">
        <f t="shared" si="2"/>
        <v>3</v>
      </c>
      <c r="V10" s="17">
        <f t="shared" si="2"/>
        <v>9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201</v>
      </c>
      <c r="AD10" s="17">
        <f t="shared" si="2"/>
        <v>0</v>
      </c>
      <c r="AE10" s="31">
        <f t="shared" si="2"/>
        <v>58</v>
      </c>
      <c r="AF10" s="31">
        <f t="shared" si="2"/>
        <v>259</v>
      </c>
    </row>
    <row r="11" spans="2:32" s="6" customFormat="1" ht="23.1" customHeight="1" x14ac:dyDescent="0.25">
      <c r="B11" s="23" t="s">
        <v>38</v>
      </c>
      <c r="C11" s="50">
        <v>6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45</v>
      </c>
      <c r="N11" s="50">
        <v>0</v>
      </c>
      <c r="O11" s="15">
        <f t="shared" si="0"/>
        <v>12</v>
      </c>
      <c r="P11" s="15">
        <f t="shared" si="1"/>
        <v>57</v>
      </c>
      <c r="R11" s="1" t="s">
        <v>7</v>
      </c>
      <c r="S11" s="17">
        <f t="shared" ref="S11:AF11" si="3">SUM(C14:C17)</f>
        <v>45</v>
      </c>
      <c r="T11" s="17">
        <f t="shared" si="3"/>
        <v>4</v>
      </c>
      <c r="U11" s="17">
        <f t="shared" si="3"/>
        <v>1</v>
      </c>
      <c r="V11" s="17">
        <f t="shared" si="3"/>
        <v>21</v>
      </c>
      <c r="W11" s="17">
        <f t="shared" si="3"/>
        <v>0</v>
      </c>
      <c r="X11" s="17">
        <f t="shared" si="3"/>
        <v>0</v>
      </c>
      <c r="Y11" s="17">
        <f t="shared" si="3"/>
        <v>4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205</v>
      </c>
      <c r="AD11" s="17">
        <f t="shared" si="3"/>
        <v>0</v>
      </c>
      <c r="AE11" s="31">
        <f t="shared" si="3"/>
        <v>80</v>
      </c>
      <c r="AF11" s="31">
        <f t="shared" si="3"/>
        <v>285</v>
      </c>
    </row>
    <row r="12" spans="2:32" ht="23.1" customHeight="1" x14ac:dyDescent="0.25">
      <c r="B12" s="23" t="s">
        <v>39</v>
      </c>
      <c r="C12" s="50">
        <v>13</v>
      </c>
      <c r="D12" s="50">
        <v>1</v>
      </c>
      <c r="E12" s="50">
        <v>1</v>
      </c>
      <c r="F12" s="50">
        <v>1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0</v>
      </c>
      <c r="M12" s="50">
        <v>63</v>
      </c>
      <c r="N12" s="50">
        <v>0</v>
      </c>
      <c r="O12" s="15">
        <f t="shared" si="0"/>
        <v>18</v>
      </c>
      <c r="P12" s="15">
        <f t="shared" si="1"/>
        <v>81</v>
      </c>
      <c r="R12" s="1" t="s">
        <v>8</v>
      </c>
      <c r="S12" s="17">
        <f t="shared" ref="S12:AF12" si="4">SUM(C18:C21)</f>
        <v>43</v>
      </c>
      <c r="T12" s="17">
        <f t="shared" si="4"/>
        <v>5</v>
      </c>
      <c r="U12" s="17">
        <f t="shared" si="4"/>
        <v>9</v>
      </c>
      <c r="V12" s="17">
        <f t="shared" si="4"/>
        <v>24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170</v>
      </c>
      <c r="AD12" s="17">
        <f t="shared" si="4"/>
        <v>0</v>
      </c>
      <c r="AE12" s="31">
        <f t="shared" si="4"/>
        <v>89</v>
      </c>
      <c r="AF12" s="31">
        <f t="shared" si="4"/>
        <v>259</v>
      </c>
    </row>
    <row r="13" spans="2:32" ht="23.1" customHeight="1" x14ac:dyDescent="0.25">
      <c r="B13" s="23" t="s">
        <v>40</v>
      </c>
      <c r="C13" s="50">
        <v>14</v>
      </c>
      <c r="D13" s="50">
        <v>1</v>
      </c>
      <c r="E13" s="50">
        <v>0</v>
      </c>
      <c r="F13" s="50">
        <v>4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55</v>
      </c>
      <c r="N13" s="50">
        <v>0</v>
      </c>
      <c r="O13" s="15">
        <f t="shared" si="0"/>
        <v>21</v>
      </c>
      <c r="P13" s="15">
        <f t="shared" si="1"/>
        <v>76</v>
      </c>
      <c r="R13" s="1" t="s">
        <v>9</v>
      </c>
      <c r="S13" s="17">
        <f t="shared" ref="S13:AF13" si="5">SUM(C22:C25)</f>
        <v>47</v>
      </c>
      <c r="T13" s="17">
        <f t="shared" si="5"/>
        <v>4</v>
      </c>
      <c r="U13" s="17">
        <f t="shared" si="5"/>
        <v>8</v>
      </c>
      <c r="V13" s="17">
        <f t="shared" si="5"/>
        <v>23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11</v>
      </c>
      <c r="AA13" s="17">
        <f t="shared" si="5"/>
        <v>1</v>
      </c>
      <c r="AB13" s="17">
        <f t="shared" si="5"/>
        <v>1</v>
      </c>
      <c r="AC13" s="17">
        <f t="shared" si="5"/>
        <v>130</v>
      </c>
      <c r="AD13" s="17">
        <f t="shared" si="5"/>
        <v>1</v>
      </c>
      <c r="AE13" s="31">
        <f t="shared" si="5"/>
        <v>103</v>
      </c>
      <c r="AF13" s="31">
        <f t="shared" si="5"/>
        <v>233</v>
      </c>
    </row>
    <row r="14" spans="2:32" ht="23.1" customHeight="1" x14ac:dyDescent="0.25">
      <c r="B14" s="23" t="s">
        <v>41</v>
      </c>
      <c r="C14" s="50">
        <v>15</v>
      </c>
      <c r="D14" s="50">
        <v>2</v>
      </c>
      <c r="E14" s="50">
        <v>0</v>
      </c>
      <c r="F14" s="50">
        <v>9</v>
      </c>
      <c r="G14" s="50">
        <v>0</v>
      </c>
      <c r="H14" s="50">
        <v>0</v>
      </c>
      <c r="I14" s="50">
        <v>0</v>
      </c>
      <c r="J14" s="50">
        <v>2</v>
      </c>
      <c r="K14" s="50">
        <v>0</v>
      </c>
      <c r="L14" s="50">
        <v>0</v>
      </c>
      <c r="M14" s="50">
        <v>58</v>
      </c>
      <c r="N14" s="50">
        <v>0</v>
      </c>
      <c r="O14" s="15">
        <f t="shared" si="0"/>
        <v>28</v>
      </c>
      <c r="P14" s="15">
        <f t="shared" si="1"/>
        <v>86</v>
      </c>
      <c r="R14" s="1" t="s">
        <v>10</v>
      </c>
      <c r="S14" s="17">
        <f t="shared" ref="S14:AF14" si="6">SUM(C26:C29)</f>
        <v>31</v>
      </c>
      <c r="T14" s="17">
        <f t="shared" si="6"/>
        <v>6</v>
      </c>
      <c r="U14" s="17">
        <f t="shared" si="6"/>
        <v>6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5</v>
      </c>
      <c r="AA14" s="17">
        <f t="shared" si="6"/>
        <v>1</v>
      </c>
      <c r="AB14" s="17">
        <f t="shared" si="6"/>
        <v>2</v>
      </c>
      <c r="AC14" s="17">
        <f t="shared" si="6"/>
        <v>53</v>
      </c>
      <c r="AD14" s="17">
        <f t="shared" si="6"/>
        <v>0</v>
      </c>
      <c r="AE14" s="31">
        <f t="shared" si="6"/>
        <v>68</v>
      </c>
      <c r="AF14" s="31">
        <f t="shared" si="6"/>
        <v>121</v>
      </c>
    </row>
    <row r="15" spans="2:32" ht="23.1" customHeight="1" x14ac:dyDescent="0.25">
      <c r="B15" s="23" t="s">
        <v>42</v>
      </c>
      <c r="C15" s="50">
        <v>11</v>
      </c>
      <c r="D15" s="50">
        <v>1</v>
      </c>
      <c r="E15" s="50">
        <v>1</v>
      </c>
      <c r="F15" s="50">
        <v>3</v>
      </c>
      <c r="G15" s="50">
        <v>0</v>
      </c>
      <c r="H15" s="50">
        <v>0</v>
      </c>
      <c r="I15" s="50">
        <v>3</v>
      </c>
      <c r="J15" s="50">
        <v>1</v>
      </c>
      <c r="K15" s="50">
        <v>0</v>
      </c>
      <c r="L15" s="50">
        <v>0</v>
      </c>
      <c r="M15" s="50">
        <v>60</v>
      </c>
      <c r="N15" s="50">
        <v>0</v>
      </c>
      <c r="O15" s="15">
        <f t="shared" si="0"/>
        <v>20</v>
      </c>
      <c r="P15" s="15">
        <f t="shared" si="1"/>
        <v>80</v>
      </c>
      <c r="R15" s="1" t="s">
        <v>11</v>
      </c>
      <c r="S15" s="17">
        <f t="shared" ref="S15:AF15" si="7">SUM(C30:C33)</f>
        <v>30</v>
      </c>
      <c r="T15" s="17">
        <f t="shared" si="7"/>
        <v>6</v>
      </c>
      <c r="U15" s="17">
        <f t="shared" si="7"/>
        <v>6</v>
      </c>
      <c r="V15" s="17">
        <f t="shared" si="7"/>
        <v>6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66</v>
      </c>
      <c r="AD15" s="17">
        <f t="shared" si="7"/>
        <v>0</v>
      </c>
      <c r="AE15" s="31">
        <f t="shared" si="7"/>
        <v>56</v>
      </c>
      <c r="AF15" s="31">
        <f t="shared" si="7"/>
        <v>122</v>
      </c>
    </row>
    <row r="16" spans="2:32" ht="23.1" customHeight="1" x14ac:dyDescent="0.25">
      <c r="B16" s="23" t="s">
        <v>43</v>
      </c>
      <c r="C16" s="50">
        <v>11</v>
      </c>
      <c r="D16" s="50">
        <v>0</v>
      </c>
      <c r="E16" s="50">
        <v>0</v>
      </c>
      <c r="F16" s="50">
        <v>3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43</v>
      </c>
      <c r="N16" s="50">
        <v>0</v>
      </c>
      <c r="O16" s="15">
        <f t="shared" si="0"/>
        <v>16</v>
      </c>
      <c r="P16" s="15">
        <f t="shared" si="1"/>
        <v>59</v>
      </c>
      <c r="R16" s="1" t="s">
        <v>12</v>
      </c>
      <c r="S16" s="17">
        <f t="shared" ref="S16:AF16" si="8">SUM(C34:C37)</f>
        <v>27</v>
      </c>
      <c r="T16" s="17">
        <f t="shared" si="8"/>
        <v>4</v>
      </c>
      <c r="U16" s="17">
        <f t="shared" si="8"/>
        <v>4</v>
      </c>
      <c r="V16" s="17">
        <f t="shared" si="8"/>
        <v>5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2</v>
      </c>
      <c r="AA16" s="17">
        <f t="shared" si="8"/>
        <v>0</v>
      </c>
      <c r="AB16" s="17">
        <f t="shared" si="8"/>
        <v>1</v>
      </c>
      <c r="AC16" s="17">
        <f t="shared" si="8"/>
        <v>97</v>
      </c>
      <c r="AD16" s="17">
        <f t="shared" si="8"/>
        <v>0</v>
      </c>
      <c r="AE16" s="31">
        <f t="shared" si="8"/>
        <v>51</v>
      </c>
      <c r="AF16" s="31">
        <f t="shared" si="8"/>
        <v>148</v>
      </c>
    </row>
    <row r="17" spans="2:32" ht="23.1" customHeight="1" x14ac:dyDescent="0.25">
      <c r="B17" s="23" t="s">
        <v>44</v>
      </c>
      <c r="C17" s="50">
        <v>8</v>
      </c>
      <c r="D17" s="50">
        <v>1</v>
      </c>
      <c r="E17" s="50">
        <v>0</v>
      </c>
      <c r="F17" s="50">
        <v>6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44</v>
      </c>
      <c r="N17" s="50">
        <v>0</v>
      </c>
      <c r="O17" s="15">
        <f t="shared" si="0"/>
        <v>16</v>
      </c>
      <c r="P17" s="15">
        <f t="shared" si="1"/>
        <v>60</v>
      </c>
      <c r="R17" s="1" t="s">
        <v>13</v>
      </c>
      <c r="S17" s="17">
        <f t="shared" ref="S17:AF17" si="9">SUM(C38:C41)</f>
        <v>37</v>
      </c>
      <c r="T17" s="17">
        <f t="shared" si="9"/>
        <v>7</v>
      </c>
      <c r="U17" s="17">
        <f t="shared" si="9"/>
        <v>9</v>
      </c>
      <c r="V17" s="17">
        <f t="shared" si="9"/>
        <v>9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172</v>
      </c>
      <c r="AD17" s="17">
        <f t="shared" si="9"/>
        <v>0</v>
      </c>
      <c r="AE17" s="31">
        <f t="shared" si="9"/>
        <v>71</v>
      </c>
      <c r="AF17" s="31">
        <f t="shared" si="9"/>
        <v>243</v>
      </c>
    </row>
    <row r="18" spans="2:32" ht="23.1" customHeight="1" x14ac:dyDescent="0.25">
      <c r="B18" s="23" t="s">
        <v>45</v>
      </c>
      <c r="C18" s="50">
        <v>13</v>
      </c>
      <c r="D18" s="50">
        <v>1</v>
      </c>
      <c r="E18" s="50">
        <v>2</v>
      </c>
      <c r="F18" s="50">
        <v>10</v>
      </c>
      <c r="G18" s="50">
        <v>0</v>
      </c>
      <c r="H18" s="50">
        <v>0</v>
      </c>
      <c r="I18" s="50">
        <v>2</v>
      </c>
      <c r="J18" s="50">
        <v>2</v>
      </c>
      <c r="K18" s="50">
        <v>0</v>
      </c>
      <c r="L18" s="50">
        <v>0</v>
      </c>
      <c r="M18" s="50">
        <v>38</v>
      </c>
      <c r="N18" s="50">
        <v>0</v>
      </c>
      <c r="O18" s="15">
        <f t="shared" si="0"/>
        <v>30</v>
      </c>
      <c r="P18" s="15">
        <f t="shared" si="1"/>
        <v>68</v>
      </c>
      <c r="R18" s="1" t="s">
        <v>14</v>
      </c>
      <c r="S18" s="17">
        <f t="shared" ref="S18:AF18" si="10">SUM(C42:C45)</f>
        <v>37</v>
      </c>
      <c r="T18" s="17">
        <f t="shared" si="10"/>
        <v>6</v>
      </c>
      <c r="U18" s="17">
        <f t="shared" si="10"/>
        <v>8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193</v>
      </c>
      <c r="AD18" s="17">
        <f t="shared" si="10"/>
        <v>0</v>
      </c>
      <c r="AE18" s="31">
        <f t="shared" si="10"/>
        <v>76</v>
      </c>
      <c r="AF18" s="31">
        <f t="shared" si="10"/>
        <v>269</v>
      </c>
    </row>
    <row r="19" spans="2:32" ht="23.1" customHeight="1" x14ac:dyDescent="0.25">
      <c r="B19" s="23" t="s">
        <v>46</v>
      </c>
      <c r="C19" s="50">
        <v>11</v>
      </c>
      <c r="D19" s="50">
        <v>1</v>
      </c>
      <c r="E19" s="50">
        <v>3</v>
      </c>
      <c r="F19" s="50">
        <v>6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41</v>
      </c>
      <c r="N19" s="50">
        <v>0</v>
      </c>
      <c r="O19" s="15">
        <f t="shared" si="0"/>
        <v>22</v>
      </c>
      <c r="P19" s="15">
        <f t="shared" si="1"/>
        <v>63</v>
      </c>
      <c r="R19" s="1" t="s">
        <v>15</v>
      </c>
      <c r="S19" s="17">
        <f t="shared" ref="S19:AF19" si="11">SUM(C46:C49)</f>
        <v>33</v>
      </c>
      <c r="T19" s="17">
        <f t="shared" si="11"/>
        <v>12</v>
      </c>
      <c r="U19" s="17">
        <f t="shared" si="11"/>
        <v>10</v>
      </c>
      <c r="V19" s="17">
        <f t="shared" si="11"/>
        <v>8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5</v>
      </c>
      <c r="AA19" s="17">
        <f t="shared" si="11"/>
        <v>0</v>
      </c>
      <c r="AB19" s="17">
        <f t="shared" si="11"/>
        <v>2</v>
      </c>
      <c r="AC19" s="17">
        <f t="shared" si="11"/>
        <v>175</v>
      </c>
      <c r="AD19" s="17">
        <f t="shared" si="11"/>
        <v>0</v>
      </c>
      <c r="AE19" s="31">
        <f t="shared" si="11"/>
        <v>77</v>
      </c>
      <c r="AF19" s="31">
        <f t="shared" si="11"/>
        <v>252</v>
      </c>
    </row>
    <row r="20" spans="2:32" ht="23.1" customHeight="1" x14ac:dyDescent="0.25">
      <c r="B20" s="23" t="s">
        <v>47</v>
      </c>
      <c r="C20" s="50">
        <v>10</v>
      </c>
      <c r="D20" s="50">
        <v>1</v>
      </c>
      <c r="E20" s="50">
        <v>2</v>
      </c>
      <c r="F20" s="50">
        <v>1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47</v>
      </c>
      <c r="N20" s="50">
        <v>0</v>
      </c>
      <c r="O20" s="15">
        <f t="shared" si="0"/>
        <v>17</v>
      </c>
      <c r="P20" s="15">
        <f t="shared" si="1"/>
        <v>64</v>
      </c>
      <c r="R20" s="1" t="s">
        <v>16</v>
      </c>
      <c r="S20" s="17">
        <f t="shared" ref="S20:AF20" si="12">SUM(C50:C53)</f>
        <v>45</v>
      </c>
      <c r="T20" s="17">
        <f t="shared" si="12"/>
        <v>12</v>
      </c>
      <c r="U20" s="17">
        <f t="shared" si="12"/>
        <v>7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11</v>
      </c>
      <c r="AA20" s="17">
        <f t="shared" si="12"/>
        <v>1</v>
      </c>
      <c r="AB20" s="17">
        <f t="shared" si="12"/>
        <v>0</v>
      </c>
      <c r="AC20" s="17">
        <f t="shared" si="12"/>
        <v>171</v>
      </c>
      <c r="AD20" s="17">
        <f t="shared" si="12"/>
        <v>0</v>
      </c>
      <c r="AE20" s="31">
        <f t="shared" si="12"/>
        <v>95</v>
      </c>
      <c r="AF20" s="31">
        <f t="shared" si="12"/>
        <v>266</v>
      </c>
    </row>
    <row r="21" spans="2:32" ht="23.1" customHeight="1" x14ac:dyDescent="0.25">
      <c r="B21" s="23" t="s">
        <v>48</v>
      </c>
      <c r="C21" s="50">
        <v>9</v>
      </c>
      <c r="D21" s="50">
        <v>2</v>
      </c>
      <c r="E21" s="50">
        <v>2</v>
      </c>
      <c r="F21" s="50">
        <v>7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44</v>
      </c>
      <c r="N21" s="50">
        <v>0</v>
      </c>
      <c r="O21" s="15">
        <f t="shared" si="0"/>
        <v>20</v>
      </c>
      <c r="P21" s="15">
        <f t="shared" si="1"/>
        <v>64</v>
      </c>
      <c r="R21" s="36" t="s">
        <v>20</v>
      </c>
      <c r="S21" s="34">
        <f t="shared" ref="S21:AF21" si="13">SUM(C54:C57)</f>
        <v>57</v>
      </c>
      <c r="T21" s="17">
        <f t="shared" si="13"/>
        <v>9</v>
      </c>
      <c r="U21" s="17">
        <f t="shared" si="13"/>
        <v>7</v>
      </c>
      <c r="V21" s="17">
        <f t="shared" si="13"/>
        <v>9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10</v>
      </c>
      <c r="AA21" s="17">
        <f t="shared" si="13"/>
        <v>1</v>
      </c>
      <c r="AB21" s="17">
        <f t="shared" si="13"/>
        <v>2</v>
      </c>
      <c r="AC21" s="17">
        <f t="shared" si="13"/>
        <v>214</v>
      </c>
      <c r="AD21" s="17">
        <f t="shared" si="13"/>
        <v>0</v>
      </c>
      <c r="AE21" s="31">
        <f t="shared" si="13"/>
        <v>104</v>
      </c>
      <c r="AF21" s="31">
        <f t="shared" si="13"/>
        <v>318</v>
      </c>
    </row>
    <row r="22" spans="2:32" ht="23.1" customHeight="1" x14ac:dyDescent="0.25">
      <c r="B22" s="23" t="s">
        <v>49</v>
      </c>
      <c r="C22" s="50">
        <v>12</v>
      </c>
      <c r="D22" s="50">
        <v>1</v>
      </c>
      <c r="E22" s="50">
        <v>2</v>
      </c>
      <c r="F22" s="50">
        <v>8</v>
      </c>
      <c r="G22" s="50">
        <v>0</v>
      </c>
      <c r="H22" s="50">
        <v>0</v>
      </c>
      <c r="I22" s="50">
        <v>0</v>
      </c>
      <c r="J22" s="50">
        <v>2</v>
      </c>
      <c r="K22" s="50">
        <v>0</v>
      </c>
      <c r="L22" s="50">
        <v>0</v>
      </c>
      <c r="M22" s="50">
        <v>44</v>
      </c>
      <c r="N22" s="50">
        <v>0</v>
      </c>
      <c r="O22" s="15">
        <f t="shared" si="0"/>
        <v>25</v>
      </c>
      <c r="P22" s="15">
        <f t="shared" si="1"/>
        <v>69</v>
      </c>
      <c r="R22" s="38" t="s">
        <v>90</v>
      </c>
      <c r="S22" s="39">
        <f>MAX(S10:S12)</f>
        <v>45</v>
      </c>
      <c r="T22" s="39">
        <f t="shared" ref="T22:AF22" si="14">MAX(T10:T12)</f>
        <v>5</v>
      </c>
      <c r="U22" s="39">
        <f t="shared" si="14"/>
        <v>9</v>
      </c>
      <c r="V22" s="39">
        <f t="shared" si="14"/>
        <v>24</v>
      </c>
      <c r="W22" s="39">
        <f t="shared" si="14"/>
        <v>0</v>
      </c>
      <c r="X22" s="39">
        <f t="shared" si="14"/>
        <v>0</v>
      </c>
      <c r="Y22" s="39">
        <f t="shared" si="14"/>
        <v>5</v>
      </c>
      <c r="Z22" s="39">
        <f t="shared" si="14"/>
        <v>5</v>
      </c>
      <c r="AA22" s="39">
        <f t="shared" si="14"/>
        <v>0</v>
      </c>
      <c r="AB22" s="39">
        <f t="shared" si="14"/>
        <v>0</v>
      </c>
      <c r="AC22" s="39">
        <f t="shared" si="14"/>
        <v>205</v>
      </c>
      <c r="AD22" s="39">
        <f t="shared" si="14"/>
        <v>0</v>
      </c>
      <c r="AE22" s="40">
        <f t="shared" si="14"/>
        <v>89</v>
      </c>
      <c r="AF22" s="40">
        <f t="shared" si="14"/>
        <v>285</v>
      </c>
    </row>
    <row r="23" spans="2:32" ht="23.1" customHeight="1" x14ac:dyDescent="0.25">
      <c r="B23" s="23" t="s">
        <v>50</v>
      </c>
      <c r="C23" s="50">
        <v>11</v>
      </c>
      <c r="D23" s="50">
        <v>1</v>
      </c>
      <c r="E23" s="50">
        <v>1</v>
      </c>
      <c r="F23" s="50">
        <v>6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1</v>
      </c>
      <c r="M23" s="50">
        <v>42</v>
      </c>
      <c r="N23" s="50">
        <v>0</v>
      </c>
      <c r="O23" s="15">
        <f t="shared" si="0"/>
        <v>25</v>
      </c>
      <c r="P23" s="15">
        <f t="shared" si="1"/>
        <v>67</v>
      </c>
      <c r="R23" s="38" t="s">
        <v>91</v>
      </c>
      <c r="S23" s="39">
        <f>MAX(S13:S18)</f>
        <v>47</v>
      </c>
      <c r="T23" s="39">
        <f t="shared" ref="T23:AF23" si="15">MAX(T13:T18)</f>
        <v>7</v>
      </c>
      <c r="U23" s="39">
        <f t="shared" si="15"/>
        <v>9</v>
      </c>
      <c r="V23" s="39">
        <f t="shared" si="15"/>
        <v>23</v>
      </c>
      <c r="W23" s="39">
        <f t="shared" si="15"/>
        <v>0</v>
      </c>
      <c r="X23" s="39">
        <f t="shared" si="15"/>
        <v>0</v>
      </c>
      <c r="Y23" s="39">
        <f t="shared" si="15"/>
        <v>8</v>
      </c>
      <c r="Z23" s="39">
        <f t="shared" si="15"/>
        <v>11</v>
      </c>
      <c r="AA23" s="39">
        <f t="shared" si="15"/>
        <v>1</v>
      </c>
      <c r="AB23" s="39">
        <f t="shared" si="15"/>
        <v>2</v>
      </c>
      <c r="AC23" s="39">
        <f t="shared" si="15"/>
        <v>193</v>
      </c>
      <c r="AD23" s="39">
        <f t="shared" si="15"/>
        <v>1</v>
      </c>
      <c r="AE23" s="40">
        <f t="shared" si="15"/>
        <v>103</v>
      </c>
      <c r="AF23" s="40">
        <f t="shared" si="15"/>
        <v>269</v>
      </c>
    </row>
    <row r="24" spans="2:32" ht="23.1" customHeight="1" x14ac:dyDescent="0.25">
      <c r="B24" s="23" t="s">
        <v>51</v>
      </c>
      <c r="C24" s="50">
        <v>10</v>
      </c>
      <c r="D24" s="50">
        <v>1</v>
      </c>
      <c r="E24" s="50">
        <v>0</v>
      </c>
      <c r="F24" s="50">
        <v>7</v>
      </c>
      <c r="G24" s="50">
        <v>0</v>
      </c>
      <c r="H24" s="50">
        <v>0</v>
      </c>
      <c r="I24" s="50">
        <v>1</v>
      </c>
      <c r="J24" s="50">
        <v>4</v>
      </c>
      <c r="K24" s="50">
        <v>0</v>
      </c>
      <c r="L24" s="50">
        <v>0</v>
      </c>
      <c r="M24" s="50">
        <v>25</v>
      </c>
      <c r="N24" s="50">
        <v>1</v>
      </c>
      <c r="O24" s="15">
        <f t="shared" si="0"/>
        <v>24</v>
      </c>
      <c r="P24" s="15">
        <f t="shared" si="1"/>
        <v>49</v>
      </c>
      <c r="R24" s="38" t="s">
        <v>92</v>
      </c>
      <c r="S24" s="39">
        <f>MAX(S19:S21)</f>
        <v>57</v>
      </c>
      <c r="T24" s="39">
        <f t="shared" ref="T24:AF24" si="16">MAX(T19:T21)</f>
        <v>12</v>
      </c>
      <c r="U24" s="39">
        <f t="shared" si="16"/>
        <v>10</v>
      </c>
      <c r="V24" s="39">
        <f t="shared" si="16"/>
        <v>12</v>
      </c>
      <c r="W24" s="39">
        <f t="shared" si="16"/>
        <v>1</v>
      </c>
      <c r="X24" s="39">
        <f t="shared" si="16"/>
        <v>0</v>
      </c>
      <c r="Y24" s="39">
        <f t="shared" si="16"/>
        <v>9</v>
      </c>
      <c r="Z24" s="39">
        <f t="shared" si="16"/>
        <v>11</v>
      </c>
      <c r="AA24" s="39">
        <f t="shared" si="16"/>
        <v>1</v>
      </c>
      <c r="AB24" s="39">
        <f t="shared" si="16"/>
        <v>2</v>
      </c>
      <c r="AC24" s="39">
        <f t="shared" si="16"/>
        <v>214</v>
      </c>
      <c r="AD24" s="39">
        <f t="shared" si="16"/>
        <v>0</v>
      </c>
      <c r="AE24" s="40">
        <f t="shared" si="16"/>
        <v>104</v>
      </c>
      <c r="AF24" s="40">
        <f t="shared" si="16"/>
        <v>318</v>
      </c>
    </row>
    <row r="25" spans="2:32" ht="23.1" customHeight="1" x14ac:dyDescent="0.25">
      <c r="B25" s="23" t="s">
        <v>52</v>
      </c>
      <c r="C25" s="50">
        <v>14</v>
      </c>
      <c r="D25" s="50">
        <v>1</v>
      </c>
      <c r="E25" s="50">
        <v>5</v>
      </c>
      <c r="F25" s="50">
        <v>2</v>
      </c>
      <c r="G25" s="50">
        <v>0</v>
      </c>
      <c r="H25" s="50">
        <v>0</v>
      </c>
      <c r="I25" s="50">
        <v>3</v>
      </c>
      <c r="J25" s="50">
        <v>3</v>
      </c>
      <c r="K25" s="50">
        <v>1</v>
      </c>
      <c r="L25" s="50">
        <v>0</v>
      </c>
      <c r="M25" s="50">
        <v>19</v>
      </c>
      <c r="N25" s="50">
        <v>0</v>
      </c>
      <c r="O25" s="15">
        <f t="shared" si="0"/>
        <v>29</v>
      </c>
      <c r="P25" s="15">
        <f t="shared" si="1"/>
        <v>48</v>
      </c>
      <c r="R25" s="37" t="s">
        <v>85</v>
      </c>
      <c r="S25" s="35">
        <f t="shared" ref="S25:AF25" si="17">SUM(S10:S12)</f>
        <v>124</v>
      </c>
      <c r="T25" s="16">
        <f t="shared" si="17"/>
        <v>11</v>
      </c>
      <c r="U25" s="16">
        <f t="shared" si="17"/>
        <v>13</v>
      </c>
      <c r="V25" s="16">
        <f t="shared" si="17"/>
        <v>54</v>
      </c>
      <c r="W25" s="16">
        <f t="shared" si="17"/>
        <v>0</v>
      </c>
      <c r="X25" s="16">
        <f t="shared" si="17"/>
        <v>0</v>
      </c>
      <c r="Y25" s="16">
        <f t="shared" si="17"/>
        <v>14</v>
      </c>
      <c r="Z25" s="16">
        <f t="shared" si="17"/>
        <v>11</v>
      </c>
      <c r="AA25" s="16">
        <f t="shared" si="17"/>
        <v>0</v>
      </c>
      <c r="AB25" s="16">
        <f t="shared" si="17"/>
        <v>0</v>
      </c>
      <c r="AC25" s="16">
        <f t="shared" si="17"/>
        <v>576</v>
      </c>
      <c r="AD25" s="16">
        <f t="shared" si="17"/>
        <v>0</v>
      </c>
      <c r="AE25" s="32">
        <f t="shared" si="17"/>
        <v>227</v>
      </c>
      <c r="AF25" s="32">
        <f t="shared" si="17"/>
        <v>803</v>
      </c>
    </row>
    <row r="26" spans="2:32" ht="23.1" customHeight="1" x14ac:dyDescent="0.25">
      <c r="B26" s="23" t="s">
        <v>53</v>
      </c>
      <c r="C26" s="50">
        <v>8</v>
      </c>
      <c r="D26" s="50">
        <v>0</v>
      </c>
      <c r="E26" s="50">
        <v>3</v>
      </c>
      <c r="F26" s="50">
        <v>4</v>
      </c>
      <c r="G26" s="50">
        <v>0</v>
      </c>
      <c r="H26" s="50">
        <v>0</v>
      </c>
      <c r="I26" s="50">
        <v>1</v>
      </c>
      <c r="J26" s="50">
        <v>1</v>
      </c>
      <c r="K26" s="50">
        <v>0</v>
      </c>
      <c r="L26" s="50">
        <v>1</v>
      </c>
      <c r="M26" s="50">
        <v>24</v>
      </c>
      <c r="N26" s="50">
        <v>0</v>
      </c>
      <c r="O26" s="15">
        <f t="shared" si="0"/>
        <v>18</v>
      </c>
      <c r="P26" s="15">
        <f t="shared" si="1"/>
        <v>42</v>
      </c>
      <c r="R26" s="28" t="s">
        <v>86</v>
      </c>
      <c r="S26" s="16">
        <f t="shared" ref="S26:AF26" si="18">SUM(S13:S18)</f>
        <v>209</v>
      </c>
      <c r="T26" s="16">
        <f t="shared" si="18"/>
        <v>33</v>
      </c>
      <c r="U26" s="16">
        <f t="shared" si="18"/>
        <v>41</v>
      </c>
      <c r="V26" s="16">
        <f t="shared" si="18"/>
        <v>67</v>
      </c>
      <c r="W26" s="16">
        <f t="shared" si="18"/>
        <v>0</v>
      </c>
      <c r="X26" s="16">
        <f t="shared" si="18"/>
        <v>0</v>
      </c>
      <c r="Y26" s="16">
        <f t="shared" si="18"/>
        <v>38</v>
      </c>
      <c r="Z26" s="16">
        <f t="shared" si="18"/>
        <v>30</v>
      </c>
      <c r="AA26" s="16">
        <f t="shared" si="18"/>
        <v>2</v>
      </c>
      <c r="AB26" s="16">
        <f t="shared" si="18"/>
        <v>4</v>
      </c>
      <c r="AC26" s="16">
        <f t="shared" si="18"/>
        <v>711</v>
      </c>
      <c r="AD26" s="16">
        <f t="shared" si="18"/>
        <v>1</v>
      </c>
      <c r="AE26" s="32">
        <f t="shared" si="18"/>
        <v>425</v>
      </c>
      <c r="AF26" s="32">
        <f t="shared" si="18"/>
        <v>1136</v>
      </c>
    </row>
    <row r="27" spans="2:32" ht="23.1" customHeight="1" x14ac:dyDescent="0.25">
      <c r="B27" s="23" t="s">
        <v>54</v>
      </c>
      <c r="C27" s="50">
        <v>9</v>
      </c>
      <c r="D27" s="50">
        <v>2</v>
      </c>
      <c r="E27" s="50">
        <v>1</v>
      </c>
      <c r="F27" s="50">
        <v>2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10</v>
      </c>
      <c r="N27" s="50">
        <v>0</v>
      </c>
      <c r="O27" s="15">
        <f t="shared" si="0"/>
        <v>18</v>
      </c>
      <c r="P27" s="15">
        <f t="shared" si="1"/>
        <v>28</v>
      </c>
      <c r="R27" s="29" t="s">
        <v>87</v>
      </c>
      <c r="S27" s="16">
        <f t="shared" ref="S27:AF27" si="19">SUM(S19:S21)</f>
        <v>135</v>
      </c>
      <c r="T27" s="16">
        <f t="shared" si="19"/>
        <v>33</v>
      </c>
      <c r="U27" s="16">
        <f t="shared" si="19"/>
        <v>24</v>
      </c>
      <c r="V27" s="16">
        <f t="shared" si="19"/>
        <v>29</v>
      </c>
      <c r="W27" s="16">
        <f t="shared" si="19"/>
        <v>1</v>
      </c>
      <c r="X27" s="16">
        <f t="shared" si="19"/>
        <v>0</v>
      </c>
      <c r="Y27" s="16">
        <f t="shared" si="19"/>
        <v>22</v>
      </c>
      <c r="Z27" s="16">
        <f t="shared" si="19"/>
        <v>26</v>
      </c>
      <c r="AA27" s="16">
        <f t="shared" si="19"/>
        <v>2</v>
      </c>
      <c r="AB27" s="16">
        <f t="shared" si="19"/>
        <v>4</v>
      </c>
      <c r="AC27" s="16">
        <f t="shared" si="19"/>
        <v>560</v>
      </c>
      <c r="AD27" s="16">
        <f t="shared" si="19"/>
        <v>0</v>
      </c>
      <c r="AE27" s="32">
        <f t="shared" si="19"/>
        <v>276</v>
      </c>
      <c r="AF27" s="32">
        <f t="shared" si="19"/>
        <v>836</v>
      </c>
    </row>
    <row r="28" spans="2:32" ht="23.1" customHeight="1" x14ac:dyDescent="0.25">
      <c r="B28" s="23" t="s">
        <v>55</v>
      </c>
      <c r="C28" s="50">
        <v>10</v>
      </c>
      <c r="D28" s="50">
        <v>1</v>
      </c>
      <c r="E28" s="50">
        <v>1</v>
      </c>
      <c r="F28" s="50">
        <v>3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1</v>
      </c>
      <c r="M28" s="50">
        <v>10</v>
      </c>
      <c r="N28" s="50">
        <v>0</v>
      </c>
      <c r="O28" s="15">
        <f t="shared" si="0"/>
        <v>20</v>
      </c>
      <c r="P28" s="15">
        <f t="shared" si="1"/>
        <v>30</v>
      </c>
      <c r="R28" s="5" t="s">
        <v>17</v>
      </c>
      <c r="S28" s="16">
        <f t="shared" ref="S28:AF28" si="20">SUM(S10:S21)</f>
        <v>468</v>
      </c>
      <c r="T28" s="16">
        <f t="shared" si="20"/>
        <v>77</v>
      </c>
      <c r="U28" s="16">
        <f t="shared" si="20"/>
        <v>78</v>
      </c>
      <c r="V28" s="16">
        <f t="shared" si="20"/>
        <v>150</v>
      </c>
      <c r="W28" s="16">
        <f t="shared" si="20"/>
        <v>1</v>
      </c>
      <c r="X28" s="16">
        <f t="shared" si="20"/>
        <v>0</v>
      </c>
      <c r="Y28" s="16">
        <f t="shared" si="20"/>
        <v>74</v>
      </c>
      <c r="Z28" s="16">
        <f t="shared" si="20"/>
        <v>67</v>
      </c>
      <c r="AA28" s="16">
        <f t="shared" si="20"/>
        <v>4</v>
      </c>
      <c r="AB28" s="16">
        <f t="shared" si="20"/>
        <v>8</v>
      </c>
      <c r="AC28" s="16">
        <f t="shared" si="20"/>
        <v>1847</v>
      </c>
      <c r="AD28" s="16">
        <f t="shared" si="20"/>
        <v>1</v>
      </c>
      <c r="AE28" s="32">
        <f t="shared" si="20"/>
        <v>928</v>
      </c>
      <c r="AF28" s="32">
        <f t="shared" si="20"/>
        <v>2775</v>
      </c>
    </row>
    <row r="29" spans="2:32" ht="23.1" customHeight="1" x14ac:dyDescent="0.25">
      <c r="B29" s="23" t="s">
        <v>56</v>
      </c>
      <c r="C29" s="50">
        <v>4</v>
      </c>
      <c r="D29" s="50">
        <v>3</v>
      </c>
      <c r="E29" s="50">
        <v>1</v>
      </c>
      <c r="F29" s="50">
        <v>3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9</v>
      </c>
      <c r="N29" s="50">
        <v>0</v>
      </c>
      <c r="O29" s="15">
        <f t="shared" si="0"/>
        <v>12</v>
      </c>
      <c r="P29" s="15">
        <f t="shared" si="1"/>
        <v>21</v>
      </c>
      <c r="R29"/>
      <c r="S29" s="20"/>
      <c r="T29" s="19"/>
    </row>
    <row r="30" spans="2:32" ht="23.1" customHeight="1" x14ac:dyDescent="0.25">
      <c r="B30" s="23" t="s">
        <v>57</v>
      </c>
      <c r="C30" s="50">
        <v>9</v>
      </c>
      <c r="D30" s="50">
        <v>0</v>
      </c>
      <c r="E30" s="50">
        <v>3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15</v>
      </c>
      <c r="P30" s="15">
        <f t="shared" si="1"/>
        <v>26</v>
      </c>
    </row>
    <row r="31" spans="2:32" ht="23.1" customHeight="1" x14ac:dyDescent="0.25">
      <c r="B31" s="24" t="s">
        <v>58</v>
      </c>
      <c r="C31" s="50">
        <v>6</v>
      </c>
      <c r="D31" s="50">
        <v>2</v>
      </c>
      <c r="E31" s="50">
        <v>2</v>
      </c>
      <c r="F31" s="50">
        <v>1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9</v>
      </c>
      <c r="N31" s="50">
        <v>0</v>
      </c>
      <c r="O31" s="15">
        <f t="shared" si="0"/>
        <v>15</v>
      </c>
      <c r="P31" s="15">
        <f t="shared" si="1"/>
        <v>24</v>
      </c>
    </row>
    <row r="32" spans="2:32" ht="23.1" customHeight="1" x14ac:dyDescent="0.25">
      <c r="B32" s="24" t="s">
        <v>59</v>
      </c>
      <c r="C32" s="50">
        <v>9</v>
      </c>
      <c r="D32" s="50">
        <v>4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17</v>
      </c>
      <c r="N32" s="50">
        <v>0</v>
      </c>
      <c r="O32" s="15">
        <f t="shared" si="0"/>
        <v>15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1</v>
      </c>
      <c r="F33" s="50">
        <v>3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29</v>
      </c>
      <c r="N33" s="50">
        <v>0</v>
      </c>
      <c r="O33" s="15">
        <f t="shared" si="0"/>
        <v>11</v>
      </c>
      <c r="P33" s="15">
        <f t="shared" si="1"/>
        <v>40</v>
      </c>
    </row>
    <row r="34" spans="2:20" ht="23.1" customHeight="1" x14ac:dyDescent="0.25">
      <c r="B34" s="24" t="s">
        <v>61</v>
      </c>
      <c r="C34" s="50">
        <v>8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18</v>
      </c>
      <c r="N34" s="50">
        <v>0</v>
      </c>
      <c r="O34" s="15">
        <f t="shared" si="0"/>
        <v>13</v>
      </c>
      <c r="P34" s="15">
        <f t="shared" si="1"/>
        <v>31</v>
      </c>
    </row>
    <row r="35" spans="2:20" ht="23.1" customHeight="1" x14ac:dyDescent="0.25">
      <c r="B35" s="24" t="s">
        <v>62</v>
      </c>
      <c r="C35" s="50">
        <v>7</v>
      </c>
      <c r="D35" s="50">
        <v>2</v>
      </c>
      <c r="E35" s="50">
        <v>1</v>
      </c>
      <c r="F35" s="50">
        <v>0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1</v>
      </c>
      <c r="M35" s="50">
        <v>34</v>
      </c>
      <c r="N35" s="50">
        <v>0</v>
      </c>
      <c r="O35" s="15">
        <f t="shared" si="0"/>
        <v>14</v>
      </c>
      <c r="P35" s="15">
        <f t="shared" si="1"/>
        <v>48</v>
      </c>
    </row>
    <row r="36" spans="2:20" ht="23.1" customHeight="1" x14ac:dyDescent="0.25">
      <c r="B36" s="24" t="s">
        <v>63</v>
      </c>
      <c r="C36" s="50">
        <v>7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20</v>
      </c>
      <c r="N36" s="50">
        <v>0</v>
      </c>
      <c r="O36" s="15">
        <f t="shared" si="0"/>
        <v>13</v>
      </c>
      <c r="P36" s="15">
        <f t="shared" si="1"/>
        <v>33</v>
      </c>
    </row>
    <row r="37" spans="2:20" ht="23.1" customHeight="1" x14ac:dyDescent="0.25">
      <c r="B37" s="23" t="s">
        <v>64</v>
      </c>
      <c r="C37" s="50">
        <v>5</v>
      </c>
      <c r="D37" s="50">
        <v>1</v>
      </c>
      <c r="E37" s="50">
        <v>1</v>
      </c>
      <c r="F37" s="50">
        <v>1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25</v>
      </c>
      <c r="N37" s="50">
        <v>0</v>
      </c>
      <c r="O37" s="15">
        <f t="shared" si="0"/>
        <v>11</v>
      </c>
      <c r="P37" s="15">
        <f t="shared" si="1"/>
        <v>36</v>
      </c>
    </row>
    <row r="38" spans="2:20" ht="23.1" customHeight="1" x14ac:dyDescent="0.25">
      <c r="B38" s="24" t="s">
        <v>65</v>
      </c>
      <c r="C38" s="50">
        <v>14</v>
      </c>
      <c r="D38" s="50">
        <v>1</v>
      </c>
      <c r="E38" s="50">
        <v>2</v>
      </c>
      <c r="F38" s="50">
        <v>2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47</v>
      </c>
      <c r="N38" s="50">
        <v>0</v>
      </c>
      <c r="O38" s="15">
        <f t="shared" si="0"/>
        <v>23</v>
      </c>
      <c r="P38" s="15">
        <f t="shared" si="1"/>
        <v>70</v>
      </c>
    </row>
    <row r="39" spans="2:20" ht="23.1" customHeight="1" x14ac:dyDescent="0.25">
      <c r="B39" s="24" t="s">
        <v>66</v>
      </c>
      <c r="C39" s="50">
        <v>10</v>
      </c>
      <c r="D39" s="50">
        <v>1</v>
      </c>
      <c r="E39" s="50">
        <v>3</v>
      </c>
      <c r="F39" s="50">
        <v>3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49</v>
      </c>
      <c r="N39" s="50">
        <v>0</v>
      </c>
      <c r="O39" s="15">
        <f t="shared" si="0"/>
        <v>19</v>
      </c>
      <c r="P39" s="15">
        <f t="shared" si="1"/>
        <v>68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3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38</v>
      </c>
      <c r="N40" s="50">
        <v>0</v>
      </c>
      <c r="O40" s="15">
        <f t="shared" si="0"/>
        <v>13</v>
      </c>
      <c r="P40" s="15">
        <f t="shared" si="1"/>
        <v>51</v>
      </c>
    </row>
    <row r="41" spans="2:20" ht="23.1" customHeight="1" x14ac:dyDescent="0.25">
      <c r="B41" s="23" t="s">
        <v>68</v>
      </c>
      <c r="C41" s="50">
        <v>7</v>
      </c>
      <c r="D41" s="50">
        <v>4</v>
      </c>
      <c r="E41" s="50">
        <v>1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38</v>
      </c>
      <c r="N41" s="50">
        <v>0</v>
      </c>
      <c r="O41" s="15">
        <f t="shared" si="0"/>
        <v>16</v>
      </c>
      <c r="P41" s="15">
        <f t="shared" si="1"/>
        <v>54</v>
      </c>
    </row>
    <row r="42" spans="2:20" ht="23.1" customHeight="1" x14ac:dyDescent="0.25">
      <c r="B42" s="24" t="s">
        <v>69</v>
      </c>
      <c r="C42" s="50">
        <v>6</v>
      </c>
      <c r="D42" s="50">
        <v>4</v>
      </c>
      <c r="E42" s="50">
        <v>5</v>
      </c>
      <c r="F42" s="50">
        <v>4</v>
      </c>
      <c r="G42" s="50">
        <v>0</v>
      </c>
      <c r="H42" s="50">
        <v>0</v>
      </c>
      <c r="I42" s="50">
        <v>1</v>
      </c>
      <c r="J42" s="50">
        <v>1</v>
      </c>
      <c r="K42" s="50">
        <v>0</v>
      </c>
      <c r="L42" s="50">
        <v>0</v>
      </c>
      <c r="M42" s="50">
        <v>41</v>
      </c>
      <c r="N42" s="50">
        <v>0</v>
      </c>
      <c r="O42" s="15">
        <f t="shared" si="0"/>
        <v>21</v>
      </c>
      <c r="P42" s="15">
        <f t="shared" si="1"/>
        <v>62</v>
      </c>
    </row>
    <row r="43" spans="2:20" ht="23.1" customHeight="1" x14ac:dyDescent="0.25">
      <c r="B43" s="23" t="s">
        <v>70</v>
      </c>
      <c r="C43" s="50">
        <v>10</v>
      </c>
      <c r="D43" s="50">
        <v>1</v>
      </c>
      <c r="E43" s="50">
        <v>1</v>
      </c>
      <c r="F43" s="50">
        <v>4</v>
      </c>
      <c r="G43" s="50">
        <v>0</v>
      </c>
      <c r="H43" s="50">
        <v>0</v>
      </c>
      <c r="I43" s="50">
        <v>4</v>
      </c>
      <c r="J43" s="50">
        <v>1</v>
      </c>
      <c r="K43" s="50">
        <v>0</v>
      </c>
      <c r="L43" s="50">
        <v>0</v>
      </c>
      <c r="M43" s="50">
        <v>56</v>
      </c>
      <c r="N43" s="50">
        <v>0</v>
      </c>
      <c r="O43" s="15">
        <f t="shared" si="0"/>
        <v>21</v>
      </c>
      <c r="P43" s="15">
        <f t="shared" si="1"/>
        <v>77</v>
      </c>
    </row>
    <row r="44" spans="2:20" ht="23.1" customHeight="1" x14ac:dyDescent="0.25">
      <c r="B44" s="25" t="s">
        <v>71</v>
      </c>
      <c r="C44" s="50">
        <v>13</v>
      </c>
      <c r="D44" s="50">
        <v>0</v>
      </c>
      <c r="E44" s="50">
        <v>1</v>
      </c>
      <c r="F44" s="50">
        <v>2</v>
      </c>
      <c r="G44" s="50">
        <v>0</v>
      </c>
      <c r="H44" s="50">
        <v>0</v>
      </c>
      <c r="I44" s="50">
        <v>2</v>
      </c>
      <c r="J44" s="50">
        <v>3</v>
      </c>
      <c r="K44" s="50">
        <v>0</v>
      </c>
      <c r="L44" s="50">
        <v>0</v>
      </c>
      <c r="M44" s="50">
        <v>53</v>
      </c>
      <c r="N44" s="50">
        <v>0</v>
      </c>
      <c r="O44" s="15">
        <f t="shared" si="0"/>
        <v>21</v>
      </c>
      <c r="P44" s="15">
        <f t="shared" si="1"/>
        <v>74</v>
      </c>
    </row>
    <row r="45" spans="2:20" ht="23.1" customHeight="1" x14ac:dyDescent="0.25">
      <c r="B45" s="23" t="s">
        <v>72</v>
      </c>
      <c r="C45" s="50">
        <v>8</v>
      </c>
      <c r="D45" s="50">
        <v>1</v>
      </c>
      <c r="E45" s="50">
        <v>1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0</v>
      </c>
      <c r="L45" s="50">
        <v>0</v>
      </c>
      <c r="M45" s="50">
        <v>43</v>
      </c>
      <c r="N45" s="50">
        <v>0</v>
      </c>
      <c r="O45" s="15">
        <f t="shared" si="0"/>
        <v>13</v>
      </c>
      <c r="P45" s="15">
        <f t="shared" si="1"/>
        <v>56</v>
      </c>
    </row>
    <row r="46" spans="2:20" ht="23.1" customHeight="1" x14ac:dyDescent="0.25">
      <c r="B46" s="24" t="s">
        <v>73</v>
      </c>
      <c r="C46" s="50">
        <v>6</v>
      </c>
      <c r="D46" s="50">
        <v>3</v>
      </c>
      <c r="E46" s="50">
        <v>2</v>
      </c>
      <c r="F46" s="50">
        <v>1</v>
      </c>
      <c r="G46" s="50">
        <v>1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48</v>
      </c>
      <c r="N46" s="50">
        <v>0</v>
      </c>
      <c r="O46" s="15">
        <f t="shared" si="0"/>
        <v>17</v>
      </c>
      <c r="P46" s="15">
        <f t="shared" si="1"/>
        <v>65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2</v>
      </c>
      <c r="E47" s="50">
        <v>6</v>
      </c>
      <c r="F47" s="50">
        <v>4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48</v>
      </c>
      <c r="N47" s="50">
        <v>0</v>
      </c>
      <c r="O47" s="15">
        <f t="shared" si="0"/>
        <v>20</v>
      </c>
      <c r="P47" s="15">
        <f t="shared" si="1"/>
        <v>68</v>
      </c>
      <c r="R47" s="8"/>
      <c r="T47"/>
    </row>
    <row r="48" spans="2:20" ht="23.1" customHeight="1" x14ac:dyDescent="0.25">
      <c r="B48" s="24" t="s">
        <v>75</v>
      </c>
      <c r="C48" s="50">
        <v>13</v>
      </c>
      <c r="D48" s="50">
        <v>2</v>
      </c>
      <c r="E48" s="50">
        <v>1</v>
      </c>
      <c r="F48" s="50">
        <v>0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37</v>
      </c>
      <c r="N48" s="50">
        <v>0</v>
      </c>
      <c r="O48" s="15">
        <f t="shared" si="0"/>
        <v>18</v>
      </c>
      <c r="P48" s="15">
        <f t="shared" si="1"/>
        <v>55</v>
      </c>
      <c r="R48" s="8"/>
      <c r="T48"/>
    </row>
    <row r="49" spans="2:20" ht="23.1" customHeight="1" x14ac:dyDescent="0.25">
      <c r="B49" s="23" t="s">
        <v>76</v>
      </c>
      <c r="C49" s="50">
        <v>8</v>
      </c>
      <c r="D49" s="50">
        <v>5</v>
      </c>
      <c r="E49" s="50">
        <v>1</v>
      </c>
      <c r="F49" s="50">
        <v>3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2</v>
      </c>
      <c r="M49" s="50">
        <v>42</v>
      </c>
      <c r="N49" s="50">
        <v>0</v>
      </c>
      <c r="O49" s="15">
        <f t="shared" si="0"/>
        <v>22</v>
      </c>
      <c r="P49" s="15">
        <f t="shared" si="1"/>
        <v>64</v>
      </c>
      <c r="R49" s="8"/>
      <c r="T49"/>
    </row>
    <row r="50" spans="2:20" ht="23.1" customHeight="1" x14ac:dyDescent="0.25">
      <c r="B50" s="24" t="s">
        <v>77</v>
      </c>
      <c r="C50" s="50">
        <v>7</v>
      </c>
      <c r="D50" s="50">
        <v>1</v>
      </c>
      <c r="E50" s="50">
        <v>1</v>
      </c>
      <c r="F50" s="50">
        <v>3</v>
      </c>
      <c r="G50" s="50">
        <v>0</v>
      </c>
      <c r="H50" s="50">
        <v>0</v>
      </c>
      <c r="I50" s="50">
        <v>3</v>
      </c>
      <c r="J50" s="50">
        <v>1</v>
      </c>
      <c r="K50" s="50">
        <v>0</v>
      </c>
      <c r="L50" s="50">
        <v>0</v>
      </c>
      <c r="M50" s="50">
        <v>32</v>
      </c>
      <c r="N50" s="50">
        <v>0</v>
      </c>
      <c r="O50" s="15">
        <f t="shared" si="0"/>
        <v>16</v>
      </c>
      <c r="P50" s="15">
        <f t="shared" si="1"/>
        <v>48</v>
      </c>
      <c r="R50" s="8"/>
      <c r="T50"/>
    </row>
    <row r="51" spans="2:20" ht="23.1" customHeight="1" x14ac:dyDescent="0.25">
      <c r="B51" s="24" t="s">
        <v>78</v>
      </c>
      <c r="C51" s="50">
        <v>16</v>
      </c>
      <c r="D51" s="50">
        <v>5</v>
      </c>
      <c r="E51" s="50">
        <v>1</v>
      </c>
      <c r="F51" s="50">
        <v>1</v>
      </c>
      <c r="G51" s="50">
        <v>0</v>
      </c>
      <c r="H51" s="50">
        <v>0</v>
      </c>
      <c r="I51" s="50">
        <v>4</v>
      </c>
      <c r="J51" s="50">
        <v>4</v>
      </c>
      <c r="K51" s="50">
        <v>1</v>
      </c>
      <c r="L51" s="50">
        <v>0</v>
      </c>
      <c r="M51" s="50">
        <v>48</v>
      </c>
      <c r="N51" s="50">
        <v>0</v>
      </c>
      <c r="O51" s="15">
        <f t="shared" si="0"/>
        <v>32</v>
      </c>
      <c r="P51" s="15">
        <f t="shared" si="1"/>
        <v>80</v>
      </c>
      <c r="R51" s="8"/>
      <c r="T51"/>
    </row>
    <row r="52" spans="2:20" ht="23.1" customHeight="1" x14ac:dyDescent="0.25">
      <c r="B52" s="24" t="s">
        <v>79</v>
      </c>
      <c r="C52" s="50">
        <v>10</v>
      </c>
      <c r="D52" s="50">
        <v>3</v>
      </c>
      <c r="E52" s="50">
        <v>2</v>
      </c>
      <c r="F52" s="50">
        <v>5</v>
      </c>
      <c r="G52" s="50">
        <v>0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50</v>
      </c>
      <c r="N52" s="50">
        <v>0</v>
      </c>
      <c r="O52" s="15">
        <f t="shared" si="0"/>
        <v>22</v>
      </c>
      <c r="P52" s="15">
        <f t="shared" si="1"/>
        <v>72</v>
      </c>
      <c r="R52" s="8"/>
      <c r="T52"/>
    </row>
    <row r="53" spans="2:20" ht="23.1" customHeight="1" x14ac:dyDescent="0.25">
      <c r="B53" s="23" t="s">
        <v>80</v>
      </c>
      <c r="C53" s="50">
        <v>12</v>
      </c>
      <c r="D53" s="50">
        <v>3</v>
      </c>
      <c r="E53" s="50">
        <v>3</v>
      </c>
      <c r="F53" s="50">
        <v>3</v>
      </c>
      <c r="G53" s="50">
        <v>0</v>
      </c>
      <c r="H53" s="50">
        <v>0</v>
      </c>
      <c r="I53" s="50">
        <v>0</v>
      </c>
      <c r="J53" s="50">
        <v>4</v>
      </c>
      <c r="K53" s="50">
        <v>0</v>
      </c>
      <c r="L53" s="50">
        <v>0</v>
      </c>
      <c r="M53" s="50">
        <v>41</v>
      </c>
      <c r="N53" s="50">
        <v>0</v>
      </c>
      <c r="O53" s="15">
        <f t="shared" si="0"/>
        <v>25</v>
      </c>
      <c r="P53" s="15">
        <f t="shared" si="1"/>
        <v>66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3</v>
      </c>
      <c r="E54" s="50">
        <v>2</v>
      </c>
      <c r="F54" s="50">
        <v>2</v>
      </c>
      <c r="G54" s="50">
        <v>0</v>
      </c>
      <c r="H54" s="50">
        <v>0</v>
      </c>
      <c r="I54" s="50">
        <v>2</v>
      </c>
      <c r="J54" s="50">
        <v>3</v>
      </c>
      <c r="K54" s="50">
        <v>0</v>
      </c>
      <c r="L54" s="50">
        <v>1</v>
      </c>
      <c r="M54" s="50">
        <v>64</v>
      </c>
      <c r="N54" s="50">
        <v>0</v>
      </c>
      <c r="O54" s="15">
        <f t="shared" si="0"/>
        <v>22</v>
      </c>
      <c r="P54" s="15">
        <f t="shared" si="1"/>
        <v>86</v>
      </c>
      <c r="R54" s="8"/>
      <c r="T54"/>
    </row>
    <row r="55" spans="2:20" ht="23.1" customHeight="1" x14ac:dyDescent="0.25">
      <c r="B55" s="23" t="s">
        <v>82</v>
      </c>
      <c r="C55" s="50">
        <v>10</v>
      </c>
      <c r="D55" s="50">
        <v>1</v>
      </c>
      <c r="E55" s="50">
        <v>0</v>
      </c>
      <c r="F55" s="50">
        <v>2</v>
      </c>
      <c r="G55" s="50">
        <v>0</v>
      </c>
      <c r="H55" s="50">
        <v>0</v>
      </c>
      <c r="I55" s="50">
        <v>2</v>
      </c>
      <c r="J55" s="50">
        <v>3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18</v>
      </c>
      <c r="P55" s="15">
        <f t="shared" si="1"/>
        <v>68</v>
      </c>
      <c r="R55" s="8"/>
      <c r="T55"/>
    </row>
    <row r="56" spans="2:20" ht="23.1" customHeight="1" x14ac:dyDescent="0.25">
      <c r="B56" s="23" t="s">
        <v>83</v>
      </c>
      <c r="C56" s="50">
        <v>19</v>
      </c>
      <c r="D56" s="50">
        <v>1</v>
      </c>
      <c r="E56" s="50">
        <v>2</v>
      </c>
      <c r="F56" s="50">
        <v>2</v>
      </c>
      <c r="G56" s="50">
        <v>0</v>
      </c>
      <c r="H56" s="50">
        <v>0</v>
      </c>
      <c r="I56" s="50">
        <v>2</v>
      </c>
      <c r="J56" s="50">
        <v>3</v>
      </c>
      <c r="K56" s="50">
        <v>1</v>
      </c>
      <c r="L56" s="50">
        <v>0</v>
      </c>
      <c r="M56" s="50">
        <v>46</v>
      </c>
      <c r="N56" s="50">
        <v>0</v>
      </c>
      <c r="O56" s="15">
        <f t="shared" si="0"/>
        <v>30</v>
      </c>
      <c r="P56" s="15">
        <f t="shared" si="1"/>
        <v>76</v>
      </c>
      <c r="R56" s="8"/>
      <c r="T56"/>
    </row>
    <row r="57" spans="2:20" ht="23.1" customHeight="1" x14ac:dyDescent="0.25">
      <c r="B57" s="23" t="s">
        <v>84</v>
      </c>
      <c r="C57" s="50">
        <v>19</v>
      </c>
      <c r="D57" s="50">
        <v>4</v>
      </c>
      <c r="E57" s="50">
        <v>3</v>
      </c>
      <c r="F57" s="50">
        <v>3</v>
      </c>
      <c r="G57" s="50">
        <v>0</v>
      </c>
      <c r="H57" s="50">
        <v>0</v>
      </c>
      <c r="I57" s="50">
        <v>3</v>
      </c>
      <c r="J57" s="50">
        <v>1</v>
      </c>
      <c r="K57" s="50">
        <v>0</v>
      </c>
      <c r="L57" s="50">
        <v>1</v>
      </c>
      <c r="M57" s="50">
        <v>54</v>
      </c>
      <c r="N57" s="50">
        <v>0</v>
      </c>
      <c r="O57" s="15">
        <f t="shared" si="0"/>
        <v>34</v>
      </c>
      <c r="P57" s="15">
        <f t="shared" si="1"/>
        <v>88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468</v>
      </c>
      <c r="D58" s="16">
        <f t="shared" si="21"/>
        <v>77</v>
      </c>
      <c r="E58" s="16">
        <f t="shared" si="21"/>
        <v>78</v>
      </c>
      <c r="F58" s="16">
        <f t="shared" si="21"/>
        <v>150</v>
      </c>
      <c r="G58" s="16">
        <f t="shared" si="21"/>
        <v>1</v>
      </c>
      <c r="H58" s="16">
        <f t="shared" si="21"/>
        <v>0</v>
      </c>
      <c r="I58" s="16">
        <f t="shared" si="21"/>
        <v>74</v>
      </c>
      <c r="J58" s="16">
        <f t="shared" si="21"/>
        <v>67</v>
      </c>
      <c r="K58" s="16">
        <f t="shared" si="21"/>
        <v>4</v>
      </c>
      <c r="L58" s="16">
        <f t="shared" si="21"/>
        <v>8</v>
      </c>
      <c r="M58" s="16">
        <f t="shared" si="21"/>
        <v>1847</v>
      </c>
      <c r="N58" s="16">
        <f t="shared" si="21"/>
        <v>1</v>
      </c>
      <c r="O58" s="16">
        <f t="shared" si="21"/>
        <v>928</v>
      </c>
      <c r="P58" s="16">
        <f t="shared" si="21"/>
        <v>2775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0.16864864864864865</v>
      </c>
      <c r="D59" s="43">
        <f t="shared" si="22"/>
        <v>2.7747747747747749E-2</v>
      </c>
      <c r="E59" s="43">
        <f t="shared" si="22"/>
        <v>2.8108108108108109E-2</v>
      </c>
      <c r="F59" s="43">
        <f t="shared" si="22"/>
        <v>5.4054054054054057E-2</v>
      </c>
      <c r="G59" s="43">
        <f t="shared" si="22"/>
        <v>3.6036036036036037E-4</v>
      </c>
      <c r="H59" s="43">
        <f t="shared" si="22"/>
        <v>0</v>
      </c>
      <c r="I59" s="43">
        <f t="shared" si="22"/>
        <v>2.6666666666666668E-2</v>
      </c>
      <c r="J59" s="43">
        <f t="shared" si="22"/>
        <v>2.4144144144144144E-2</v>
      </c>
      <c r="K59" s="43">
        <f t="shared" si="22"/>
        <v>1.4414414414414415E-3</v>
      </c>
      <c r="L59" s="43">
        <f t="shared" si="22"/>
        <v>2.8828828828828829E-3</v>
      </c>
      <c r="M59" s="43">
        <f t="shared" si="22"/>
        <v>0.66558558558558556</v>
      </c>
      <c r="N59" s="43">
        <f t="shared" si="22"/>
        <v>3.6036036036036037E-4</v>
      </c>
      <c r="R59" s="8"/>
      <c r="T59"/>
    </row>
    <row r="60" spans="2:20" ht="23.1" customHeight="1" x14ac:dyDescent="0.25">
      <c r="B60" s="42" t="s">
        <v>94</v>
      </c>
      <c r="C60" s="44">
        <f>C58/$O$58</f>
        <v>0.50431034482758619</v>
      </c>
      <c r="D60" s="44">
        <f t="shared" ref="D60:N60" si="23">D58/$O$58</f>
        <v>8.2974137931034489E-2</v>
      </c>
      <c r="E60" s="44">
        <f t="shared" si="23"/>
        <v>8.4051724137931036E-2</v>
      </c>
      <c r="F60" s="44">
        <f t="shared" si="23"/>
        <v>0.16163793103448276</v>
      </c>
      <c r="G60" s="44">
        <f t="shared" si="23"/>
        <v>1.0775862068965517E-3</v>
      </c>
      <c r="H60" s="44">
        <f t="shared" si="23"/>
        <v>0</v>
      </c>
      <c r="I60" s="44">
        <f t="shared" si="23"/>
        <v>7.9741379310344834E-2</v>
      </c>
      <c r="J60" s="44">
        <f t="shared" si="23"/>
        <v>7.2198275862068964E-2</v>
      </c>
      <c r="K60" s="44">
        <f t="shared" si="23"/>
        <v>4.3103448275862068E-3</v>
      </c>
      <c r="L60" s="44">
        <f t="shared" si="23"/>
        <v>8.6206896551724137E-3</v>
      </c>
      <c r="M60" s="44"/>
      <c r="N60" s="44">
        <f t="shared" si="23"/>
        <v>1.0775862068965517E-3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zoomScale="60" workbookViewId="0">
      <selection activeCell="C57" sqref="C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0" t="str">
        <f>'25.10 Mbarara-Isingiro'!C3:G3</f>
        <v>MCC-C4-STN100A-MBARARA-ISINGIRO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'31.10 Isingiro-Mbarara'!D5</f>
        <v>31.10.2019</v>
      </c>
      <c r="E5" s="3"/>
      <c r="F5" s="41" t="s">
        <v>1</v>
      </c>
      <c r="G5" s="55" t="str">
        <f>'31.10 Isingiro-Mbarara'!G5:H5</f>
        <v>KASENYI</v>
      </c>
      <c r="H5" s="56"/>
      <c r="I5" s="14"/>
      <c r="J5" s="2" t="s">
        <v>5</v>
      </c>
      <c r="K5" s="55" t="s">
        <v>169</v>
      </c>
      <c r="L5" s="56"/>
      <c r="M5" s="10"/>
      <c r="N5" s="10"/>
      <c r="O5" s="3"/>
      <c r="P5" s="3"/>
    </row>
    <row r="6" spans="2:32" ht="23.25" customHeight="1" x14ac:dyDescent="0.25">
      <c r="C6" s="2" t="s">
        <v>4</v>
      </c>
      <c r="D6" s="55" t="s">
        <v>166</v>
      </c>
      <c r="E6" s="56"/>
      <c r="F6" s="2" t="s">
        <v>2</v>
      </c>
      <c r="G6" s="55" t="s">
        <v>164</v>
      </c>
      <c r="H6" s="56"/>
      <c r="J6" s="2" t="s">
        <v>21</v>
      </c>
      <c r="K6" s="55" t="str">
        <f>'31.10 Isingiro-Mbarara'!K6:L6</f>
        <v>MIREMBE RUTH</v>
      </c>
      <c r="L6" s="56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10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32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45</v>
      </c>
      <c r="R10" s="1" t="s">
        <v>6</v>
      </c>
      <c r="S10" s="17">
        <f t="shared" ref="S10:AF10" si="2">SUM(C10:C13)</f>
        <v>40</v>
      </c>
      <c r="T10" s="17">
        <f t="shared" si="2"/>
        <v>4</v>
      </c>
      <c r="U10" s="17">
        <f t="shared" si="2"/>
        <v>2</v>
      </c>
      <c r="V10" s="17">
        <f t="shared" si="2"/>
        <v>11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6</v>
      </c>
      <c r="AA10" s="17">
        <f t="shared" si="2"/>
        <v>2</v>
      </c>
      <c r="AB10" s="17">
        <f t="shared" si="2"/>
        <v>1</v>
      </c>
      <c r="AC10" s="17">
        <f t="shared" si="2"/>
        <v>152</v>
      </c>
      <c r="AD10" s="17">
        <f t="shared" si="2"/>
        <v>0</v>
      </c>
      <c r="AE10" s="31">
        <f t="shared" si="2"/>
        <v>69</v>
      </c>
      <c r="AF10" s="31">
        <f t="shared" si="2"/>
        <v>221</v>
      </c>
    </row>
    <row r="11" spans="2:32" s="6" customFormat="1" ht="23.1" customHeight="1" x14ac:dyDescent="0.25">
      <c r="B11" s="23" t="s">
        <v>38</v>
      </c>
      <c r="C11" s="50">
        <v>6</v>
      </c>
      <c r="D11" s="50">
        <v>1</v>
      </c>
      <c r="E11" s="50">
        <v>0</v>
      </c>
      <c r="F11" s="50">
        <v>4</v>
      </c>
      <c r="G11" s="50">
        <v>0</v>
      </c>
      <c r="H11" s="50">
        <v>0</v>
      </c>
      <c r="I11" s="50">
        <v>1</v>
      </c>
      <c r="J11" s="50">
        <v>1</v>
      </c>
      <c r="K11" s="50">
        <v>1</v>
      </c>
      <c r="L11" s="50">
        <v>0</v>
      </c>
      <c r="M11" s="50">
        <v>23</v>
      </c>
      <c r="N11" s="50">
        <v>0</v>
      </c>
      <c r="O11" s="15">
        <f t="shared" si="0"/>
        <v>14</v>
      </c>
      <c r="P11" s="15">
        <f t="shared" si="1"/>
        <v>37</v>
      </c>
      <c r="R11" s="1" t="s">
        <v>7</v>
      </c>
      <c r="S11" s="17">
        <f t="shared" ref="S11:AF11" si="3">SUM(C14:C17)</f>
        <v>37</v>
      </c>
      <c r="T11" s="17">
        <f t="shared" si="3"/>
        <v>12</v>
      </c>
      <c r="U11" s="17">
        <f t="shared" si="3"/>
        <v>9</v>
      </c>
      <c r="V11" s="17">
        <f t="shared" si="3"/>
        <v>10</v>
      </c>
      <c r="W11" s="17">
        <f t="shared" si="3"/>
        <v>1</v>
      </c>
      <c r="X11" s="17">
        <f t="shared" si="3"/>
        <v>0</v>
      </c>
      <c r="Y11" s="17">
        <f t="shared" si="3"/>
        <v>10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147</v>
      </c>
      <c r="AD11" s="17">
        <f t="shared" si="3"/>
        <v>0</v>
      </c>
      <c r="AE11" s="31">
        <f t="shared" si="3"/>
        <v>85</v>
      </c>
      <c r="AF11" s="31">
        <f t="shared" si="3"/>
        <v>232</v>
      </c>
    </row>
    <row r="12" spans="2:32" ht="23.1" customHeight="1" x14ac:dyDescent="0.25">
      <c r="B12" s="23" t="s">
        <v>39</v>
      </c>
      <c r="C12" s="50">
        <v>9</v>
      </c>
      <c r="D12" s="50">
        <v>2</v>
      </c>
      <c r="E12" s="50">
        <v>1</v>
      </c>
      <c r="F12" s="50">
        <v>3</v>
      </c>
      <c r="G12" s="50">
        <v>0</v>
      </c>
      <c r="H12" s="50">
        <v>0</v>
      </c>
      <c r="I12" s="50">
        <v>1</v>
      </c>
      <c r="J12" s="50">
        <v>2</v>
      </c>
      <c r="K12" s="50">
        <v>1</v>
      </c>
      <c r="L12" s="50">
        <v>1</v>
      </c>
      <c r="M12" s="50">
        <v>44</v>
      </c>
      <c r="N12" s="50">
        <v>0</v>
      </c>
      <c r="O12" s="15">
        <f t="shared" si="0"/>
        <v>20</v>
      </c>
      <c r="P12" s="15">
        <f t="shared" si="1"/>
        <v>64</v>
      </c>
      <c r="R12" s="1" t="s">
        <v>8</v>
      </c>
      <c r="S12" s="17">
        <f t="shared" ref="S12:AF12" si="4">SUM(C18:C21)</f>
        <v>40</v>
      </c>
      <c r="T12" s="17">
        <f t="shared" si="4"/>
        <v>11</v>
      </c>
      <c r="U12" s="17">
        <f t="shared" si="4"/>
        <v>12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10</v>
      </c>
      <c r="AA12" s="17">
        <f t="shared" si="4"/>
        <v>0</v>
      </c>
      <c r="AB12" s="17">
        <f t="shared" si="4"/>
        <v>2</v>
      </c>
      <c r="AC12" s="17">
        <f t="shared" si="4"/>
        <v>143</v>
      </c>
      <c r="AD12" s="17">
        <f t="shared" si="4"/>
        <v>0</v>
      </c>
      <c r="AE12" s="31">
        <f t="shared" si="4"/>
        <v>92</v>
      </c>
      <c r="AF12" s="31">
        <f t="shared" si="4"/>
        <v>235</v>
      </c>
    </row>
    <row r="13" spans="2:32" ht="23.1" customHeight="1" x14ac:dyDescent="0.25">
      <c r="B13" s="23" t="s">
        <v>40</v>
      </c>
      <c r="C13" s="50">
        <v>15</v>
      </c>
      <c r="D13" s="50">
        <v>1</v>
      </c>
      <c r="E13" s="50">
        <v>1</v>
      </c>
      <c r="F13" s="50">
        <v>2</v>
      </c>
      <c r="G13" s="50">
        <v>0</v>
      </c>
      <c r="H13" s="50">
        <v>0</v>
      </c>
      <c r="I13" s="50">
        <v>1</v>
      </c>
      <c r="J13" s="50">
        <v>2</v>
      </c>
      <c r="K13" s="50">
        <v>0</v>
      </c>
      <c r="L13" s="50">
        <v>0</v>
      </c>
      <c r="M13" s="50">
        <v>53</v>
      </c>
      <c r="N13" s="50">
        <v>0</v>
      </c>
      <c r="O13" s="15">
        <f t="shared" si="0"/>
        <v>22</v>
      </c>
      <c r="P13" s="15">
        <f t="shared" si="1"/>
        <v>75</v>
      </c>
      <c r="R13" s="1" t="s">
        <v>9</v>
      </c>
      <c r="S13" s="17">
        <f t="shared" ref="S13:AF13" si="5">SUM(C22:C25)</f>
        <v>27</v>
      </c>
      <c r="T13" s="17">
        <f t="shared" si="5"/>
        <v>10</v>
      </c>
      <c r="U13" s="17">
        <f t="shared" si="5"/>
        <v>11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13</v>
      </c>
      <c r="AA13" s="17">
        <f t="shared" si="5"/>
        <v>1</v>
      </c>
      <c r="AB13" s="17">
        <f t="shared" si="5"/>
        <v>0</v>
      </c>
      <c r="AC13" s="17">
        <f t="shared" si="5"/>
        <v>155</v>
      </c>
      <c r="AD13" s="17">
        <f t="shared" si="5"/>
        <v>0</v>
      </c>
      <c r="AE13" s="31">
        <f t="shared" si="5"/>
        <v>80</v>
      </c>
      <c r="AF13" s="31">
        <f t="shared" si="5"/>
        <v>235</v>
      </c>
    </row>
    <row r="14" spans="2:32" ht="23.1" customHeight="1" x14ac:dyDescent="0.25">
      <c r="B14" s="23" t="s">
        <v>41</v>
      </c>
      <c r="C14" s="50">
        <v>8</v>
      </c>
      <c r="D14" s="50">
        <v>2</v>
      </c>
      <c r="E14" s="50">
        <v>1</v>
      </c>
      <c r="F14" s="50">
        <v>2</v>
      </c>
      <c r="G14" s="50">
        <v>1</v>
      </c>
      <c r="H14" s="50">
        <v>0</v>
      </c>
      <c r="I14" s="50">
        <v>5</v>
      </c>
      <c r="J14" s="50">
        <v>0</v>
      </c>
      <c r="K14" s="50">
        <v>0</v>
      </c>
      <c r="L14" s="50">
        <v>0</v>
      </c>
      <c r="M14" s="50">
        <v>30</v>
      </c>
      <c r="N14" s="50">
        <v>0</v>
      </c>
      <c r="O14" s="15">
        <f t="shared" si="0"/>
        <v>19</v>
      </c>
      <c r="P14" s="15">
        <f t="shared" si="1"/>
        <v>49</v>
      </c>
      <c r="R14" s="1" t="s">
        <v>10</v>
      </c>
      <c r="S14" s="17">
        <f t="shared" ref="S14:AF14" si="6">SUM(C26:C29)</f>
        <v>22</v>
      </c>
      <c r="T14" s="17">
        <f t="shared" si="6"/>
        <v>11</v>
      </c>
      <c r="U14" s="17">
        <f t="shared" si="6"/>
        <v>7</v>
      </c>
      <c r="V14" s="17">
        <f t="shared" si="6"/>
        <v>14</v>
      </c>
      <c r="W14" s="17">
        <f t="shared" si="6"/>
        <v>0</v>
      </c>
      <c r="X14" s="17">
        <f t="shared" si="6"/>
        <v>1</v>
      </c>
      <c r="Y14" s="17">
        <f t="shared" si="6"/>
        <v>3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49</v>
      </c>
      <c r="AD14" s="17">
        <f t="shared" si="6"/>
        <v>0</v>
      </c>
      <c r="AE14" s="31">
        <f t="shared" si="6"/>
        <v>66</v>
      </c>
      <c r="AF14" s="31">
        <f t="shared" si="6"/>
        <v>115</v>
      </c>
    </row>
    <row r="15" spans="2:32" ht="23.1" customHeight="1" x14ac:dyDescent="0.25">
      <c r="B15" s="23" t="s">
        <v>42</v>
      </c>
      <c r="C15" s="50">
        <v>5</v>
      </c>
      <c r="D15" s="50">
        <v>3</v>
      </c>
      <c r="E15" s="50">
        <v>4</v>
      </c>
      <c r="F15" s="50">
        <v>2</v>
      </c>
      <c r="G15" s="50">
        <v>0</v>
      </c>
      <c r="H15" s="50">
        <v>0</v>
      </c>
      <c r="I15" s="50">
        <v>4</v>
      </c>
      <c r="J15" s="50">
        <v>2</v>
      </c>
      <c r="K15" s="50">
        <v>0</v>
      </c>
      <c r="L15" s="50">
        <v>0</v>
      </c>
      <c r="M15" s="50">
        <v>33</v>
      </c>
      <c r="N15" s="50">
        <v>0</v>
      </c>
      <c r="O15" s="15">
        <f t="shared" si="0"/>
        <v>20</v>
      </c>
      <c r="P15" s="15">
        <f t="shared" si="1"/>
        <v>53</v>
      </c>
      <c r="R15" s="1" t="s">
        <v>11</v>
      </c>
      <c r="S15" s="17">
        <f t="shared" ref="S15:AF15" si="7">SUM(C30:C33)</f>
        <v>24</v>
      </c>
      <c r="T15" s="17">
        <f t="shared" si="7"/>
        <v>4</v>
      </c>
      <c r="U15" s="17">
        <f t="shared" si="7"/>
        <v>3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2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65</v>
      </c>
      <c r="AD15" s="17">
        <f t="shared" si="7"/>
        <v>0</v>
      </c>
      <c r="AE15" s="31">
        <f t="shared" si="7"/>
        <v>42</v>
      </c>
      <c r="AF15" s="31">
        <f t="shared" si="7"/>
        <v>107</v>
      </c>
    </row>
    <row r="16" spans="2:32" ht="23.1" customHeight="1" x14ac:dyDescent="0.25">
      <c r="B16" s="23" t="s">
        <v>43</v>
      </c>
      <c r="C16" s="50">
        <v>13</v>
      </c>
      <c r="D16" s="50">
        <v>5</v>
      </c>
      <c r="E16" s="50">
        <v>1</v>
      </c>
      <c r="F16" s="50">
        <v>4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37</v>
      </c>
      <c r="N16" s="50">
        <v>0</v>
      </c>
      <c r="O16" s="15">
        <f t="shared" si="0"/>
        <v>25</v>
      </c>
      <c r="P16" s="15">
        <f t="shared" si="1"/>
        <v>62</v>
      </c>
      <c r="R16" s="1" t="s">
        <v>12</v>
      </c>
      <c r="S16" s="17">
        <f t="shared" ref="S16:AF16" si="8">SUM(C34:C37)</f>
        <v>41</v>
      </c>
      <c r="T16" s="17">
        <f t="shared" si="8"/>
        <v>7</v>
      </c>
      <c r="U16" s="17">
        <f t="shared" si="8"/>
        <v>5</v>
      </c>
      <c r="V16" s="17">
        <f t="shared" si="8"/>
        <v>12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5</v>
      </c>
      <c r="AA16" s="17">
        <f t="shared" si="8"/>
        <v>0</v>
      </c>
      <c r="AB16" s="17">
        <f t="shared" si="8"/>
        <v>0</v>
      </c>
      <c r="AC16" s="17">
        <f t="shared" si="8"/>
        <v>135</v>
      </c>
      <c r="AD16" s="17">
        <f t="shared" si="8"/>
        <v>0</v>
      </c>
      <c r="AE16" s="31">
        <f t="shared" si="8"/>
        <v>74</v>
      </c>
      <c r="AF16" s="31">
        <f t="shared" si="8"/>
        <v>209</v>
      </c>
    </row>
    <row r="17" spans="2:32" ht="23.1" customHeight="1" x14ac:dyDescent="0.25">
      <c r="B17" s="23" t="s">
        <v>44</v>
      </c>
      <c r="C17" s="50">
        <v>11</v>
      </c>
      <c r="D17" s="50">
        <v>2</v>
      </c>
      <c r="E17" s="50">
        <v>3</v>
      </c>
      <c r="F17" s="50">
        <v>2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47</v>
      </c>
      <c r="N17" s="50">
        <v>0</v>
      </c>
      <c r="O17" s="15">
        <f t="shared" si="0"/>
        <v>21</v>
      </c>
      <c r="P17" s="15">
        <f t="shared" si="1"/>
        <v>68</v>
      </c>
      <c r="R17" s="1" t="s">
        <v>13</v>
      </c>
      <c r="S17" s="17">
        <f t="shared" ref="S17:AF17" si="9">SUM(C38:C41)</f>
        <v>30</v>
      </c>
      <c r="T17" s="17">
        <f t="shared" si="9"/>
        <v>5</v>
      </c>
      <c r="U17" s="17">
        <f t="shared" si="9"/>
        <v>10</v>
      </c>
      <c r="V17" s="17">
        <f t="shared" si="9"/>
        <v>10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136</v>
      </c>
      <c r="AD17" s="17">
        <f t="shared" si="9"/>
        <v>0</v>
      </c>
      <c r="AE17" s="31">
        <f t="shared" si="9"/>
        <v>64</v>
      </c>
      <c r="AF17" s="31">
        <f t="shared" si="9"/>
        <v>200</v>
      </c>
    </row>
    <row r="18" spans="2:32" ht="23.1" customHeight="1" x14ac:dyDescent="0.25">
      <c r="B18" s="23" t="s">
        <v>45</v>
      </c>
      <c r="C18" s="50">
        <v>9</v>
      </c>
      <c r="D18" s="50">
        <v>2</v>
      </c>
      <c r="E18" s="50">
        <v>3</v>
      </c>
      <c r="F18" s="50">
        <v>1</v>
      </c>
      <c r="G18" s="50">
        <v>0</v>
      </c>
      <c r="H18" s="50">
        <v>0</v>
      </c>
      <c r="I18" s="50">
        <v>2</v>
      </c>
      <c r="J18" s="50">
        <v>2</v>
      </c>
      <c r="K18" s="50">
        <v>0</v>
      </c>
      <c r="L18" s="50">
        <v>0</v>
      </c>
      <c r="M18" s="50">
        <v>33</v>
      </c>
      <c r="N18" s="50">
        <v>0</v>
      </c>
      <c r="O18" s="15">
        <f t="shared" si="0"/>
        <v>19</v>
      </c>
      <c r="P18" s="15">
        <f t="shared" si="1"/>
        <v>52</v>
      </c>
      <c r="R18" s="1" t="s">
        <v>14</v>
      </c>
      <c r="S18" s="17">
        <f t="shared" ref="S18:AF18" si="10">SUM(C42:C45)</f>
        <v>32</v>
      </c>
      <c r="T18" s="17">
        <f t="shared" si="10"/>
        <v>7</v>
      </c>
      <c r="U18" s="17">
        <f t="shared" si="10"/>
        <v>8</v>
      </c>
      <c r="V18" s="17">
        <f t="shared" si="10"/>
        <v>18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9</v>
      </c>
      <c r="AA18" s="17">
        <f t="shared" si="10"/>
        <v>0</v>
      </c>
      <c r="AB18" s="17">
        <f t="shared" si="10"/>
        <v>0</v>
      </c>
      <c r="AC18" s="17">
        <f t="shared" si="10"/>
        <v>164</v>
      </c>
      <c r="AD18" s="17">
        <f t="shared" si="10"/>
        <v>0</v>
      </c>
      <c r="AE18" s="31">
        <f t="shared" si="10"/>
        <v>78</v>
      </c>
      <c r="AF18" s="31">
        <f t="shared" si="10"/>
        <v>242</v>
      </c>
    </row>
    <row r="19" spans="2:32" ht="23.1" customHeight="1" x14ac:dyDescent="0.25">
      <c r="B19" s="23" t="s">
        <v>46</v>
      </c>
      <c r="C19" s="50">
        <v>9</v>
      </c>
      <c r="D19" s="50">
        <v>3</v>
      </c>
      <c r="E19" s="50">
        <v>1</v>
      </c>
      <c r="F19" s="50">
        <v>3</v>
      </c>
      <c r="G19" s="50">
        <v>0</v>
      </c>
      <c r="H19" s="50">
        <v>0</v>
      </c>
      <c r="I19" s="50">
        <v>3</v>
      </c>
      <c r="J19" s="50">
        <v>3</v>
      </c>
      <c r="K19" s="50">
        <v>0</v>
      </c>
      <c r="L19" s="50">
        <v>0</v>
      </c>
      <c r="M19" s="50">
        <v>47</v>
      </c>
      <c r="N19" s="50">
        <v>0</v>
      </c>
      <c r="O19" s="15">
        <f t="shared" si="0"/>
        <v>22</v>
      </c>
      <c r="P19" s="15">
        <f t="shared" si="1"/>
        <v>69</v>
      </c>
      <c r="R19" s="1" t="s">
        <v>15</v>
      </c>
      <c r="S19" s="17">
        <f t="shared" ref="S19:AF19" si="11">SUM(C46:C49)</f>
        <v>39</v>
      </c>
      <c r="T19" s="17">
        <f t="shared" si="11"/>
        <v>4</v>
      </c>
      <c r="U19" s="17">
        <f t="shared" si="11"/>
        <v>6</v>
      </c>
      <c r="V19" s="17">
        <f t="shared" si="11"/>
        <v>17</v>
      </c>
      <c r="W19" s="17">
        <f t="shared" si="11"/>
        <v>0</v>
      </c>
      <c r="X19" s="17">
        <f t="shared" si="11"/>
        <v>0</v>
      </c>
      <c r="Y19" s="17">
        <f t="shared" si="11"/>
        <v>9</v>
      </c>
      <c r="Z19" s="17">
        <f t="shared" si="11"/>
        <v>14</v>
      </c>
      <c r="AA19" s="17">
        <f t="shared" si="11"/>
        <v>1</v>
      </c>
      <c r="AB19" s="17">
        <f t="shared" si="11"/>
        <v>0</v>
      </c>
      <c r="AC19" s="17">
        <f t="shared" si="11"/>
        <v>188</v>
      </c>
      <c r="AD19" s="17">
        <f t="shared" si="11"/>
        <v>0</v>
      </c>
      <c r="AE19" s="31">
        <f t="shared" si="11"/>
        <v>90</v>
      </c>
      <c r="AF19" s="31">
        <f t="shared" si="11"/>
        <v>278</v>
      </c>
    </row>
    <row r="20" spans="2:32" ht="23.1" customHeight="1" x14ac:dyDescent="0.25">
      <c r="B20" s="23" t="s">
        <v>47</v>
      </c>
      <c r="C20" s="50">
        <v>12</v>
      </c>
      <c r="D20" s="50">
        <v>5</v>
      </c>
      <c r="E20" s="50">
        <v>2</v>
      </c>
      <c r="F20" s="50">
        <v>0</v>
      </c>
      <c r="G20" s="50">
        <v>0</v>
      </c>
      <c r="H20" s="50">
        <v>0</v>
      </c>
      <c r="I20" s="50">
        <v>2</v>
      </c>
      <c r="J20" s="50">
        <v>3</v>
      </c>
      <c r="K20" s="50">
        <v>0</v>
      </c>
      <c r="L20" s="50">
        <v>2</v>
      </c>
      <c r="M20" s="50">
        <v>28</v>
      </c>
      <c r="N20" s="50">
        <v>0</v>
      </c>
      <c r="O20" s="15">
        <f t="shared" si="0"/>
        <v>26</v>
      </c>
      <c r="P20" s="15">
        <f t="shared" si="1"/>
        <v>54</v>
      </c>
      <c r="R20" s="1" t="s">
        <v>16</v>
      </c>
      <c r="S20" s="17">
        <f t="shared" ref="S20:AF20" si="12">SUM(C50:C53)</f>
        <v>43</v>
      </c>
      <c r="T20" s="17">
        <f t="shared" si="12"/>
        <v>9</v>
      </c>
      <c r="U20" s="17">
        <f t="shared" si="12"/>
        <v>6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6</v>
      </c>
      <c r="AA20" s="17">
        <f t="shared" si="12"/>
        <v>0</v>
      </c>
      <c r="AB20" s="17">
        <f t="shared" si="12"/>
        <v>0</v>
      </c>
      <c r="AC20" s="17">
        <f t="shared" si="12"/>
        <v>174</v>
      </c>
      <c r="AD20" s="17">
        <f t="shared" si="12"/>
        <v>0</v>
      </c>
      <c r="AE20" s="31">
        <f t="shared" si="12"/>
        <v>87</v>
      </c>
      <c r="AF20" s="31">
        <f t="shared" si="12"/>
        <v>261</v>
      </c>
    </row>
    <row r="21" spans="2:32" ht="23.1" customHeight="1" x14ac:dyDescent="0.25">
      <c r="B21" s="23" t="s">
        <v>48</v>
      </c>
      <c r="C21" s="50">
        <v>10</v>
      </c>
      <c r="D21" s="50">
        <v>1</v>
      </c>
      <c r="E21" s="50">
        <v>6</v>
      </c>
      <c r="F21" s="50">
        <v>3</v>
      </c>
      <c r="G21" s="50">
        <v>0</v>
      </c>
      <c r="H21" s="50">
        <v>0</v>
      </c>
      <c r="I21" s="50">
        <v>3</v>
      </c>
      <c r="J21" s="50">
        <v>2</v>
      </c>
      <c r="K21" s="50">
        <v>0</v>
      </c>
      <c r="L21" s="50">
        <v>0</v>
      </c>
      <c r="M21" s="50">
        <v>35</v>
      </c>
      <c r="N21" s="50">
        <v>0</v>
      </c>
      <c r="O21" s="15">
        <f t="shared" si="0"/>
        <v>25</v>
      </c>
      <c r="P21" s="15">
        <f t="shared" si="1"/>
        <v>60</v>
      </c>
      <c r="R21" s="36" t="s">
        <v>20</v>
      </c>
      <c r="S21" s="34">
        <f t="shared" ref="S21:AF21" si="13">SUM(C54:C57)</f>
        <v>68</v>
      </c>
      <c r="T21" s="17">
        <f t="shared" si="13"/>
        <v>10</v>
      </c>
      <c r="U21" s="17">
        <f t="shared" si="13"/>
        <v>13</v>
      </c>
      <c r="V21" s="17">
        <f t="shared" si="13"/>
        <v>14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7</v>
      </c>
      <c r="AA21" s="17">
        <f t="shared" si="13"/>
        <v>0</v>
      </c>
      <c r="AB21" s="17">
        <f t="shared" si="13"/>
        <v>0</v>
      </c>
      <c r="AC21" s="17">
        <f t="shared" si="13"/>
        <v>224</v>
      </c>
      <c r="AD21" s="17">
        <f t="shared" si="13"/>
        <v>0</v>
      </c>
      <c r="AE21" s="31">
        <f t="shared" si="13"/>
        <v>119</v>
      </c>
      <c r="AF21" s="31">
        <f t="shared" si="13"/>
        <v>343</v>
      </c>
    </row>
    <row r="22" spans="2:32" ht="23.1" customHeight="1" x14ac:dyDescent="0.25">
      <c r="B22" s="23" t="s">
        <v>49</v>
      </c>
      <c r="C22" s="50">
        <v>8</v>
      </c>
      <c r="D22" s="50">
        <v>2</v>
      </c>
      <c r="E22" s="50">
        <v>4</v>
      </c>
      <c r="F22" s="50">
        <v>1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46</v>
      </c>
      <c r="N22" s="50">
        <v>0</v>
      </c>
      <c r="O22" s="15">
        <f t="shared" si="0"/>
        <v>19</v>
      </c>
      <c r="P22" s="15">
        <f t="shared" si="1"/>
        <v>65</v>
      </c>
      <c r="R22" s="38" t="s">
        <v>90</v>
      </c>
      <c r="S22" s="39">
        <f>MAX(S10:S12)</f>
        <v>40</v>
      </c>
      <c r="T22" s="39">
        <f t="shared" ref="T22:AF22" si="14">MAX(T10:T12)</f>
        <v>12</v>
      </c>
      <c r="U22" s="39">
        <f t="shared" si="14"/>
        <v>12</v>
      </c>
      <c r="V22" s="39">
        <f t="shared" si="14"/>
        <v>11</v>
      </c>
      <c r="W22" s="39">
        <f t="shared" si="14"/>
        <v>1</v>
      </c>
      <c r="X22" s="39">
        <f t="shared" si="14"/>
        <v>0</v>
      </c>
      <c r="Y22" s="39">
        <f t="shared" si="14"/>
        <v>10</v>
      </c>
      <c r="Z22" s="39">
        <f t="shared" si="14"/>
        <v>10</v>
      </c>
      <c r="AA22" s="39">
        <f t="shared" si="14"/>
        <v>2</v>
      </c>
      <c r="AB22" s="39">
        <f t="shared" si="14"/>
        <v>2</v>
      </c>
      <c r="AC22" s="39">
        <f t="shared" si="14"/>
        <v>152</v>
      </c>
      <c r="AD22" s="39">
        <f t="shared" si="14"/>
        <v>0</v>
      </c>
      <c r="AE22" s="40">
        <f t="shared" si="14"/>
        <v>92</v>
      </c>
      <c r="AF22" s="40">
        <f t="shared" si="14"/>
        <v>235</v>
      </c>
    </row>
    <row r="23" spans="2:32" ht="23.1" customHeight="1" x14ac:dyDescent="0.25">
      <c r="B23" s="23" t="s">
        <v>50</v>
      </c>
      <c r="C23" s="50">
        <v>10</v>
      </c>
      <c r="D23" s="50">
        <v>3</v>
      </c>
      <c r="E23" s="50">
        <v>4</v>
      </c>
      <c r="F23" s="50">
        <v>5</v>
      </c>
      <c r="G23" s="50">
        <v>0</v>
      </c>
      <c r="H23" s="50">
        <v>0</v>
      </c>
      <c r="I23" s="50">
        <v>3</v>
      </c>
      <c r="J23" s="50">
        <v>6</v>
      </c>
      <c r="K23" s="50">
        <v>0</v>
      </c>
      <c r="L23" s="50">
        <v>0</v>
      </c>
      <c r="M23" s="50">
        <v>44</v>
      </c>
      <c r="N23" s="50">
        <v>0</v>
      </c>
      <c r="O23" s="15">
        <f t="shared" si="0"/>
        <v>31</v>
      </c>
      <c r="P23" s="15">
        <f t="shared" si="1"/>
        <v>75</v>
      </c>
      <c r="R23" s="38" t="s">
        <v>91</v>
      </c>
      <c r="S23" s="39">
        <f>MAX(S13:S18)</f>
        <v>41</v>
      </c>
      <c r="T23" s="39">
        <f t="shared" ref="T23:AF23" si="15">MAX(T13:T18)</f>
        <v>11</v>
      </c>
      <c r="U23" s="39">
        <f t="shared" si="15"/>
        <v>11</v>
      </c>
      <c r="V23" s="39">
        <f t="shared" si="15"/>
        <v>18</v>
      </c>
      <c r="W23" s="39">
        <f t="shared" si="15"/>
        <v>0</v>
      </c>
      <c r="X23" s="39">
        <f t="shared" si="15"/>
        <v>1</v>
      </c>
      <c r="Y23" s="39">
        <f t="shared" si="15"/>
        <v>9</v>
      </c>
      <c r="Z23" s="39">
        <f t="shared" si="15"/>
        <v>13</v>
      </c>
      <c r="AA23" s="39">
        <f t="shared" si="15"/>
        <v>1</v>
      </c>
      <c r="AB23" s="39">
        <f t="shared" si="15"/>
        <v>0</v>
      </c>
      <c r="AC23" s="39">
        <f t="shared" si="15"/>
        <v>164</v>
      </c>
      <c r="AD23" s="39">
        <f t="shared" si="15"/>
        <v>0</v>
      </c>
      <c r="AE23" s="40">
        <f t="shared" si="15"/>
        <v>80</v>
      </c>
      <c r="AF23" s="40">
        <f t="shared" si="15"/>
        <v>242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2</v>
      </c>
      <c r="F24" s="50">
        <v>1</v>
      </c>
      <c r="G24" s="50">
        <v>0</v>
      </c>
      <c r="H24" s="50">
        <v>0</v>
      </c>
      <c r="I24" s="50">
        <v>3</v>
      </c>
      <c r="J24" s="50">
        <v>4</v>
      </c>
      <c r="K24" s="50">
        <v>1</v>
      </c>
      <c r="L24" s="50">
        <v>0</v>
      </c>
      <c r="M24" s="50">
        <v>42</v>
      </c>
      <c r="N24" s="50">
        <v>0</v>
      </c>
      <c r="O24" s="15">
        <f t="shared" si="0"/>
        <v>16</v>
      </c>
      <c r="P24" s="15">
        <f t="shared" si="1"/>
        <v>58</v>
      </c>
      <c r="R24" s="38" t="s">
        <v>92</v>
      </c>
      <c r="S24" s="39">
        <f>MAX(S19:S21)</f>
        <v>68</v>
      </c>
      <c r="T24" s="39">
        <f t="shared" ref="T24:AF24" si="16">MAX(T19:T21)</f>
        <v>10</v>
      </c>
      <c r="U24" s="39">
        <f t="shared" si="16"/>
        <v>13</v>
      </c>
      <c r="V24" s="39">
        <f t="shared" si="16"/>
        <v>17</v>
      </c>
      <c r="W24" s="39">
        <f t="shared" si="16"/>
        <v>0</v>
      </c>
      <c r="X24" s="39">
        <f t="shared" si="16"/>
        <v>0</v>
      </c>
      <c r="Y24" s="39">
        <f t="shared" si="16"/>
        <v>9</v>
      </c>
      <c r="Z24" s="39">
        <f t="shared" si="16"/>
        <v>14</v>
      </c>
      <c r="AA24" s="39">
        <f t="shared" si="16"/>
        <v>1</v>
      </c>
      <c r="AB24" s="39">
        <f t="shared" si="16"/>
        <v>0</v>
      </c>
      <c r="AC24" s="39">
        <f t="shared" si="16"/>
        <v>224</v>
      </c>
      <c r="AD24" s="39">
        <f t="shared" si="16"/>
        <v>0</v>
      </c>
      <c r="AE24" s="40">
        <f t="shared" si="16"/>
        <v>119</v>
      </c>
      <c r="AF24" s="40">
        <f t="shared" si="16"/>
        <v>343</v>
      </c>
    </row>
    <row r="25" spans="2:32" ht="23.1" customHeight="1" x14ac:dyDescent="0.25">
      <c r="B25" s="23" t="s">
        <v>52</v>
      </c>
      <c r="C25" s="50">
        <v>5</v>
      </c>
      <c r="D25" s="50">
        <v>4</v>
      </c>
      <c r="E25" s="50">
        <v>1</v>
      </c>
      <c r="F25" s="50">
        <v>2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23</v>
      </c>
      <c r="N25" s="50">
        <v>0</v>
      </c>
      <c r="O25" s="15">
        <f t="shared" si="0"/>
        <v>14</v>
      </c>
      <c r="P25" s="15">
        <f t="shared" si="1"/>
        <v>37</v>
      </c>
      <c r="R25" s="37" t="s">
        <v>85</v>
      </c>
      <c r="S25" s="35">
        <f t="shared" ref="S25:AF25" si="17">SUM(S10:S12)</f>
        <v>117</v>
      </c>
      <c r="T25" s="16">
        <f t="shared" si="17"/>
        <v>27</v>
      </c>
      <c r="U25" s="16">
        <f t="shared" si="17"/>
        <v>23</v>
      </c>
      <c r="V25" s="16">
        <f t="shared" si="17"/>
        <v>28</v>
      </c>
      <c r="W25" s="16">
        <f t="shared" si="17"/>
        <v>1</v>
      </c>
      <c r="X25" s="16">
        <f t="shared" si="17"/>
        <v>0</v>
      </c>
      <c r="Y25" s="16">
        <f t="shared" si="17"/>
        <v>23</v>
      </c>
      <c r="Z25" s="16">
        <f t="shared" si="17"/>
        <v>22</v>
      </c>
      <c r="AA25" s="16">
        <f t="shared" si="17"/>
        <v>2</v>
      </c>
      <c r="AB25" s="16">
        <f t="shared" si="17"/>
        <v>3</v>
      </c>
      <c r="AC25" s="16">
        <f t="shared" si="17"/>
        <v>442</v>
      </c>
      <c r="AD25" s="16">
        <f t="shared" si="17"/>
        <v>0</v>
      </c>
      <c r="AE25" s="32">
        <f t="shared" si="17"/>
        <v>246</v>
      </c>
      <c r="AF25" s="32">
        <f t="shared" si="17"/>
        <v>688</v>
      </c>
    </row>
    <row r="26" spans="2:32" ht="23.1" customHeight="1" x14ac:dyDescent="0.25">
      <c r="B26" s="23" t="s">
        <v>53</v>
      </c>
      <c r="C26" s="50">
        <v>8</v>
      </c>
      <c r="D26" s="50">
        <v>3</v>
      </c>
      <c r="E26" s="50">
        <v>2</v>
      </c>
      <c r="F26" s="50">
        <v>4</v>
      </c>
      <c r="G26" s="50">
        <v>0</v>
      </c>
      <c r="H26" s="50">
        <v>1</v>
      </c>
      <c r="I26" s="50">
        <v>1</v>
      </c>
      <c r="J26" s="50">
        <v>3</v>
      </c>
      <c r="K26" s="50">
        <v>0</v>
      </c>
      <c r="L26" s="50">
        <v>0</v>
      </c>
      <c r="M26" s="50">
        <v>23</v>
      </c>
      <c r="N26" s="50">
        <v>0</v>
      </c>
      <c r="O26" s="15">
        <f t="shared" si="0"/>
        <v>22</v>
      </c>
      <c r="P26" s="15">
        <f t="shared" si="1"/>
        <v>45</v>
      </c>
      <c r="R26" s="28" t="s">
        <v>86</v>
      </c>
      <c r="S26" s="16">
        <f t="shared" ref="S26:AF26" si="18">SUM(S13:S18)</f>
        <v>176</v>
      </c>
      <c r="T26" s="16">
        <f t="shared" si="18"/>
        <v>44</v>
      </c>
      <c r="U26" s="16">
        <f t="shared" si="18"/>
        <v>44</v>
      </c>
      <c r="V26" s="16">
        <f t="shared" si="18"/>
        <v>68</v>
      </c>
      <c r="W26" s="16">
        <f t="shared" si="18"/>
        <v>0</v>
      </c>
      <c r="X26" s="16">
        <f t="shared" si="18"/>
        <v>1</v>
      </c>
      <c r="Y26" s="16">
        <f t="shared" si="18"/>
        <v>27</v>
      </c>
      <c r="Z26" s="16">
        <f t="shared" si="18"/>
        <v>43</v>
      </c>
      <c r="AA26" s="16">
        <f t="shared" si="18"/>
        <v>1</v>
      </c>
      <c r="AB26" s="16">
        <f t="shared" si="18"/>
        <v>0</v>
      </c>
      <c r="AC26" s="16">
        <f t="shared" si="18"/>
        <v>704</v>
      </c>
      <c r="AD26" s="16">
        <f t="shared" si="18"/>
        <v>0</v>
      </c>
      <c r="AE26" s="32">
        <f t="shared" si="18"/>
        <v>404</v>
      </c>
      <c r="AF26" s="32">
        <f t="shared" si="18"/>
        <v>1108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1</v>
      </c>
      <c r="F27" s="50">
        <v>0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12</v>
      </c>
      <c r="N27" s="50">
        <v>0</v>
      </c>
      <c r="O27" s="15">
        <f t="shared" si="0"/>
        <v>7</v>
      </c>
      <c r="P27" s="15">
        <f t="shared" si="1"/>
        <v>19</v>
      </c>
      <c r="R27" s="29" t="s">
        <v>87</v>
      </c>
      <c r="S27" s="16">
        <f t="shared" ref="S27:AF27" si="19">SUM(S19:S21)</f>
        <v>150</v>
      </c>
      <c r="T27" s="16">
        <f t="shared" si="19"/>
        <v>23</v>
      </c>
      <c r="U27" s="16">
        <f t="shared" si="19"/>
        <v>25</v>
      </c>
      <c r="V27" s="16">
        <f t="shared" si="19"/>
        <v>47</v>
      </c>
      <c r="W27" s="16">
        <f t="shared" si="19"/>
        <v>0</v>
      </c>
      <c r="X27" s="16">
        <f t="shared" si="19"/>
        <v>0</v>
      </c>
      <c r="Y27" s="16">
        <f t="shared" si="19"/>
        <v>23</v>
      </c>
      <c r="Z27" s="16">
        <f t="shared" si="19"/>
        <v>27</v>
      </c>
      <c r="AA27" s="16">
        <f t="shared" si="19"/>
        <v>1</v>
      </c>
      <c r="AB27" s="16">
        <f t="shared" si="19"/>
        <v>0</v>
      </c>
      <c r="AC27" s="16">
        <f t="shared" si="19"/>
        <v>586</v>
      </c>
      <c r="AD27" s="16">
        <f t="shared" si="19"/>
        <v>0</v>
      </c>
      <c r="AE27" s="32">
        <f t="shared" si="19"/>
        <v>296</v>
      </c>
      <c r="AF27" s="32">
        <f t="shared" si="19"/>
        <v>882</v>
      </c>
    </row>
    <row r="28" spans="2:32" ht="23.1" customHeight="1" x14ac:dyDescent="0.25">
      <c r="B28" s="23" t="s">
        <v>55</v>
      </c>
      <c r="C28" s="50">
        <v>2</v>
      </c>
      <c r="D28" s="50">
        <v>3</v>
      </c>
      <c r="E28" s="50">
        <v>2</v>
      </c>
      <c r="F28" s="50">
        <v>8</v>
      </c>
      <c r="G28" s="50">
        <v>0</v>
      </c>
      <c r="H28" s="50">
        <v>0</v>
      </c>
      <c r="I28" s="50">
        <v>0</v>
      </c>
      <c r="J28" s="50">
        <v>4</v>
      </c>
      <c r="K28" s="50">
        <v>0</v>
      </c>
      <c r="L28" s="50">
        <v>0</v>
      </c>
      <c r="M28" s="50">
        <v>4</v>
      </c>
      <c r="N28" s="50">
        <v>0</v>
      </c>
      <c r="O28" s="15">
        <f t="shared" si="0"/>
        <v>19</v>
      </c>
      <c r="P28" s="15">
        <f t="shared" si="1"/>
        <v>23</v>
      </c>
      <c r="R28" s="5" t="s">
        <v>17</v>
      </c>
      <c r="S28" s="16">
        <f t="shared" ref="S28:AF28" si="20">SUM(S10:S21)</f>
        <v>443</v>
      </c>
      <c r="T28" s="16">
        <f t="shared" si="20"/>
        <v>94</v>
      </c>
      <c r="U28" s="16">
        <f t="shared" si="20"/>
        <v>92</v>
      </c>
      <c r="V28" s="16">
        <f t="shared" si="20"/>
        <v>143</v>
      </c>
      <c r="W28" s="16">
        <f t="shared" si="20"/>
        <v>1</v>
      </c>
      <c r="X28" s="16">
        <f t="shared" si="20"/>
        <v>1</v>
      </c>
      <c r="Y28" s="16">
        <f t="shared" si="20"/>
        <v>73</v>
      </c>
      <c r="Z28" s="16">
        <f t="shared" si="20"/>
        <v>92</v>
      </c>
      <c r="AA28" s="16">
        <f t="shared" si="20"/>
        <v>4</v>
      </c>
      <c r="AB28" s="16">
        <f t="shared" si="20"/>
        <v>3</v>
      </c>
      <c r="AC28" s="16">
        <f t="shared" si="20"/>
        <v>1732</v>
      </c>
      <c r="AD28" s="16">
        <f t="shared" si="20"/>
        <v>0</v>
      </c>
      <c r="AE28" s="32">
        <f t="shared" si="20"/>
        <v>946</v>
      </c>
      <c r="AF28" s="32">
        <f t="shared" si="20"/>
        <v>2678</v>
      </c>
    </row>
    <row r="29" spans="2:32" ht="23.1" customHeight="1" x14ac:dyDescent="0.25">
      <c r="B29" s="23" t="s">
        <v>56</v>
      </c>
      <c r="C29" s="50">
        <v>8</v>
      </c>
      <c r="D29" s="50">
        <v>4</v>
      </c>
      <c r="E29" s="50">
        <v>2</v>
      </c>
      <c r="F29" s="50">
        <v>2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10</v>
      </c>
      <c r="N29" s="50">
        <v>0</v>
      </c>
      <c r="O29" s="15">
        <f t="shared" si="0"/>
        <v>18</v>
      </c>
      <c r="P29" s="15">
        <f t="shared" si="1"/>
        <v>28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0</v>
      </c>
      <c r="E30" s="50">
        <v>1</v>
      </c>
      <c r="F30" s="50">
        <v>1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11</v>
      </c>
      <c r="N30" s="50">
        <v>0</v>
      </c>
      <c r="O30" s="15">
        <f t="shared" si="0"/>
        <v>10</v>
      </c>
      <c r="P30" s="15">
        <f t="shared" si="1"/>
        <v>21</v>
      </c>
    </row>
    <row r="31" spans="2:32" ht="23.1" customHeight="1" x14ac:dyDescent="0.25">
      <c r="B31" s="24" t="s">
        <v>58</v>
      </c>
      <c r="C31" s="50">
        <v>5</v>
      </c>
      <c r="D31" s="50">
        <v>1</v>
      </c>
      <c r="E31" s="50">
        <v>1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6</v>
      </c>
      <c r="N31" s="50">
        <v>0</v>
      </c>
      <c r="O31" s="15">
        <f t="shared" si="0"/>
        <v>9</v>
      </c>
      <c r="P31" s="15">
        <f t="shared" si="1"/>
        <v>15</v>
      </c>
    </row>
    <row r="32" spans="2:32" ht="23.1" customHeight="1" x14ac:dyDescent="0.25">
      <c r="B32" s="24" t="s">
        <v>59</v>
      </c>
      <c r="C32" s="50">
        <v>10</v>
      </c>
      <c r="D32" s="50">
        <v>3</v>
      </c>
      <c r="E32" s="50">
        <v>0</v>
      </c>
      <c r="F32" s="50">
        <v>1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21</v>
      </c>
      <c r="N32" s="50">
        <v>0</v>
      </c>
      <c r="O32" s="15">
        <f t="shared" si="0"/>
        <v>16</v>
      </c>
      <c r="P32" s="15">
        <f t="shared" si="1"/>
        <v>37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1</v>
      </c>
      <c r="F33" s="50">
        <v>1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27</v>
      </c>
      <c r="N33" s="50">
        <v>0</v>
      </c>
      <c r="O33" s="15">
        <f t="shared" si="0"/>
        <v>7</v>
      </c>
      <c r="P33" s="15">
        <f t="shared" si="1"/>
        <v>34</v>
      </c>
    </row>
    <row r="34" spans="2:20" ht="23.1" customHeight="1" x14ac:dyDescent="0.25">
      <c r="B34" s="24" t="s">
        <v>61</v>
      </c>
      <c r="C34" s="50">
        <v>12</v>
      </c>
      <c r="D34" s="50">
        <v>3</v>
      </c>
      <c r="E34" s="50">
        <v>0</v>
      </c>
      <c r="F34" s="50">
        <v>5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29</v>
      </c>
      <c r="N34" s="50">
        <v>0</v>
      </c>
      <c r="O34" s="15">
        <f t="shared" si="0"/>
        <v>23</v>
      </c>
      <c r="P34" s="15">
        <f t="shared" si="1"/>
        <v>52</v>
      </c>
    </row>
    <row r="35" spans="2:20" ht="23.1" customHeight="1" x14ac:dyDescent="0.25">
      <c r="B35" s="24" t="s">
        <v>62</v>
      </c>
      <c r="C35" s="50">
        <v>7</v>
      </c>
      <c r="D35" s="50">
        <v>2</v>
      </c>
      <c r="E35" s="50">
        <v>3</v>
      </c>
      <c r="F35" s="50">
        <v>4</v>
      </c>
      <c r="G35" s="50">
        <v>0</v>
      </c>
      <c r="H35" s="50">
        <v>0</v>
      </c>
      <c r="I35" s="50">
        <v>2</v>
      </c>
      <c r="J35" s="50">
        <v>2</v>
      </c>
      <c r="K35" s="50">
        <v>0</v>
      </c>
      <c r="L35" s="50">
        <v>0</v>
      </c>
      <c r="M35" s="50">
        <v>40</v>
      </c>
      <c r="N35" s="50">
        <v>0</v>
      </c>
      <c r="O35" s="15">
        <f t="shared" si="0"/>
        <v>20</v>
      </c>
      <c r="P35" s="15">
        <f t="shared" si="1"/>
        <v>60</v>
      </c>
    </row>
    <row r="36" spans="2:20" ht="23.1" customHeight="1" x14ac:dyDescent="0.25">
      <c r="B36" s="24" t="s">
        <v>63</v>
      </c>
      <c r="C36" s="50">
        <v>9</v>
      </c>
      <c r="D36" s="50">
        <v>0</v>
      </c>
      <c r="E36" s="50">
        <v>1</v>
      </c>
      <c r="F36" s="50">
        <v>0</v>
      </c>
      <c r="G36" s="50">
        <v>0</v>
      </c>
      <c r="H36" s="50">
        <v>0</v>
      </c>
      <c r="I36" s="50">
        <v>1</v>
      </c>
      <c r="J36" s="50">
        <v>1</v>
      </c>
      <c r="K36" s="50">
        <v>0</v>
      </c>
      <c r="L36" s="50">
        <v>0</v>
      </c>
      <c r="M36" s="50">
        <v>35</v>
      </c>
      <c r="N36" s="50">
        <v>0</v>
      </c>
      <c r="O36" s="15">
        <f t="shared" si="0"/>
        <v>12</v>
      </c>
      <c r="P36" s="15">
        <f t="shared" si="1"/>
        <v>47</v>
      </c>
    </row>
    <row r="37" spans="2:20" ht="23.1" customHeight="1" x14ac:dyDescent="0.25">
      <c r="B37" s="23" t="s">
        <v>64</v>
      </c>
      <c r="C37" s="50">
        <v>13</v>
      </c>
      <c r="D37" s="50">
        <v>2</v>
      </c>
      <c r="E37" s="50">
        <v>1</v>
      </c>
      <c r="F37" s="50">
        <v>3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31</v>
      </c>
      <c r="N37" s="50">
        <v>0</v>
      </c>
      <c r="O37" s="15">
        <f t="shared" si="0"/>
        <v>19</v>
      </c>
      <c r="P37" s="15">
        <f t="shared" si="1"/>
        <v>50</v>
      </c>
    </row>
    <row r="38" spans="2:20" ht="23.1" customHeight="1" x14ac:dyDescent="0.25">
      <c r="B38" s="24" t="s">
        <v>65</v>
      </c>
      <c r="C38" s="50">
        <v>9</v>
      </c>
      <c r="D38" s="50">
        <v>2</v>
      </c>
      <c r="E38" s="50">
        <v>1</v>
      </c>
      <c r="F38" s="50">
        <v>4</v>
      </c>
      <c r="G38" s="50">
        <v>0</v>
      </c>
      <c r="H38" s="50">
        <v>0</v>
      </c>
      <c r="I38" s="50">
        <v>3</v>
      </c>
      <c r="J38" s="50">
        <v>0</v>
      </c>
      <c r="K38" s="50">
        <v>0</v>
      </c>
      <c r="L38" s="50">
        <v>0</v>
      </c>
      <c r="M38" s="50">
        <v>29</v>
      </c>
      <c r="N38" s="50">
        <v>0</v>
      </c>
      <c r="O38" s="15">
        <f t="shared" si="0"/>
        <v>19</v>
      </c>
      <c r="P38" s="15">
        <f t="shared" si="1"/>
        <v>48</v>
      </c>
    </row>
    <row r="39" spans="2:20" ht="23.1" customHeight="1" x14ac:dyDescent="0.25">
      <c r="B39" s="24" t="s">
        <v>66</v>
      </c>
      <c r="C39" s="50">
        <v>6</v>
      </c>
      <c r="D39" s="50">
        <v>1</v>
      </c>
      <c r="E39" s="50">
        <v>3</v>
      </c>
      <c r="F39" s="50">
        <v>1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0</v>
      </c>
      <c r="M39" s="50">
        <v>39</v>
      </c>
      <c r="N39" s="50">
        <v>0</v>
      </c>
      <c r="O39" s="15">
        <f t="shared" si="0"/>
        <v>14</v>
      </c>
      <c r="P39" s="15">
        <f t="shared" si="1"/>
        <v>53</v>
      </c>
    </row>
    <row r="40" spans="2:20" ht="23.1" customHeight="1" x14ac:dyDescent="0.25">
      <c r="B40" s="24" t="s">
        <v>67</v>
      </c>
      <c r="C40" s="50">
        <v>11</v>
      </c>
      <c r="D40" s="50">
        <v>1</v>
      </c>
      <c r="E40" s="50">
        <v>3</v>
      </c>
      <c r="F40" s="50">
        <v>3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37</v>
      </c>
      <c r="N40" s="50">
        <v>0</v>
      </c>
      <c r="O40" s="15">
        <f t="shared" si="0"/>
        <v>20</v>
      </c>
      <c r="P40" s="15">
        <f t="shared" si="1"/>
        <v>57</v>
      </c>
    </row>
    <row r="41" spans="2:20" ht="23.1" customHeight="1" x14ac:dyDescent="0.25">
      <c r="B41" s="23" t="s">
        <v>68</v>
      </c>
      <c r="C41" s="50">
        <v>4</v>
      </c>
      <c r="D41" s="50">
        <v>1</v>
      </c>
      <c r="E41" s="50">
        <v>3</v>
      </c>
      <c r="F41" s="50">
        <v>2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31</v>
      </c>
      <c r="N41" s="50">
        <v>0</v>
      </c>
      <c r="O41" s="15">
        <f t="shared" si="0"/>
        <v>11</v>
      </c>
      <c r="P41" s="15">
        <f t="shared" si="1"/>
        <v>42</v>
      </c>
    </row>
    <row r="42" spans="2:20" ht="23.1" customHeight="1" x14ac:dyDescent="0.25">
      <c r="B42" s="24" t="s">
        <v>69</v>
      </c>
      <c r="C42" s="50">
        <v>6</v>
      </c>
      <c r="D42" s="50">
        <v>2</v>
      </c>
      <c r="E42" s="50">
        <v>1</v>
      </c>
      <c r="F42" s="50">
        <v>5</v>
      </c>
      <c r="G42" s="50">
        <v>0</v>
      </c>
      <c r="H42" s="50">
        <v>0</v>
      </c>
      <c r="I42" s="50">
        <v>1</v>
      </c>
      <c r="J42" s="50">
        <v>4</v>
      </c>
      <c r="K42" s="50">
        <v>0</v>
      </c>
      <c r="L42" s="50">
        <v>0</v>
      </c>
      <c r="M42" s="50">
        <v>37</v>
      </c>
      <c r="N42" s="50">
        <v>0</v>
      </c>
      <c r="O42" s="15">
        <f t="shared" si="0"/>
        <v>19</v>
      </c>
      <c r="P42" s="15">
        <f t="shared" si="1"/>
        <v>56</v>
      </c>
    </row>
    <row r="43" spans="2:20" ht="23.1" customHeight="1" x14ac:dyDescent="0.25">
      <c r="B43" s="23" t="s">
        <v>70</v>
      </c>
      <c r="C43" s="50">
        <v>8</v>
      </c>
      <c r="D43" s="50">
        <v>1</v>
      </c>
      <c r="E43" s="50">
        <v>1</v>
      </c>
      <c r="F43" s="50">
        <v>3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42</v>
      </c>
      <c r="N43" s="50">
        <v>0</v>
      </c>
      <c r="O43" s="15">
        <f t="shared" si="0"/>
        <v>16</v>
      </c>
      <c r="P43" s="15">
        <f t="shared" si="1"/>
        <v>58</v>
      </c>
    </row>
    <row r="44" spans="2:20" ht="23.1" customHeight="1" x14ac:dyDescent="0.25">
      <c r="B44" s="25" t="s">
        <v>71</v>
      </c>
      <c r="C44" s="50">
        <v>9</v>
      </c>
      <c r="D44" s="50">
        <v>1</v>
      </c>
      <c r="E44" s="50">
        <v>4</v>
      </c>
      <c r="F44" s="50">
        <v>6</v>
      </c>
      <c r="G44" s="50">
        <v>0</v>
      </c>
      <c r="H44" s="50">
        <v>0</v>
      </c>
      <c r="I44" s="50">
        <v>0</v>
      </c>
      <c r="J44" s="50">
        <v>2</v>
      </c>
      <c r="K44" s="50">
        <v>0</v>
      </c>
      <c r="L44" s="50">
        <v>0</v>
      </c>
      <c r="M44" s="50">
        <v>42</v>
      </c>
      <c r="N44" s="50">
        <v>0</v>
      </c>
      <c r="O44" s="15">
        <f t="shared" si="0"/>
        <v>22</v>
      </c>
      <c r="P44" s="15">
        <f t="shared" si="1"/>
        <v>64</v>
      </c>
    </row>
    <row r="45" spans="2:20" ht="23.1" customHeight="1" x14ac:dyDescent="0.25">
      <c r="B45" s="23" t="s">
        <v>72</v>
      </c>
      <c r="C45" s="50">
        <v>9</v>
      </c>
      <c r="D45" s="50">
        <v>3</v>
      </c>
      <c r="E45" s="50">
        <v>2</v>
      </c>
      <c r="F45" s="50">
        <v>4</v>
      </c>
      <c r="G45" s="50">
        <v>0</v>
      </c>
      <c r="H45" s="50">
        <v>0</v>
      </c>
      <c r="I45" s="50">
        <v>0</v>
      </c>
      <c r="J45" s="50">
        <v>3</v>
      </c>
      <c r="K45" s="50">
        <v>0</v>
      </c>
      <c r="L45" s="50">
        <v>0</v>
      </c>
      <c r="M45" s="50">
        <v>43</v>
      </c>
      <c r="N45" s="50">
        <v>0</v>
      </c>
      <c r="O45" s="15">
        <f t="shared" si="0"/>
        <v>21</v>
      </c>
      <c r="P45" s="15">
        <f t="shared" si="1"/>
        <v>64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2</v>
      </c>
      <c r="F46" s="50">
        <v>5</v>
      </c>
      <c r="G46" s="50">
        <v>0</v>
      </c>
      <c r="H46" s="50">
        <v>0</v>
      </c>
      <c r="I46" s="50">
        <v>2</v>
      </c>
      <c r="J46" s="50">
        <v>1</v>
      </c>
      <c r="K46" s="50">
        <v>0</v>
      </c>
      <c r="L46" s="50">
        <v>0</v>
      </c>
      <c r="M46" s="50">
        <v>52</v>
      </c>
      <c r="N46" s="50">
        <v>0</v>
      </c>
      <c r="O46" s="15">
        <f t="shared" si="0"/>
        <v>17</v>
      </c>
      <c r="P46" s="15">
        <f t="shared" si="1"/>
        <v>69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3</v>
      </c>
      <c r="E47" s="50">
        <v>1</v>
      </c>
      <c r="F47" s="50">
        <v>2</v>
      </c>
      <c r="G47" s="50">
        <v>0</v>
      </c>
      <c r="H47" s="50">
        <v>0</v>
      </c>
      <c r="I47" s="50">
        <v>3</v>
      </c>
      <c r="J47" s="50">
        <v>4</v>
      </c>
      <c r="K47" s="50">
        <v>1</v>
      </c>
      <c r="L47" s="50">
        <v>0</v>
      </c>
      <c r="M47" s="50">
        <v>46</v>
      </c>
      <c r="N47" s="50">
        <v>0</v>
      </c>
      <c r="O47" s="15">
        <f t="shared" si="0"/>
        <v>21</v>
      </c>
      <c r="P47" s="15">
        <f t="shared" si="1"/>
        <v>67</v>
      </c>
      <c r="R47" s="8"/>
      <c r="T47"/>
    </row>
    <row r="48" spans="2:20" ht="23.1" customHeight="1" x14ac:dyDescent="0.25">
      <c r="B48" s="24" t="s">
        <v>75</v>
      </c>
      <c r="C48" s="50">
        <v>15</v>
      </c>
      <c r="D48" s="50">
        <v>1</v>
      </c>
      <c r="E48" s="50">
        <v>1</v>
      </c>
      <c r="F48" s="50">
        <v>3</v>
      </c>
      <c r="G48" s="50">
        <v>0</v>
      </c>
      <c r="H48" s="50">
        <v>0</v>
      </c>
      <c r="I48" s="50">
        <v>2</v>
      </c>
      <c r="J48" s="50">
        <v>2</v>
      </c>
      <c r="K48" s="50">
        <v>0</v>
      </c>
      <c r="L48" s="50">
        <v>0</v>
      </c>
      <c r="M48" s="50">
        <v>41</v>
      </c>
      <c r="N48" s="50">
        <v>0</v>
      </c>
      <c r="O48" s="15">
        <f t="shared" si="0"/>
        <v>24</v>
      </c>
      <c r="P48" s="15">
        <f t="shared" si="1"/>
        <v>65</v>
      </c>
      <c r="R48" s="8"/>
      <c r="T48"/>
    </row>
    <row r="49" spans="2:20" ht="23.1" customHeight="1" x14ac:dyDescent="0.25">
      <c r="B49" s="23" t="s">
        <v>76</v>
      </c>
      <c r="C49" s="50">
        <v>10</v>
      </c>
      <c r="D49" s="50">
        <v>0</v>
      </c>
      <c r="E49" s="50">
        <v>2</v>
      </c>
      <c r="F49" s="50">
        <v>7</v>
      </c>
      <c r="G49" s="50">
        <v>0</v>
      </c>
      <c r="H49" s="50">
        <v>0</v>
      </c>
      <c r="I49" s="50">
        <v>2</v>
      </c>
      <c r="J49" s="50">
        <v>7</v>
      </c>
      <c r="K49" s="50">
        <v>0</v>
      </c>
      <c r="L49" s="50">
        <v>0</v>
      </c>
      <c r="M49" s="50">
        <v>49</v>
      </c>
      <c r="N49" s="50">
        <v>0</v>
      </c>
      <c r="O49" s="15">
        <f t="shared" si="0"/>
        <v>28</v>
      </c>
      <c r="P49" s="15">
        <f t="shared" si="1"/>
        <v>77</v>
      </c>
      <c r="R49" s="8"/>
      <c r="T49"/>
    </row>
    <row r="50" spans="2:20" ht="23.1" customHeight="1" x14ac:dyDescent="0.25">
      <c r="B50" s="24" t="s">
        <v>77</v>
      </c>
      <c r="C50" s="50">
        <v>8</v>
      </c>
      <c r="D50" s="50">
        <v>2</v>
      </c>
      <c r="E50" s="50">
        <v>2</v>
      </c>
      <c r="F50" s="50">
        <v>9</v>
      </c>
      <c r="G50" s="50">
        <v>0</v>
      </c>
      <c r="H50" s="50">
        <v>0</v>
      </c>
      <c r="I50" s="50">
        <v>2</v>
      </c>
      <c r="J50" s="50">
        <v>2</v>
      </c>
      <c r="K50" s="50">
        <v>0</v>
      </c>
      <c r="L50" s="50">
        <v>0</v>
      </c>
      <c r="M50" s="50">
        <v>44</v>
      </c>
      <c r="N50" s="50">
        <v>0</v>
      </c>
      <c r="O50" s="15">
        <f t="shared" si="0"/>
        <v>25</v>
      </c>
      <c r="P50" s="15">
        <f t="shared" si="1"/>
        <v>69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2</v>
      </c>
      <c r="E51" s="50">
        <v>1</v>
      </c>
      <c r="F51" s="50">
        <v>1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40</v>
      </c>
      <c r="N51" s="50">
        <v>0</v>
      </c>
      <c r="O51" s="15">
        <f t="shared" si="0"/>
        <v>12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17</v>
      </c>
      <c r="D52" s="50">
        <v>2</v>
      </c>
      <c r="E52" s="50">
        <v>3</v>
      </c>
      <c r="F52" s="50">
        <v>4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41</v>
      </c>
      <c r="N52" s="50">
        <v>0</v>
      </c>
      <c r="O52" s="15">
        <f t="shared" si="0"/>
        <v>29</v>
      </c>
      <c r="P52" s="15">
        <f t="shared" si="1"/>
        <v>70</v>
      </c>
      <c r="R52" s="8"/>
      <c r="T52"/>
    </row>
    <row r="53" spans="2:20" ht="23.1" customHeight="1" x14ac:dyDescent="0.25">
      <c r="B53" s="23" t="s">
        <v>80</v>
      </c>
      <c r="C53" s="50">
        <v>13</v>
      </c>
      <c r="D53" s="50">
        <v>3</v>
      </c>
      <c r="E53" s="50">
        <v>0</v>
      </c>
      <c r="F53" s="50">
        <v>2</v>
      </c>
      <c r="G53" s="50">
        <v>0</v>
      </c>
      <c r="H53" s="50">
        <v>0</v>
      </c>
      <c r="I53" s="50">
        <v>2</v>
      </c>
      <c r="J53" s="50">
        <v>1</v>
      </c>
      <c r="K53" s="50">
        <v>0</v>
      </c>
      <c r="L53" s="50">
        <v>0</v>
      </c>
      <c r="M53" s="50">
        <v>49</v>
      </c>
      <c r="N53" s="50">
        <v>0</v>
      </c>
      <c r="O53" s="15">
        <f t="shared" si="0"/>
        <v>21</v>
      </c>
      <c r="P53" s="15">
        <f t="shared" si="1"/>
        <v>70</v>
      </c>
      <c r="R53" s="8"/>
      <c r="T53"/>
    </row>
    <row r="54" spans="2:20" ht="23.1" customHeight="1" x14ac:dyDescent="0.25">
      <c r="B54" s="23" t="s">
        <v>81</v>
      </c>
      <c r="C54" s="50">
        <v>21</v>
      </c>
      <c r="D54" s="50">
        <v>1</v>
      </c>
      <c r="E54" s="50">
        <v>3</v>
      </c>
      <c r="F54" s="50">
        <v>4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71</v>
      </c>
      <c r="N54" s="50">
        <v>0</v>
      </c>
      <c r="O54" s="15">
        <f t="shared" si="0"/>
        <v>29</v>
      </c>
      <c r="P54" s="15">
        <f t="shared" si="1"/>
        <v>100</v>
      </c>
      <c r="R54" s="8"/>
      <c r="T54"/>
    </row>
    <row r="55" spans="2:20" ht="23.1" customHeight="1" x14ac:dyDescent="0.25">
      <c r="B55" s="23" t="s">
        <v>82</v>
      </c>
      <c r="C55" s="50">
        <v>13</v>
      </c>
      <c r="D55" s="50">
        <v>3</v>
      </c>
      <c r="E55" s="50">
        <v>1</v>
      </c>
      <c r="F55" s="50">
        <v>2</v>
      </c>
      <c r="G55" s="50">
        <v>0</v>
      </c>
      <c r="H55" s="50">
        <v>0</v>
      </c>
      <c r="I55" s="50">
        <v>3</v>
      </c>
      <c r="J55" s="50">
        <v>1</v>
      </c>
      <c r="K55" s="50">
        <v>0</v>
      </c>
      <c r="L55" s="50">
        <v>0</v>
      </c>
      <c r="M55" s="50">
        <v>48</v>
      </c>
      <c r="N55" s="50">
        <v>0</v>
      </c>
      <c r="O55" s="15">
        <f t="shared" si="0"/>
        <v>23</v>
      </c>
      <c r="P55" s="15">
        <f t="shared" si="1"/>
        <v>71</v>
      </c>
      <c r="R55" s="8"/>
      <c r="T55"/>
    </row>
    <row r="56" spans="2:20" ht="23.1" customHeight="1" x14ac:dyDescent="0.25">
      <c r="B56" s="23" t="s">
        <v>83</v>
      </c>
      <c r="C56" s="50">
        <v>17</v>
      </c>
      <c r="D56" s="50">
        <v>5</v>
      </c>
      <c r="E56" s="50">
        <v>5</v>
      </c>
      <c r="F56" s="50">
        <v>3</v>
      </c>
      <c r="G56" s="50">
        <v>0</v>
      </c>
      <c r="H56" s="50">
        <v>0</v>
      </c>
      <c r="I56" s="50">
        <v>1</v>
      </c>
      <c r="J56" s="50">
        <v>4</v>
      </c>
      <c r="K56" s="50">
        <v>0</v>
      </c>
      <c r="L56" s="50">
        <v>0</v>
      </c>
      <c r="M56" s="50">
        <v>57</v>
      </c>
      <c r="N56" s="50">
        <v>0</v>
      </c>
      <c r="O56" s="15">
        <f t="shared" si="0"/>
        <v>35</v>
      </c>
      <c r="P56" s="15">
        <f t="shared" si="1"/>
        <v>92</v>
      </c>
      <c r="R56" s="8"/>
      <c r="T56"/>
    </row>
    <row r="57" spans="2:20" ht="23.1" customHeight="1" x14ac:dyDescent="0.25">
      <c r="B57" s="23" t="s">
        <v>84</v>
      </c>
      <c r="C57" s="50">
        <v>17</v>
      </c>
      <c r="D57" s="50">
        <v>1</v>
      </c>
      <c r="E57" s="50">
        <v>4</v>
      </c>
      <c r="F57" s="50">
        <v>5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48</v>
      </c>
      <c r="N57" s="50">
        <v>0</v>
      </c>
      <c r="O57" s="15">
        <f t="shared" si="0"/>
        <v>32</v>
      </c>
      <c r="P57" s="15">
        <f t="shared" si="1"/>
        <v>80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443</v>
      </c>
      <c r="D58" s="16">
        <f t="shared" si="21"/>
        <v>94</v>
      </c>
      <c r="E58" s="16">
        <f t="shared" si="21"/>
        <v>92</v>
      </c>
      <c r="F58" s="16">
        <f t="shared" si="21"/>
        <v>143</v>
      </c>
      <c r="G58" s="16">
        <f t="shared" si="21"/>
        <v>1</v>
      </c>
      <c r="H58" s="16">
        <f t="shared" si="21"/>
        <v>1</v>
      </c>
      <c r="I58" s="16">
        <f t="shared" si="21"/>
        <v>73</v>
      </c>
      <c r="J58" s="16">
        <f t="shared" si="21"/>
        <v>92</v>
      </c>
      <c r="K58" s="16">
        <f t="shared" si="21"/>
        <v>4</v>
      </c>
      <c r="L58" s="16">
        <f t="shared" si="21"/>
        <v>3</v>
      </c>
      <c r="M58" s="16">
        <f t="shared" si="21"/>
        <v>1732</v>
      </c>
      <c r="N58" s="16">
        <f t="shared" si="21"/>
        <v>0</v>
      </c>
      <c r="O58" s="16">
        <f t="shared" si="21"/>
        <v>946</v>
      </c>
      <c r="P58" s="16">
        <f t="shared" si="21"/>
        <v>2678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0.1654219566840926</v>
      </c>
      <c r="D59" s="43">
        <f t="shared" si="22"/>
        <v>3.5100821508588502E-2</v>
      </c>
      <c r="E59" s="43">
        <f t="shared" si="22"/>
        <v>3.4353995519044063E-2</v>
      </c>
      <c r="F59" s="43">
        <f t="shared" si="22"/>
        <v>5.3398058252427182E-2</v>
      </c>
      <c r="G59" s="43">
        <f t="shared" si="22"/>
        <v>3.734129947722181E-4</v>
      </c>
      <c r="H59" s="43">
        <f t="shared" si="22"/>
        <v>3.734129947722181E-4</v>
      </c>
      <c r="I59" s="43">
        <f t="shared" si="22"/>
        <v>2.725914861837192E-2</v>
      </c>
      <c r="J59" s="43">
        <f t="shared" si="22"/>
        <v>3.4353995519044063E-2</v>
      </c>
      <c r="K59" s="43">
        <f t="shared" si="22"/>
        <v>1.4936519790888724E-3</v>
      </c>
      <c r="L59" s="43">
        <f t="shared" si="22"/>
        <v>1.1202389843166542E-3</v>
      </c>
      <c r="M59" s="43">
        <f t="shared" si="22"/>
        <v>0.64675130694548166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0.46828752642706128</v>
      </c>
      <c r="D60" s="44">
        <f t="shared" ref="D60:N60" si="23">D58/$O$58</f>
        <v>9.9365750528541227E-2</v>
      </c>
      <c r="E60" s="44">
        <f t="shared" si="23"/>
        <v>9.7251585623678652E-2</v>
      </c>
      <c r="F60" s="44">
        <f t="shared" si="23"/>
        <v>0.15116279069767441</v>
      </c>
      <c r="G60" s="44">
        <f t="shared" si="23"/>
        <v>1.0570824524312897E-3</v>
      </c>
      <c r="H60" s="44">
        <f t="shared" si="23"/>
        <v>1.0570824524312897E-3</v>
      </c>
      <c r="I60" s="44">
        <f t="shared" si="23"/>
        <v>7.7167019027484143E-2</v>
      </c>
      <c r="J60" s="44">
        <f t="shared" si="23"/>
        <v>9.7251585623678652E-2</v>
      </c>
      <c r="K60" s="44">
        <f t="shared" si="23"/>
        <v>4.2283298097251587E-3</v>
      </c>
      <c r="L60" s="44">
        <f t="shared" si="23"/>
        <v>3.1712473572938688E-3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I64" zoomScale="60" workbookViewId="0">
      <selection activeCell="AD57" sqref="AD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5" t="str">
        <f>'31.10 Mbarara-Isingiro'!C3:G3</f>
        <v>MCC-C4-STN100A-MBARARA-ISINGIRO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'31.10 Isingiro-Mbarara'!G5:H5</f>
        <v>KASENYI</v>
      </c>
      <c r="H5" s="62"/>
      <c r="I5" s="14"/>
      <c r="J5" s="2" t="s">
        <v>5</v>
      </c>
      <c r="K5" s="61" t="s">
        <v>179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'31.10 Isingiro-Mbarara'!D6:E6</f>
        <v>ISINGIRO</v>
      </c>
      <c r="E6" s="62"/>
      <c r="F6" s="2" t="s">
        <v>2</v>
      </c>
      <c r="G6" s="61" t="str">
        <f>'31.10 Isingiro-Mbarara'!G6:H6</f>
        <v>MBARARA</v>
      </c>
      <c r="H6" s="62"/>
      <c r="J6" s="2" t="s">
        <v>21</v>
      </c>
      <c r="K6" s="61" t="str">
        <f>'31.10 Isingiro-Mbarara'!K6:L6</f>
        <v>MIREMBE RUTH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Isingiro-Mbarara'!C10,'26.10 Isingiro-Mbarara-24Hr'!C10,'27.10 Isingilo-Mbarara'!C10,'28.10 Isingiro-Mbarara-24Hr'!C10,'29.10 Isingiro-Mbarara'!C10,'30.10 Isingiro-Mbarara'!C10,'31.10 Isingiro-Mbarara'!C10)</f>
        <v>6.4285714285714288</v>
      </c>
      <c r="D10" s="49">
        <f>AVERAGE('25.10 Isingiro-Mbarara'!D10,'26.10 Isingiro-Mbarara-24Hr'!D10,'27.10 Isingilo-Mbarara'!D10,'28.10 Isingiro-Mbarara-24Hr'!D10,'29.10 Isingiro-Mbarara'!D10,'30.10 Isingiro-Mbarara'!D10,'31.10 Isingiro-Mbarara'!D10)</f>
        <v>0.5714285714285714</v>
      </c>
      <c r="E10" s="49">
        <f>AVERAGE('25.10 Isingiro-Mbarara'!E10,'26.10 Isingiro-Mbarara-24Hr'!E10,'27.10 Isingilo-Mbarara'!E10,'28.10 Isingiro-Mbarara-24Hr'!E10,'29.10 Isingiro-Mbarara'!E10,'30.10 Isingiro-Mbarara'!E10,'31.10 Isingiro-Mbarara'!E10)</f>
        <v>1</v>
      </c>
      <c r="F10" s="49">
        <f>AVERAGE('25.10 Isingiro-Mbarara'!F10,'26.10 Isingiro-Mbarara-24Hr'!F10,'27.10 Isingilo-Mbarara'!F10,'28.10 Isingiro-Mbarara-24Hr'!F10,'29.10 Isingiro-Mbarara'!F10,'30.10 Isingiro-Mbarara'!F10,'31.10 Isingiro-Mbarara'!F10)</f>
        <v>3.2857142857142856</v>
      </c>
      <c r="G10" s="49">
        <f>AVERAGE('25.10 Isingiro-Mbarara'!G10,'26.10 Isingiro-Mbarara-24Hr'!G10,'27.10 Isingilo-Mbarara'!G10,'28.10 Isingiro-Mbarara-24Hr'!G10,'29.10 Isingiro-Mbarara'!G10,'30.10 Isingiro-Mbarara'!G10,'31.10 Isingiro-Mbarara'!G10)</f>
        <v>0</v>
      </c>
      <c r="H10" s="49">
        <f>AVERAGE('25.10 Isingiro-Mbarara'!H10,'26.10 Isingiro-Mbarara-24Hr'!H10,'27.10 Isingilo-Mbarara'!H10,'28.10 Isingiro-Mbarara-24Hr'!H10,'29.10 Isingiro-Mbarara'!H10,'30.10 Isingiro-Mbarara'!H10,'31.10 Isingiro-Mbarara'!H10)</f>
        <v>0.14285714285714285</v>
      </c>
      <c r="I10" s="49">
        <f>AVERAGE('25.10 Isingiro-Mbarara'!I10,'26.10 Isingiro-Mbarara-24Hr'!I10,'27.10 Isingilo-Mbarara'!I10,'28.10 Isingiro-Mbarara-24Hr'!I10,'29.10 Isingiro-Mbarara'!I10,'30.10 Isingiro-Mbarara'!I10,'31.10 Isingiro-Mbarara'!I10)</f>
        <v>1.5714285714285714</v>
      </c>
      <c r="J10" s="49">
        <f>AVERAGE('25.10 Isingiro-Mbarara'!J10,'26.10 Isingiro-Mbarara-24Hr'!J10,'27.10 Isingilo-Mbarara'!J10,'28.10 Isingiro-Mbarara-24Hr'!J10,'29.10 Isingiro-Mbarara'!J10,'30.10 Isingiro-Mbarara'!J10,'31.10 Isingiro-Mbarara'!J10)</f>
        <v>0.42857142857142855</v>
      </c>
      <c r="K10" s="49">
        <f>AVERAGE('25.10 Isingiro-Mbarara'!K10,'26.10 Isingiro-Mbarara-24Hr'!K10,'27.10 Isingilo-Mbarara'!K10,'28.10 Isingiro-Mbarara-24Hr'!K10,'29.10 Isingiro-Mbarara'!K10,'30.10 Isingiro-Mbarara'!K10,'31.10 Isingiro-Mbarara'!K10)</f>
        <v>0</v>
      </c>
      <c r="L10" s="49">
        <f>AVERAGE('25.10 Isingiro-Mbarara'!L10,'26.10 Isingiro-Mbarara-24Hr'!L10,'27.10 Isingilo-Mbarara'!L10,'28.10 Isingiro-Mbarara-24Hr'!L10,'29.10 Isingiro-Mbarara'!L10,'30.10 Isingiro-Mbarara'!L10,'31.10 Isingiro-Mbarara'!L10)</f>
        <v>0</v>
      </c>
      <c r="M10" s="49">
        <f>AVERAGE('25.10 Isingiro-Mbarara'!M10,'26.10 Isingiro-Mbarara-24Hr'!M10,'27.10 Isingilo-Mbarara'!M10,'28.10 Isingiro-Mbarara-24Hr'!M10,'29.10 Isingiro-Mbarara'!M10,'30.10 Isingiro-Mbarara'!M10,'31.10 Isingiro-Mbarara'!M10)</f>
        <v>29.285714285714285</v>
      </c>
      <c r="N10" s="49">
        <f>AVERAGE('25.10 Isingiro-Mbarara'!N10,'26.10 Isingiro-Mbarara-24Hr'!N10,'27.10 Isingilo-Mbarara'!N10,'28.10 Isingiro-Mbarara-24Hr'!N10,'29.10 Isingiro-Mbarara'!N10,'30.10 Isingiro-Mbarara'!N10,'31.10 Isingiro-Mbarara'!N10)</f>
        <v>0</v>
      </c>
      <c r="O10" s="15">
        <f t="shared" ref="O10:O73" si="0">SUM(C10:L10,N10)</f>
        <v>13.428571428571427</v>
      </c>
      <c r="P10" s="15">
        <f t="shared" ref="P10:P73" si="1">SUM(C10:N10)</f>
        <v>42.714285714285708</v>
      </c>
      <c r="R10" s="1" t="s">
        <v>6</v>
      </c>
      <c r="S10" s="17">
        <f t="shared" ref="S10:AF10" si="2">SUM(C10:C13)</f>
        <v>37.857142857142861</v>
      </c>
      <c r="T10" s="17">
        <f t="shared" si="2"/>
        <v>6.1428571428571423</v>
      </c>
      <c r="U10" s="17">
        <f t="shared" si="2"/>
        <v>3.5714285714285716</v>
      </c>
      <c r="V10" s="17">
        <f t="shared" si="2"/>
        <v>11.571428571428571</v>
      </c>
      <c r="W10" s="17">
        <f t="shared" si="2"/>
        <v>0.14285714285714285</v>
      </c>
      <c r="X10" s="17">
        <f t="shared" si="2"/>
        <v>0.42857142857142855</v>
      </c>
      <c r="Y10" s="17">
        <f t="shared" si="2"/>
        <v>5.2857142857142847</v>
      </c>
      <c r="Z10" s="17">
        <f t="shared" si="2"/>
        <v>2.1428571428571428</v>
      </c>
      <c r="AA10" s="17">
        <f t="shared" si="2"/>
        <v>0.14285714285714285</v>
      </c>
      <c r="AB10" s="17">
        <f t="shared" si="2"/>
        <v>0.2857142857142857</v>
      </c>
      <c r="AC10" s="17">
        <f t="shared" si="2"/>
        <v>158</v>
      </c>
      <c r="AD10" s="17">
        <f t="shared" si="2"/>
        <v>0</v>
      </c>
      <c r="AE10" s="31">
        <f t="shared" si="2"/>
        <v>67.571428571428555</v>
      </c>
      <c r="AF10" s="31">
        <f t="shared" si="2"/>
        <v>225.57142857142856</v>
      </c>
    </row>
    <row r="11" spans="2:32" s="6" customFormat="1" ht="23.1" customHeight="1" x14ac:dyDescent="0.25">
      <c r="B11" s="23" t="s">
        <v>38</v>
      </c>
      <c r="C11" s="49">
        <f>AVERAGE('25.10 Isingiro-Mbarara'!C11,'26.10 Isingiro-Mbarara-24Hr'!C11,'27.10 Isingilo-Mbarara'!C11,'28.10 Isingiro-Mbarara-24Hr'!C11,'29.10 Isingiro-Mbarara'!C11,'30.10 Isingiro-Mbarara'!C11,'31.10 Isingiro-Mbarara'!C11)</f>
        <v>7.7142857142857144</v>
      </c>
      <c r="D11" s="49">
        <f>AVERAGE('25.10 Isingiro-Mbarara'!D11,'26.10 Isingiro-Mbarara-24Hr'!D11,'27.10 Isingilo-Mbarara'!D11,'28.10 Isingiro-Mbarara-24Hr'!D11,'29.10 Isingiro-Mbarara'!D11,'30.10 Isingiro-Mbarara'!D11,'31.10 Isingiro-Mbarara'!D11)</f>
        <v>0.7142857142857143</v>
      </c>
      <c r="E11" s="49">
        <f>AVERAGE('25.10 Isingiro-Mbarara'!E11,'26.10 Isingiro-Mbarara-24Hr'!E11,'27.10 Isingilo-Mbarara'!E11,'28.10 Isingiro-Mbarara-24Hr'!E11,'29.10 Isingiro-Mbarara'!E11,'30.10 Isingiro-Mbarara'!E11,'31.10 Isingiro-Mbarara'!E11)</f>
        <v>0.7142857142857143</v>
      </c>
      <c r="F11" s="49">
        <f>AVERAGE('25.10 Isingiro-Mbarara'!F11,'26.10 Isingiro-Mbarara-24Hr'!F11,'27.10 Isingilo-Mbarara'!F11,'28.10 Isingiro-Mbarara-24Hr'!F11,'29.10 Isingiro-Mbarara'!F11,'30.10 Isingiro-Mbarara'!F11,'31.10 Isingiro-Mbarara'!F11)</f>
        <v>1.1428571428571428</v>
      </c>
      <c r="G11" s="49">
        <f>AVERAGE('25.10 Isingiro-Mbarara'!G11,'26.10 Isingiro-Mbarara-24Hr'!G11,'27.10 Isingilo-Mbarara'!G11,'28.10 Isingiro-Mbarara-24Hr'!G11,'29.10 Isingiro-Mbarara'!G11,'30.10 Isingiro-Mbarara'!G11,'31.10 Isingiro-Mbarara'!G11)</f>
        <v>0</v>
      </c>
      <c r="H11" s="49">
        <f>AVERAGE('25.10 Isingiro-Mbarara'!H11,'26.10 Isingiro-Mbarara-24Hr'!H11,'27.10 Isingilo-Mbarara'!H11,'28.10 Isingiro-Mbarara-24Hr'!H11,'29.10 Isingiro-Mbarara'!H11,'30.10 Isingiro-Mbarara'!H11,'31.10 Isingiro-Mbarara'!H11)</f>
        <v>0</v>
      </c>
      <c r="I11" s="49">
        <f>AVERAGE('25.10 Isingiro-Mbarara'!I11,'26.10 Isingiro-Mbarara-24Hr'!I11,'27.10 Isingilo-Mbarara'!I11,'28.10 Isingiro-Mbarara-24Hr'!I11,'29.10 Isingiro-Mbarara'!I11,'30.10 Isingiro-Mbarara'!I11,'31.10 Isingiro-Mbarara'!I11)</f>
        <v>1.7142857142857142</v>
      </c>
      <c r="J11" s="49">
        <f>AVERAGE('25.10 Isingiro-Mbarara'!J11,'26.10 Isingiro-Mbarara-24Hr'!J11,'27.10 Isingilo-Mbarara'!J11,'28.10 Isingiro-Mbarara-24Hr'!J11,'29.10 Isingiro-Mbarara'!J11,'30.10 Isingiro-Mbarara'!J11,'31.10 Isingiro-Mbarara'!J11)</f>
        <v>0.5714285714285714</v>
      </c>
      <c r="K11" s="49">
        <f>AVERAGE('25.10 Isingiro-Mbarara'!K11,'26.10 Isingiro-Mbarara-24Hr'!K11,'27.10 Isingilo-Mbarara'!K11,'28.10 Isingiro-Mbarara-24Hr'!K11,'29.10 Isingiro-Mbarara'!K11,'30.10 Isingiro-Mbarara'!K11,'31.10 Isingiro-Mbarara'!K11)</f>
        <v>0</v>
      </c>
      <c r="L11" s="49">
        <f>AVERAGE('25.10 Isingiro-Mbarara'!L11,'26.10 Isingiro-Mbarara-24Hr'!L11,'27.10 Isingilo-Mbarara'!L11,'28.10 Isingiro-Mbarara-24Hr'!L11,'29.10 Isingiro-Mbarara'!L11,'30.10 Isingiro-Mbarara'!L11,'31.10 Isingiro-Mbarara'!L11)</f>
        <v>0</v>
      </c>
      <c r="M11" s="49">
        <f>AVERAGE('25.10 Isingiro-Mbarara'!M11,'26.10 Isingiro-Mbarara-24Hr'!M11,'27.10 Isingilo-Mbarara'!M11,'28.10 Isingiro-Mbarara-24Hr'!M11,'29.10 Isingiro-Mbarara'!M11,'30.10 Isingiro-Mbarara'!M11,'31.10 Isingiro-Mbarara'!M11)</f>
        <v>37.285714285714285</v>
      </c>
      <c r="N11" s="49">
        <f>AVERAGE('25.10 Isingiro-Mbarara'!N11,'26.10 Isingiro-Mbarara-24Hr'!N11,'27.10 Isingilo-Mbarara'!N11,'28.10 Isingiro-Mbarara-24Hr'!N11,'29.10 Isingiro-Mbarara'!N11,'30.10 Isingiro-Mbarara'!N11,'31.10 Isingiro-Mbarara'!N11)</f>
        <v>0</v>
      </c>
      <c r="O11" s="15">
        <f t="shared" si="0"/>
        <v>12.571428571428569</v>
      </c>
      <c r="P11" s="15">
        <f t="shared" si="1"/>
        <v>49.857142857142854</v>
      </c>
      <c r="R11" s="1" t="s">
        <v>7</v>
      </c>
      <c r="S11" s="17">
        <f t="shared" ref="S11:AF11" si="3">SUM(C14:C17)</f>
        <v>47.285714285714278</v>
      </c>
      <c r="T11" s="17">
        <f t="shared" si="3"/>
        <v>6.8571428571428577</v>
      </c>
      <c r="U11" s="17">
        <f t="shared" si="3"/>
        <v>3.7142857142857144</v>
      </c>
      <c r="V11" s="17">
        <f t="shared" si="3"/>
        <v>17.285714285714285</v>
      </c>
      <c r="W11" s="17">
        <f t="shared" si="3"/>
        <v>0</v>
      </c>
      <c r="X11" s="17">
        <f t="shared" si="3"/>
        <v>0.14285714285714285</v>
      </c>
      <c r="Y11" s="17">
        <f t="shared" si="3"/>
        <v>5.8571428571428568</v>
      </c>
      <c r="Z11" s="17">
        <f t="shared" si="3"/>
        <v>2.2857142857142856</v>
      </c>
      <c r="AA11" s="17">
        <f t="shared" si="3"/>
        <v>0.42857142857142855</v>
      </c>
      <c r="AB11" s="17">
        <f t="shared" si="3"/>
        <v>0</v>
      </c>
      <c r="AC11" s="17">
        <f t="shared" si="3"/>
        <v>184.71428571428572</v>
      </c>
      <c r="AD11" s="17">
        <f t="shared" si="3"/>
        <v>0</v>
      </c>
      <c r="AE11" s="31">
        <f t="shared" si="3"/>
        <v>83.857142857142861</v>
      </c>
      <c r="AF11" s="31">
        <f t="shared" si="3"/>
        <v>268.57142857142861</v>
      </c>
    </row>
    <row r="12" spans="2:32" ht="23.1" customHeight="1" x14ac:dyDescent="0.25">
      <c r="B12" s="23" t="s">
        <v>39</v>
      </c>
      <c r="C12" s="49">
        <f>AVERAGE('25.10 Isingiro-Mbarara'!C12,'26.10 Isingiro-Mbarara-24Hr'!C12,'27.10 Isingilo-Mbarara'!C12,'28.10 Isingiro-Mbarara-24Hr'!C12,'29.10 Isingiro-Mbarara'!C12,'30.10 Isingiro-Mbarara'!C12,'31.10 Isingiro-Mbarara'!C12)</f>
        <v>11.285714285714286</v>
      </c>
      <c r="D12" s="49">
        <f>AVERAGE('25.10 Isingiro-Mbarara'!D12,'26.10 Isingiro-Mbarara-24Hr'!D12,'27.10 Isingilo-Mbarara'!D12,'28.10 Isingiro-Mbarara-24Hr'!D12,'29.10 Isingiro-Mbarara'!D12,'30.10 Isingiro-Mbarara'!D12,'31.10 Isingiro-Mbarara'!D12)</f>
        <v>2.8571428571428572</v>
      </c>
      <c r="E12" s="49">
        <f>AVERAGE('25.10 Isingiro-Mbarara'!E12,'26.10 Isingiro-Mbarara-24Hr'!E12,'27.10 Isingilo-Mbarara'!E12,'28.10 Isingiro-Mbarara-24Hr'!E12,'29.10 Isingiro-Mbarara'!E12,'30.10 Isingiro-Mbarara'!E12,'31.10 Isingiro-Mbarara'!E12)</f>
        <v>1.1428571428571428</v>
      </c>
      <c r="F12" s="49">
        <f>AVERAGE('25.10 Isingiro-Mbarara'!F12,'26.10 Isingiro-Mbarara-24Hr'!F12,'27.10 Isingilo-Mbarara'!F12,'28.10 Isingiro-Mbarara-24Hr'!F12,'29.10 Isingiro-Mbarara'!F12,'30.10 Isingiro-Mbarara'!F12,'31.10 Isingiro-Mbarara'!F12)</f>
        <v>3.1428571428571428</v>
      </c>
      <c r="G12" s="49">
        <f>AVERAGE('25.10 Isingiro-Mbarara'!G12,'26.10 Isingiro-Mbarara-24Hr'!G12,'27.10 Isingilo-Mbarara'!G12,'28.10 Isingiro-Mbarara-24Hr'!G12,'29.10 Isingiro-Mbarara'!G12,'30.10 Isingiro-Mbarara'!G12,'31.10 Isingiro-Mbarara'!G12)</f>
        <v>0</v>
      </c>
      <c r="H12" s="49">
        <f>AVERAGE('25.10 Isingiro-Mbarara'!H12,'26.10 Isingiro-Mbarara-24Hr'!H12,'27.10 Isingilo-Mbarara'!H12,'28.10 Isingiro-Mbarara-24Hr'!H12,'29.10 Isingiro-Mbarara'!H12,'30.10 Isingiro-Mbarara'!H12,'31.10 Isingiro-Mbarara'!H12)</f>
        <v>0</v>
      </c>
      <c r="I12" s="49">
        <f>AVERAGE('25.10 Isingiro-Mbarara'!I12,'26.10 Isingiro-Mbarara-24Hr'!I12,'27.10 Isingilo-Mbarara'!I12,'28.10 Isingiro-Mbarara-24Hr'!I12,'29.10 Isingiro-Mbarara'!I12,'30.10 Isingiro-Mbarara'!I12,'31.10 Isingiro-Mbarara'!I12)</f>
        <v>0.8571428571428571</v>
      </c>
      <c r="J12" s="49">
        <f>AVERAGE('25.10 Isingiro-Mbarara'!J12,'26.10 Isingiro-Mbarara-24Hr'!J12,'27.10 Isingilo-Mbarara'!J12,'28.10 Isingiro-Mbarara-24Hr'!J12,'29.10 Isingiro-Mbarara'!J12,'30.10 Isingiro-Mbarara'!J12,'31.10 Isingiro-Mbarara'!J12)</f>
        <v>0.8571428571428571</v>
      </c>
      <c r="K12" s="49">
        <f>AVERAGE('25.10 Isingiro-Mbarara'!K12,'26.10 Isingiro-Mbarara-24Hr'!K12,'27.10 Isingilo-Mbarara'!K12,'28.10 Isingiro-Mbarara-24Hr'!K12,'29.10 Isingiro-Mbarara'!K12,'30.10 Isingiro-Mbarara'!K12,'31.10 Isingiro-Mbarara'!K12)</f>
        <v>0</v>
      </c>
      <c r="L12" s="49">
        <f>AVERAGE('25.10 Isingiro-Mbarara'!L12,'26.10 Isingiro-Mbarara-24Hr'!L12,'27.10 Isingilo-Mbarara'!L12,'28.10 Isingiro-Mbarara-24Hr'!L12,'29.10 Isingiro-Mbarara'!L12,'30.10 Isingiro-Mbarara'!L12,'31.10 Isingiro-Mbarara'!L12)</f>
        <v>0</v>
      </c>
      <c r="M12" s="49">
        <f>AVERAGE('25.10 Isingiro-Mbarara'!M12,'26.10 Isingiro-Mbarara-24Hr'!M12,'27.10 Isingilo-Mbarara'!M12,'28.10 Isingiro-Mbarara-24Hr'!M12,'29.10 Isingiro-Mbarara'!M12,'30.10 Isingiro-Mbarara'!M12,'31.10 Isingiro-Mbarara'!M12)</f>
        <v>46.857142857142854</v>
      </c>
      <c r="N12" s="49">
        <f>AVERAGE('25.10 Isingiro-Mbarara'!N12,'26.10 Isingiro-Mbarara-24Hr'!N12,'27.10 Isingilo-Mbarara'!N12,'28.10 Isingiro-Mbarara-24Hr'!N12,'29.10 Isingiro-Mbarara'!N12,'30.10 Isingiro-Mbarara'!N12,'31.10 Isingiro-Mbarara'!N12)</f>
        <v>0</v>
      </c>
      <c r="O12" s="15">
        <f t="shared" si="0"/>
        <v>20.142857142857146</v>
      </c>
      <c r="P12" s="15">
        <f t="shared" si="1"/>
        <v>67</v>
      </c>
      <c r="R12" s="1" t="s">
        <v>8</v>
      </c>
      <c r="S12" s="17">
        <f t="shared" ref="S12:AF12" si="4">SUM(C18:C21)</f>
        <v>48.428571428571431</v>
      </c>
      <c r="T12" s="17">
        <f t="shared" si="4"/>
        <v>5.8571428571428577</v>
      </c>
      <c r="U12" s="17">
        <f t="shared" si="4"/>
        <v>7.8571428571428577</v>
      </c>
      <c r="V12" s="17">
        <f t="shared" si="4"/>
        <v>15</v>
      </c>
      <c r="W12" s="17">
        <f t="shared" si="4"/>
        <v>0</v>
      </c>
      <c r="X12" s="17">
        <f t="shared" si="4"/>
        <v>0.14285714285714285</v>
      </c>
      <c r="Y12" s="17">
        <f t="shared" si="4"/>
        <v>5</v>
      </c>
      <c r="Z12" s="17">
        <f t="shared" si="4"/>
        <v>2.2857142857142856</v>
      </c>
      <c r="AA12" s="17">
        <f t="shared" si="4"/>
        <v>0.2857142857142857</v>
      </c>
      <c r="AB12" s="17">
        <f t="shared" si="4"/>
        <v>0.5714285714285714</v>
      </c>
      <c r="AC12" s="17">
        <f t="shared" si="4"/>
        <v>163.71428571428572</v>
      </c>
      <c r="AD12" s="17">
        <f t="shared" si="4"/>
        <v>0</v>
      </c>
      <c r="AE12" s="31">
        <f t="shared" si="4"/>
        <v>85.428571428571431</v>
      </c>
      <c r="AF12" s="31">
        <f t="shared" si="4"/>
        <v>249.14285714285714</v>
      </c>
    </row>
    <row r="13" spans="2:32" ht="23.1" customHeight="1" x14ac:dyDescent="0.25">
      <c r="B13" s="23" t="s">
        <v>40</v>
      </c>
      <c r="C13" s="49">
        <f>AVERAGE('25.10 Isingiro-Mbarara'!C13,'26.10 Isingiro-Mbarara-24Hr'!C13,'27.10 Isingilo-Mbarara'!C13,'28.10 Isingiro-Mbarara-24Hr'!C13,'29.10 Isingiro-Mbarara'!C13,'30.10 Isingiro-Mbarara'!C13,'31.10 Isingiro-Mbarara'!C13)</f>
        <v>12.428571428571429</v>
      </c>
      <c r="D13" s="49">
        <f>AVERAGE('25.10 Isingiro-Mbarara'!D13,'26.10 Isingiro-Mbarara-24Hr'!D13,'27.10 Isingilo-Mbarara'!D13,'28.10 Isingiro-Mbarara-24Hr'!D13,'29.10 Isingiro-Mbarara'!D13,'30.10 Isingiro-Mbarara'!D13,'31.10 Isingiro-Mbarara'!D13)</f>
        <v>2</v>
      </c>
      <c r="E13" s="49">
        <f>AVERAGE('25.10 Isingiro-Mbarara'!E13,'26.10 Isingiro-Mbarara-24Hr'!E13,'27.10 Isingilo-Mbarara'!E13,'28.10 Isingiro-Mbarara-24Hr'!E13,'29.10 Isingiro-Mbarara'!E13,'30.10 Isingiro-Mbarara'!E13,'31.10 Isingiro-Mbarara'!E13)</f>
        <v>0.7142857142857143</v>
      </c>
      <c r="F13" s="49">
        <f>AVERAGE('25.10 Isingiro-Mbarara'!F13,'26.10 Isingiro-Mbarara-24Hr'!F13,'27.10 Isingilo-Mbarara'!F13,'28.10 Isingiro-Mbarara-24Hr'!F13,'29.10 Isingiro-Mbarara'!F13,'30.10 Isingiro-Mbarara'!F13,'31.10 Isingiro-Mbarara'!F13)</f>
        <v>4</v>
      </c>
      <c r="G13" s="49">
        <f>AVERAGE('25.10 Isingiro-Mbarara'!G13,'26.10 Isingiro-Mbarara-24Hr'!G13,'27.10 Isingilo-Mbarara'!G13,'28.10 Isingiro-Mbarara-24Hr'!G13,'29.10 Isingiro-Mbarara'!G13,'30.10 Isingiro-Mbarara'!G13,'31.10 Isingiro-Mbarara'!G13)</f>
        <v>0.14285714285714285</v>
      </c>
      <c r="H13" s="49">
        <f>AVERAGE('25.10 Isingiro-Mbarara'!H13,'26.10 Isingiro-Mbarara-24Hr'!H13,'27.10 Isingilo-Mbarara'!H13,'28.10 Isingiro-Mbarara-24Hr'!H13,'29.10 Isingiro-Mbarara'!H13,'30.10 Isingiro-Mbarara'!H13,'31.10 Isingiro-Mbarara'!H13)</f>
        <v>0.2857142857142857</v>
      </c>
      <c r="I13" s="49">
        <f>AVERAGE('25.10 Isingiro-Mbarara'!I13,'26.10 Isingiro-Mbarara-24Hr'!I13,'27.10 Isingilo-Mbarara'!I13,'28.10 Isingiro-Mbarara-24Hr'!I13,'29.10 Isingiro-Mbarara'!I13,'30.10 Isingiro-Mbarara'!I13,'31.10 Isingiro-Mbarara'!I13)</f>
        <v>1.1428571428571428</v>
      </c>
      <c r="J13" s="49">
        <f>AVERAGE('25.10 Isingiro-Mbarara'!J13,'26.10 Isingiro-Mbarara-24Hr'!J13,'27.10 Isingilo-Mbarara'!J13,'28.10 Isingiro-Mbarara-24Hr'!J13,'29.10 Isingiro-Mbarara'!J13,'30.10 Isingiro-Mbarara'!J13,'31.10 Isingiro-Mbarara'!J13)</f>
        <v>0.2857142857142857</v>
      </c>
      <c r="K13" s="49">
        <f>AVERAGE('25.10 Isingiro-Mbarara'!K13,'26.10 Isingiro-Mbarara-24Hr'!K13,'27.10 Isingilo-Mbarara'!K13,'28.10 Isingiro-Mbarara-24Hr'!K13,'29.10 Isingiro-Mbarara'!K13,'30.10 Isingiro-Mbarara'!K13,'31.10 Isingiro-Mbarara'!K13)</f>
        <v>0.14285714285714285</v>
      </c>
      <c r="L13" s="49">
        <f>AVERAGE('25.10 Isingiro-Mbarara'!L13,'26.10 Isingiro-Mbarara-24Hr'!L13,'27.10 Isingilo-Mbarara'!L13,'28.10 Isingiro-Mbarara-24Hr'!L13,'29.10 Isingiro-Mbarara'!L13,'30.10 Isingiro-Mbarara'!L13,'31.10 Isingiro-Mbarara'!L13)</f>
        <v>0.2857142857142857</v>
      </c>
      <c r="M13" s="49">
        <f>AVERAGE('25.10 Isingiro-Mbarara'!M13,'26.10 Isingiro-Mbarara-24Hr'!M13,'27.10 Isingilo-Mbarara'!M13,'28.10 Isingiro-Mbarara-24Hr'!M13,'29.10 Isingiro-Mbarara'!M13,'30.10 Isingiro-Mbarara'!M13,'31.10 Isingiro-Mbarara'!M13)</f>
        <v>44.571428571428569</v>
      </c>
      <c r="N13" s="49">
        <f>AVERAGE('25.10 Isingiro-Mbarara'!N13,'26.10 Isingiro-Mbarara-24Hr'!N13,'27.10 Isingilo-Mbarara'!N13,'28.10 Isingiro-Mbarara-24Hr'!N13,'29.10 Isingiro-Mbarara'!N13,'30.10 Isingiro-Mbarara'!N13,'31.10 Isingiro-Mbarara'!N13)</f>
        <v>0</v>
      </c>
      <c r="O13" s="15">
        <f t="shared" si="0"/>
        <v>21.428571428571423</v>
      </c>
      <c r="P13" s="15">
        <f t="shared" si="1"/>
        <v>66</v>
      </c>
      <c r="R13" s="1" t="s">
        <v>9</v>
      </c>
      <c r="S13" s="17">
        <f t="shared" ref="S13:AF13" si="5">SUM(C22:C25)</f>
        <v>46</v>
      </c>
      <c r="T13" s="17">
        <f t="shared" si="5"/>
        <v>6.2857142857142856</v>
      </c>
      <c r="U13" s="17">
        <f t="shared" si="5"/>
        <v>5.8571428571428568</v>
      </c>
      <c r="V13" s="17">
        <f t="shared" si="5"/>
        <v>15.142857142857144</v>
      </c>
      <c r="W13" s="17">
        <f t="shared" si="5"/>
        <v>0.2857142857142857</v>
      </c>
      <c r="X13" s="17">
        <f t="shared" si="5"/>
        <v>0</v>
      </c>
      <c r="Y13" s="17">
        <f t="shared" si="5"/>
        <v>6.8571428571428568</v>
      </c>
      <c r="Z13" s="17">
        <f t="shared" si="5"/>
        <v>4.2857142857142865</v>
      </c>
      <c r="AA13" s="17">
        <f t="shared" si="5"/>
        <v>0.42857142857142855</v>
      </c>
      <c r="AB13" s="17">
        <f t="shared" si="5"/>
        <v>0.14285714285714285</v>
      </c>
      <c r="AC13" s="17">
        <f t="shared" si="5"/>
        <v>162.14285714285714</v>
      </c>
      <c r="AD13" s="17">
        <f t="shared" si="5"/>
        <v>0.14285714285714285</v>
      </c>
      <c r="AE13" s="31">
        <f t="shared" si="5"/>
        <v>85.428571428571416</v>
      </c>
      <c r="AF13" s="31">
        <f t="shared" si="5"/>
        <v>247.57142857142856</v>
      </c>
    </row>
    <row r="14" spans="2:32" ht="23.1" customHeight="1" x14ac:dyDescent="0.25">
      <c r="B14" s="23" t="s">
        <v>41</v>
      </c>
      <c r="C14" s="49">
        <f>AVERAGE('25.10 Isingiro-Mbarara'!C14,'26.10 Isingiro-Mbarara-24Hr'!C14,'27.10 Isingilo-Mbarara'!C14,'28.10 Isingiro-Mbarara-24Hr'!C14,'29.10 Isingiro-Mbarara'!C14,'30.10 Isingiro-Mbarara'!C14,'31.10 Isingiro-Mbarara'!C14)</f>
        <v>14.428571428571429</v>
      </c>
      <c r="D14" s="49">
        <f>AVERAGE('25.10 Isingiro-Mbarara'!D14,'26.10 Isingiro-Mbarara-24Hr'!D14,'27.10 Isingilo-Mbarara'!D14,'28.10 Isingiro-Mbarara-24Hr'!D14,'29.10 Isingiro-Mbarara'!D14,'30.10 Isingiro-Mbarara'!D14,'31.10 Isingiro-Mbarara'!D14)</f>
        <v>2</v>
      </c>
      <c r="E14" s="49">
        <f>AVERAGE('25.10 Isingiro-Mbarara'!E14,'26.10 Isingiro-Mbarara-24Hr'!E14,'27.10 Isingilo-Mbarara'!E14,'28.10 Isingiro-Mbarara-24Hr'!E14,'29.10 Isingiro-Mbarara'!E14,'30.10 Isingiro-Mbarara'!E14,'31.10 Isingiro-Mbarara'!E14)</f>
        <v>0.5714285714285714</v>
      </c>
      <c r="F14" s="49">
        <f>AVERAGE('25.10 Isingiro-Mbarara'!F14,'26.10 Isingiro-Mbarara-24Hr'!F14,'27.10 Isingilo-Mbarara'!F14,'28.10 Isingiro-Mbarara-24Hr'!F14,'29.10 Isingiro-Mbarara'!F14,'30.10 Isingiro-Mbarara'!F14,'31.10 Isingiro-Mbarara'!F14)</f>
        <v>5.2857142857142856</v>
      </c>
      <c r="G14" s="49">
        <f>AVERAGE('25.10 Isingiro-Mbarara'!G14,'26.10 Isingiro-Mbarara-24Hr'!G14,'27.10 Isingilo-Mbarara'!G14,'28.10 Isingiro-Mbarara-24Hr'!G14,'29.10 Isingiro-Mbarara'!G14,'30.10 Isingiro-Mbarara'!G14,'31.10 Isingiro-Mbarara'!G14)</f>
        <v>0</v>
      </c>
      <c r="H14" s="49">
        <f>AVERAGE('25.10 Isingiro-Mbarara'!H14,'26.10 Isingiro-Mbarara-24Hr'!H14,'27.10 Isingilo-Mbarara'!H14,'28.10 Isingiro-Mbarara-24Hr'!H14,'29.10 Isingiro-Mbarara'!H14,'30.10 Isingiro-Mbarara'!H14,'31.10 Isingiro-Mbarara'!H14)</f>
        <v>0</v>
      </c>
      <c r="I14" s="49">
        <f>AVERAGE('25.10 Isingiro-Mbarara'!I14,'26.10 Isingiro-Mbarara-24Hr'!I14,'27.10 Isingilo-Mbarara'!I14,'28.10 Isingiro-Mbarara-24Hr'!I14,'29.10 Isingiro-Mbarara'!I14,'30.10 Isingiro-Mbarara'!I14,'31.10 Isingiro-Mbarara'!I14)</f>
        <v>1.1428571428571428</v>
      </c>
      <c r="J14" s="49">
        <f>AVERAGE('25.10 Isingiro-Mbarara'!J14,'26.10 Isingiro-Mbarara-24Hr'!J14,'27.10 Isingilo-Mbarara'!J14,'28.10 Isingiro-Mbarara-24Hr'!J14,'29.10 Isingiro-Mbarara'!J14,'30.10 Isingiro-Mbarara'!J14,'31.10 Isingiro-Mbarara'!J14)</f>
        <v>0.7142857142857143</v>
      </c>
      <c r="K14" s="49">
        <f>AVERAGE('25.10 Isingiro-Mbarara'!K14,'26.10 Isingiro-Mbarara-24Hr'!K14,'27.10 Isingilo-Mbarara'!K14,'28.10 Isingiro-Mbarara-24Hr'!K14,'29.10 Isingiro-Mbarara'!K14,'30.10 Isingiro-Mbarara'!K14,'31.10 Isingiro-Mbarara'!K14)</f>
        <v>0</v>
      </c>
      <c r="L14" s="49">
        <f>AVERAGE('25.10 Isingiro-Mbarara'!L14,'26.10 Isingiro-Mbarara-24Hr'!L14,'27.10 Isingilo-Mbarara'!L14,'28.10 Isingiro-Mbarara-24Hr'!L14,'29.10 Isingiro-Mbarara'!L14,'30.10 Isingiro-Mbarara'!L14,'31.10 Isingiro-Mbarara'!L14)</f>
        <v>0</v>
      </c>
      <c r="M14" s="49">
        <f>AVERAGE('25.10 Isingiro-Mbarara'!M14,'26.10 Isingiro-Mbarara-24Hr'!M14,'27.10 Isingilo-Mbarara'!M14,'28.10 Isingiro-Mbarara-24Hr'!M14,'29.10 Isingiro-Mbarara'!M14,'30.10 Isingiro-Mbarara'!M14,'31.10 Isingiro-Mbarara'!M14)</f>
        <v>45.571428571428569</v>
      </c>
      <c r="N14" s="49">
        <f>AVERAGE('25.10 Isingiro-Mbarara'!N14,'26.10 Isingiro-Mbarara-24Hr'!N14,'27.10 Isingilo-Mbarara'!N14,'28.10 Isingiro-Mbarara-24Hr'!N14,'29.10 Isingiro-Mbarara'!N14,'30.10 Isingiro-Mbarara'!N14,'31.10 Isingiro-Mbarara'!N14)</f>
        <v>0</v>
      </c>
      <c r="O14" s="15">
        <f t="shared" si="0"/>
        <v>24.142857142857146</v>
      </c>
      <c r="P14" s="15">
        <f t="shared" si="1"/>
        <v>69.714285714285722</v>
      </c>
      <c r="R14" s="1" t="s">
        <v>10</v>
      </c>
      <c r="S14" s="17">
        <f t="shared" ref="S14:AF14" si="6">SUM(C26:C29)</f>
        <v>42.857142857142861</v>
      </c>
      <c r="T14" s="17">
        <f t="shared" si="6"/>
        <v>9</v>
      </c>
      <c r="U14" s="17">
        <f t="shared" si="6"/>
        <v>7.1428571428571423</v>
      </c>
      <c r="V14" s="17">
        <f t="shared" si="6"/>
        <v>8.4285714285714288</v>
      </c>
      <c r="W14" s="17">
        <f t="shared" si="6"/>
        <v>0.14285714285714285</v>
      </c>
      <c r="X14" s="17">
        <f t="shared" si="6"/>
        <v>0</v>
      </c>
      <c r="Y14" s="17">
        <f t="shared" si="6"/>
        <v>5.7142857142857135</v>
      </c>
      <c r="Z14" s="17">
        <f t="shared" si="6"/>
        <v>4.5714285714285712</v>
      </c>
      <c r="AA14" s="17">
        <f t="shared" si="6"/>
        <v>0.42857142857142855</v>
      </c>
      <c r="AB14" s="17">
        <f t="shared" si="6"/>
        <v>1.5714285714285712</v>
      </c>
      <c r="AC14" s="17">
        <f t="shared" si="6"/>
        <v>140.57142857142856</v>
      </c>
      <c r="AD14" s="17">
        <f t="shared" si="6"/>
        <v>0.42857142857142855</v>
      </c>
      <c r="AE14" s="31">
        <f t="shared" si="6"/>
        <v>80.285714285714278</v>
      </c>
      <c r="AF14" s="31">
        <f t="shared" si="6"/>
        <v>220.85714285714286</v>
      </c>
    </row>
    <row r="15" spans="2:32" ht="23.1" customHeight="1" x14ac:dyDescent="0.25">
      <c r="B15" s="23" t="s">
        <v>42</v>
      </c>
      <c r="C15" s="49">
        <f>AVERAGE('25.10 Isingiro-Mbarara'!C15,'26.10 Isingiro-Mbarara-24Hr'!C15,'27.10 Isingilo-Mbarara'!C15,'28.10 Isingiro-Mbarara-24Hr'!C15,'29.10 Isingiro-Mbarara'!C15,'30.10 Isingiro-Mbarara'!C15,'31.10 Isingiro-Mbarara'!C15)</f>
        <v>10.571428571428571</v>
      </c>
      <c r="D15" s="49">
        <f>AVERAGE('25.10 Isingiro-Mbarara'!D15,'26.10 Isingiro-Mbarara-24Hr'!D15,'27.10 Isingilo-Mbarara'!D15,'28.10 Isingiro-Mbarara-24Hr'!D15,'29.10 Isingiro-Mbarara'!D15,'30.10 Isingiro-Mbarara'!D15,'31.10 Isingiro-Mbarara'!D15)</f>
        <v>2.4285714285714284</v>
      </c>
      <c r="E15" s="49">
        <f>AVERAGE('25.10 Isingiro-Mbarara'!E15,'26.10 Isingiro-Mbarara-24Hr'!E15,'27.10 Isingilo-Mbarara'!E15,'28.10 Isingiro-Mbarara-24Hr'!E15,'29.10 Isingiro-Mbarara'!E15,'30.10 Isingiro-Mbarara'!E15,'31.10 Isingiro-Mbarara'!E15)</f>
        <v>1.2857142857142858</v>
      </c>
      <c r="F15" s="49">
        <f>AVERAGE('25.10 Isingiro-Mbarara'!F15,'26.10 Isingiro-Mbarara-24Hr'!F15,'27.10 Isingilo-Mbarara'!F15,'28.10 Isingiro-Mbarara-24Hr'!F15,'29.10 Isingiro-Mbarara'!F15,'30.10 Isingiro-Mbarara'!F15,'31.10 Isingiro-Mbarara'!F15)</f>
        <v>3.8571428571428572</v>
      </c>
      <c r="G15" s="49">
        <f>AVERAGE('25.10 Isingiro-Mbarara'!G15,'26.10 Isingiro-Mbarara-24Hr'!G15,'27.10 Isingilo-Mbarara'!G15,'28.10 Isingiro-Mbarara-24Hr'!G15,'29.10 Isingiro-Mbarara'!G15,'30.10 Isingiro-Mbarara'!G15,'31.10 Isingiro-Mbarara'!G15)</f>
        <v>0</v>
      </c>
      <c r="H15" s="49">
        <f>AVERAGE('25.10 Isingiro-Mbarara'!H15,'26.10 Isingiro-Mbarara-24Hr'!H15,'27.10 Isingilo-Mbarara'!H15,'28.10 Isingiro-Mbarara-24Hr'!H15,'29.10 Isingiro-Mbarara'!H15,'30.10 Isingiro-Mbarara'!H15,'31.10 Isingiro-Mbarara'!H15)</f>
        <v>0.14285714285714285</v>
      </c>
      <c r="I15" s="49">
        <f>AVERAGE('25.10 Isingiro-Mbarara'!I15,'26.10 Isingiro-Mbarara-24Hr'!I15,'27.10 Isingilo-Mbarara'!I15,'28.10 Isingiro-Mbarara-24Hr'!I15,'29.10 Isingiro-Mbarara'!I15,'30.10 Isingiro-Mbarara'!I15,'31.10 Isingiro-Mbarara'!I15)</f>
        <v>1.5714285714285714</v>
      </c>
      <c r="J15" s="49">
        <f>AVERAGE('25.10 Isingiro-Mbarara'!J15,'26.10 Isingiro-Mbarara-24Hr'!J15,'27.10 Isingilo-Mbarara'!J15,'28.10 Isingiro-Mbarara-24Hr'!J15,'29.10 Isingiro-Mbarara'!J15,'30.10 Isingiro-Mbarara'!J15,'31.10 Isingiro-Mbarara'!J15)</f>
        <v>0.5714285714285714</v>
      </c>
      <c r="K15" s="49">
        <f>AVERAGE('25.10 Isingiro-Mbarara'!K15,'26.10 Isingiro-Mbarara-24Hr'!K15,'27.10 Isingilo-Mbarara'!K15,'28.10 Isingiro-Mbarara-24Hr'!K15,'29.10 Isingiro-Mbarara'!K15,'30.10 Isingiro-Mbarara'!K15,'31.10 Isingiro-Mbarara'!K15)</f>
        <v>0.2857142857142857</v>
      </c>
      <c r="L15" s="49">
        <f>AVERAGE('25.10 Isingiro-Mbarara'!L15,'26.10 Isingiro-Mbarara-24Hr'!L15,'27.10 Isingilo-Mbarara'!L15,'28.10 Isingiro-Mbarara-24Hr'!L15,'29.10 Isingiro-Mbarara'!L15,'30.10 Isingiro-Mbarara'!L15,'31.10 Isingiro-Mbarara'!L15)</f>
        <v>0</v>
      </c>
      <c r="M15" s="49">
        <f>AVERAGE('25.10 Isingiro-Mbarara'!M15,'26.10 Isingiro-Mbarara-24Hr'!M15,'27.10 Isingilo-Mbarara'!M15,'28.10 Isingiro-Mbarara-24Hr'!M15,'29.10 Isingiro-Mbarara'!M15,'30.10 Isingiro-Mbarara'!M15,'31.10 Isingiro-Mbarara'!M15)</f>
        <v>50</v>
      </c>
      <c r="N15" s="49">
        <f>AVERAGE('25.10 Isingiro-Mbarara'!N15,'26.10 Isingiro-Mbarara-24Hr'!N15,'27.10 Isingilo-Mbarara'!N15,'28.10 Isingiro-Mbarara-24Hr'!N15,'29.10 Isingiro-Mbarara'!N15,'30.10 Isingiro-Mbarara'!N15,'31.10 Isingiro-Mbarara'!N15)</f>
        <v>0</v>
      </c>
      <c r="O15" s="15">
        <f t="shared" si="0"/>
        <v>20.714285714285715</v>
      </c>
      <c r="P15" s="15">
        <f t="shared" si="1"/>
        <v>70.714285714285722</v>
      </c>
      <c r="R15" s="1" t="s">
        <v>11</v>
      </c>
      <c r="S15" s="17">
        <f t="shared" ref="S15:AF15" si="7">SUM(C30:C33)</f>
        <v>38.428571428571431</v>
      </c>
      <c r="T15" s="17">
        <f t="shared" si="7"/>
        <v>5.2857142857142856</v>
      </c>
      <c r="U15" s="17">
        <f t="shared" si="7"/>
        <v>8.2857142857142847</v>
      </c>
      <c r="V15" s="17">
        <f t="shared" si="7"/>
        <v>8.2857142857142847</v>
      </c>
      <c r="W15" s="17">
        <f t="shared" si="7"/>
        <v>0.14285714285714285</v>
      </c>
      <c r="X15" s="17">
        <f t="shared" si="7"/>
        <v>0.14285714285714285</v>
      </c>
      <c r="Y15" s="17">
        <f t="shared" si="7"/>
        <v>6.7142857142857144</v>
      </c>
      <c r="Z15" s="17">
        <f t="shared" si="7"/>
        <v>4</v>
      </c>
      <c r="AA15" s="17">
        <f t="shared" si="7"/>
        <v>0.2857142857142857</v>
      </c>
      <c r="AB15" s="17">
        <f t="shared" si="7"/>
        <v>0.5714285714285714</v>
      </c>
      <c r="AC15" s="17">
        <f t="shared" si="7"/>
        <v>137</v>
      </c>
      <c r="AD15" s="17">
        <f t="shared" si="7"/>
        <v>0</v>
      </c>
      <c r="AE15" s="31">
        <f t="shared" si="7"/>
        <v>72.142857142857139</v>
      </c>
      <c r="AF15" s="31">
        <f t="shared" si="7"/>
        <v>209.14285714285711</v>
      </c>
    </row>
    <row r="16" spans="2:32" ht="23.1" customHeight="1" x14ac:dyDescent="0.25">
      <c r="B16" s="23" t="s">
        <v>43</v>
      </c>
      <c r="C16" s="49">
        <f>AVERAGE('25.10 Isingiro-Mbarara'!C16,'26.10 Isingiro-Mbarara-24Hr'!C16,'27.10 Isingilo-Mbarara'!C16,'28.10 Isingiro-Mbarara-24Hr'!C16,'29.10 Isingiro-Mbarara'!C16,'30.10 Isingiro-Mbarara'!C16,'31.10 Isingiro-Mbarara'!C16)</f>
        <v>11.142857142857142</v>
      </c>
      <c r="D16" s="49">
        <f>AVERAGE('25.10 Isingiro-Mbarara'!D16,'26.10 Isingiro-Mbarara-24Hr'!D16,'27.10 Isingilo-Mbarara'!D16,'28.10 Isingiro-Mbarara-24Hr'!D16,'29.10 Isingiro-Mbarara'!D16,'30.10 Isingiro-Mbarara'!D16,'31.10 Isingiro-Mbarara'!D16)</f>
        <v>1.4285714285714286</v>
      </c>
      <c r="E16" s="49">
        <f>AVERAGE('25.10 Isingiro-Mbarara'!E16,'26.10 Isingiro-Mbarara-24Hr'!E16,'27.10 Isingilo-Mbarara'!E16,'28.10 Isingiro-Mbarara-24Hr'!E16,'29.10 Isingiro-Mbarara'!E16,'30.10 Isingiro-Mbarara'!E16,'31.10 Isingiro-Mbarara'!E16)</f>
        <v>1.1428571428571428</v>
      </c>
      <c r="F16" s="49">
        <f>AVERAGE('25.10 Isingiro-Mbarara'!F16,'26.10 Isingiro-Mbarara-24Hr'!F16,'27.10 Isingilo-Mbarara'!F16,'28.10 Isingiro-Mbarara-24Hr'!F16,'29.10 Isingiro-Mbarara'!F16,'30.10 Isingiro-Mbarara'!F16,'31.10 Isingiro-Mbarara'!F16)</f>
        <v>3.8571428571428572</v>
      </c>
      <c r="G16" s="49">
        <f>AVERAGE('25.10 Isingiro-Mbarara'!G16,'26.10 Isingiro-Mbarara-24Hr'!G16,'27.10 Isingilo-Mbarara'!G16,'28.10 Isingiro-Mbarara-24Hr'!G16,'29.10 Isingiro-Mbarara'!G16,'30.10 Isingiro-Mbarara'!G16,'31.10 Isingiro-Mbarara'!G16)</f>
        <v>0</v>
      </c>
      <c r="H16" s="49">
        <f>AVERAGE('25.10 Isingiro-Mbarara'!H16,'26.10 Isingiro-Mbarara-24Hr'!H16,'27.10 Isingilo-Mbarara'!H16,'28.10 Isingiro-Mbarara-24Hr'!H16,'29.10 Isingiro-Mbarara'!H16,'30.10 Isingiro-Mbarara'!H16,'31.10 Isingiro-Mbarara'!H16)</f>
        <v>0</v>
      </c>
      <c r="I16" s="49">
        <f>AVERAGE('25.10 Isingiro-Mbarara'!I16,'26.10 Isingiro-Mbarara-24Hr'!I16,'27.10 Isingilo-Mbarara'!I16,'28.10 Isingiro-Mbarara-24Hr'!I16,'29.10 Isingiro-Mbarara'!I16,'30.10 Isingiro-Mbarara'!I16,'31.10 Isingiro-Mbarara'!I16)</f>
        <v>2.2857142857142856</v>
      </c>
      <c r="J16" s="49">
        <f>AVERAGE('25.10 Isingiro-Mbarara'!J16,'26.10 Isingiro-Mbarara-24Hr'!J16,'27.10 Isingilo-Mbarara'!J16,'28.10 Isingiro-Mbarara-24Hr'!J16,'29.10 Isingiro-Mbarara'!J16,'30.10 Isingiro-Mbarara'!J16,'31.10 Isingiro-Mbarara'!J16)</f>
        <v>0.7142857142857143</v>
      </c>
      <c r="K16" s="49">
        <f>AVERAGE('25.10 Isingiro-Mbarara'!K16,'26.10 Isingiro-Mbarara-24Hr'!K16,'27.10 Isingilo-Mbarara'!K16,'28.10 Isingiro-Mbarara-24Hr'!K16,'29.10 Isingiro-Mbarara'!K16,'30.10 Isingiro-Mbarara'!K16,'31.10 Isingiro-Mbarara'!K16)</f>
        <v>0</v>
      </c>
      <c r="L16" s="49">
        <f>AVERAGE('25.10 Isingiro-Mbarara'!L16,'26.10 Isingiro-Mbarara-24Hr'!L16,'27.10 Isingilo-Mbarara'!L16,'28.10 Isingiro-Mbarara-24Hr'!L16,'29.10 Isingiro-Mbarara'!L16,'30.10 Isingiro-Mbarara'!L16,'31.10 Isingiro-Mbarara'!L16)</f>
        <v>0</v>
      </c>
      <c r="M16" s="49">
        <f>AVERAGE('25.10 Isingiro-Mbarara'!M16,'26.10 Isingiro-Mbarara-24Hr'!M16,'27.10 Isingilo-Mbarara'!M16,'28.10 Isingiro-Mbarara-24Hr'!M16,'29.10 Isingiro-Mbarara'!M16,'30.10 Isingiro-Mbarara'!M16,'31.10 Isingiro-Mbarara'!M16)</f>
        <v>45.142857142857146</v>
      </c>
      <c r="N16" s="49">
        <f>AVERAGE('25.10 Isingiro-Mbarara'!N16,'26.10 Isingiro-Mbarara-24Hr'!N16,'27.10 Isingilo-Mbarara'!N16,'28.10 Isingiro-Mbarara-24Hr'!N16,'29.10 Isingiro-Mbarara'!N16,'30.10 Isingiro-Mbarara'!N16,'31.10 Isingiro-Mbarara'!N16)</f>
        <v>0</v>
      </c>
      <c r="O16" s="15">
        <f t="shared" si="0"/>
        <v>20.571428571428569</v>
      </c>
      <c r="P16" s="15">
        <f t="shared" si="1"/>
        <v>65.714285714285722</v>
      </c>
      <c r="R16" s="1" t="s">
        <v>12</v>
      </c>
      <c r="S16" s="17">
        <f t="shared" ref="S16:AF16" si="8">SUM(C34:C37)</f>
        <v>41</v>
      </c>
      <c r="T16" s="17">
        <f t="shared" si="8"/>
        <v>4.8571428571428568</v>
      </c>
      <c r="U16" s="17">
        <f t="shared" si="8"/>
        <v>7.2857142857142865</v>
      </c>
      <c r="V16" s="17">
        <f t="shared" si="8"/>
        <v>7.1428571428571423</v>
      </c>
      <c r="W16" s="17">
        <f t="shared" si="8"/>
        <v>0.14285714285714285</v>
      </c>
      <c r="X16" s="17">
        <f t="shared" si="8"/>
        <v>0</v>
      </c>
      <c r="Y16" s="17">
        <f t="shared" si="8"/>
        <v>7.2857142857142856</v>
      </c>
      <c r="Z16" s="17">
        <f t="shared" si="8"/>
        <v>4.7142857142857144</v>
      </c>
      <c r="AA16" s="17">
        <f t="shared" si="8"/>
        <v>0.14285714285714285</v>
      </c>
      <c r="AB16" s="17">
        <f t="shared" si="8"/>
        <v>0.2857142857142857</v>
      </c>
      <c r="AC16" s="17">
        <f t="shared" si="8"/>
        <v>125</v>
      </c>
      <c r="AD16" s="17">
        <f t="shared" si="8"/>
        <v>0</v>
      </c>
      <c r="AE16" s="31">
        <f t="shared" si="8"/>
        <v>72.857142857142861</v>
      </c>
      <c r="AF16" s="31">
        <f t="shared" si="8"/>
        <v>197.85714285714286</v>
      </c>
    </row>
    <row r="17" spans="2:32" ht="23.1" customHeight="1" x14ac:dyDescent="0.25">
      <c r="B17" s="23" t="s">
        <v>44</v>
      </c>
      <c r="C17" s="49">
        <f>AVERAGE('25.10 Isingiro-Mbarara'!C17,'26.10 Isingiro-Mbarara-24Hr'!C17,'27.10 Isingilo-Mbarara'!C17,'28.10 Isingiro-Mbarara-24Hr'!C17,'29.10 Isingiro-Mbarara'!C17,'30.10 Isingiro-Mbarara'!C17,'31.10 Isingiro-Mbarara'!C17)</f>
        <v>11.142857142857142</v>
      </c>
      <c r="D17" s="49">
        <f>AVERAGE('25.10 Isingiro-Mbarara'!D17,'26.10 Isingiro-Mbarara-24Hr'!D17,'27.10 Isingilo-Mbarara'!D17,'28.10 Isingiro-Mbarara-24Hr'!D17,'29.10 Isingiro-Mbarara'!D17,'30.10 Isingiro-Mbarara'!D17,'31.10 Isingiro-Mbarara'!D17)</f>
        <v>1</v>
      </c>
      <c r="E17" s="49">
        <f>AVERAGE('25.10 Isingiro-Mbarara'!E17,'26.10 Isingiro-Mbarara-24Hr'!E17,'27.10 Isingilo-Mbarara'!E17,'28.10 Isingiro-Mbarara-24Hr'!E17,'29.10 Isingiro-Mbarara'!E17,'30.10 Isingiro-Mbarara'!E17,'31.10 Isingiro-Mbarara'!E17)</f>
        <v>0.7142857142857143</v>
      </c>
      <c r="F17" s="49">
        <f>AVERAGE('25.10 Isingiro-Mbarara'!F17,'26.10 Isingiro-Mbarara-24Hr'!F17,'27.10 Isingilo-Mbarara'!F17,'28.10 Isingiro-Mbarara-24Hr'!F17,'29.10 Isingiro-Mbarara'!F17,'30.10 Isingiro-Mbarara'!F17,'31.10 Isingiro-Mbarara'!F17)</f>
        <v>4.2857142857142856</v>
      </c>
      <c r="G17" s="49">
        <f>AVERAGE('25.10 Isingiro-Mbarara'!G17,'26.10 Isingiro-Mbarara-24Hr'!G17,'27.10 Isingilo-Mbarara'!G17,'28.10 Isingiro-Mbarara-24Hr'!G17,'29.10 Isingiro-Mbarara'!G17,'30.10 Isingiro-Mbarara'!G17,'31.10 Isingiro-Mbarara'!G17)</f>
        <v>0</v>
      </c>
      <c r="H17" s="49">
        <f>AVERAGE('25.10 Isingiro-Mbarara'!H17,'26.10 Isingiro-Mbarara-24Hr'!H17,'27.10 Isingilo-Mbarara'!H17,'28.10 Isingiro-Mbarara-24Hr'!H17,'29.10 Isingiro-Mbarara'!H17,'30.10 Isingiro-Mbarara'!H17,'31.10 Isingiro-Mbarara'!H17)</f>
        <v>0</v>
      </c>
      <c r="I17" s="49">
        <f>AVERAGE('25.10 Isingiro-Mbarara'!I17,'26.10 Isingiro-Mbarara-24Hr'!I17,'27.10 Isingilo-Mbarara'!I17,'28.10 Isingiro-Mbarara-24Hr'!I17,'29.10 Isingiro-Mbarara'!I17,'30.10 Isingiro-Mbarara'!I17,'31.10 Isingiro-Mbarara'!I17)</f>
        <v>0.8571428571428571</v>
      </c>
      <c r="J17" s="49">
        <f>AVERAGE('25.10 Isingiro-Mbarara'!J17,'26.10 Isingiro-Mbarara-24Hr'!J17,'27.10 Isingilo-Mbarara'!J17,'28.10 Isingiro-Mbarara-24Hr'!J17,'29.10 Isingiro-Mbarara'!J17,'30.10 Isingiro-Mbarara'!J17,'31.10 Isingiro-Mbarara'!J17)</f>
        <v>0.2857142857142857</v>
      </c>
      <c r="K17" s="49">
        <f>AVERAGE('25.10 Isingiro-Mbarara'!K17,'26.10 Isingiro-Mbarara-24Hr'!K17,'27.10 Isingilo-Mbarara'!K17,'28.10 Isingiro-Mbarara-24Hr'!K17,'29.10 Isingiro-Mbarara'!K17,'30.10 Isingiro-Mbarara'!K17,'31.10 Isingiro-Mbarara'!K17)</f>
        <v>0.14285714285714285</v>
      </c>
      <c r="L17" s="49">
        <f>AVERAGE('25.10 Isingiro-Mbarara'!L17,'26.10 Isingiro-Mbarara-24Hr'!L17,'27.10 Isingilo-Mbarara'!L17,'28.10 Isingiro-Mbarara-24Hr'!L17,'29.10 Isingiro-Mbarara'!L17,'30.10 Isingiro-Mbarara'!L17,'31.10 Isingiro-Mbarara'!L17)</f>
        <v>0</v>
      </c>
      <c r="M17" s="49">
        <f>AVERAGE('25.10 Isingiro-Mbarara'!M17,'26.10 Isingiro-Mbarara-24Hr'!M17,'27.10 Isingilo-Mbarara'!M17,'28.10 Isingiro-Mbarara-24Hr'!M17,'29.10 Isingiro-Mbarara'!M17,'30.10 Isingiro-Mbarara'!M17,'31.10 Isingiro-Mbarara'!M17)</f>
        <v>44</v>
      </c>
      <c r="N17" s="49">
        <f>AVERAGE('25.10 Isingiro-Mbarara'!N17,'26.10 Isingiro-Mbarara-24Hr'!N17,'27.10 Isingilo-Mbarara'!N17,'28.10 Isingiro-Mbarara-24Hr'!N17,'29.10 Isingiro-Mbarara'!N17,'30.10 Isingiro-Mbarara'!N17,'31.10 Isingiro-Mbarara'!N17)</f>
        <v>0</v>
      </c>
      <c r="O17" s="15">
        <f t="shared" si="0"/>
        <v>18.428571428571427</v>
      </c>
      <c r="P17" s="15">
        <f t="shared" si="1"/>
        <v>62.428571428571431</v>
      </c>
      <c r="R17" s="1" t="s">
        <v>13</v>
      </c>
      <c r="S17" s="17">
        <f t="shared" ref="S17:AF17" si="9">SUM(C38:C41)</f>
        <v>40.428571428571431</v>
      </c>
      <c r="T17" s="17">
        <f t="shared" si="9"/>
        <v>7.4285714285714288</v>
      </c>
      <c r="U17" s="17">
        <f t="shared" si="9"/>
        <v>8.4285714285714288</v>
      </c>
      <c r="V17" s="17">
        <f t="shared" si="9"/>
        <v>5.4285714285714288</v>
      </c>
      <c r="W17" s="17">
        <f t="shared" si="9"/>
        <v>0</v>
      </c>
      <c r="X17" s="17">
        <f t="shared" si="9"/>
        <v>0</v>
      </c>
      <c r="Y17" s="17">
        <f t="shared" si="9"/>
        <v>6.8571428571428577</v>
      </c>
      <c r="Z17" s="17">
        <f t="shared" si="9"/>
        <v>4.7142857142857144</v>
      </c>
      <c r="AA17" s="17">
        <f t="shared" si="9"/>
        <v>0.42857142857142855</v>
      </c>
      <c r="AB17" s="17">
        <f t="shared" si="9"/>
        <v>0.2857142857142857</v>
      </c>
      <c r="AC17" s="17">
        <f t="shared" si="9"/>
        <v>116.28571428571429</v>
      </c>
      <c r="AD17" s="17">
        <f t="shared" si="9"/>
        <v>0</v>
      </c>
      <c r="AE17" s="31">
        <f t="shared" si="9"/>
        <v>73.999999999999986</v>
      </c>
      <c r="AF17" s="31">
        <f t="shared" si="9"/>
        <v>190.28571428571428</v>
      </c>
    </row>
    <row r="18" spans="2:32" ht="23.1" customHeight="1" x14ac:dyDescent="0.25">
      <c r="B18" s="23" t="s">
        <v>45</v>
      </c>
      <c r="C18" s="49">
        <f>AVERAGE('25.10 Isingiro-Mbarara'!C18,'26.10 Isingiro-Mbarara-24Hr'!C18,'27.10 Isingilo-Mbarara'!C18,'28.10 Isingiro-Mbarara-24Hr'!C18,'29.10 Isingiro-Mbarara'!C18,'30.10 Isingiro-Mbarara'!C18,'31.10 Isingiro-Mbarara'!C18)</f>
        <v>11.571428571428571</v>
      </c>
      <c r="D18" s="49">
        <f>AVERAGE('25.10 Isingiro-Mbarara'!D18,'26.10 Isingiro-Mbarara-24Hr'!D18,'27.10 Isingilo-Mbarara'!D18,'28.10 Isingiro-Mbarara-24Hr'!D18,'29.10 Isingiro-Mbarara'!D18,'30.10 Isingiro-Mbarara'!D18,'31.10 Isingiro-Mbarara'!D18)</f>
        <v>1</v>
      </c>
      <c r="E18" s="49">
        <f>AVERAGE('25.10 Isingiro-Mbarara'!E18,'26.10 Isingiro-Mbarara-24Hr'!E18,'27.10 Isingilo-Mbarara'!E18,'28.10 Isingiro-Mbarara-24Hr'!E18,'29.10 Isingiro-Mbarara'!E18,'30.10 Isingiro-Mbarara'!E18,'31.10 Isingiro-Mbarara'!E18)</f>
        <v>1.4285714285714286</v>
      </c>
      <c r="F18" s="49">
        <f>AVERAGE('25.10 Isingiro-Mbarara'!F18,'26.10 Isingiro-Mbarara-24Hr'!F18,'27.10 Isingilo-Mbarara'!F18,'28.10 Isingiro-Mbarara-24Hr'!F18,'29.10 Isingiro-Mbarara'!F18,'30.10 Isingiro-Mbarara'!F18,'31.10 Isingiro-Mbarara'!F18)</f>
        <v>4.7142857142857144</v>
      </c>
      <c r="G18" s="49">
        <f>AVERAGE('25.10 Isingiro-Mbarara'!G18,'26.10 Isingiro-Mbarara-24Hr'!G18,'27.10 Isingilo-Mbarara'!G18,'28.10 Isingiro-Mbarara-24Hr'!G18,'29.10 Isingiro-Mbarara'!G18,'30.10 Isingiro-Mbarara'!G18,'31.10 Isingiro-Mbarara'!G18)</f>
        <v>0</v>
      </c>
      <c r="H18" s="49">
        <f>AVERAGE('25.10 Isingiro-Mbarara'!H18,'26.10 Isingiro-Mbarara-24Hr'!H18,'27.10 Isingilo-Mbarara'!H18,'28.10 Isingiro-Mbarara-24Hr'!H18,'29.10 Isingiro-Mbarara'!H18,'30.10 Isingiro-Mbarara'!H18,'31.10 Isingiro-Mbarara'!H18)</f>
        <v>0</v>
      </c>
      <c r="I18" s="49">
        <f>AVERAGE('25.10 Isingiro-Mbarara'!I18,'26.10 Isingiro-Mbarara-24Hr'!I18,'27.10 Isingilo-Mbarara'!I18,'28.10 Isingiro-Mbarara-24Hr'!I18,'29.10 Isingiro-Mbarara'!I18,'30.10 Isingiro-Mbarara'!I18,'31.10 Isingiro-Mbarara'!I18)</f>
        <v>1.1428571428571428</v>
      </c>
      <c r="J18" s="49">
        <f>AVERAGE('25.10 Isingiro-Mbarara'!J18,'26.10 Isingiro-Mbarara-24Hr'!J18,'27.10 Isingilo-Mbarara'!J18,'28.10 Isingiro-Mbarara-24Hr'!J18,'29.10 Isingiro-Mbarara'!J18,'30.10 Isingiro-Mbarara'!J18,'31.10 Isingiro-Mbarara'!J18)</f>
        <v>0.5714285714285714</v>
      </c>
      <c r="K18" s="49">
        <f>AVERAGE('25.10 Isingiro-Mbarara'!K18,'26.10 Isingiro-Mbarara-24Hr'!K18,'27.10 Isingilo-Mbarara'!K18,'28.10 Isingiro-Mbarara-24Hr'!K18,'29.10 Isingiro-Mbarara'!K18,'30.10 Isingiro-Mbarara'!K18,'31.10 Isingiro-Mbarara'!K18)</f>
        <v>0</v>
      </c>
      <c r="L18" s="49">
        <f>AVERAGE('25.10 Isingiro-Mbarara'!L18,'26.10 Isingiro-Mbarara-24Hr'!L18,'27.10 Isingilo-Mbarara'!L18,'28.10 Isingiro-Mbarara-24Hr'!L18,'29.10 Isingiro-Mbarara'!L18,'30.10 Isingiro-Mbarara'!L18,'31.10 Isingiro-Mbarara'!L18)</f>
        <v>0.2857142857142857</v>
      </c>
      <c r="M18" s="49">
        <f>AVERAGE('25.10 Isingiro-Mbarara'!M18,'26.10 Isingiro-Mbarara-24Hr'!M18,'27.10 Isingilo-Mbarara'!M18,'28.10 Isingiro-Mbarara-24Hr'!M18,'29.10 Isingiro-Mbarara'!M18,'30.10 Isingiro-Mbarara'!M18,'31.10 Isingiro-Mbarara'!M18)</f>
        <v>45</v>
      </c>
      <c r="N18" s="49">
        <f>AVERAGE('25.10 Isingiro-Mbarara'!N18,'26.10 Isingiro-Mbarara-24Hr'!N18,'27.10 Isingilo-Mbarara'!N18,'28.10 Isingiro-Mbarara-24Hr'!N18,'29.10 Isingiro-Mbarara'!N18,'30.10 Isingiro-Mbarara'!N18,'31.10 Isingiro-Mbarara'!N18)</f>
        <v>0</v>
      </c>
      <c r="O18" s="15">
        <f t="shared" si="0"/>
        <v>20.714285714285715</v>
      </c>
      <c r="P18" s="15">
        <f t="shared" si="1"/>
        <v>65.714285714285722</v>
      </c>
      <c r="R18" s="1" t="s">
        <v>14</v>
      </c>
      <c r="S18" s="17">
        <f t="shared" ref="S18:AF18" si="10">SUM(C42:C45)</f>
        <v>35.142857142857146</v>
      </c>
      <c r="T18" s="17">
        <f t="shared" si="10"/>
        <v>9.2857142857142847</v>
      </c>
      <c r="U18" s="17">
        <f t="shared" si="10"/>
        <v>8.1428571428571423</v>
      </c>
      <c r="V18" s="17">
        <f t="shared" si="10"/>
        <v>7.8571428571428559</v>
      </c>
      <c r="W18" s="17">
        <f t="shared" si="10"/>
        <v>0.14285714285714285</v>
      </c>
      <c r="X18" s="17">
        <f t="shared" si="10"/>
        <v>0.7142857142857143</v>
      </c>
      <c r="Y18" s="17">
        <f t="shared" si="10"/>
        <v>7.5714285714285712</v>
      </c>
      <c r="Z18" s="17">
        <f t="shared" si="10"/>
        <v>3.8571428571428572</v>
      </c>
      <c r="AA18" s="17">
        <f t="shared" si="10"/>
        <v>1.2857142857142856</v>
      </c>
      <c r="AB18" s="17">
        <f t="shared" si="10"/>
        <v>0.42857142857142855</v>
      </c>
      <c r="AC18" s="17">
        <f t="shared" si="10"/>
        <v>124.71428571428572</v>
      </c>
      <c r="AD18" s="17">
        <f t="shared" si="10"/>
        <v>0</v>
      </c>
      <c r="AE18" s="31">
        <f t="shared" si="10"/>
        <v>74.428571428571416</v>
      </c>
      <c r="AF18" s="31">
        <f t="shared" si="10"/>
        <v>199.14285714285711</v>
      </c>
    </row>
    <row r="19" spans="2:32" ht="23.1" customHeight="1" x14ac:dyDescent="0.25">
      <c r="B19" s="23" t="s">
        <v>46</v>
      </c>
      <c r="C19" s="49">
        <f>AVERAGE('25.10 Isingiro-Mbarara'!C19,'26.10 Isingiro-Mbarara-24Hr'!C19,'27.10 Isingilo-Mbarara'!C19,'28.10 Isingiro-Mbarara-24Hr'!C19,'29.10 Isingiro-Mbarara'!C19,'30.10 Isingiro-Mbarara'!C19,'31.10 Isingiro-Mbarara'!C19)</f>
        <v>14.857142857142858</v>
      </c>
      <c r="D19" s="49">
        <f>AVERAGE('25.10 Isingiro-Mbarara'!D19,'26.10 Isingiro-Mbarara-24Hr'!D19,'27.10 Isingilo-Mbarara'!D19,'28.10 Isingiro-Mbarara-24Hr'!D19,'29.10 Isingiro-Mbarara'!D19,'30.10 Isingiro-Mbarara'!D19,'31.10 Isingiro-Mbarara'!D19)</f>
        <v>1.7142857142857142</v>
      </c>
      <c r="E19" s="49">
        <f>AVERAGE('25.10 Isingiro-Mbarara'!E19,'26.10 Isingiro-Mbarara-24Hr'!E19,'27.10 Isingilo-Mbarara'!E19,'28.10 Isingiro-Mbarara-24Hr'!E19,'29.10 Isingiro-Mbarara'!E19,'30.10 Isingiro-Mbarara'!E19,'31.10 Isingiro-Mbarara'!E19)</f>
        <v>1.4285714285714286</v>
      </c>
      <c r="F19" s="49">
        <f>AVERAGE('25.10 Isingiro-Mbarara'!F19,'26.10 Isingiro-Mbarara-24Hr'!F19,'27.10 Isingilo-Mbarara'!F19,'28.10 Isingiro-Mbarara-24Hr'!F19,'29.10 Isingiro-Mbarara'!F19,'30.10 Isingiro-Mbarara'!F19,'31.10 Isingiro-Mbarara'!F19)</f>
        <v>2.7142857142857144</v>
      </c>
      <c r="G19" s="49">
        <f>AVERAGE('25.10 Isingiro-Mbarara'!G19,'26.10 Isingiro-Mbarara-24Hr'!G19,'27.10 Isingilo-Mbarara'!G19,'28.10 Isingiro-Mbarara-24Hr'!G19,'29.10 Isingiro-Mbarara'!G19,'30.10 Isingiro-Mbarara'!G19,'31.10 Isingiro-Mbarara'!G19)</f>
        <v>0</v>
      </c>
      <c r="H19" s="49">
        <f>AVERAGE('25.10 Isingiro-Mbarara'!H19,'26.10 Isingiro-Mbarara-24Hr'!H19,'27.10 Isingilo-Mbarara'!H19,'28.10 Isingiro-Mbarara-24Hr'!H19,'29.10 Isingiro-Mbarara'!H19,'30.10 Isingiro-Mbarara'!H19,'31.10 Isingiro-Mbarara'!H19)</f>
        <v>0</v>
      </c>
      <c r="I19" s="49">
        <f>AVERAGE('25.10 Isingiro-Mbarara'!I19,'26.10 Isingiro-Mbarara-24Hr'!I19,'27.10 Isingilo-Mbarara'!I19,'28.10 Isingiro-Mbarara-24Hr'!I19,'29.10 Isingiro-Mbarara'!I19,'30.10 Isingiro-Mbarara'!I19,'31.10 Isingiro-Mbarara'!I19)</f>
        <v>1.2857142857142858</v>
      </c>
      <c r="J19" s="49">
        <f>AVERAGE('25.10 Isingiro-Mbarara'!J19,'26.10 Isingiro-Mbarara-24Hr'!J19,'27.10 Isingilo-Mbarara'!J19,'28.10 Isingiro-Mbarara-24Hr'!J19,'29.10 Isingiro-Mbarara'!J19,'30.10 Isingiro-Mbarara'!J19,'31.10 Isingiro-Mbarara'!J19)</f>
        <v>0.14285714285714285</v>
      </c>
      <c r="K19" s="49">
        <f>AVERAGE('25.10 Isingiro-Mbarara'!K19,'26.10 Isingiro-Mbarara-24Hr'!K19,'27.10 Isingilo-Mbarara'!K19,'28.10 Isingiro-Mbarara-24Hr'!K19,'29.10 Isingiro-Mbarara'!K19,'30.10 Isingiro-Mbarara'!K19,'31.10 Isingiro-Mbarara'!K19)</f>
        <v>0</v>
      </c>
      <c r="L19" s="49">
        <f>AVERAGE('25.10 Isingiro-Mbarara'!L19,'26.10 Isingiro-Mbarara-24Hr'!L19,'27.10 Isingilo-Mbarara'!L19,'28.10 Isingiro-Mbarara-24Hr'!L19,'29.10 Isingiro-Mbarara'!L19,'30.10 Isingiro-Mbarara'!L19,'31.10 Isingiro-Mbarara'!L19)</f>
        <v>0.14285714285714285</v>
      </c>
      <c r="M19" s="49">
        <f>AVERAGE('25.10 Isingiro-Mbarara'!M19,'26.10 Isingiro-Mbarara-24Hr'!M19,'27.10 Isingilo-Mbarara'!M19,'28.10 Isingiro-Mbarara-24Hr'!M19,'29.10 Isingiro-Mbarara'!M19,'30.10 Isingiro-Mbarara'!M19,'31.10 Isingiro-Mbarara'!M19)</f>
        <v>42.857142857142854</v>
      </c>
      <c r="N19" s="49">
        <f>AVERAGE('25.10 Isingiro-Mbarara'!N19,'26.10 Isingiro-Mbarara-24Hr'!N19,'27.10 Isingilo-Mbarara'!N19,'28.10 Isingiro-Mbarara-24Hr'!N19,'29.10 Isingiro-Mbarara'!N19,'30.10 Isingiro-Mbarara'!N19,'31.10 Isingiro-Mbarara'!N19)</f>
        <v>0</v>
      </c>
      <c r="O19" s="15">
        <f t="shared" si="0"/>
        <v>22.285714285714285</v>
      </c>
      <c r="P19" s="15">
        <f t="shared" si="1"/>
        <v>65.142857142857139</v>
      </c>
      <c r="R19" s="1" t="s">
        <v>15</v>
      </c>
      <c r="S19" s="17">
        <f t="shared" ref="S19:AF19" si="11">SUM(C46:C49)</f>
        <v>43.000000000000007</v>
      </c>
      <c r="T19" s="17">
        <f t="shared" si="11"/>
        <v>10.571428571428573</v>
      </c>
      <c r="U19" s="17">
        <f t="shared" si="11"/>
        <v>9.4285714285714288</v>
      </c>
      <c r="V19" s="17">
        <f t="shared" si="11"/>
        <v>6.7142857142857144</v>
      </c>
      <c r="W19" s="17">
        <f t="shared" si="11"/>
        <v>0.5714285714285714</v>
      </c>
      <c r="X19" s="17">
        <f t="shared" si="11"/>
        <v>0</v>
      </c>
      <c r="Y19" s="17">
        <f t="shared" si="11"/>
        <v>8.8571428571428559</v>
      </c>
      <c r="Z19" s="17">
        <f t="shared" si="11"/>
        <v>5.1428571428571423</v>
      </c>
      <c r="AA19" s="17">
        <f t="shared" si="11"/>
        <v>0.42857142857142855</v>
      </c>
      <c r="AB19" s="17">
        <f t="shared" si="11"/>
        <v>0.71428571428571419</v>
      </c>
      <c r="AC19" s="17">
        <f t="shared" si="11"/>
        <v>146.85714285714283</v>
      </c>
      <c r="AD19" s="17">
        <f t="shared" si="11"/>
        <v>0.14285714285714285</v>
      </c>
      <c r="AE19" s="31">
        <f t="shared" si="11"/>
        <v>85.571428571428555</v>
      </c>
      <c r="AF19" s="31">
        <f t="shared" si="11"/>
        <v>232.42857142857142</v>
      </c>
    </row>
    <row r="20" spans="2:32" ht="23.1" customHeight="1" x14ac:dyDescent="0.25">
      <c r="B20" s="23" t="s">
        <v>47</v>
      </c>
      <c r="C20" s="49">
        <f>AVERAGE('25.10 Isingiro-Mbarara'!C20,'26.10 Isingiro-Mbarara-24Hr'!C20,'27.10 Isingilo-Mbarara'!C20,'28.10 Isingiro-Mbarara-24Hr'!C20,'29.10 Isingiro-Mbarara'!C20,'30.10 Isingiro-Mbarara'!C20,'31.10 Isingiro-Mbarara'!C20)</f>
        <v>13.428571428571429</v>
      </c>
      <c r="D20" s="49">
        <f>AVERAGE('25.10 Isingiro-Mbarara'!D20,'26.10 Isingiro-Mbarara-24Hr'!D20,'27.10 Isingilo-Mbarara'!D20,'28.10 Isingiro-Mbarara-24Hr'!D20,'29.10 Isingiro-Mbarara'!D20,'30.10 Isingiro-Mbarara'!D20,'31.10 Isingiro-Mbarara'!D20)</f>
        <v>1.4285714285714286</v>
      </c>
      <c r="E20" s="49">
        <f>AVERAGE('25.10 Isingiro-Mbarara'!E20,'26.10 Isingiro-Mbarara-24Hr'!E20,'27.10 Isingilo-Mbarara'!E20,'28.10 Isingiro-Mbarara-24Hr'!E20,'29.10 Isingiro-Mbarara'!E20,'30.10 Isingiro-Mbarara'!E20,'31.10 Isingiro-Mbarara'!E20)</f>
        <v>2.8571428571428572</v>
      </c>
      <c r="F20" s="49">
        <f>AVERAGE('25.10 Isingiro-Mbarara'!F20,'26.10 Isingiro-Mbarara-24Hr'!F20,'27.10 Isingilo-Mbarara'!F20,'28.10 Isingiro-Mbarara-24Hr'!F20,'29.10 Isingiro-Mbarara'!F20,'30.10 Isingiro-Mbarara'!F20,'31.10 Isingiro-Mbarara'!F20)</f>
        <v>2.8571428571428572</v>
      </c>
      <c r="G20" s="49">
        <f>AVERAGE('25.10 Isingiro-Mbarara'!G20,'26.10 Isingiro-Mbarara-24Hr'!G20,'27.10 Isingilo-Mbarara'!G20,'28.10 Isingiro-Mbarara-24Hr'!G20,'29.10 Isingiro-Mbarara'!G20,'30.10 Isingiro-Mbarara'!G20,'31.10 Isingiro-Mbarara'!G20)</f>
        <v>0</v>
      </c>
      <c r="H20" s="49">
        <f>AVERAGE('25.10 Isingiro-Mbarara'!H20,'26.10 Isingiro-Mbarara-24Hr'!H20,'27.10 Isingilo-Mbarara'!H20,'28.10 Isingiro-Mbarara-24Hr'!H20,'29.10 Isingiro-Mbarara'!H20,'30.10 Isingiro-Mbarara'!H20,'31.10 Isingiro-Mbarara'!H20)</f>
        <v>0</v>
      </c>
      <c r="I20" s="49">
        <f>AVERAGE('25.10 Isingiro-Mbarara'!I20,'26.10 Isingiro-Mbarara-24Hr'!I20,'27.10 Isingilo-Mbarara'!I20,'28.10 Isingiro-Mbarara-24Hr'!I20,'29.10 Isingiro-Mbarara'!I20,'30.10 Isingiro-Mbarara'!I20,'31.10 Isingiro-Mbarara'!I20)</f>
        <v>1.7142857142857142</v>
      </c>
      <c r="J20" s="49">
        <f>AVERAGE('25.10 Isingiro-Mbarara'!J20,'26.10 Isingiro-Mbarara-24Hr'!J20,'27.10 Isingilo-Mbarara'!J20,'28.10 Isingiro-Mbarara-24Hr'!J20,'29.10 Isingiro-Mbarara'!J20,'30.10 Isingiro-Mbarara'!J20,'31.10 Isingiro-Mbarara'!J20)</f>
        <v>1</v>
      </c>
      <c r="K20" s="49">
        <f>AVERAGE('25.10 Isingiro-Mbarara'!K20,'26.10 Isingiro-Mbarara-24Hr'!K20,'27.10 Isingilo-Mbarara'!K20,'28.10 Isingiro-Mbarara-24Hr'!K20,'29.10 Isingiro-Mbarara'!K20,'30.10 Isingiro-Mbarara'!K20,'31.10 Isingiro-Mbarara'!K20)</f>
        <v>0.14285714285714285</v>
      </c>
      <c r="L20" s="49">
        <f>AVERAGE('25.10 Isingiro-Mbarara'!L20,'26.10 Isingiro-Mbarara-24Hr'!L20,'27.10 Isingilo-Mbarara'!L20,'28.10 Isingiro-Mbarara-24Hr'!L20,'29.10 Isingiro-Mbarara'!L20,'30.10 Isingiro-Mbarara'!L20,'31.10 Isingiro-Mbarara'!L20)</f>
        <v>0</v>
      </c>
      <c r="M20" s="49">
        <f>AVERAGE('25.10 Isingiro-Mbarara'!M20,'26.10 Isingiro-Mbarara-24Hr'!M20,'27.10 Isingilo-Mbarara'!M20,'28.10 Isingiro-Mbarara-24Hr'!M20,'29.10 Isingiro-Mbarara'!M20,'30.10 Isingiro-Mbarara'!M20,'31.10 Isingiro-Mbarara'!M20)</f>
        <v>38.571428571428569</v>
      </c>
      <c r="N20" s="49">
        <f>AVERAGE('25.10 Isingiro-Mbarara'!N20,'26.10 Isingiro-Mbarara-24Hr'!N20,'27.10 Isingilo-Mbarara'!N20,'28.10 Isingiro-Mbarara-24Hr'!N20,'29.10 Isingiro-Mbarara'!N20,'30.10 Isingiro-Mbarara'!N20,'31.10 Isingiro-Mbarara'!N20)</f>
        <v>0</v>
      </c>
      <c r="O20" s="15">
        <f t="shared" si="0"/>
        <v>23.428571428571431</v>
      </c>
      <c r="P20" s="15">
        <f t="shared" si="1"/>
        <v>62</v>
      </c>
      <c r="R20" s="1" t="s">
        <v>16</v>
      </c>
      <c r="S20" s="17">
        <f t="shared" ref="S20:AF20" si="12">SUM(C50:C53)</f>
        <v>50.857142857142861</v>
      </c>
      <c r="T20" s="17">
        <f t="shared" si="12"/>
        <v>9.5714285714285712</v>
      </c>
      <c r="U20" s="17">
        <f t="shared" si="12"/>
        <v>8.8571428571428577</v>
      </c>
      <c r="V20" s="17">
        <f t="shared" si="12"/>
        <v>9.571428571428573</v>
      </c>
      <c r="W20" s="17">
        <f t="shared" si="12"/>
        <v>0.14285714285714285</v>
      </c>
      <c r="X20" s="17">
        <f t="shared" si="12"/>
        <v>0.14285714285714285</v>
      </c>
      <c r="Y20" s="17">
        <f t="shared" si="12"/>
        <v>7.7142857142857135</v>
      </c>
      <c r="Z20" s="17">
        <f t="shared" si="12"/>
        <v>5.2857142857142847</v>
      </c>
      <c r="AA20" s="17">
        <f t="shared" si="12"/>
        <v>1.4285714285714284</v>
      </c>
      <c r="AB20" s="17">
        <f t="shared" si="12"/>
        <v>0.42857142857142855</v>
      </c>
      <c r="AC20" s="17">
        <f t="shared" si="12"/>
        <v>159.14285714285714</v>
      </c>
      <c r="AD20" s="17">
        <f t="shared" si="12"/>
        <v>0</v>
      </c>
      <c r="AE20" s="31">
        <f t="shared" si="12"/>
        <v>93.999999999999986</v>
      </c>
      <c r="AF20" s="31">
        <f t="shared" si="12"/>
        <v>253.14285714285717</v>
      </c>
    </row>
    <row r="21" spans="2:32" ht="23.1" customHeight="1" x14ac:dyDescent="0.25">
      <c r="B21" s="23" t="s">
        <v>48</v>
      </c>
      <c r="C21" s="49">
        <f>AVERAGE('25.10 Isingiro-Mbarara'!C21,'26.10 Isingiro-Mbarara-24Hr'!C21,'27.10 Isingilo-Mbarara'!C21,'28.10 Isingiro-Mbarara-24Hr'!C21,'29.10 Isingiro-Mbarara'!C21,'30.10 Isingiro-Mbarara'!C21,'31.10 Isingiro-Mbarara'!C21)</f>
        <v>8.5714285714285712</v>
      </c>
      <c r="D21" s="49">
        <f>AVERAGE('25.10 Isingiro-Mbarara'!D21,'26.10 Isingiro-Mbarara-24Hr'!D21,'27.10 Isingilo-Mbarara'!D21,'28.10 Isingiro-Mbarara-24Hr'!D21,'29.10 Isingiro-Mbarara'!D21,'30.10 Isingiro-Mbarara'!D21,'31.10 Isingiro-Mbarara'!D21)</f>
        <v>1.7142857142857142</v>
      </c>
      <c r="E21" s="49">
        <f>AVERAGE('25.10 Isingiro-Mbarara'!E21,'26.10 Isingiro-Mbarara-24Hr'!E21,'27.10 Isingilo-Mbarara'!E21,'28.10 Isingiro-Mbarara-24Hr'!E21,'29.10 Isingiro-Mbarara'!E21,'30.10 Isingiro-Mbarara'!E21,'31.10 Isingiro-Mbarara'!E21)</f>
        <v>2.1428571428571428</v>
      </c>
      <c r="F21" s="49">
        <f>AVERAGE('25.10 Isingiro-Mbarara'!F21,'26.10 Isingiro-Mbarara-24Hr'!F21,'27.10 Isingilo-Mbarara'!F21,'28.10 Isingiro-Mbarara-24Hr'!F21,'29.10 Isingiro-Mbarara'!F21,'30.10 Isingiro-Mbarara'!F21,'31.10 Isingiro-Mbarara'!F21)</f>
        <v>4.7142857142857144</v>
      </c>
      <c r="G21" s="49">
        <f>AVERAGE('25.10 Isingiro-Mbarara'!G21,'26.10 Isingiro-Mbarara-24Hr'!G21,'27.10 Isingilo-Mbarara'!G21,'28.10 Isingiro-Mbarara-24Hr'!G21,'29.10 Isingiro-Mbarara'!G21,'30.10 Isingiro-Mbarara'!G21,'31.10 Isingiro-Mbarara'!G21)</f>
        <v>0</v>
      </c>
      <c r="H21" s="49">
        <f>AVERAGE('25.10 Isingiro-Mbarara'!H21,'26.10 Isingiro-Mbarara-24Hr'!H21,'27.10 Isingilo-Mbarara'!H21,'28.10 Isingiro-Mbarara-24Hr'!H21,'29.10 Isingiro-Mbarara'!H21,'30.10 Isingiro-Mbarara'!H21,'31.10 Isingiro-Mbarara'!H21)</f>
        <v>0.14285714285714285</v>
      </c>
      <c r="I21" s="49">
        <f>AVERAGE('25.10 Isingiro-Mbarara'!I21,'26.10 Isingiro-Mbarara-24Hr'!I21,'27.10 Isingilo-Mbarara'!I21,'28.10 Isingiro-Mbarara-24Hr'!I21,'29.10 Isingiro-Mbarara'!I21,'30.10 Isingiro-Mbarara'!I21,'31.10 Isingiro-Mbarara'!I21)</f>
        <v>0.8571428571428571</v>
      </c>
      <c r="J21" s="49">
        <f>AVERAGE('25.10 Isingiro-Mbarara'!J21,'26.10 Isingiro-Mbarara-24Hr'!J21,'27.10 Isingilo-Mbarara'!J21,'28.10 Isingiro-Mbarara-24Hr'!J21,'29.10 Isingiro-Mbarara'!J21,'30.10 Isingiro-Mbarara'!J21,'31.10 Isingiro-Mbarara'!J21)</f>
        <v>0.5714285714285714</v>
      </c>
      <c r="K21" s="49">
        <f>AVERAGE('25.10 Isingiro-Mbarara'!K21,'26.10 Isingiro-Mbarara-24Hr'!K21,'27.10 Isingilo-Mbarara'!K21,'28.10 Isingiro-Mbarara-24Hr'!K21,'29.10 Isingiro-Mbarara'!K21,'30.10 Isingiro-Mbarara'!K21,'31.10 Isingiro-Mbarara'!K21)</f>
        <v>0.14285714285714285</v>
      </c>
      <c r="L21" s="49">
        <f>AVERAGE('25.10 Isingiro-Mbarara'!L21,'26.10 Isingiro-Mbarara-24Hr'!L21,'27.10 Isingilo-Mbarara'!L21,'28.10 Isingiro-Mbarara-24Hr'!L21,'29.10 Isingiro-Mbarara'!L21,'30.10 Isingiro-Mbarara'!L21,'31.10 Isingiro-Mbarara'!L21)</f>
        <v>0.14285714285714285</v>
      </c>
      <c r="M21" s="49">
        <f>AVERAGE('25.10 Isingiro-Mbarara'!M21,'26.10 Isingiro-Mbarara-24Hr'!M21,'27.10 Isingilo-Mbarara'!M21,'28.10 Isingiro-Mbarara-24Hr'!M21,'29.10 Isingiro-Mbarara'!M21,'30.10 Isingiro-Mbarara'!M21,'31.10 Isingiro-Mbarara'!M21)</f>
        <v>37.285714285714285</v>
      </c>
      <c r="N21" s="49">
        <f>AVERAGE('25.10 Isingiro-Mbarara'!N21,'26.10 Isingiro-Mbarara-24Hr'!N21,'27.10 Isingilo-Mbarara'!N21,'28.10 Isingiro-Mbarara-24Hr'!N21,'29.10 Isingiro-Mbarara'!N21,'30.10 Isingiro-Mbarara'!N21,'31.10 Isingiro-Mbarara'!N21)</f>
        <v>0</v>
      </c>
      <c r="O21" s="15">
        <f t="shared" si="0"/>
        <v>19</v>
      </c>
      <c r="P21" s="15">
        <f t="shared" si="1"/>
        <v>56.285714285714285</v>
      </c>
      <c r="R21" s="36" t="s">
        <v>20</v>
      </c>
      <c r="S21" s="34">
        <f t="shared" ref="S21:AF21" si="13">SUM(C54:C57)</f>
        <v>59.428571428571431</v>
      </c>
      <c r="T21" s="17">
        <f t="shared" si="13"/>
        <v>9.7142857142857153</v>
      </c>
      <c r="U21" s="17">
        <f t="shared" si="13"/>
        <v>8.1428571428571423</v>
      </c>
      <c r="V21" s="17">
        <f t="shared" si="13"/>
        <v>6.4285714285714288</v>
      </c>
      <c r="W21" s="17">
        <f t="shared" si="13"/>
        <v>0.71428571428571419</v>
      </c>
      <c r="X21" s="17">
        <f t="shared" si="13"/>
        <v>0</v>
      </c>
      <c r="Y21" s="17">
        <f t="shared" si="13"/>
        <v>7.4285714285714288</v>
      </c>
      <c r="Z21" s="17">
        <f t="shared" si="13"/>
        <v>5.8571428571428577</v>
      </c>
      <c r="AA21" s="17">
        <f t="shared" si="13"/>
        <v>0.8571428571428571</v>
      </c>
      <c r="AB21" s="17">
        <f t="shared" si="13"/>
        <v>0.42857142857142855</v>
      </c>
      <c r="AC21" s="17">
        <f t="shared" si="13"/>
        <v>167.42857142857142</v>
      </c>
      <c r="AD21" s="17">
        <f t="shared" si="13"/>
        <v>0</v>
      </c>
      <c r="AE21" s="31">
        <f t="shared" si="13"/>
        <v>98.999999999999986</v>
      </c>
      <c r="AF21" s="31">
        <f t="shared" si="13"/>
        <v>266.42857142857144</v>
      </c>
    </row>
    <row r="22" spans="2:32" ht="23.1" customHeight="1" x14ac:dyDescent="0.25">
      <c r="B22" s="23" t="s">
        <v>49</v>
      </c>
      <c r="C22" s="49">
        <f>AVERAGE('25.10 Isingiro-Mbarara'!C22,'26.10 Isingiro-Mbarara-24Hr'!C22,'27.10 Isingilo-Mbarara'!C22,'28.10 Isingiro-Mbarara-24Hr'!C22,'29.10 Isingiro-Mbarara'!C22,'30.10 Isingiro-Mbarara'!C22,'31.10 Isingiro-Mbarara'!C22)</f>
        <v>14.428571428571429</v>
      </c>
      <c r="D22" s="49">
        <f>AVERAGE('25.10 Isingiro-Mbarara'!D22,'26.10 Isingiro-Mbarara-24Hr'!D22,'27.10 Isingilo-Mbarara'!D22,'28.10 Isingiro-Mbarara-24Hr'!D22,'29.10 Isingiro-Mbarara'!D22,'30.10 Isingiro-Mbarara'!D22,'31.10 Isingiro-Mbarara'!D22)</f>
        <v>1</v>
      </c>
      <c r="E22" s="49">
        <f>AVERAGE('25.10 Isingiro-Mbarara'!E22,'26.10 Isingiro-Mbarara-24Hr'!E22,'27.10 Isingilo-Mbarara'!E22,'28.10 Isingiro-Mbarara-24Hr'!E22,'29.10 Isingiro-Mbarara'!E22,'30.10 Isingiro-Mbarara'!E22,'31.10 Isingiro-Mbarara'!E22)</f>
        <v>1.1428571428571428</v>
      </c>
      <c r="F22" s="49">
        <f>AVERAGE('25.10 Isingiro-Mbarara'!F22,'26.10 Isingiro-Mbarara-24Hr'!F22,'27.10 Isingilo-Mbarara'!F22,'28.10 Isingiro-Mbarara-24Hr'!F22,'29.10 Isingiro-Mbarara'!F22,'30.10 Isingiro-Mbarara'!F22,'31.10 Isingiro-Mbarara'!F22)</f>
        <v>4.1428571428571432</v>
      </c>
      <c r="G22" s="49">
        <f>AVERAGE('25.10 Isingiro-Mbarara'!G22,'26.10 Isingiro-Mbarara-24Hr'!G22,'27.10 Isingilo-Mbarara'!G22,'28.10 Isingiro-Mbarara-24Hr'!G22,'29.10 Isingiro-Mbarara'!G22,'30.10 Isingiro-Mbarara'!G22,'31.10 Isingiro-Mbarara'!G22)</f>
        <v>0</v>
      </c>
      <c r="H22" s="49">
        <f>AVERAGE('25.10 Isingiro-Mbarara'!H22,'26.10 Isingiro-Mbarara-24Hr'!H22,'27.10 Isingilo-Mbarara'!H22,'28.10 Isingiro-Mbarara-24Hr'!H22,'29.10 Isingiro-Mbarara'!H22,'30.10 Isingiro-Mbarara'!H22,'31.10 Isingiro-Mbarara'!H22)</f>
        <v>0</v>
      </c>
      <c r="I22" s="49">
        <f>AVERAGE('25.10 Isingiro-Mbarara'!I22,'26.10 Isingiro-Mbarara-24Hr'!I22,'27.10 Isingilo-Mbarara'!I22,'28.10 Isingiro-Mbarara-24Hr'!I22,'29.10 Isingiro-Mbarara'!I22,'30.10 Isingiro-Mbarara'!I22,'31.10 Isingiro-Mbarara'!I22)</f>
        <v>1.8571428571428572</v>
      </c>
      <c r="J22" s="49">
        <f>AVERAGE('25.10 Isingiro-Mbarara'!J22,'26.10 Isingiro-Mbarara-24Hr'!J22,'27.10 Isingilo-Mbarara'!J22,'28.10 Isingiro-Mbarara-24Hr'!J22,'29.10 Isingiro-Mbarara'!J22,'30.10 Isingiro-Mbarara'!J22,'31.10 Isingiro-Mbarara'!J22)</f>
        <v>0.5714285714285714</v>
      </c>
      <c r="K22" s="49">
        <f>AVERAGE('25.10 Isingiro-Mbarara'!K22,'26.10 Isingiro-Mbarara-24Hr'!K22,'27.10 Isingilo-Mbarara'!K22,'28.10 Isingiro-Mbarara-24Hr'!K22,'29.10 Isingiro-Mbarara'!K22,'30.10 Isingiro-Mbarara'!K22,'31.10 Isingiro-Mbarara'!K22)</f>
        <v>0</v>
      </c>
      <c r="L22" s="49">
        <f>AVERAGE('25.10 Isingiro-Mbarara'!L22,'26.10 Isingiro-Mbarara-24Hr'!L22,'27.10 Isingilo-Mbarara'!L22,'28.10 Isingiro-Mbarara-24Hr'!L22,'29.10 Isingiro-Mbarara'!L22,'30.10 Isingiro-Mbarara'!L22,'31.10 Isingiro-Mbarara'!L22)</f>
        <v>0</v>
      </c>
      <c r="M22" s="49">
        <f>AVERAGE('25.10 Isingiro-Mbarara'!M22,'26.10 Isingiro-Mbarara-24Hr'!M22,'27.10 Isingilo-Mbarara'!M22,'28.10 Isingiro-Mbarara-24Hr'!M22,'29.10 Isingiro-Mbarara'!M22,'30.10 Isingiro-Mbarara'!M22,'31.10 Isingiro-Mbarara'!M22)</f>
        <v>44.428571428571431</v>
      </c>
      <c r="N22" s="49">
        <f>AVERAGE('25.10 Isingiro-Mbarara'!N22,'26.10 Isingiro-Mbarara-24Hr'!N22,'27.10 Isingilo-Mbarara'!N22,'28.10 Isingiro-Mbarara-24Hr'!N22,'29.10 Isingiro-Mbarara'!N22,'30.10 Isingiro-Mbarara'!N22,'31.10 Isingiro-Mbarara'!N22)</f>
        <v>0</v>
      </c>
      <c r="O22" s="15">
        <f t="shared" si="0"/>
        <v>23.142857142857146</v>
      </c>
      <c r="P22" s="15">
        <f t="shared" si="1"/>
        <v>67.571428571428584</v>
      </c>
      <c r="R22" s="1" t="s">
        <v>146</v>
      </c>
      <c r="S22" s="34">
        <f>SUM(C58:C61)</f>
        <v>50</v>
      </c>
      <c r="T22" s="34">
        <f t="shared" ref="T22:AF22" si="14">SUM(D58:D61)</f>
        <v>3.5</v>
      </c>
      <c r="U22" s="34">
        <f t="shared" si="14"/>
        <v>8</v>
      </c>
      <c r="V22" s="34">
        <f t="shared" si="14"/>
        <v>6.5</v>
      </c>
      <c r="W22" s="34">
        <f t="shared" si="14"/>
        <v>0</v>
      </c>
      <c r="X22" s="34">
        <f t="shared" si="14"/>
        <v>0</v>
      </c>
      <c r="Y22" s="34">
        <f t="shared" si="14"/>
        <v>9.5</v>
      </c>
      <c r="Z22" s="34">
        <f t="shared" si="14"/>
        <v>3.5</v>
      </c>
      <c r="AA22" s="34">
        <f t="shared" si="14"/>
        <v>1</v>
      </c>
      <c r="AB22" s="34">
        <f t="shared" si="14"/>
        <v>0</v>
      </c>
      <c r="AC22" s="34">
        <f t="shared" si="14"/>
        <v>113</v>
      </c>
      <c r="AD22" s="34">
        <f t="shared" si="14"/>
        <v>0</v>
      </c>
      <c r="AE22" s="31">
        <f t="shared" si="14"/>
        <v>82</v>
      </c>
      <c r="AF22" s="31">
        <f t="shared" si="14"/>
        <v>195</v>
      </c>
    </row>
    <row r="23" spans="2:32" ht="23.1" customHeight="1" x14ac:dyDescent="0.25">
      <c r="B23" s="23" t="s">
        <v>50</v>
      </c>
      <c r="C23" s="49">
        <f>AVERAGE('25.10 Isingiro-Mbarara'!C23,'26.10 Isingiro-Mbarara-24Hr'!C23,'27.10 Isingilo-Mbarara'!C23,'28.10 Isingiro-Mbarara-24Hr'!C23,'29.10 Isingiro-Mbarara'!C23,'30.10 Isingiro-Mbarara'!C23,'31.10 Isingiro-Mbarara'!C23)</f>
        <v>12.428571428571429</v>
      </c>
      <c r="D23" s="49">
        <f>AVERAGE('25.10 Isingiro-Mbarara'!D23,'26.10 Isingiro-Mbarara-24Hr'!D23,'27.10 Isingilo-Mbarara'!D23,'28.10 Isingiro-Mbarara-24Hr'!D23,'29.10 Isingiro-Mbarara'!D23,'30.10 Isingiro-Mbarara'!D23,'31.10 Isingiro-Mbarara'!D23)</f>
        <v>1.7142857142857142</v>
      </c>
      <c r="E23" s="49">
        <f>AVERAGE('25.10 Isingiro-Mbarara'!E23,'26.10 Isingiro-Mbarara-24Hr'!E23,'27.10 Isingilo-Mbarara'!E23,'28.10 Isingiro-Mbarara-24Hr'!E23,'29.10 Isingiro-Mbarara'!E23,'30.10 Isingiro-Mbarara'!E23,'31.10 Isingiro-Mbarara'!E23)</f>
        <v>1.4285714285714286</v>
      </c>
      <c r="F23" s="49">
        <f>AVERAGE('25.10 Isingiro-Mbarara'!F23,'26.10 Isingiro-Mbarara-24Hr'!F23,'27.10 Isingilo-Mbarara'!F23,'28.10 Isingiro-Mbarara-24Hr'!F23,'29.10 Isingiro-Mbarara'!F23,'30.10 Isingiro-Mbarara'!F23,'31.10 Isingiro-Mbarara'!F23)</f>
        <v>2.7142857142857144</v>
      </c>
      <c r="G23" s="49">
        <f>AVERAGE('25.10 Isingiro-Mbarara'!G23,'26.10 Isingiro-Mbarara-24Hr'!G23,'27.10 Isingilo-Mbarara'!G23,'28.10 Isingiro-Mbarara-24Hr'!G23,'29.10 Isingiro-Mbarara'!G23,'30.10 Isingiro-Mbarara'!G23,'31.10 Isingiro-Mbarara'!G23)</f>
        <v>0</v>
      </c>
      <c r="H23" s="49">
        <f>AVERAGE('25.10 Isingiro-Mbarara'!H23,'26.10 Isingiro-Mbarara-24Hr'!H23,'27.10 Isingilo-Mbarara'!H23,'28.10 Isingiro-Mbarara-24Hr'!H23,'29.10 Isingiro-Mbarara'!H23,'30.10 Isingiro-Mbarara'!H23,'31.10 Isingiro-Mbarara'!H23)</f>
        <v>0</v>
      </c>
      <c r="I23" s="49">
        <f>AVERAGE('25.10 Isingiro-Mbarara'!I23,'26.10 Isingiro-Mbarara-24Hr'!I23,'27.10 Isingilo-Mbarara'!I23,'28.10 Isingiro-Mbarara-24Hr'!I23,'29.10 Isingiro-Mbarara'!I23,'30.10 Isingiro-Mbarara'!I23,'31.10 Isingiro-Mbarara'!I23)</f>
        <v>2.1428571428571428</v>
      </c>
      <c r="J23" s="49">
        <f>AVERAGE('25.10 Isingiro-Mbarara'!J23,'26.10 Isingiro-Mbarara-24Hr'!J23,'27.10 Isingilo-Mbarara'!J23,'28.10 Isingiro-Mbarara-24Hr'!J23,'29.10 Isingiro-Mbarara'!J23,'30.10 Isingiro-Mbarara'!J23,'31.10 Isingiro-Mbarara'!J23)</f>
        <v>1.2857142857142858</v>
      </c>
      <c r="K23" s="49">
        <f>AVERAGE('25.10 Isingiro-Mbarara'!K23,'26.10 Isingiro-Mbarara-24Hr'!K23,'27.10 Isingilo-Mbarara'!K23,'28.10 Isingiro-Mbarara-24Hr'!K23,'29.10 Isingiro-Mbarara'!K23,'30.10 Isingiro-Mbarara'!K23,'31.10 Isingiro-Mbarara'!K23)</f>
        <v>0.14285714285714285</v>
      </c>
      <c r="L23" s="49">
        <f>AVERAGE('25.10 Isingiro-Mbarara'!L23,'26.10 Isingiro-Mbarara-24Hr'!L23,'27.10 Isingilo-Mbarara'!L23,'28.10 Isingiro-Mbarara-24Hr'!L23,'29.10 Isingiro-Mbarara'!L23,'30.10 Isingiro-Mbarara'!L23,'31.10 Isingiro-Mbarara'!L23)</f>
        <v>0.14285714285714285</v>
      </c>
      <c r="M23" s="49">
        <f>AVERAGE('25.10 Isingiro-Mbarara'!M23,'26.10 Isingiro-Mbarara-24Hr'!M23,'27.10 Isingilo-Mbarara'!M23,'28.10 Isingiro-Mbarara-24Hr'!M23,'29.10 Isingiro-Mbarara'!M23,'30.10 Isingiro-Mbarara'!M23,'31.10 Isingiro-Mbarara'!M23)</f>
        <v>41.714285714285715</v>
      </c>
      <c r="N23" s="49">
        <f>AVERAGE('25.10 Isingiro-Mbarara'!N23,'26.10 Isingiro-Mbarara-24Hr'!N23,'27.10 Isingilo-Mbarara'!N23,'28.10 Isingiro-Mbarara-24Hr'!N23,'29.10 Isingiro-Mbarara'!N23,'30.10 Isingiro-Mbarara'!N23,'31.10 Isingiro-Mbarara'!N23)</f>
        <v>0</v>
      </c>
      <c r="O23" s="15">
        <f t="shared" si="0"/>
        <v>21.999999999999996</v>
      </c>
      <c r="P23" s="15">
        <f t="shared" si="1"/>
        <v>63.714285714285708</v>
      </c>
      <c r="R23" s="1" t="s">
        <v>147</v>
      </c>
      <c r="S23" s="34">
        <f>SUM(C62:C65)</f>
        <v>33.5</v>
      </c>
      <c r="T23" s="34">
        <f t="shared" ref="T23:AF23" si="15">SUM(D62:D65)</f>
        <v>5.5</v>
      </c>
      <c r="U23" s="34">
        <f t="shared" si="15"/>
        <v>5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7.5</v>
      </c>
      <c r="Z23" s="34">
        <f t="shared" si="15"/>
        <v>5</v>
      </c>
      <c r="AA23" s="34">
        <f t="shared" si="15"/>
        <v>0</v>
      </c>
      <c r="AB23" s="34">
        <f t="shared" si="15"/>
        <v>0</v>
      </c>
      <c r="AC23" s="34">
        <f t="shared" si="15"/>
        <v>64</v>
      </c>
      <c r="AD23" s="34">
        <f t="shared" si="15"/>
        <v>0</v>
      </c>
      <c r="AE23" s="31">
        <f t="shared" si="15"/>
        <v>61.5</v>
      </c>
      <c r="AF23" s="31">
        <f t="shared" si="15"/>
        <v>125.5</v>
      </c>
    </row>
    <row r="24" spans="2:32" ht="23.1" customHeight="1" x14ac:dyDescent="0.25">
      <c r="B24" s="23" t="s">
        <v>51</v>
      </c>
      <c r="C24" s="49">
        <f>AVERAGE('25.10 Isingiro-Mbarara'!C24,'26.10 Isingiro-Mbarara-24Hr'!C24,'27.10 Isingilo-Mbarara'!C24,'28.10 Isingiro-Mbarara-24Hr'!C24,'29.10 Isingiro-Mbarara'!C24,'30.10 Isingiro-Mbarara'!C24,'31.10 Isingiro-Mbarara'!C24)</f>
        <v>9.4285714285714288</v>
      </c>
      <c r="D24" s="49">
        <f>AVERAGE('25.10 Isingiro-Mbarara'!D24,'26.10 Isingiro-Mbarara-24Hr'!D24,'27.10 Isingilo-Mbarara'!D24,'28.10 Isingiro-Mbarara-24Hr'!D24,'29.10 Isingiro-Mbarara'!D24,'30.10 Isingiro-Mbarara'!D24,'31.10 Isingiro-Mbarara'!D24)</f>
        <v>1.8571428571428572</v>
      </c>
      <c r="E24" s="49">
        <f>AVERAGE('25.10 Isingiro-Mbarara'!E24,'26.10 Isingiro-Mbarara-24Hr'!E24,'27.10 Isingilo-Mbarara'!E24,'28.10 Isingiro-Mbarara-24Hr'!E24,'29.10 Isingiro-Mbarara'!E24,'30.10 Isingiro-Mbarara'!E24,'31.10 Isingiro-Mbarara'!E24)</f>
        <v>1.2857142857142858</v>
      </c>
      <c r="F24" s="49">
        <f>AVERAGE('25.10 Isingiro-Mbarara'!F24,'26.10 Isingiro-Mbarara-24Hr'!F24,'27.10 Isingilo-Mbarara'!F24,'28.10 Isingiro-Mbarara-24Hr'!F24,'29.10 Isingiro-Mbarara'!F24,'30.10 Isingiro-Mbarara'!F24,'31.10 Isingiro-Mbarara'!F24)</f>
        <v>4.4285714285714288</v>
      </c>
      <c r="G24" s="49">
        <f>AVERAGE('25.10 Isingiro-Mbarara'!G24,'26.10 Isingiro-Mbarara-24Hr'!G24,'27.10 Isingilo-Mbarara'!G24,'28.10 Isingiro-Mbarara-24Hr'!G24,'29.10 Isingiro-Mbarara'!G24,'30.10 Isingiro-Mbarara'!G24,'31.10 Isingiro-Mbarara'!G24)</f>
        <v>0.14285714285714285</v>
      </c>
      <c r="H24" s="49">
        <f>AVERAGE('25.10 Isingiro-Mbarara'!H24,'26.10 Isingiro-Mbarara-24Hr'!H24,'27.10 Isingilo-Mbarara'!H24,'28.10 Isingiro-Mbarara-24Hr'!H24,'29.10 Isingiro-Mbarara'!H24,'30.10 Isingiro-Mbarara'!H24,'31.10 Isingiro-Mbarara'!H24)</f>
        <v>0</v>
      </c>
      <c r="I24" s="49">
        <f>AVERAGE('25.10 Isingiro-Mbarara'!I24,'26.10 Isingiro-Mbarara-24Hr'!I24,'27.10 Isingilo-Mbarara'!I24,'28.10 Isingiro-Mbarara-24Hr'!I24,'29.10 Isingiro-Mbarara'!I24,'30.10 Isingiro-Mbarara'!I24,'31.10 Isingiro-Mbarara'!I24)</f>
        <v>1.2857142857142858</v>
      </c>
      <c r="J24" s="49">
        <f>AVERAGE('25.10 Isingiro-Mbarara'!J24,'26.10 Isingiro-Mbarara-24Hr'!J24,'27.10 Isingilo-Mbarara'!J24,'28.10 Isingiro-Mbarara-24Hr'!J24,'29.10 Isingiro-Mbarara'!J24,'30.10 Isingiro-Mbarara'!J24,'31.10 Isingiro-Mbarara'!J24)</f>
        <v>1.2857142857142858</v>
      </c>
      <c r="K24" s="49">
        <f>AVERAGE('25.10 Isingiro-Mbarara'!K24,'26.10 Isingiro-Mbarara-24Hr'!K24,'27.10 Isingilo-Mbarara'!K24,'28.10 Isingiro-Mbarara-24Hr'!K24,'29.10 Isingiro-Mbarara'!K24,'30.10 Isingiro-Mbarara'!K24,'31.10 Isingiro-Mbarara'!K24)</f>
        <v>0.14285714285714285</v>
      </c>
      <c r="L24" s="49">
        <f>AVERAGE('25.10 Isingiro-Mbarara'!L24,'26.10 Isingiro-Mbarara-24Hr'!L24,'27.10 Isingilo-Mbarara'!L24,'28.10 Isingiro-Mbarara-24Hr'!L24,'29.10 Isingiro-Mbarara'!L24,'30.10 Isingiro-Mbarara'!L24,'31.10 Isingiro-Mbarara'!L24)</f>
        <v>0</v>
      </c>
      <c r="M24" s="49">
        <f>AVERAGE('25.10 Isingiro-Mbarara'!M24,'26.10 Isingiro-Mbarara-24Hr'!M24,'27.10 Isingilo-Mbarara'!M24,'28.10 Isingiro-Mbarara-24Hr'!M24,'29.10 Isingiro-Mbarara'!M24,'30.10 Isingiro-Mbarara'!M24,'31.10 Isingiro-Mbarara'!M24)</f>
        <v>37.571428571428569</v>
      </c>
      <c r="N24" s="49">
        <f>AVERAGE('25.10 Isingiro-Mbarara'!N24,'26.10 Isingiro-Mbarara-24Hr'!N24,'27.10 Isingilo-Mbarara'!N24,'28.10 Isingiro-Mbarara-24Hr'!N24,'29.10 Isingiro-Mbarara'!N24,'30.10 Isingiro-Mbarara'!N24,'31.10 Isingiro-Mbarara'!N24)</f>
        <v>0.14285714285714285</v>
      </c>
      <c r="O24" s="15">
        <f t="shared" si="0"/>
        <v>19.999999999999996</v>
      </c>
      <c r="P24" s="15">
        <f t="shared" si="1"/>
        <v>57.571428571428569</v>
      </c>
      <c r="R24" s="1" t="s">
        <v>148</v>
      </c>
      <c r="S24" s="34">
        <f>SUM(C66:C69)</f>
        <v>31</v>
      </c>
      <c r="T24" s="34">
        <f t="shared" ref="T24:AF24" si="16">SUM(D66:D69)</f>
        <v>4.5</v>
      </c>
      <c r="U24" s="34">
        <f t="shared" si="16"/>
        <v>6</v>
      </c>
      <c r="V24" s="34">
        <f t="shared" si="16"/>
        <v>3</v>
      </c>
      <c r="W24" s="34">
        <f t="shared" si="16"/>
        <v>0</v>
      </c>
      <c r="X24" s="34">
        <f t="shared" si="16"/>
        <v>0.5</v>
      </c>
      <c r="Y24" s="34">
        <f t="shared" si="16"/>
        <v>1.5</v>
      </c>
      <c r="Z24" s="34">
        <f t="shared" si="16"/>
        <v>3</v>
      </c>
      <c r="AA24" s="34">
        <f t="shared" si="16"/>
        <v>1.5</v>
      </c>
      <c r="AB24" s="34">
        <f t="shared" si="16"/>
        <v>0</v>
      </c>
      <c r="AC24" s="34">
        <f t="shared" si="16"/>
        <v>54.5</v>
      </c>
      <c r="AD24" s="34">
        <f t="shared" si="16"/>
        <v>0</v>
      </c>
      <c r="AE24" s="31">
        <f t="shared" si="16"/>
        <v>51</v>
      </c>
      <c r="AF24" s="31">
        <f t="shared" si="16"/>
        <v>105.5</v>
      </c>
    </row>
    <row r="25" spans="2:32" ht="23.1" customHeight="1" x14ac:dyDescent="0.25">
      <c r="B25" s="23" t="s">
        <v>52</v>
      </c>
      <c r="C25" s="49">
        <f>AVERAGE('25.10 Isingiro-Mbarara'!C25,'26.10 Isingiro-Mbarara-24Hr'!C25,'27.10 Isingilo-Mbarara'!C25,'28.10 Isingiro-Mbarara-24Hr'!C25,'29.10 Isingiro-Mbarara'!C25,'30.10 Isingiro-Mbarara'!C25,'31.10 Isingiro-Mbarara'!C25)</f>
        <v>9.7142857142857135</v>
      </c>
      <c r="D25" s="49">
        <f>AVERAGE('25.10 Isingiro-Mbarara'!D25,'26.10 Isingiro-Mbarara-24Hr'!D25,'27.10 Isingilo-Mbarara'!D25,'28.10 Isingiro-Mbarara-24Hr'!D25,'29.10 Isingiro-Mbarara'!D25,'30.10 Isingiro-Mbarara'!D25,'31.10 Isingiro-Mbarara'!D25)</f>
        <v>1.7142857142857142</v>
      </c>
      <c r="E25" s="49">
        <f>AVERAGE('25.10 Isingiro-Mbarara'!E25,'26.10 Isingiro-Mbarara-24Hr'!E25,'27.10 Isingilo-Mbarara'!E25,'28.10 Isingiro-Mbarara-24Hr'!E25,'29.10 Isingiro-Mbarara'!E25,'30.10 Isingiro-Mbarara'!E25,'31.10 Isingiro-Mbarara'!E25)</f>
        <v>2</v>
      </c>
      <c r="F25" s="49">
        <f>AVERAGE('25.10 Isingiro-Mbarara'!F25,'26.10 Isingiro-Mbarara-24Hr'!F25,'27.10 Isingilo-Mbarara'!F25,'28.10 Isingiro-Mbarara-24Hr'!F25,'29.10 Isingiro-Mbarara'!F25,'30.10 Isingiro-Mbarara'!F25,'31.10 Isingiro-Mbarara'!F25)</f>
        <v>3.8571428571428572</v>
      </c>
      <c r="G25" s="49">
        <f>AVERAGE('25.10 Isingiro-Mbarara'!G25,'26.10 Isingiro-Mbarara-24Hr'!G25,'27.10 Isingilo-Mbarara'!G25,'28.10 Isingiro-Mbarara-24Hr'!G25,'29.10 Isingiro-Mbarara'!G25,'30.10 Isingiro-Mbarara'!G25,'31.10 Isingiro-Mbarara'!G25)</f>
        <v>0.14285714285714285</v>
      </c>
      <c r="H25" s="49">
        <f>AVERAGE('25.10 Isingiro-Mbarara'!H25,'26.10 Isingiro-Mbarara-24Hr'!H25,'27.10 Isingilo-Mbarara'!H25,'28.10 Isingiro-Mbarara-24Hr'!H25,'29.10 Isingiro-Mbarara'!H25,'30.10 Isingiro-Mbarara'!H25,'31.10 Isingiro-Mbarara'!H25)</f>
        <v>0</v>
      </c>
      <c r="I25" s="49">
        <f>AVERAGE('25.10 Isingiro-Mbarara'!I25,'26.10 Isingiro-Mbarara-24Hr'!I25,'27.10 Isingilo-Mbarara'!I25,'28.10 Isingiro-Mbarara-24Hr'!I25,'29.10 Isingiro-Mbarara'!I25,'30.10 Isingiro-Mbarara'!I25,'31.10 Isingiro-Mbarara'!I25)</f>
        <v>1.5714285714285714</v>
      </c>
      <c r="J25" s="49">
        <f>AVERAGE('25.10 Isingiro-Mbarara'!J25,'26.10 Isingiro-Mbarara-24Hr'!J25,'27.10 Isingilo-Mbarara'!J25,'28.10 Isingiro-Mbarara-24Hr'!J25,'29.10 Isingiro-Mbarara'!J25,'30.10 Isingiro-Mbarara'!J25,'31.10 Isingiro-Mbarara'!J25)</f>
        <v>1.1428571428571428</v>
      </c>
      <c r="K25" s="49">
        <f>AVERAGE('25.10 Isingiro-Mbarara'!K25,'26.10 Isingiro-Mbarara-24Hr'!K25,'27.10 Isingilo-Mbarara'!K25,'28.10 Isingiro-Mbarara-24Hr'!K25,'29.10 Isingiro-Mbarara'!K25,'30.10 Isingiro-Mbarara'!K25,'31.10 Isingiro-Mbarara'!K25)</f>
        <v>0.14285714285714285</v>
      </c>
      <c r="L25" s="49">
        <f>AVERAGE('25.10 Isingiro-Mbarara'!L25,'26.10 Isingiro-Mbarara-24Hr'!L25,'27.10 Isingilo-Mbarara'!L25,'28.10 Isingiro-Mbarara-24Hr'!L25,'29.10 Isingiro-Mbarara'!L25,'30.10 Isingiro-Mbarara'!L25,'31.10 Isingiro-Mbarara'!L25)</f>
        <v>0</v>
      </c>
      <c r="M25" s="49">
        <f>AVERAGE('25.10 Isingiro-Mbarara'!M25,'26.10 Isingiro-Mbarara-24Hr'!M25,'27.10 Isingilo-Mbarara'!M25,'28.10 Isingiro-Mbarara-24Hr'!M25,'29.10 Isingiro-Mbarara'!M25,'30.10 Isingiro-Mbarara'!M25,'31.10 Isingiro-Mbarara'!M25)</f>
        <v>38.428571428571431</v>
      </c>
      <c r="N25" s="49">
        <f>AVERAGE('25.10 Isingiro-Mbarara'!N25,'26.10 Isingiro-Mbarara-24Hr'!N25,'27.10 Isingilo-Mbarara'!N25,'28.10 Isingiro-Mbarara-24Hr'!N25,'29.10 Isingiro-Mbarara'!N25,'30.10 Isingiro-Mbarara'!N25,'31.10 Isingiro-Mbarara'!N25)</f>
        <v>0</v>
      </c>
      <c r="O25" s="15">
        <f t="shared" si="0"/>
        <v>20.285714285714285</v>
      </c>
      <c r="P25" s="15">
        <f t="shared" si="1"/>
        <v>58.714285714285715</v>
      </c>
      <c r="R25" s="1" t="s">
        <v>149</v>
      </c>
      <c r="S25" s="34">
        <f>SUM(C70:C73)</f>
        <v>21.5</v>
      </c>
      <c r="T25" s="34">
        <f t="shared" ref="T25:AF25" si="17">SUM(D70:D73)</f>
        <v>2</v>
      </c>
      <c r="U25" s="34">
        <f t="shared" si="17"/>
        <v>2.5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5</v>
      </c>
      <c r="AA25" s="34">
        <f t="shared" si="17"/>
        <v>0</v>
      </c>
      <c r="AB25" s="34">
        <f t="shared" si="17"/>
        <v>0</v>
      </c>
      <c r="AC25" s="34">
        <f t="shared" si="17"/>
        <v>36</v>
      </c>
      <c r="AD25" s="34">
        <f t="shared" si="17"/>
        <v>0</v>
      </c>
      <c r="AE25" s="31">
        <f t="shared" si="17"/>
        <v>34</v>
      </c>
      <c r="AF25" s="31">
        <f t="shared" si="17"/>
        <v>70</v>
      </c>
    </row>
    <row r="26" spans="2:32" ht="23.1" customHeight="1" x14ac:dyDescent="0.25">
      <c r="B26" s="23" t="s">
        <v>53</v>
      </c>
      <c r="C26" s="49">
        <f>AVERAGE('25.10 Isingiro-Mbarara'!C26,'26.10 Isingiro-Mbarara-24Hr'!C26,'27.10 Isingilo-Mbarara'!C26,'28.10 Isingiro-Mbarara-24Hr'!C26,'29.10 Isingiro-Mbarara'!C26,'30.10 Isingiro-Mbarara'!C26,'31.10 Isingiro-Mbarara'!C26)</f>
        <v>11.142857142857142</v>
      </c>
      <c r="D26" s="49">
        <f>AVERAGE('25.10 Isingiro-Mbarara'!D26,'26.10 Isingiro-Mbarara-24Hr'!D26,'27.10 Isingilo-Mbarara'!D26,'28.10 Isingiro-Mbarara-24Hr'!D26,'29.10 Isingiro-Mbarara'!D26,'30.10 Isingiro-Mbarara'!D26,'31.10 Isingiro-Mbarara'!D26)</f>
        <v>2.2857142857142856</v>
      </c>
      <c r="E26" s="49">
        <f>AVERAGE('25.10 Isingiro-Mbarara'!E26,'26.10 Isingiro-Mbarara-24Hr'!E26,'27.10 Isingilo-Mbarara'!E26,'28.10 Isingiro-Mbarara-24Hr'!E26,'29.10 Isingiro-Mbarara'!E26,'30.10 Isingiro-Mbarara'!E26,'31.10 Isingiro-Mbarara'!E26)</f>
        <v>2.2857142857142856</v>
      </c>
      <c r="F26" s="49">
        <f>AVERAGE('25.10 Isingiro-Mbarara'!F26,'26.10 Isingiro-Mbarara-24Hr'!F26,'27.10 Isingilo-Mbarara'!F26,'28.10 Isingiro-Mbarara-24Hr'!F26,'29.10 Isingiro-Mbarara'!F26,'30.10 Isingiro-Mbarara'!F26,'31.10 Isingiro-Mbarara'!F26)</f>
        <v>3.4285714285714284</v>
      </c>
      <c r="G26" s="49">
        <f>AVERAGE('25.10 Isingiro-Mbarara'!G26,'26.10 Isingiro-Mbarara-24Hr'!G26,'27.10 Isingilo-Mbarara'!G26,'28.10 Isingiro-Mbarara-24Hr'!G26,'29.10 Isingiro-Mbarara'!G26,'30.10 Isingiro-Mbarara'!G26,'31.10 Isingiro-Mbarara'!G26)</f>
        <v>0</v>
      </c>
      <c r="H26" s="49">
        <f>AVERAGE('25.10 Isingiro-Mbarara'!H26,'26.10 Isingiro-Mbarara-24Hr'!H26,'27.10 Isingilo-Mbarara'!H26,'28.10 Isingiro-Mbarara-24Hr'!H26,'29.10 Isingiro-Mbarara'!H26,'30.10 Isingiro-Mbarara'!H26,'31.10 Isingiro-Mbarara'!H26)</f>
        <v>0</v>
      </c>
      <c r="I26" s="49">
        <f>AVERAGE('25.10 Isingiro-Mbarara'!I26,'26.10 Isingiro-Mbarara-24Hr'!I26,'27.10 Isingilo-Mbarara'!I26,'28.10 Isingiro-Mbarara-24Hr'!I26,'29.10 Isingiro-Mbarara'!I26,'30.10 Isingiro-Mbarara'!I26,'31.10 Isingiro-Mbarara'!I26)</f>
        <v>1.7142857142857142</v>
      </c>
      <c r="J26" s="49">
        <f>AVERAGE('25.10 Isingiro-Mbarara'!J26,'26.10 Isingiro-Mbarara-24Hr'!J26,'27.10 Isingilo-Mbarara'!J26,'28.10 Isingiro-Mbarara-24Hr'!J26,'29.10 Isingiro-Mbarara'!J26,'30.10 Isingiro-Mbarara'!J26,'31.10 Isingiro-Mbarara'!J26)</f>
        <v>0.7142857142857143</v>
      </c>
      <c r="K26" s="49">
        <f>AVERAGE('25.10 Isingiro-Mbarara'!K26,'26.10 Isingiro-Mbarara-24Hr'!K26,'27.10 Isingilo-Mbarara'!K26,'28.10 Isingiro-Mbarara-24Hr'!K26,'29.10 Isingiro-Mbarara'!K26,'30.10 Isingiro-Mbarara'!K26,'31.10 Isingiro-Mbarara'!K26)</f>
        <v>0.14285714285714285</v>
      </c>
      <c r="L26" s="49">
        <f>AVERAGE('25.10 Isingiro-Mbarara'!L26,'26.10 Isingiro-Mbarara-24Hr'!L26,'27.10 Isingilo-Mbarara'!L26,'28.10 Isingiro-Mbarara-24Hr'!L26,'29.10 Isingiro-Mbarara'!L26,'30.10 Isingiro-Mbarara'!L26,'31.10 Isingiro-Mbarara'!L26)</f>
        <v>0.42857142857142855</v>
      </c>
      <c r="M26" s="49">
        <f>AVERAGE('25.10 Isingiro-Mbarara'!M26,'26.10 Isingiro-Mbarara-24Hr'!M26,'27.10 Isingilo-Mbarara'!M26,'28.10 Isingiro-Mbarara-24Hr'!M26,'29.10 Isingiro-Mbarara'!M26,'30.10 Isingiro-Mbarara'!M26,'31.10 Isingiro-Mbarara'!M26)</f>
        <v>42.571428571428569</v>
      </c>
      <c r="N26" s="49">
        <f>AVERAGE('25.10 Isingiro-Mbarara'!N26,'26.10 Isingiro-Mbarara-24Hr'!N26,'27.10 Isingilo-Mbarara'!N26,'28.10 Isingiro-Mbarara-24Hr'!N26,'29.10 Isingiro-Mbarara'!N26,'30.10 Isingiro-Mbarara'!N26,'31.10 Isingiro-Mbarara'!N26)</f>
        <v>0</v>
      </c>
      <c r="O26" s="15">
        <f t="shared" si="0"/>
        <v>22.142857142857139</v>
      </c>
      <c r="P26" s="15">
        <f t="shared" si="1"/>
        <v>64.714285714285708</v>
      </c>
      <c r="R26" s="1" t="s">
        <v>150</v>
      </c>
      <c r="S26" s="34">
        <f>SUM(C74:C77)</f>
        <v>9.5</v>
      </c>
      <c r="T26" s="34">
        <f t="shared" ref="T26:AF26" si="18">SUM(D74:D77)</f>
        <v>1.5</v>
      </c>
      <c r="U26" s="34">
        <f t="shared" si="18"/>
        <v>0.5</v>
      </c>
      <c r="V26" s="34">
        <f t="shared" si="18"/>
        <v>0</v>
      </c>
      <c r="W26" s="34">
        <f t="shared" si="18"/>
        <v>0.5</v>
      </c>
      <c r="X26" s="34">
        <f t="shared" si="18"/>
        <v>0</v>
      </c>
      <c r="Y26" s="34">
        <f t="shared" si="18"/>
        <v>4.5</v>
      </c>
      <c r="Z26" s="34">
        <f t="shared" si="18"/>
        <v>2.5</v>
      </c>
      <c r="AA26" s="34">
        <f t="shared" si="18"/>
        <v>0</v>
      </c>
      <c r="AB26" s="34">
        <f t="shared" si="18"/>
        <v>0</v>
      </c>
      <c r="AC26" s="34">
        <f t="shared" si="18"/>
        <v>7</v>
      </c>
      <c r="AD26" s="34">
        <f t="shared" si="18"/>
        <v>0</v>
      </c>
      <c r="AE26" s="31">
        <f t="shared" si="18"/>
        <v>19</v>
      </c>
      <c r="AF26" s="31">
        <f t="shared" si="18"/>
        <v>26</v>
      </c>
    </row>
    <row r="27" spans="2:32" ht="23.1" customHeight="1" x14ac:dyDescent="0.25">
      <c r="B27" s="23" t="s">
        <v>54</v>
      </c>
      <c r="C27" s="49">
        <f>AVERAGE('25.10 Isingiro-Mbarara'!C27,'26.10 Isingiro-Mbarara-24Hr'!C27,'27.10 Isingilo-Mbarara'!C27,'28.10 Isingiro-Mbarara-24Hr'!C27,'29.10 Isingiro-Mbarara'!C27,'30.10 Isingiro-Mbarara'!C27,'31.10 Isingiro-Mbarara'!C27)</f>
        <v>10.285714285714286</v>
      </c>
      <c r="D27" s="49">
        <f>AVERAGE('25.10 Isingiro-Mbarara'!D27,'26.10 Isingiro-Mbarara-24Hr'!D27,'27.10 Isingilo-Mbarara'!D27,'28.10 Isingiro-Mbarara-24Hr'!D27,'29.10 Isingiro-Mbarara'!D27,'30.10 Isingiro-Mbarara'!D27,'31.10 Isingiro-Mbarara'!D27)</f>
        <v>2.1428571428571428</v>
      </c>
      <c r="E27" s="49">
        <f>AVERAGE('25.10 Isingiro-Mbarara'!E27,'26.10 Isingiro-Mbarara-24Hr'!E27,'27.10 Isingilo-Mbarara'!E27,'28.10 Isingiro-Mbarara-24Hr'!E27,'29.10 Isingiro-Mbarara'!E27,'30.10 Isingiro-Mbarara'!E27,'31.10 Isingiro-Mbarara'!E27)</f>
        <v>2</v>
      </c>
      <c r="F27" s="49">
        <f>AVERAGE('25.10 Isingiro-Mbarara'!F27,'26.10 Isingiro-Mbarara-24Hr'!F27,'27.10 Isingilo-Mbarara'!F27,'28.10 Isingiro-Mbarara-24Hr'!F27,'29.10 Isingiro-Mbarara'!F27,'30.10 Isingiro-Mbarara'!F27,'31.10 Isingiro-Mbarara'!F27)</f>
        <v>2</v>
      </c>
      <c r="G27" s="49">
        <f>AVERAGE('25.10 Isingiro-Mbarara'!G27,'26.10 Isingiro-Mbarara-24Hr'!G27,'27.10 Isingilo-Mbarara'!G27,'28.10 Isingiro-Mbarara-24Hr'!G27,'29.10 Isingiro-Mbarara'!G27,'30.10 Isingiro-Mbarara'!G27,'31.10 Isingiro-Mbarara'!G27)</f>
        <v>0</v>
      </c>
      <c r="H27" s="49">
        <f>AVERAGE('25.10 Isingiro-Mbarara'!H27,'26.10 Isingiro-Mbarara-24Hr'!H27,'27.10 Isingilo-Mbarara'!H27,'28.10 Isingiro-Mbarara-24Hr'!H27,'29.10 Isingiro-Mbarara'!H27,'30.10 Isingiro-Mbarara'!H27,'31.10 Isingiro-Mbarara'!H27)</f>
        <v>0</v>
      </c>
      <c r="I27" s="49">
        <f>AVERAGE('25.10 Isingiro-Mbarara'!I27,'26.10 Isingiro-Mbarara-24Hr'!I27,'27.10 Isingilo-Mbarara'!I27,'28.10 Isingiro-Mbarara-24Hr'!I27,'29.10 Isingiro-Mbarara'!I27,'30.10 Isingiro-Mbarara'!I27,'31.10 Isingiro-Mbarara'!I27)</f>
        <v>1.5714285714285714</v>
      </c>
      <c r="J27" s="49">
        <f>AVERAGE('25.10 Isingiro-Mbarara'!J27,'26.10 Isingiro-Mbarara-24Hr'!J27,'27.10 Isingilo-Mbarara'!J27,'28.10 Isingiro-Mbarara-24Hr'!J27,'29.10 Isingiro-Mbarara'!J27,'30.10 Isingiro-Mbarara'!J27,'31.10 Isingiro-Mbarara'!J27)</f>
        <v>1</v>
      </c>
      <c r="K27" s="49">
        <f>AVERAGE('25.10 Isingiro-Mbarara'!K27,'26.10 Isingiro-Mbarara-24Hr'!K27,'27.10 Isingilo-Mbarara'!K27,'28.10 Isingiro-Mbarara-24Hr'!K27,'29.10 Isingiro-Mbarara'!K27,'30.10 Isingiro-Mbarara'!K27,'31.10 Isingiro-Mbarara'!K27)</f>
        <v>0</v>
      </c>
      <c r="L27" s="49">
        <f>AVERAGE('25.10 Isingiro-Mbarara'!L27,'26.10 Isingiro-Mbarara-24Hr'!L27,'27.10 Isingilo-Mbarara'!L27,'28.10 Isingiro-Mbarara-24Hr'!L27,'29.10 Isingiro-Mbarara'!L27,'30.10 Isingiro-Mbarara'!L27,'31.10 Isingiro-Mbarara'!L27)</f>
        <v>0</v>
      </c>
      <c r="M27" s="49">
        <f>AVERAGE('25.10 Isingiro-Mbarara'!M27,'26.10 Isingiro-Mbarara-24Hr'!M27,'27.10 Isingilo-Mbarara'!M27,'28.10 Isingiro-Mbarara-24Hr'!M27,'29.10 Isingiro-Mbarara'!M27,'30.10 Isingiro-Mbarara'!M27,'31.10 Isingiro-Mbarara'!M27)</f>
        <v>30.571428571428573</v>
      </c>
      <c r="N27" s="49">
        <f>AVERAGE('25.10 Isingiro-Mbarara'!N27,'26.10 Isingiro-Mbarara-24Hr'!N27,'27.10 Isingilo-Mbarara'!N27,'28.10 Isingiro-Mbarara-24Hr'!N27,'29.10 Isingiro-Mbarara'!N27,'30.10 Isingiro-Mbarara'!N27,'31.10 Isingiro-Mbarara'!N27)</f>
        <v>0.2857142857142857</v>
      </c>
      <c r="O27" s="15">
        <f t="shared" si="0"/>
        <v>19.285714285714288</v>
      </c>
      <c r="P27" s="15">
        <f t="shared" si="1"/>
        <v>49.857142857142861</v>
      </c>
      <c r="R27" s="1" t="s">
        <v>151</v>
      </c>
      <c r="S27" s="34">
        <f>SUM(C78:C81)</f>
        <v>4</v>
      </c>
      <c r="T27" s="34">
        <f t="shared" ref="T27:AF27" si="19">SUM(D78:D81)</f>
        <v>2.5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3</v>
      </c>
      <c r="AD27" s="34">
        <f t="shared" si="19"/>
        <v>0</v>
      </c>
      <c r="AE27" s="31">
        <f t="shared" si="19"/>
        <v>7</v>
      </c>
      <c r="AF27" s="31">
        <f t="shared" si="19"/>
        <v>10</v>
      </c>
    </row>
    <row r="28" spans="2:32" ht="23.1" customHeight="1" x14ac:dyDescent="0.25">
      <c r="B28" s="23" t="s">
        <v>55</v>
      </c>
      <c r="C28" s="49">
        <f>AVERAGE('25.10 Isingiro-Mbarara'!C28,'26.10 Isingiro-Mbarara-24Hr'!C28,'27.10 Isingilo-Mbarara'!C28,'28.10 Isingiro-Mbarara-24Hr'!C28,'29.10 Isingiro-Mbarara'!C28,'30.10 Isingiro-Mbarara'!C28,'31.10 Isingiro-Mbarara'!C28)</f>
        <v>11</v>
      </c>
      <c r="D28" s="49">
        <f>AVERAGE('25.10 Isingiro-Mbarara'!D28,'26.10 Isingiro-Mbarara-24Hr'!D28,'27.10 Isingilo-Mbarara'!D28,'28.10 Isingiro-Mbarara-24Hr'!D28,'29.10 Isingiro-Mbarara'!D28,'30.10 Isingiro-Mbarara'!D28,'31.10 Isingiro-Mbarara'!D28)</f>
        <v>1.7142857142857142</v>
      </c>
      <c r="E28" s="49">
        <f>AVERAGE('25.10 Isingiro-Mbarara'!E28,'26.10 Isingiro-Mbarara-24Hr'!E28,'27.10 Isingilo-Mbarara'!E28,'28.10 Isingiro-Mbarara-24Hr'!E28,'29.10 Isingiro-Mbarara'!E28,'30.10 Isingiro-Mbarara'!E28,'31.10 Isingiro-Mbarara'!E28)</f>
        <v>1.7142857142857142</v>
      </c>
      <c r="F28" s="49">
        <f>AVERAGE('25.10 Isingiro-Mbarara'!F28,'26.10 Isingiro-Mbarara-24Hr'!F28,'27.10 Isingilo-Mbarara'!F28,'28.10 Isingiro-Mbarara-24Hr'!F28,'29.10 Isingiro-Mbarara'!F28,'30.10 Isingiro-Mbarara'!F28,'31.10 Isingiro-Mbarara'!F28)</f>
        <v>1.4285714285714286</v>
      </c>
      <c r="G28" s="49">
        <f>AVERAGE('25.10 Isingiro-Mbarara'!G28,'26.10 Isingiro-Mbarara-24Hr'!G28,'27.10 Isingilo-Mbarara'!G28,'28.10 Isingiro-Mbarara-24Hr'!G28,'29.10 Isingiro-Mbarara'!G28,'30.10 Isingiro-Mbarara'!G28,'31.10 Isingiro-Mbarara'!G28)</f>
        <v>0</v>
      </c>
      <c r="H28" s="49">
        <f>AVERAGE('25.10 Isingiro-Mbarara'!H28,'26.10 Isingiro-Mbarara-24Hr'!H28,'27.10 Isingilo-Mbarara'!H28,'28.10 Isingiro-Mbarara-24Hr'!H28,'29.10 Isingiro-Mbarara'!H28,'30.10 Isingiro-Mbarara'!H28,'31.10 Isingiro-Mbarara'!H28)</f>
        <v>0</v>
      </c>
      <c r="I28" s="49">
        <f>AVERAGE('25.10 Isingiro-Mbarara'!I28,'26.10 Isingiro-Mbarara-24Hr'!I28,'27.10 Isingilo-Mbarara'!I28,'28.10 Isingiro-Mbarara-24Hr'!I28,'29.10 Isingiro-Mbarara'!I28,'30.10 Isingiro-Mbarara'!I28,'31.10 Isingiro-Mbarara'!I28)</f>
        <v>1.2857142857142858</v>
      </c>
      <c r="J28" s="49">
        <f>AVERAGE('25.10 Isingiro-Mbarara'!J28,'26.10 Isingiro-Mbarara-24Hr'!J28,'27.10 Isingilo-Mbarara'!J28,'28.10 Isingiro-Mbarara-24Hr'!J28,'29.10 Isingiro-Mbarara'!J28,'30.10 Isingiro-Mbarara'!J28,'31.10 Isingiro-Mbarara'!J28)</f>
        <v>1.7142857142857142</v>
      </c>
      <c r="K28" s="49">
        <f>AVERAGE('25.10 Isingiro-Mbarara'!K28,'26.10 Isingiro-Mbarara-24Hr'!K28,'27.10 Isingilo-Mbarara'!K28,'28.10 Isingiro-Mbarara-24Hr'!K28,'29.10 Isingiro-Mbarara'!K28,'30.10 Isingiro-Mbarara'!K28,'31.10 Isingiro-Mbarara'!K28)</f>
        <v>0</v>
      </c>
      <c r="L28" s="49">
        <f>AVERAGE('25.10 Isingiro-Mbarara'!L28,'26.10 Isingiro-Mbarara-24Hr'!L28,'27.10 Isingilo-Mbarara'!L28,'28.10 Isingiro-Mbarara-24Hr'!L28,'29.10 Isingiro-Mbarara'!L28,'30.10 Isingiro-Mbarara'!L28,'31.10 Isingiro-Mbarara'!L28)</f>
        <v>0.2857142857142857</v>
      </c>
      <c r="M28" s="49">
        <f>AVERAGE('25.10 Isingiro-Mbarara'!M28,'26.10 Isingiro-Mbarara-24Hr'!M28,'27.10 Isingilo-Mbarara'!M28,'28.10 Isingiro-Mbarara-24Hr'!M28,'29.10 Isingiro-Mbarara'!M28,'30.10 Isingiro-Mbarara'!M28,'31.10 Isingiro-Mbarara'!M28)</f>
        <v>35.571428571428569</v>
      </c>
      <c r="N28" s="49">
        <f>AVERAGE('25.10 Isingiro-Mbarara'!N28,'26.10 Isingiro-Mbarara-24Hr'!N28,'27.10 Isingilo-Mbarara'!N28,'28.10 Isingiro-Mbarara-24Hr'!N28,'29.10 Isingiro-Mbarara'!N28,'30.10 Isingiro-Mbarara'!N28,'31.10 Isingiro-Mbarara'!N28)</f>
        <v>0</v>
      </c>
      <c r="O28" s="15">
        <f t="shared" si="0"/>
        <v>19.142857142857142</v>
      </c>
      <c r="P28" s="15">
        <f t="shared" si="1"/>
        <v>54.714285714285708</v>
      </c>
      <c r="R28" s="1" t="s">
        <v>152</v>
      </c>
      <c r="S28" s="34">
        <f>SUM(C82:C85)</f>
        <v>3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3</v>
      </c>
      <c r="AA28" s="34">
        <f t="shared" si="20"/>
        <v>0</v>
      </c>
      <c r="AB28" s="34">
        <f t="shared" si="20"/>
        <v>1</v>
      </c>
      <c r="AC28" s="34">
        <f t="shared" si="20"/>
        <v>5</v>
      </c>
      <c r="AD28" s="34">
        <f t="shared" si="20"/>
        <v>0</v>
      </c>
      <c r="AE28" s="31">
        <f t="shared" si="20"/>
        <v>9.5</v>
      </c>
      <c r="AF28" s="31">
        <f t="shared" si="20"/>
        <v>14.5</v>
      </c>
    </row>
    <row r="29" spans="2:32" ht="23.1" customHeight="1" x14ac:dyDescent="0.25">
      <c r="B29" s="23" t="s">
        <v>56</v>
      </c>
      <c r="C29" s="49">
        <f>AVERAGE('25.10 Isingiro-Mbarara'!C29,'26.10 Isingiro-Mbarara-24Hr'!C29,'27.10 Isingilo-Mbarara'!C29,'28.10 Isingiro-Mbarara-24Hr'!C29,'29.10 Isingiro-Mbarara'!C29,'30.10 Isingiro-Mbarara'!C29,'31.10 Isingiro-Mbarara'!C29)</f>
        <v>10.428571428571429</v>
      </c>
      <c r="D29" s="49">
        <f>AVERAGE('25.10 Isingiro-Mbarara'!D29,'26.10 Isingiro-Mbarara-24Hr'!D29,'27.10 Isingilo-Mbarara'!D29,'28.10 Isingiro-Mbarara-24Hr'!D29,'29.10 Isingiro-Mbarara'!D29,'30.10 Isingiro-Mbarara'!D29,'31.10 Isingiro-Mbarara'!D29)</f>
        <v>2.8571428571428572</v>
      </c>
      <c r="E29" s="49">
        <f>AVERAGE('25.10 Isingiro-Mbarara'!E29,'26.10 Isingiro-Mbarara-24Hr'!E29,'27.10 Isingilo-Mbarara'!E29,'28.10 Isingiro-Mbarara-24Hr'!E29,'29.10 Isingiro-Mbarara'!E29,'30.10 Isingiro-Mbarara'!E29,'31.10 Isingiro-Mbarara'!E29)</f>
        <v>1.1428571428571428</v>
      </c>
      <c r="F29" s="49">
        <f>AVERAGE('25.10 Isingiro-Mbarara'!F29,'26.10 Isingiro-Mbarara-24Hr'!F29,'27.10 Isingilo-Mbarara'!F29,'28.10 Isingiro-Mbarara-24Hr'!F29,'29.10 Isingiro-Mbarara'!F29,'30.10 Isingiro-Mbarara'!F29,'31.10 Isingiro-Mbarara'!F29)</f>
        <v>1.5714285714285714</v>
      </c>
      <c r="G29" s="49">
        <f>AVERAGE('25.10 Isingiro-Mbarara'!G29,'26.10 Isingiro-Mbarara-24Hr'!G29,'27.10 Isingilo-Mbarara'!G29,'28.10 Isingiro-Mbarara-24Hr'!G29,'29.10 Isingiro-Mbarara'!G29,'30.10 Isingiro-Mbarara'!G29,'31.10 Isingiro-Mbarara'!G29)</f>
        <v>0.14285714285714285</v>
      </c>
      <c r="H29" s="49">
        <f>AVERAGE('25.10 Isingiro-Mbarara'!H29,'26.10 Isingiro-Mbarara-24Hr'!H29,'27.10 Isingilo-Mbarara'!H29,'28.10 Isingiro-Mbarara-24Hr'!H29,'29.10 Isingiro-Mbarara'!H29,'30.10 Isingiro-Mbarara'!H29,'31.10 Isingiro-Mbarara'!H29)</f>
        <v>0</v>
      </c>
      <c r="I29" s="49">
        <f>AVERAGE('25.10 Isingiro-Mbarara'!I29,'26.10 Isingiro-Mbarara-24Hr'!I29,'27.10 Isingilo-Mbarara'!I29,'28.10 Isingiro-Mbarara-24Hr'!I29,'29.10 Isingiro-Mbarara'!I29,'30.10 Isingiro-Mbarara'!I29,'31.10 Isingiro-Mbarara'!I29)</f>
        <v>1.1428571428571428</v>
      </c>
      <c r="J29" s="49">
        <f>AVERAGE('25.10 Isingiro-Mbarara'!J29,'26.10 Isingiro-Mbarara-24Hr'!J29,'27.10 Isingilo-Mbarara'!J29,'28.10 Isingiro-Mbarara-24Hr'!J29,'29.10 Isingiro-Mbarara'!J29,'30.10 Isingiro-Mbarara'!J29,'31.10 Isingiro-Mbarara'!J29)</f>
        <v>1.1428571428571428</v>
      </c>
      <c r="K29" s="49">
        <f>AVERAGE('25.10 Isingiro-Mbarara'!K29,'26.10 Isingiro-Mbarara-24Hr'!K29,'27.10 Isingilo-Mbarara'!K29,'28.10 Isingiro-Mbarara-24Hr'!K29,'29.10 Isingiro-Mbarara'!K29,'30.10 Isingiro-Mbarara'!K29,'31.10 Isingiro-Mbarara'!K29)</f>
        <v>0.2857142857142857</v>
      </c>
      <c r="L29" s="49">
        <f>AVERAGE('25.10 Isingiro-Mbarara'!L29,'26.10 Isingiro-Mbarara-24Hr'!L29,'27.10 Isingilo-Mbarara'!L29,'28.10 Isingiro-Mbarara-24Hr'!L29,'29.10 Isingiro-Mbarara'!L29,'30.10 Isingiro-Mbarara'!L29,'31.10 Isingiro-Mbarara'!L29)</f>
        <v>0.8571428571428571</v>
      </c>
      <c r="M29" s="49">
        <f>AVERAGE('25.10 Isingiro-Mbarara'!M29,'26.10 Isingiro-Mbarara-24Hr'!M29,'27.10 Isingilo-Mbarara'!M29,'28.10 Isingiro-Mbarara-24Hr'!M29,'29.10 Isingiro-Mbarara'!M29,'30.10 Isingiro-Mbarara'!M29,'31.10 Isingiro-Mbarara'!M29)</f>
        <v>31.857142857142858</v>
      </c>
      <c r="N29" s="49">
        <f>AVERAGE('25.10 Isingiro-Mbarara'!N29,'26.10 Isingiro-Mbarara-24Hr'!N29,'27.10 Isingilo-Mbarara'!N29,'28.10 Isingiro-Mbarara-24Hr'!N29,'29.10 Isingiro-Mbarara'!N29,'30.10 Isingiro-Mbarara'!N29,'31.10 Isingiro-Mbarara'!N29)</f>
        <v>0.14285714285714285</v>
      </c>
      <c r="O29" s="15">
        <f t="shared" si="0"/>
        <v>19.714285714285712</v>
      </c>
      <c r="P29" s="15">
        <f t="shared" si="1"/>
        <v>51.571428571428577</v>
      </c>
      <c r="R29" s="1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2</v>
      </c>
      <c r="AA29" s="34">
        <f t="shared" si="21"/>
        <v>0</v>
      </c>
      <c r="AB29" s="34">
        <f t="shared" si="21"/>
        <v>0.5</v>
      </c>
      <c r="AC29" s="34">
        <f t="shared" si="21"/>
        <v>1</v>
      </c>
      <c r="AD29" s="34">
        <f t="shared" si="21"/>
        <v>0</v>
      </c>
      <c r="AE29" s="31">
        <f t="shared" si="21"/>
        <v>5</v>
      </c>
      <c r="AF29" s="31">
        <f t="shared" si="21"/>
        <v>6</v>
      </c>
    </row>
    <row r="30" spans="2:32" ht="23.1" customHeight="1" x14ac:dyDescent="0.25">
      <c r="B30" s="23" t="s">
        <v>57</v>
      </c>
      <c r="C30" s="49">
        <f>AVERAGE('25.10 Isingiro-Mbarara'!C30,'26.10 Isingiro-Mbarara-24Hr'!C30,'27.10 Isingilo-Mbarara'!C30,'28.10 Isingiro-Mbarara-24Hr'!C30,'29.10 Isingiro-Mbarara'!C30,'30.10 Isingiro-Mbarara'!C30,'31.10 Isingiro-Mbarara'!C30)</f>
        <v>10.285714285714286</v>
      </c>
      <c r="D30" s="49">
        <f>AVERAGE('25.10 Isingiro-Mbarara'!D30,'26.10 Isingiro-Mbarara-24Hr'!D30,'27.10 Isingilo-Mbarara'!D30,'28.10 Isingiro-Mbarara-24Hr'!D30,'29.10 Isingiro-Mbarara'!D30,'30.10 Isingiro-Mbarara'!D30,'31.10 Isingiro-Mbarara'!D30)</f>
        <v>1.1428571428571428</v>
      </c>
      <c r="E30" s="49">
        <f>AVERAGE('25.10 Isingiro-Mbarara'!E30,'26.10 Isingiro-Mbarara-24Hr'!E30,'27.10 Isingilo-Mbarara'!E30,'28.10 Isingiro-Mbarara-24Hr'!E30,'29.10 Isingiro-Mbarara'!E30,'30.10 Isingiro-Mbarara'!E30,'31.10 Isingiro-Mbarara'!E30)</f>
        <v>2.2857142857142856</v>
      </c>
      <c r="F30" s="49">
        <f>AVERAGE('25.10 Isingiro-Mbarara'!F30,'26.10 Isingiro-Mbarara-24Hr'!F30,'27.10 Isingilo-Mbarara'!F30,'28.10 Isingiro-Mbarara-24Hr'!F30,'29.10 Isingiro-Mbarara'!F30,'30.10 Isingiro-Mbarara'!F30,'31.10 Isingiro-Mbarara'!F30)</f>
        <v>2.1428571428571428</v>
      </c>
      <c r="G30" s="49">
        <f>AVERAGE('25.10 Isingiro-Mbarara'!G30,'26.10 Isingiro-Mbarara-24Hr'!G30,'27.10 Isingilo-Mbarara'!G30,'28.10 Isingiro-Mbarara-24Hr'!G30,'29.10 Isingiro-Mbarara'!G30,'30.10 Isingiro-Mbarara'!G30,'31.10 Isingiro-Mbarara'!G30)</f>
        <v>0</v>
      </c>
      <c r="H30" s="49">
        <f>AVERAGE('25.10 Isingiro-Mbarara'!H30,'26.10 Isingiro-Mbarara-24Hr'!H30,'27.10 Isingilo-Mbarara'!H30,'28.10 Isingiro-Mbarara-24Hr'!H30,'29.10 Isingiro-Mbarara'!H30,'30.10 Isingiro-Mbarara'!H30,'31.10 Isingiro-Mbarara'!H30)</f>
        <v>0</v>
      </c>
      <c r="I30" s="49">
        <f>AVERAGE('25.10 Isingiro-Mbarara'!I30,'26.10 Isingiro-Mbarara-24Hr'!I30,'27.10 Isingilo-Mbarara'!I30,'28.10 Isingiro-Mbarara-24Hr'!I30,'29.10 Isingiro-Mbarara'!I30,'30.10 Isingiro-Mbarara'!I30,'31.10 Isingiro-Mbarara'!I30)</f>
        <v>1.5714285714285714</v>
      </c>
      <c r="J30" s="49">
        <f>AVERAGE('25.10 Isingiro-Mbarara'!J30,'26.10 Isingiro-Mbarara-24Hr'!J30,'27.10 Isingilo-Mbarara'!J30,'28.10 Isingiro-Mbarara-24Hr'!J30,'29.10 Isingiro-Mbarara'!J30,'30.10 Isingiro-Mbarara'!J30,'31.10 Isingiro-Mbarara'!J30)</f>
        <v>1.1428571428571428</v>
      </c>
      <c r="K30" s="49">
        <f>AVERAGE('25.10 Isingiro-Mbarara'!K30,'26.10 Isingiro-Mbarara-24Hr'!K30,'27.10 Isingilo-Mbarara'!K30,'28.10 Isingiro-Mbarara-24Hr'!K30,'29.10 Isingiro-Mbarara'!K30,'30.10 Isingiro-Mbarara'!K30,'31.10 Isingiro-Mbarara'!K30)</f>
        <v>0</v>
      </c>
      <c r="L30" s="49">
        <f>AVERAGE('25.10 Isingiro-Mbarara'!L30,'26.10 Isingiro-Mbarara-24Hr'!L30,'27.10 Isingilo-Mbarara'!L30,'28.10 Isingiro-Mbarara-24Hr'!L30,'29.10 Isingiro-Mbarara'!L30,'30.10 Isingiro-Mbarara'!L30,'31.10 Isingiro-Mbarara'!L30)</f>
        <v>0.14285714285714285</v>
      </c>
      <c r="M30" s="49">
        <f>AVERAGE('25.10 Isingiro-Mbarara'!M30,'26.10 Isingiro-Mbarara-24Hr'!M30,'27.10 Isingilo-Mbarara'!M30,'28.10 Isingiro-Mbarara-24Hr'!M30,'29.10 Isingiro-Mbarara'!M30,'30.10 Isingiro-Mbarara'!M30,'31.10 Isingiro-Mbarara'!M30)</f>
        <v>33.571428571428569</v>
      </c>
      <c r="N30" s="49">
        <f>AVERAGE('25.10 Isingiro-Mbarara'!N30,'26.10 Isingiro-Mbarara-24Hr'!N30,'27.10 Isingilo-Mbarara'!N30,'28.10 Isingiro-Mbarara-24Hr'!N30,'29.10 Isingiro-Mbarara'!N30,'30.10 Isingiro-Mbarara'!N30,'31.10 Isingiro-Mbarara'!N30)</f>
        <v>0</v>
      </c>
      <c r="O30" s="15">
        <f t="shared" si="0"/>
        <v>18.714285714285715</v>
      </c>
      <c r="P30" s="15">
        <f t="shared" si="1"/>
        <v>52.285714285714285</v>
      </c>
      <c r="R30" s="1" t="s">
        <v>154</v>
      </c>
      <c r="S30" s="34">
        <f>SUM(C90:C93)</f>
        <v>0</v>
      </c>
      <c r="T30" s="34">
        <f t="shared" ref="T30:AF30" si="22">SUM(D90:D93)</f>
        <v>0.5</v>
      </c>
      <c r="U30" s="34">
        <f t="shared" si="22"/>
        <v>0.5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5.5</v>
      </c>
      <c r="AD30" s="34">
        <f t="shared" si="22"/>
        <v>0</v>
      </c>
      <c r="AE30" s="31">
        <f t="shared" si="22"/>
        <v>2.5</v>
      </c>
      <c r="AF30" s="31">
        <f t="shared" si="22"/>
        <v>8</v>
      </c>
    </row>
    <row r="31" spans="2:32" ht="23.1" customHeight="1" x14ac:dyDescent="0.25">
      <c r="B31" s="24" t="s">
        <v>58</v>
      </c>
      <c r="C31" s="49">
        <f>AVERAGE('25.10 Isingiro-Mbarara'!C31,'26.10 Isingiro-Mbarara-24Hr'!C31,'27.10 Isingilo-Mbarara'!C31,'28.10 Isingiro-Mbarara-24Hr'!C31,'29.10 Isingiro-Mbarara'!C31,'30.10 Isingiro-Mbarara'!C31,'31.10 Isingiro-Mbarara'!C31)</f>
        <v>9</v>
      </c>
      <c r="D31" s="49">
        <f>AVERAGE('25.10 Isingiro-Mbarara'!D31,'26.10 Isingiro-Mbarara-24Hr'!D31,'27.10 Isingilo-Mbarara'!D31,'28.10 Isingiro-Mbarara-24Hr'!D31,'29.10 Isingiro-Mbarara'!D31,'30.10 Isingiro-Mbarara'!D31,'31.10 Isingiro-Mbarara'!D31)</f>
        <v>1.5714285714285714</v>
      </c>
      <c r="E31" s="49">
        <f>AVERAGE('25.10 Isingiro-Mbarara'!E31,'26.10 Isingiro-Mbarara-24Hr'!E31,'27.10 Isingilo-Mbarara'!E31,'28.10 Isingiro-Mbarara-24Hr'!E31,'29.10 Isingiro-Mbarara'!E31,'30.10 Isingiro-Mbarara'!E31,'31.10 Isingiro-Mbarara'!E31)</f>
        <v>2.1428571428571428</v>
      </c>
      <c r="F31" s="49">
        <f>AVERAGE('25.10 Isingiro-Mbarara'!F31,'26.10 Isingiro-Mbarara-24Hr'!F31,'27.10 Isingilo-Mbarara'!F31,'28.10 Isingiro-Mbarara-24Hr'!F31,'29.10 Isingiro-Mbarara'!F31,'30.10 Isingiro-Mbarara'!F31,'31.10 Isingiro-Mbarara'!F31)</f>
        <v>1.1428571428571428</v>
      </c>
      <c r="G31" s="49">
        <f>AVERAGE('25.10 Isingiro-Mbarara'!G31,'26.10 Isingiro-Mbarara-24Hr'!G31,'27.10 Isingilo-Mbarara'!G31,'28.10 Isingiro-Mbarara-24Hr'!G31,'29.10 Isingiro-Mbarara'!G31,'30.10 Isingiro-Mbarara'!G31,'31.10 Isingiro-Mbarara'!G31)</f>
        <v>0</v>
      </c>
      <c r="H31" s="49">
        <f>AVERAGE('25.10 Isingiro-Mbarara'!H31,'26.10 Isingiro-Mbarara-24Hr'!H31,'27.10 Isingilo-Mbarara'!H31,'28.10 Isingiro-Mbarara-24Hr'!H31,'29.10 Isingiro-Mbarara'!H31,'30.10 Isingiro-Mbarara'!H31,'31.10 Isingiro-Mbarara'!H31)</f>
        <v>0</v>
      </c>
      <c r="I31" s="49">
        <f>AVERAGE('25.10 Isingiro-Mbarara'!I31,'26.10 Isingiro-Mbarara-24Hr'!I31,'27.10 Isingilo-Mbarara'!I31,'28.10 Isingiro-Mbarara-24Hr'!I31,'29.10 Isingiro-Mbarara'!I31,'30.10 Isingiro-Mbarara'!I31,'31.10 Isingiro-Mbarara'!I31)</f>
        <v>2.1428571428571428</v>
      </c>
      <c r="J31" s="49">
        <f>AVERAGE('25.10 Isingiro-Mbarara'!J31,'26.10 Isingiro-Mbarara-24Hr'!J31,'27.10 Isingilo-Mbarara'!J31,'28.10 Isingiro-Mbarara-24Hr'!J31,'29.10 Isingiro-Mbarara'!J31,'30.10 Isingiro-Mbarara'!J31,'31.10 Isingiro-Mbarara'!J31)</f>
        <v>0.8571428571428571</v>
      </c>
      <c r="K31" s="49">
        <f>AVERAGE('25.10 Isingiro-Mbarara'!K31,'26.10 Isingiro-Mbarara-24Hr'!K31,'27.10 Isingilo-Mbarara'!K31,'28.10 Isingiro-Mbarara-24Hr'!K31,'29.10 Isingiro-Mbarara'!K31,'30.10 Isingiro-Mbarara'!K31,'31.10 Isingiro-Mbarara'!K31)</f>
        <v>0</v>
      </c>
      <c r="L31" s="49">
        <f>AVERAGE('25.10 Isingiro-Mbarara'!L31,'26.10 Isingiro-Mbarara-24Hr'!L31,'27.10 Isingilo-Mbarara'!L31,'28.10 Isingiro-Mbarara-24Hr'!L31,'29.10 Isingiro-Mbarara'!L31,'30.10 Isingiro-Mbarara'!L31,'31.10 Isingiro-Mbarara'!L31)</f>
        <v>0</v>
      </c>
      <c r="M31" s="49">
        <f>AVERAGE('25.10 Isingiro-Mbarara'!M31,'26.10 Isingiro-Mbarara-24Hr'!M31,'27.10 Isingilo-Mbarara'!M31,'28.10 Isingiro-Mbarara-24Hr'!M31,'29.10 Isingiro-Mbarara'!M31,'30.10 Isingiro-Mbarara'!M31,'31.10 Isingiro-Mbarara'!M31)</f>
        <v>38.285714285714285</v>
      </c>
      <c r="N31" s="49">
        <f>AVERAGE('25.10 Isingiro-Mbarara'!N31,'26.10 Isingiro-Mbarara-24Hr'!N31,'27.10 Isingilo-Mbarara'!N31,'28.10 Isingiro-Mbarara-24Hr'!N31,'29.10 Isingiro-Mbarara'!N31,'30.10 Isingiro-Mbarara'!N31,'31.10 Isingiro-Mbarara'!N31)</f>
        <v>0</v>
      </c>
      <c r="O31" s="15">
        <f t="shared" si="0"/>
        <v>16.857142857142854</v>
      </c>
      <c r="P31" s="15">
        <f t="shared" si="1"/>
        <v>55.142857142857139</v>
      </c>
      <c r="R31" s="1" t="s">
        <v>155</v>
      </c>
      <c r="S31" s="34">
        <f>SUM(C94:C97)</f>
        <v>3.5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2.5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6</v>
      </c>
      <c r="AD31" s="34">
        <f t="shared" si="23"/>
        <v>0</v>
      </c>
      <c r="AE31" s="31">
        <f t="shared" si="23"/>
        <v>7</v>
      </c>
      <c r="AF31" s="31">
        <f t="shared" si="23"/>
        <v>13</v>
      </c>
    </row>
    <row r="32" spans="2:32" ht="23.1" customHeight="1" x14ac:dyDescent="0.25">
      <c r="B32" s="24" t="s">
        <v>59</v>
      </c>
      <c r="C32" s="49">
        <f>AVERAGE('25.10 Isingiro-Mbarara'!C32,'26.10 Isingiro-Mbarara-24Hr'!C32,'27.10 Isingilo-Mbarara'!C32,'28.10 Isingiro-Mbarara-24Hr'!C32,'29.10 Isingiro-Mbarara'!C32,'30.10 Isingiro-Mbarara'!C32,'31.10 Isingiro-Mbarara'!C32)</f>
        <v>10.285714285714286</v>
      </c>
      <c r="D32" s="49">
        <f>AVERAGE('25.10 Isingiro-Mbarara'!D32,'26.10 Isingiro-Mbarara-24Hr'!D32,'27.10 Isingilo-Mbarara'!D32,'28.10 Isingiro-Mbarara-24Hr'!D32,'29.10 Isingiro-Mbarara'!D32,'30.10 Isingiro-Mbarara'!D32,'31.10 Isingiro-Mbarara'!D32)</f>
        <v>1.5714285714285714</v>
      </c>
      <c r="E32" s="49">
        <f>AVERAGE('25.10 Isingiro-Mbarara'!E32,'26.10 Isingiro-Mbarara-24Hr'!E32,'27.10 Isingilo-Mbarara'!E32,'28.10 Isingiro-Mbarara-24Hr'!E32,'29.10 Isingiro-Mbarara'!E32,'30.10 Isingiro-Mbarara'!E32,'31.10 Isingiro-Mbarara'!E32)</f>
        <v>1.5714285714285714</v>
      </c>
      <c r="F32" s="49">
        <f>AVERAGE('25.10 Isingiro-Mbarara'!F32,'26.10 Isingiro-Mbarara-24Hr'!F32,'27.10 Isingilo-Mbarara'!F32,'28.10 Isingiro-Mbarara-24Hr'!F32,'29.10 Isingiro-Mbarara'!F32,'30.10 Isingiro-Mbarara'!F32,'31.10 Isingiro-Mbarara'!F32)</f>
        <v>2.7142857142857144</v>
      </c>
      <c r="G32" s="49">
        <f>AVERAGE('25.10 Isingiro-Mbarara'!G32,'26.10 Isingiro-Mbarara-24Hr'!G32,'27.10 Isingilo-Mbarara'!G32,'28.10 Isingiro-Mbarara-24Hr'!G32,'29.10 Isingiro-Mbarara'!G32,'30.10 Isingiro-Mbarara'!G32,'31.10 Isingiro-Mbarara'!G32)</f>
        <v>0</v>
      </c>
      <c r="H32" s="49">
        <f>AVERAGE('25.10 Isingiro-Mbarara'!H32,'26.10 Isingiro-Mbarara-24Hr'!H32,'27.10 Isingilo-Mbarara'!H32,'28.10 Isingiro-Mbarara-24Hr'!H32,'29.10 Isingiro-Mbarara'!H32,'30.10 Isingiro-Mbarara'!H32,'31.10 Isingiro-Mbarara'!H32)</f>
        <v>0</v>
      </c>
      <c r="I32" s="49">
        <f>AVERAGE('25.10 Isingiro-Mbarara'!I32,'26.10 Isingiro-Mbarara-24Hr'!I32,'27.10 Isingilo-Mbarara'!I32,'28.10 Isingiro-Mbarara-24Hr'!I32,'29.10 Isingiro-Mbarara'!I32,'30.10 Isingiro-Mbarara'!I32,'31.10 Isingiro-Mbarara'!I32)</f>
        <v>1.5714285714285714</v>
      </c>
      <c r="J32" s="49">
        <f>AVERAGE('25.10 Isingiro-Mbarara'!J32,'26.10 Isingiro-Mbarara-24Hr'!J32,'27.10 Isingilo-Mbarara'!J32,'28.10 Isingiro-Mbarara-24Hr'!J32,'29.10 Isingiro-Mbarara'!J32,'30.10 Isingiro-Mbarara'!J32,'31.10 Isingiro-Mbarara'!J32)</f>
        <v>0.5714285714285714</v>
      </c>
      <c r="K32" s="49">
        <f>AVERAGE('25.10 Isingiro-Mbarara'!K32,'26.10 Isingiro-Mbarara-24Hr'!K32,'27.10 Isingilo-Mbarara'!K32,'28.10 Isingiro-Mbarara-24Hr'!K32,'29.10 Isingiro-Mbarara'!K32,'30.10 Isingiro-Mbarara'!K32,'31.10 Isingiro-Mbarara'!K32)</f>
        <v>0.2857142857142857</v>
      </c>
      <c r="L32" s="49">
        <f>AVERAGE('25.10 Isingiro-Mbarara'!L32,'26.10 Isingiro-Mbarara-24Hr'!L32,'27.10 Isingilo-Mbarara'!L32,'28.10 Isingiro-Mbarara-24Hr'!L32,'29.10 Isingiro-Mbarara'!L32,'30.10 Isingiro-Mbarara'!L32,'31.10 Isingiro-Mbarara'!L32)</f>
        <v>0.2857142857142857</v>
      </c>
      <c r="M32" s="49">
        <f>AVERAGE('25.10 Isingiro-Mbarara'!M32,'26.10 Isingiro-Mbarara-24Hr'!M32,'27.10 Isingilo-Mbarara'!M32,'28.10 Isingiro-Mbarara-24Hr'!M32,'29.10 Isingiro-Mbarara'!M32,'30.10 Isingiro-Mbarara'!M32,'31.10 Isingiro-Mbarara'!M32)</f>
        <v>33.285714285714285</v>
      </c>
      <c r="N32" s="49">
        <f>AVERAGE('25.10 Isingiro-Mbarara'!N32,'26.10 Isingiro-Mbarara-24Hr'!N32,'27.10 Isingilo-Mbarara'!N32,'28.10 Isingiro-Mbarara-24Hr'!N32,'29.10 Isingiro-Mbarara'!N32,'30.10 Isingiro-Mbarara'!N32,'31.10 Isingiro-Mbarara'!N32)</f>
        <v>0</v>
      </c>
      <c r="O32" s="15">
        <f t="shared" si="0"/>
        <v>18.857142857142858</v>
      </c>
      <c r="P32" s="15">
        <f t="shared" si="1"/>
        <v>52.142857142857139</v>
      </c>
      <c r="R32" s="1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2</v>
      </c>
      <c r="AF32" s="31">
        <f t="shared" si="24"/>
        <v>5</v>
      </c>
    </row>
    <row r="33" spans="2:32" ht="23.1" customHeight="1" x14ac:dyDescent="0.25">
      <c r="B33" s="23" t="s">
        <v>60</v>
      </c>
      <c r="C33" s="49">
        <f>AVERAGE('25.10 Isingiro-Mbarara'!C33,'26.10 Isingiro-Mbarara-24Hr'!C33,'27.10 Isingilo-Mbarara'!C33,'28.10 Isingiro-Mbarara-24Hr'!C33,'29.10 Isingiro-Mbarara'!C33,'30.10 Isingiro-Mbarara'!C33,'31.10 Isingiro-Mbarara'!C33)</f>
        <v>8.8571428571428577</v>
      </c>
      <c r="D33" s="49">
        <f>AVERAGE('25.10 Isingiro-Mbarara'!D33,'26.10 Isingiro-Mbarara-24Hr'!D33,'27.10 Isingilo-Mbarara'!D33,'28.10 Isingiro-Mbarara-24Hr'!D33,'29.10 Isingiro-Mbarara'!D33,'30.10 Isingiro-Mbarara'!D33,'31.10 Isingiro-Mbarara'!D33)</f>
        <v>1</v>
      </c>
      <c r="E33" s="49">
        <f>AVERAGE('25.10 Isingiro-Mbarara'!E33,'26.10 Isingiro-Mbarara-24Hr'!E33,'27.10 Isingilo-Mbarara'!E33,'28.10 Isingiro-Mbarara-24Hr'!E33,'29.10 Isingiro-Mbarara'!E33,'30.10 Isingiro-Mbarara'!E33,'31.10 Isingiro-Mbarara'!E33)</f>
        <v>2.2857142857142856</v>
      </c>
      <c r="F33" s="49">
        <f>AVERAGE('25.10 Isingiro-Mbarara'!F33,'26.10 Isingiro-Mbarara-24Hr'!F33,'27.10 Isingilo-Mbarara'!F33,'28.10 Isingiro-Mbarara-24Hr'!F33,'29.10 Isingiro-Mbarara'!F33,'30.10 Isingiro-Mbarara'!F33,'31.10 Isingiro-Mbarara'!F33)</f>
        <v>2.2857142857142856</v>
      </c>
      <c r="G33" s="49">
        <f>AVERAGE('25.10 Isingiro-Mbarara'!G33,'26.10 Isingiro-Mbarara-24Hr'!G33,'27.10 Isingilo-Mbarara'!G33,'28.10 Isingiro-Mbarara-24Hr'!G33,'29.10 Isingiro-Mbarara'!G33,'30.10 Isingiro-Mbarara'!G33,'31.10 Isingiro-Mbarara'!G33)</f>
        <v>0.14285714285714285</v>
      </c>
      <c r="H33" s="49">
        <f>AVERAGE('25.10 Isingiro-Mbarara'!H33,'26.10 Isingiro-Mbarara-24Hr'!H33,'27.10 Isingilo-Mbarara'!H33,'28.10 Isingiro-Mbarara-24Hr'!H33,'29.10 Isingiro-Mbarara'!H33,'30.10 Isingiro-Mbarara'!H33,'31.10 Isingiro-Mbarara'!H33)</f>
        <v>0.14285714285714285</v>
      </c>
      <c r="I33" s="49">
        <f>AVERAGE('25.10 Isingiro-Mbarara'!I33,'26.10 Isingiro-Mbarara-24Hr'!I33,'27.10 Isingilo-Mbarara'!I33,'28.10 Isingiro-Mbarara-24Hr'!I33,'29.10 Isingiro-Mbarara'!I33,'30.10 Isingiro-Mbarara'!I33,'31.10 Isingiro-Mbarara'!I33)</f>
        <v>1.4285714285714286</v>
      </c>
      <c r="J33" s="49">
        <f>AVERAGE('25.10 Isingiro-Mbarara'!J33,'26.10 Isingiro-Mbarara-24Hr'!J33,'27.10 Isingilo-Mbarara'!J33,'28.10 Isingiro-Mbarara-24Hr'!J33,'29.10 Isingiro-Mbarara'!J33,'30.10 Isingiro-Mbarara'!J33,'31.10 Isingiro-Mbarara'!J33)</f>
        <v>1.4285714285714286</v>
      </c>
      <c r="K33" s="49">
        <f>AVERAGE('25.10 Isingiro-Mbarara'!K33,'26.10 Isingiro-Mbarara-24Hr'!K33,'27.10 Isingilo-Mbarara'!K33,'28.10 Isingiro-Mbarara-24Hr'!K33,'29.10 Isingiro-Mbarara'!K33,'30.10 Isingiro-Mbarara'!K33,'31.10 Isingiro-Mbarara'!K33)</f>
        <v>0</v>
      </c>
      <c r="L33" s="49">
        <f>AVERAGE('25.10 Isingiro-Mbarara'!L33,'26.10 Isingiro-Mbarara-24Hr'!L33,'27.10 Isingilo-Mbarara'!L33,'28.10 Isingiro-Mbarara-24Hr'!L33,'29.10 Isingiro-Mbarara'!L33,'30.10 Isingiro-Mbarara'!L33,'31.10 Isingiro-Mbarara'!L33)</f>
        <v>0.14285714285714285</v>
      </c>
      <c r="M33" s="49">
        <f>AVERAGE('25.10 Isingiro-Mbarara'!M33,'26.10 Isingiro-Mbarara-24Hr'!M33,'27.10 Isingilo-Mbarara'!M33,'28.10 Isingiro-Mbarara-24Hr'!M33,'29.10 Isingiro-Mbarara'!M33,'30.10 Isingiro-Mbarara'!M33,'31.10 Isingiro-Mbarara'!M33)</f>
        <v>31.857142857142858</v>
      </c>
      <c r="N33" s="49">
        <f>AVERAGE('25.10 Isingiro-Mbarara'!N33,'26.10 Isingiro-Mbarara-24Hr'!N33,'27.10 Isingilo-Mbarara'!N33,'28.10 Isingiro-Mbarara-24Hr'!N33,'29.10 Isingiro-Mbarara'!N33,'30.10 Isingiro-Mbarara'!N33,'31.10 Isingiro-Mbarara'!N33)</f>
        <v>0</v>
      </c>
      <c r="O33" s="15">
        <f t="shared" si="0"/>
        <v>17.714285714285708</v>
      </c>
      <c r="P33" s="15">
        <f t="shared" si="1"/>
        <v>49.571428571428569</v>
      </c>
      <c r="R33" s="1" t="s">
        <v>157</v>
      </c>
      <c r="S33" s="34">
        <f>SUM(C102:C105)</f>
        <v>25.5</v>
      </c>
      <c r="T33" s="34">
        <f t="shared" ref="T33:AF33" si="25">SUM(D102:D105)</f>
        <v>0.5</v>
      </c>
      <c r="U33" s="34">
        <f t="shared" si="25"/>
        <v>0.5</v>
      </c>
      <c r="V33" s="34">
        <f t="shared" si="25"/>
        <v>1.5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0</v>
      </c>
      <c r="AA33" s="34">
        <f t="shared" si="25"/>
        <v>0.5</v>
      </c>
      <c r="AB33" s="34">
        <f t="shared" si="25"/>
        <v>0</v>
      </c>
      <c r="AC33" s="34">
        <f t="shared" si="25"/>
        <v>50</v>
      </c>
      <c r="AD33" s="34">
        <f t="shared" si="25"/>
        <v>0</v>
      </c>
      <c r="AE33" s="31">
        <f t="shared" si="25"/>
        <v>30.5</v>
      </c>
      <c r="AF33" s="31">
        <f t="shared" si="25"/>
        <v>80.5</v>
      </c>
    </row>
    <row r="34" spans="2:32" ht="23.1" customHeight="1" x14ac:dyDescent="0.25">
      <c r="B34" s="24" t="s">
        <v>61</v>
      </c>
      <c r="C34" s="49">
        <f>AVERAGE('25.10 Isingiro-Mbarara'!C34,'26.10 Isingiro-Mbarara-24Hr'!C34,'27.10 Isingilo-Mbarara'!C34,'28.10 Isingiro-Mbarara-24Hr'!C34,'29.10 Isingiro-Mbarara'!C34,'30.10 Isingiro-Mbarara'!C34,'31.10 Isingiro-Mbarara'!C34)</f>
        <v>9.8571428571428577</v>
      </c>
      <c r="D34" s="49">
        <f>AVERAGE('25.10 Isingiro-Mbarara'!D34,'26.10 Isingiro-Mbarara-24Hr'!D34,'27.10 Isingilo-Mbarara'!D34,'28.10 Isingiro-Mbarara-24Hr'!D34,'29.10 Isingiro-Mbarara'!D34,'30.10 Isingiro-Mbarara'!D34,'31.10 Isingiro-Mbarara'!D34)</f>
        <v>0.8571428571428571</v>
      </c>
      <c r="E34" s="49">
        <f>AVERAGE('25.10 Isingiro-Mbarara'!E34,'26.10 Isingiro-Mbarara-24Hr'!E34,'27.10 Isingilo-Mbarara'!E34,'28.10 Isingiro-Mbarara-24Hr'!E34,'29.10 Isingiro-Mbarara'!E34,'30.10 Isingiro-Mbarara'!E34,'31.10 Isingiro-Mbarara'!E34)</f>
        <v>1.2857142857142858</v>
      </c>
      <c r="F34" s="49">
        <f>AVERAGE('25.10 Isingiro-Mbarara'!F34,'26.10 Isingiro-Mbarara-24Hr'!F34,'27.10 Isingilo-Mbarara'!F34,'28.10 Isingiro-Mbarara-24Hr'!F34,'29.10 Isingiro-Mbarara'!F34,'30.10 Isingiro-Mbarara'!F34,'31.10 Isingiro-Mbarara'!F34)</f>
        <v>2.5714285714285716</v>
      </c>
      <c r="G34" s="49">
        <f>AVERAGE('25.10 Isingiro-Mbarara'!G34,'26.10 Isingiro-Mbarara-24Hr'!G34,'27.10 Isingilo-Mbarara'!G34,'28.10 Isingiro-Mbarara-24Hr'!G34,'29.10 Isingiro-Mbarara'!G34,'30.10 Isingiro-Mbarara'!G34,'31.10 Isingiro-Mbarara'!G34)</f>
        <v>0.14285714285714285</v>
      </c>
      <c r="H34" s="49">
        <f>AVERAGE('25.10 Isingiro-Mbarara'!H34,'26.10 Isingiro-Mbarara-24Hr'!H34,'27.10 Isingilo-Mbarara'!H34,'28.10 Isingiro-Mbarara-24Hr'!H34,'29.10 Isingiro-Mbarara'!H34,'30.10 Isingiro-Mbarara'!H34,'31.10 Isingiro-Mbarara'!H34)</f>
        <v>0</v>
      </c>
      <c r="I34" s="49">
        <f>AVERAGE('25.10 Isingiro-Mbarara'!I34,'26.10 Isingiro-Mbarara-24Hr'!I34,'27.10 Isingilo-Mbarara'!I34,'28.10 Isingiro-Mbarara-24Hr'!I34,'29.10 Isingiro-Mbarara'!I34,'30.10 Isingiro-Mbarara'!I34,'31.10 Isingiro-Mbarara'!I34)</f>
        <v>1.5714285714285714</v>
      </c>
      <c r="J34" s="49">
        <f>AVERAGE('25.10 Isingiro-Mbarara'!J34,'26.10 Isingiro-Mbarara-24Hr'!J34,'27.10 Isingilo-Mbarara'!J34,'28.10 Isingiro-Mbarara-24Hr'!J34,'29.10 Isingiro-Mbarara'!J34,'30.10 Isingiro-Mbarara'!J34,'31.10 Isingiro-Mbarara'!J34)</f>
        <v>1</v>
      </c>
      <c r="K34" s="49">
        <f>AVERAGE('25.10 Isingiro-Mbarara'!K34,'26.10 Isingiro-Mbarara-24Hr'!K34,'27.10 Isingilo-Mbarara'!K34,'28.10 Isingiro-Mbarara-24Hr'!K34,'29.10 Isingiro-Mbarara'!K34,'30.10 Isingiro-Mbarara'!K34,'31.10 Isingiro-Mbarara'!K34)</f>
        <v>0</v>
      </c>
      <c r="L34" s="49">
        <f>AVERAGE('25.10 Isingiro-Mbarara'!L34,'26.10 Isingiro-Mbarara-24Hr'!L34,'27.10 Isingilo-Mbarara'!L34,'28.10 Isingiro-Mbarara-24Hr'!L34,'29.10 Isingiro-Mbarara'!L34,'30.10 Isingiro-Mbarara'!L34,'31.10 Isingiro-Mbarara'!L34)</f>
        <v>0</v>
      </c>
      <c r="M34" s="49">
        <f>AVERAGE('25.10 Isingiro-Mbarara'!M34,'26.10 Isingiro-Mbarara-24Hr'!M34,'27.10 Isingilo-Mbarara'!M34,'28.10 Isingiro-Mbarara-24Hr'!M34,'29.10 Isingiro-Mbarara'!M34,'30.10 Isingiro-Mbarara'!M34,'31.10 Isingiro-Mbarara'!M34)</f>
        <v>30.285714285714285</v>
      </c>
      <c r="N34" s="49">
        <f>AVERAGE('25.10 Isingiro-Mbarara'!N34,'26.10 Isingiro-Mbarara-24Hr'!N34,'27.10 Isingilo-Mbarara'!N34,'28.10 Isingiro-Mbarara-24Hr'!N34,'29.10 Isingiro-Mbarara'!N34,'30.10 Isingiro-Mbarara'!N34,'31.10 Isingiro-Mbarara'!N34)</f>
        <v>0</v>
      </c>
      <c r="O34" s="15">
        <f t="shared" si="0"/>
        <v>17.285714285714288</v>
      </c>
      <c r="P34" s="15">
        <f t="shared" si="1"/>
        <v>47.571428571428569</v>
      </c>
      <c r="R34" s="38" t="s">
        <v>90</v>
      </c>
      <c r="S34" s="39">
        <f t="shared" ref="S34:AF34" si="26">MAX(S10:S12)</f>
        <v>48.428571428571431</v>
      </c>
      <c r="T34" s="39">
        <f t="shared" si="26"/>
        <v>6.8571428571428577</v>
      </c>
      <c r="U34" s="39">
        <f t="shared" si="26"/>
        <v>7.8571428571428577</v>
      </c>
      <c r="V34" s="39">
        <f t="shared" si="26"/>
        <v>17.285714285714285</v>
      </c>
      <c r="W34" s="39">
        <f t="shared" si="26"/>
        <v>0.14285714285714285</v>
      </c>
      <c r="X34" s="39">
        <f t="shared" si="26"/>
        <v>0.42857142857142855</v>
      </c>
      <c r="Y34" s="39">
        <f t="shared" si="26"/>
        <v>5.8571428571428568</v>
      </c>
      <c r="Z34" s="39">
        <f t="shared" si="26"/>
        <v>2.2857142857142856</v>
      </c>
      <c r="AA34" s="39">
        <f t="shared" si="26"/>
        <v>0.42857142857142855</v>
      </c>
      <c r="AB34" s="39">
        <f t="shared" si="26"/>
        <v>0.5714285714285714</v>
      </c>
      <c r="AC34" s="39">
        <f t="shared" si="26"/>
        <v>184.71428571428572</v>
      </c>
      <c r="AD34" s="39">
        <f t="shared" si="26"/>
        <v>0</v>
      </c>
      <c r="AE34" s="40">
        <f t="shared" si="26"/>
        <v>85.428571428571431</v>
      </c>
      <c r="AF34" s="40">
        <f t="shared" si="26"/>
        <v>268.57142857142861</v>
      </c>
    </row>
    <row r="35" spans="2:32" ht="23.1" customHeight="1" x14ac:dyDescent="0.25">
      <c r="B35" s="24" t="s">
        <v>62</v>
      </c>
      <c r="C35" s="49">
        <f>AVERAGE('25.10 Isingiro-Mbarara'!C35,'26.10 Isingiro-Mbarara-24Hr'!C35,'27.10 Isingilo-Mbarara'!C35,'28.10 Isingiro-Mbarara-24Hr'!C35,'29.10 Isingiro-Mbarara'!C35,'30.10 Isingiro-Mbarara'!C35,'31.10 Isingiro-Mbarara'!C35)</f>
        <v>9.4285714285714288</v>
      </c>
      <c r="D35" s="49">
        <f>AVERAGE('25.10 Isingiro-Mbarara'!D35,'26.10 Isingiro-Mbarara-24Hr'!D35,'27.10 Isingilo-Mbarara'!D35,'28.10 Isingiro-Mbarara-24Hr'!D35,'29.10 Isingiro-Mbarara'!D35,'30.10 Isingiro-Mbarara'!D35,'31.10 Isingiro-Mbarara'!D35)</f>
        <v>1.7142857142857142</v>
      </c>
      <c r="E35" s="49">
        <f>AVERAGE('25.10 Isingiro-Mbarara'!E35,'26.10 Isingiro-Mbarara-24Hr'!E35,'27.10 Isingilo-Mbarara'!E35,'28.10 Isingiro-Mbarara-24Hr'!E35,'29.10 Isingiro-Mbarara'!E35,'30.10 Isingiro-Mbarara'!E35,'31.10 Isingiro-Mbarara'!E35)</f>
        <v>2.1428571428571428</v>
      </c>
      <c r="F35" s="49">
        <f>AVERAGE('25.10 Isingiro-Mbarara'!F35,'26.10 Isingiro-Mbarara-24Hr'!F35,'27.10 Isingilo-Mbarara'!F35,'28.10 Isingiro-Mbarara-24Hr'!F35,'29.10 Isingiro-Mbarara'!F35,'30.10 Isingiro-Mbarara'!F35,'31.10 Isingiro-Mbarara'!F35)</f>
        <v>1.4285714285714286</v>
      </c>
      <c r="G35" s="49">
        <f>AVERAGE('25.10 Isingiro-Mbarara'!G35,'26.10 Isingiro-Mbarara-24Hr'!G35,'27.10 Isingilo-Mbarara'!G35,'28.10 Isingiro-Mbarara-24Hr'!G35,'29.10 Isingiro-Mbarara'!G35,'30.10 Isingiro-Mbarara'!G35,'31.10 Isingiro-Mbarara'!G35)</f>
        <v>0</v>
      </c>
      <c r="H35" s="49">
        <f>AVERAGE('25.10 Isingiro-Mbarara'!H35,'26.10 Isingiro-Mbarara-24Hr'!H35,'27.10 Isingilo-Mbarara'!H35,'28.10 Isingiro-Mbarara-24Hr'!H35,'29.10 Isingiro-Mbarara'!H35,'30.10 Isingiro-Mbarara'!H35,'31.10 Isingiro-Mbarara'!H35)</f>
        <v>0</v>
      </c>
      <c r="I35" s="49">
        <f>AVERAGE('25.10 Isingiro-Mbarara'!I35,'26.10 Isingiro-Mbarara-24Hr'!I35,'27.10 Isingilo-Mbarara'!I35,'28.10 Isingiro-Mbarara-24Hr'!I35,'29.10 Isingiro-Mbarara'!I35,'30.10 Isingiro-Mbarara'!I35,'31.10 Isingiro-Mbarara'!I35)</f>
        <v>2.2857142857142856</v>
      </c>
      <c r="J35" s="49">
        <f>AVERAGE('25.10 Isingiro-Mbarara'!J35,'26.10 Isingiro-Mbarara-24Hr'!J35,'27.10 Isingilo-Mbarara'!J35,'28.10 Isingiro-Mbarara-24Hr'!J35,'29.10 Isingiro-Mbarara'!J35,'30.10 Isingiro-Mbarara'!J35,'31.10 Isingiro-Mbarara'!J35)</f>
        <v>1.2857142857142858</v>
      </c>
      <c r="K35" s="49">
        <f>AVERAGE('25.10 Isingiro-Mbarara'!K35,'26.10 Isingiro-Mbarara-24Hr'!K35,'27.10 Isingilo-Mbarara'!K35,'28.10 Isingiro-Mbarara-24Hr'!K35,'29.10 Isingiro-Mbarara'!K35,'30.10 Isingiro-Mbarara'!K35,'31.10 Isingiro-Mbarara'!K35)</f>
        <v>0</v>
      </c>
      <c r="L35" s="49">
        <f>AVERAGE('25.10 Isingiro-Mbarara'!L35,'26.10 Isingiro-Mbarara-24Hr'!L35,'27.10 Isingilo-Mbarara'!L35,'28.10 Isingiro-Mbarara-24Hr'!L35,'29.10 Isingiro-Mbarara'!L35,'30.10 Isingiro-Mbarara'!L35,'31.10 Isingiro-Mbarara'!L35)</f>
        <v>0.2857142857142857</v>
      </c>
      <c r="M35" s="49">
        <f>AVERAGE('25.10 Isingiro-Mbarara'!M35,'26.10 Isingiro-Mbarara-24Hr'!M35,'27.10 Isingilo-Mbarara'!M35,'28.10 Isingiro-Mbarara-24Hr'!M35,'29.10 Isingiro-Mbarara'!M35,'30.10 Isingiro-Mbarara'!M35,'31.10 Isingiro-Mbarara'!M35)</f>
        <v>33</v>
      </c>
      <c r="N35" s="49">
        <f>AVERAGE('25.10 Isingiro-Mbarara'!N35,'26.10 Isingiro-Mbarara-24Hr'!N35,'27.10 Isingilo-Mbarara'!N35,'28.10 Isingiro-Mbarara-24Hr'!N35,'29.10 Isingiro-Mbarara'!N35,'30.10 Isingiro-Mbarara'!N35,'31.10 Isingiro-Mbarara'!N35)</f>
        <v>0</v>
      </c>
      <c r="O35" s="15">
        <f t="shared" si="0"/>
        <v>18.571428571428569</v>
      </c>
      <c r="P35" s="15">
        <f t="shared" si="1"/>
        <v>51.571428571428569</v>
      </c>
      <c r="R35" s="38" t="s">
        <v>91</v>
      </c>
      <c r="S35" s="39">
        <f t="shared" ref="S35:AF35" si="27">MAX(S13:S18)</f>
        <v>46</v>
      </c>
      <c r="T35" s="39">
        <f t="shared" si="27"/>
        <v>9.2857142857142847</v>
      </c>
      <c r="U35" s="39">
        <f t="shared" si="27"/>
        <v>8.4285714285714288</v>
      </c>
      <c r="V35" s="39">
        <f t="shared" si="27"/>
        <v>15.142857142857144</v>
      </c>
      <c r="W35" s="39">
        <f t="shared" si="27"/>
        <v>0.2857142857142857</v>
      </c>
      <c r="X35" s="39">
        <f t="shared" si="27"/>
        <v>0.7142857142857143</v>
      </c>
      <c r="Y35" s="39">
        <f t="shared" si="27"/>
        <v>7.5714285714285712</v>
      </c>
      <c r="Z35" s="39">
        <f t="shared" si="27"/>
        <v>4.7142857142857144</v>
      </c>
      <c r="AA35" s="39">
        <f t="shared" si="27"/>
        <v>1.2857142857142856</v>
      </c>
      <c r="AB35" s="39">
        <f t="shared" si="27"/>
        <v>1.5714285714285712</v>
      </c>
      <c r="AC35" s="39">
        <f t="shared" si="27"/>
        <v>162.14285714285714</v>
      </c>
      <c r="AD35" s="39">
        <f t="shared" si="27"/>
        <v>0.42857142857142855</v>
      </c>
      <c r="AE35" s="40">
        <f t="shared" si="27"/>
        <v>85.428571428571416</v>
      </c>
      <c r="AF35" s="40">
        <f t="shared" si="27"/>
        <v>247.57142857142856</v>
      </c>
    </row>
    <row r="36" spans="2:32" ht="23.1" customHeight="1" x14ac:dyDescent="0.25">
      <c r="B36" s="24" t="s">
        <v>63</v>
      </c>
      <c r="C36" s="49">
        <f>AVERAGE('25.10 Isingiro-Mbarara'!C36,'26.10 Isingiro-Mbarara-24Hr'!C36,'27.10 Isingilo-Mbarara'!C36,'28.10 Isingiro-Mbarara-24Hr'!C36,'29.10 Isingiro-Mbarara'!C36,'30.10 Isingiro-Mbarara'!C36,'31.10 Isingiro-Mbarara'!C36)</f>
        <v>11.428571428571429</v>
      </c>
      <c r="D36" s="49">
        <f>AVERAGE('25.10 Isingiro-Mbarara'!D36,'26.10 Isingiro-Mbarara-24Hr'!D36,'27.10 Isingilo-Mbarara'!D36,'28.10 Isingiro-Mbarara-24Hr'!D36,'29.10 Isingiro-Mbarara'!D36,'30.10 Isingiro-Mbarara'!D36,'31.10 Isingiro-Mbarara'!D36)</f>
        <v>1.1428571428571428</v>
      </c>
      <c r="E36" s="49">
        <f>AVERAGE('25.10 Isingiro-Mbarara'!E36,'26.10 Isingiro-Mbarara-24Hr'!E36,'27.10 Isingilo-Mbarara'!E36,'28.10 Isingiro-Mbarara-24Hr'!E36,'29.10 Isingiro-Mbarara'!E36,'30.10 Isingiro-Mbarara'!E36,'31.10 Isingiro-Mbarara'!E36)</f>
        <v>2</v>
      </c>
      <c r="F36" s="49">
        <f>AVERAGE('25.10 Isingiro-Mbarara'!F36,'26.10 Isingiro-Mbarara-24Hr'!F36,'27.10 Isingilo-Mbarara'!F36,'28.10 Isingiro-Mbarara-24Hr'!F36,'29.10 Isingiro-Mbarara'!F36,'30.10 Isingiro-Mbarara'!F36,'31.10 Isingiro-Mbarara'!F36)</f>
        <v>2</v>
      </c>
      <c r="G36" s="49">
        <f>AVERAGE('25.10 Isingiro-Mbarara'!G36,'26.10 Isingiro-Mbarara-24Hr'!G36,'27.10 Isingilo-Mbarara'!G36,'28.10 Isingiro-Mbarara-24Hr'!G36,'29.10 Isingiro-Mbarara'!G36,'30.10 Isingiro-Mbarara'!G36,'31.10 Isingiro-Mbarara'!G36)</f>
        <v>0</v>
      </c>
      <c r="H36" s="49">
        <f>AVERAGE('25.10 Isingiro-Mbarara'!H36,'26.10 Isingiro-Mbarara-24Hr'!H36,'27.10 Isingilo-Mbarara'!H36,'28.10 Isingiro-Mbarara-24Hr'!H36,'29.10 Isingiro-Mbarara'!H36,'30.10 Isingiro-Mbarara'!H36,'31.10 Isingiro-Mbarara'!H36)</f>
        <v>0</v>
      </c>
      <c r="I36" s="49">
        <f>AVERAGE('25.10 Isingiro-Mbarara'!I36,'26.10 Isingiro-Mbarara-24Hr'!I36,'27.10 Isingilo-Mbarara'!I36,'28.10 Isingiro-Mbarara-24Hr'!I36,'29.10 Isingiro-Mbarara'!I36,'30.10 Isingiro-Mbarara'!I36,'31.10 Isingiro-Mbarara'!I36)</f>
        <v>1.7142857142857142</v>
      </c>
      <c r="J36" s="49">
        <f>AVERAGE('25.10 Isingiro-Mbarara'!J36,'26.10 Isingiro-Mbarara-24Hr'!J36,'27.10 Isingilo-Mbarara'!J36,'28.10 Isingiro-Mbarara-24Hr'!J36,'29.10 Isingiro-Mbarara'!J36,'30.10 Isingiro-Mbarara'!J36,'31.10 Isingiro-Mbarara'!J36)</f>
        <v>0.7142857142857143</v>
      </c>
      <c r="K36" s="49">
        <f>AVERAGE('25.10 Isingiro-Mbarara'!K36,'26.10 Isingiro-Mbarara-24Hr'!K36,'27.10 Isingilo-Mbarara'!K36,'28.10 Isingiro-Mbarara-24Hr'!K36,'29.10 Isingiro-Mbarara'!K36,'30.10 Isingiro-Mbarara'!K36,'31.10 Isingiro-Mbarara'!K36)</f>
        <v>0</v>
      </c>
      <c r="L36" s="49">
        <f>AVERAGE('25.10 Isingiro-Mbarara'!L36,'26.10 Isingiro-Mbarara-24Hr'!L36,'27.10 Isingilo-Mbarara'!L36,'28.10 Isingiro-Mbarara-24Hr'!L36,'29.10 Isingiro-Mbarara'!L36,'30.10 Isingiro-Mbarara'!L36,'31.10 Isingiro-Mbarara'!L36)</f>
        <v>0</v>
      </c>
      <c r="M36" s="49">
        <f>AVERAGE('25.10 Isingiro-Mbarara'!M36,'26.10 Isingiro-Mbarara-24Hr'!M36,'27.10 Isingilo-Mbarara'!M36,'28.10 Isingiro-Mbarara-24Hr'!M36,'29.10 Isingiro-Mbarara'!M36,'30.10 Isingiro-Mbarara'!M36,'31.10 Isingiro-Mbarara'!M36)</f>
        <v>28</v>
      </c>
      <c r="N36" s="49">
        <f>AVERAGE('25.10 Isingiro-Mbarara'!N36,'26.10 Isingiro-Mbarara-24Hr'!N36,'27.10 Isingilo-Mbarara'!N36,'28.10 Isingiro-Mbarara-24Hr'!N36,'29.10 Isingiro-Mbarara'!N36,'30.10 Isingiro-Mbarara'!N36,'31.10 Isingiro-Mbarara'!N36)</f>
        <v>0</v>
      </c>
      <c r="O36" s="15">
        <f t="shared" si="0"/>
        <v>19</v>
      </c>
      <c r="P36" s="15">
        <f t="shared" si="1"/>
        <v>47</v>
      </c>
      <c r="R36" s="38" t="s">
        <v>92</v>
      </c>
      <c r="S36" s="39">
        <f t="shared" ref="S36:AF36" si="28">MAX(S19:S21)</f>
        <v>59.428571428571431</v>
      </c>
      <c r="T36" s="39">
        <f t="shared" si="28"/>
        <v>10.571428571428573</v>
      </c>
      <c r="U36" s="39">
        <f t="shared" si="28"/>
        <v>9.4285714285714288</v>
      </c>
      <c r="V36" s="39">
        <f t="shared" si="28"/>
        <v>9.571428571428573</v>
      </c>
      <c r="W36" s="39">
        <f t="shared" si="28"/>
        <v>0.71428571428571419</v>
      </c>
      <c r="X36" s="39">
        <f t="shared" si="28"/>
        <v>0.14285714285714285</v>
      </c>
      <c r="Y36" s="39">
        <f t="shared" si="28"/>
        <v>8.8571428571428559</v>
      </c>
      <c r="Z36" s="39">
        <f t="shared" si="28"/>
        <v>5.8571428571428577</v>
      </c>
      <c r="AA36" s="39">
        <f t="shared" si="28"/>
        <v>1.4285714285714284</v>
      </c>
      <c r="AB36" s="39">
        <f t="shared" si="28"/>
        <v>0.71428571428571419</v>
      </c>
      <c r="AC36" s="39">
        <f t="shared" si="28"/>
        <v>167.42857142857142</v>
      </c>
      <c r="AD36" s="39">
        <f t="shared" si="28"/>
        <v>0.14285714285714285</v>
      </c>
      <c r="AE36" s="40">
        <f t="shared" si="28"/>
        <v>98.999999999999986</v>
      </c>
      <c r="AF36" s="40">
        <f t="shared" si="28"/>
        <v>266.42857142857144</v>
      </c>
    </row>
    <row r="37" spans="2:32" ht="23.1" customHeight="1" x14ac:dyDescent="0.25">
      <c r="B37" s="23" t="s">
        <v>64</v>
      </c>
      <c r="C37" s="49">
        <f>AVERAGE('25.10 Isingiro-Mbarara'!C37,'26.10 Isingiro-Mbarara-24Hr'!C37,'27.10 Isingilo-Mbarara'!C37,'28.10 Isingiro-Mbarara-24Hr'!C37,'29.10 Isingiro-Mbarara'!C37,'30.10 Isingiro-Mbarara'!C37,'31.10 Isingiro-Mbarara'!C37)</f>
        <v>10.285714285714286</v>
      </c>
      <c r="D37" s="49">
        <f>AVERAGE('25.10 Isingiro-Mbarara'!D37,'26.10 Isingiro-Mbarara-24Hr'!D37,'27.10 Isingilo-Mbarara'!D37,'28.10 Isingiro-Mbarara-24Hr'!D37,'29.10 Isingiro-Mbarara'!D37,'30.10 Isingiro-Mbarara'!D37,'31.10 Isingiro-Mbarara'!D37)</f>
        <v>1.1428571428571428</v>
      </c>
      <c r="E37" s="49">
        <f>AVERAGE('25.10 Isingiro-Mbarara'!E37,'26.10 Isingiro-Mbarara-24Hr'!E37,'27.10 Isingilo-Mbarara'!E37,'28.10 Isingiro-Mbarara-24Hr'!E37,'29.10 Isingiro-Mbarara'!E37,'30.10 Isingiro-Mbarara'!E37,'31.10 Isingiro-Mbarara'!E37)</f>
        <v>1.8571428571428572</v>
      </c>
      <c r="F37" s="49">
        <f>AVERAGE('25.10 Isingiro-Mbarara'!F37,'26.10 Isingiro-Mbarara-24Hr'!F37,'27.10 Isingilo-Mbarara'!F37,'28.10 Isingiro-Mbarara-24Hr'!F37,'29.10 Isingiro-Mbarara'!F37,'30.10 Isingiro-Mbarara'!F37,'31.10 Isingiro-Mbarara'!F37)</f>
        <v>1.1428571428571428</v>
      </c>
      <c r="G37" s="49">
        <f>AVERAGE('25.10 Isingiro-Mbarara'!G37,'26.10 Isingiro-Mbarara-24Hr'!G37,'27.10 Isingilo-Mbarara'!G37,'28.10 Isingiro-Mbarara-24Hr'!G37,'29.10 Isingiro-Mbarara'!G37,'30.10 Isingiro-Mbarara'!G37,'31.10 Isingiro-Mbarara'!G37)</f>
        <v>0</v>
      </c>
      <c r="H37" s="49">
        <f>AVERAGE('25.10 Isingiro-Mbarara'!H37,'26.10 Isingiro-Mbarara-24Hr'!H37,'27.10 Isingilo-Mbarara'!H37,'28.10 Isingiro-Mbarara-24Hr'!H37,'29.10 Isingiro-Mbarara'!H37,'30.10 Isingiro-Mbarara'!H37,'31.10 Isingiro-Mbarara'!H37)</f>
        <v>0</v>
      </c>
      <c r="I37" s="49">
        <f>AVERAGE('25.10 Isingiro-Mbarara'!I37,'26.10 Isingiro-Mbarara-24Hr'!I37,'27.10 Isingilo-Mbarara'!I37,'28.10 Isingiro-Mbarara-24Hr'!I37,'29.10 Isingiro-Mbarara'!I37,'30.10 Isingiro-Mbarara'!I37,'31.10 Isingiro-Mbarara'!I37)</f>
        <v>1.7142857142857142</v>
      </c>
      <c r="J37" s="49">
        <f>AVERAGE('25.10 Isingiro-Mbarara'!J37,'26.10 Isingiro-Mbarara-24Hr'!J37,'27.10 Isingilo-Mbarara'!J37,'28.10 Isingiro-Mbarara-24Hr'!J37,'29.10 Isingiro-Mbarara'!J37,'30.10 Isingiro-Mbarara'!J37,'31.10 Isingiro-Mbarara'!J37)</f>
        <v>1.7142857142857142</v>
      </c>
      <c r="K37" s="49">
        <f>AVERAGE('25.10 Isingiro-Mbarara'!K37,'26.10 Isingiro-Mbarara-24Hr'!K37,'27.10 Isingilo-Mbarara'!K37,'28.10 Isingiro-Mbarara-24Hr'!K37,'29.10 Isingiro-Mbarara'!K37,'30.10 Isingiro-Mbarara'!K37,'31.10 Isingiro-Mbarara'!K37)</f>
        <v>0.14285714285714285</v>
      </c>
      <c r="L37" s="49">
        <f>AVERAGE('25.10 Isingiro-Mbarara'!L37,'26.10 Isingiro-Mbarara-24Hr'!L37,'27.10 Isingilo-Mbarara'!L37,'28.10 Isingiro-Mbarara-24Hr'!L37,'29.10 Isingiro-Mbarara'!L37,'30.10 Isingiro-Mbarara'!L37,'31.10 Isingiro-Mbarara'!L37)</f>
        <v>0</v>
      </c>
      <c r="M37" s="49">
        <f>AVERAGE('25.10 Isingiro-Mbarara'!M37,'26.10 Isingiro-Mbarara-24Hr'!M37,'27.10 Isingilo-Mbarara'!M37,'28.10 Isingiro-Mbarara-24Hr'!M37,'29.10 Isingiro-Mbarara'!M37,'30.10 Isingiro-Mbarara'!M37,'31.10 Isingiro-Mbarara'!M37)</f>
        <v>33.714285714285715</v>
      </c>
      <c r="N37" s="49">
        <f>AVERAGE('25.10 Isingiro-Mbarara'!N37,'26.10 Isingiro-Mbarara-24Hr'!N37,'27.10 Isingilo-Mbarara'!N37,'28.10 Isingiro-Mbarara-24Hr'!N37,'29.10 Isingiro-Mbarara'!N37,'30.10 Isingiro-Mbarara'!N37,'31.10 Isingiro-Mbarara'!N37)</f>
        <v>0</v>
      </c>
      <c r="O37" s="15">
        <f t="shared" si="0"/>
        <v>18</v>
      </c>
      <c r="P37" s="15">
        <f t="shared" si="1"/>
        <v>51.714285714285715</v>
      </c>
      <c r="R37" s="37" t="s">
        <v>85</v>
      </c>
      <c r="S37" s="35">
        <f t="shared" ref="S37:AF37" si="29">SUM(S10:S12)</f>
        <v>133.57142857142856</v>
      </c>
      <c r="T37" s="16">
        <f t="shared" si="29"/>
        <v>18.857142857142858</v>
      </c>
      <c r="U37" s="16">
        <f t="shared" si="29"/>
        <v>15.142857142857144</v>
      </c>
      <c r="V37" s="16">
        <f t="shared" si="29"/>
        <v>43.857142857142854</v>
      </c>
      <c r="W37" s="16">
        <f t="shared" si="29"/>
        <v>0.14285714285714285</v>
      </c>
      <c r="X37" s="16">
        <f t="shared" si="29"/>
        <v>0.71428571428571419</v>
      </c>
      <c r="Y37" s="16">
        <f t="shared" si="29"/>
        <v>16.142857142857142</v>
      </c>
      <c r="Z37" s="16">
        <f t="shared" si="29"/>
        <v>6.7142857142857144</v>
      </c>
      <c r="AA37" s="16">
        <f t="shared" si="29"/>
        <v>0.8571428571428571</v>
      </c>
      <c r="AB37" s="16">
        <f t="shared" si="29"/>
        <v>0.8571428571428571</v>
      </c>
      <c r="AC37" s="16">
        <f t="shared" si="29"/>
        <v>506.42857142857144</v>
      </c>
      <c r="AD37" s="16">
        <f t="shared" si="29"/>
        <v>0</v>
      </c>
      <c r="AE37" s="32">
        <f t="shared" si="29"/>
        <v>236.85714285714283</v>
      </c>
      <c r="AF37" s="32">
        <f t="shared" si="29"/>
        <v>743.28571428571433</v>
      </c>
    </row>
    <row r="38" spans="2:32" ht="23.1" customHeight="1" x14ac:dyDescent="0.25">
      <c r="B38" s="24" t="s">
        <v>65</v>
      </c>
      <c r="C38" s="49">
        <f>AVERAGE('25.10 Isingiro-Mbarara'!C38,'26.10 Isingiro-Mbarara-24Hr'!C38,'27.10 Isingilo-Mbarara'!C38,'28.10 Isingiro-Mbarara-24Hr'!C38,'29.10 Isingiro-Mbarara'!C38,'30.10 Isingiro-Mbarara'!C38,'31.10 Isingiro-Mbarara'!C38)</f>
        <v>9.4285714285714288</v>
      </c>
      <c r="D38" s="49">
        <f>AVERAGE('25.10 Isingiro-Mbarara'!D38,'26.10 Isingiro-Mbarara-24Hr'!D38,'27.10 Isingilo-Mbarara'!D38,'28.10 Isingiro-Mbarara-24Hr'!D38,'29.10 Isingiro-Mbarara'!D38,'30.10 Isingiro-Mbarara'!D38,'31.10 Isingiro-Mbarara'!D38)</f>
        <v>1.2857142857142858</v>
      </c>
      <c r="E38" s="49">
        <f>AVERAGE('25.10 Isingiro-Mbarara'!E38,'26.10 Isingiro-Mbarara-24Hr'!E38,'27.10 Isingilo-Mbarara'!E38,'28.10 Isingiro-Mbarara-24Hr'!E38,'29.10 Isingiro-Mbarara'!E38,'30.10 Isingiro-Mbarara'!E38,'31.10 Isingiro-Mbarara'!E38)</f>
        <v>1.2857142857142858</v>
      </c>
      <c r="F38" s="49">
        <f>AVERAGE('25.10 Isingiro-Mbarara'!F38,'26.10 Isingiro-Mbarara-24Hr'!F38,'27.10 Isingilo-Mbarara'!F38,'28.10 Isingiro-Mbarara-24Hr'!F38,'29.10 Isingiro-Mbarara'!F38,'30.10 Isingiro-Mbarara'!F38,'31.10 Isingiro-Mbarara'!F38)</f>
        <v>1</v>
      </c>
      <c r="G38" s="49">
        <f>AVERAGE('25.10 Isingiro-Mbarara'!G38,'26.10 Isingiro-Mbarara-24Hr'!G38,'27.10 Isingilo-Mbarara'!G38,'28.10 Isingiro-Mbarara-24Hr'!G38,'29.10 Isingiro-Mbarara'!G38,'30.10 Isingiro-Mbarara'!G38,'31.10 Isingiro-Mbarara'!G38)</f>
        <v>0</v>
      </c>
      <c r="H38" s="49">
        <f>AVERAGE('25.10 Isingiro-Mbarara'!H38,'26.10 Isingiro-Mbarara-24Hr'!H38,'27.10 Isingilo-Mbarara'!H38,'28.10 Isingiro-Mbarara-24Hr'!H38,'29.10 Isingiro-Mbarara'!H38,'30.10 Isingiro-Mbarara'!H38,'31.10 Isingiro-Mbarara'!H38)</f>
        <v>0</v>
      </c>
      <c r="I38" s="49">
        <f>AVERAGE('25.10 Isingiro-Mbarara'!I38,'26.10 Isingiro-Mbarara-24Hr'!I38,'27.10 Isingilo-Mbarara'!I38,'28.10 Isingiro-Mbarara-24Hr'!I38,'29.10 Isingiro-Mbarara'!I38,'30.10 Isingiro-Mbarara'!I38,'31.10 Isingiro-Mbarara'!I38)</f>
        <v>1.2857142857142858</v>
      </c>
      <c r="J38" s="49">
        <f>AVERAGE('25.10 Isingiro-Mbarara'!J38,'26.10 Isingiro-Mbarara-24Hr'!J38,'27.10 Isingilo-Mbarara'!J38,'28.10 Isingiro-Mbarara-24Hr'!J38,'29.10 Isingiro-Mbarara'!J38,'30.10 Isingiro-Mbarara'!J38,'31.10 Isingiro-Mbarara'!J38)</f>
        <v>1</v>
      </c>
      <c r="K38" s="49">
        <f>AVERAGE('25.10 Isingiro-Mbarara'!K38,'26.10 Isingiro-Mbarara-24Hr'!K38,'27.10 Isingilo-Mbarara'!K38,'28.10 Isingiro-Mbarara-24Hr'!K38,'29.10 Isingiro-Mbarara'!K38,'30.10 Isingiro-Mbarara'!K38,'31.10 Isingiro-Mbarara'!K38)</f>
        <v>0.14285714285714285</v>
      </c>
      <c r="L38" s="49">
        <f>AVERAGE('25.10 Isingiro-Mbarara'!L38,'26.10 Isingiro-Mbarara-24Hr'!L38,'27.10 Isingilo-Mbarara'!L38,'28.10 Isingiro-Mbarara-24Hr'!L38,'29.10 Isingiro-Mbarara'!L38,'30.10 Isingiro-Mbarara'!L38,'31.10 Isingiro-Mbarara'!L38)</f>
        <v>0</v>
      </c>
      <c r="M38" s="49">
        <f>AVERAGE('25.10 Isingiro-Mbarara'!M38,'26.10 Isingiro-Mbarara-24Hr'!M38,'27.10 Isingilo-Mbarara'!M38,'28.10 Isingiro-Mbarara-24Hr'!M38,'29.10 Isingiro-Mbarara'!M38,'30.10 Isingiro-Mbarara'!M38,'31.10 Isingiro-Mbarara'!M38)</f>
        <v>26.857142857142858</v>
      </c>
      <c r="N38" s="49">
        <f>AVERAGE('25.10 Isingiro-Mbarara'!N38,'26.10 Isingiro-Mbarara-24Hr'!N38,'27.10 Isingilo-Mbarara'!N38,'28.10 Isingiro-Mbarara-24Hr'!N38,'29.10 Isingiro-Mbarara'!N38,'30.10 Isingiro-Mbarara'!N38,'31.10 Isingiro-Mbarara'!N38)</f>
        <v>0</v>
      </c>
      <c r="O38" s="15">
        <f t="shared" si="0"/>
        <v>15.428571428571431</v>
      </c>
      <c r="P38" s="15">
        <f t="shared" si="1"/>
        <v>42.285714285714292</v>
      </c>
      <c r="R38" s="28" t="s">
        <v>86</v>
      </c>
      <c r="S38" s="16">
        <f t="shared" ref="S38:AF38" si="30">SUM(S13:S18)</f>
        <v>243.85714285714286</v>
      </c>
      <c r="T38" s="16">
        <f t="shared" si="30"/>
        <v>42.142857142857139</v>
      </c>
      <c r="U38" s="16">
        <f t="shared" si="30"/>
        <v>45.142857142857139</v>
      </c>
      <c r="V38" s="16">
        <f t="shared" si="30"/>
        <v>52.285714285714285</v>
      </c>
      <c r="W38" s="16">
        <f t="shared" si="30"/>
        <v>0.85714285714285698</v>
      </c>
      <c r="X38" s="16">
        <f t="shared" si="30"/>
        <v>0.85714285714285721</v>
      </c>
      <c r="Y38" s="16">
        <f t="shared" si="30"/>
        <v>41</v>
      </c>
      <c r="Z38" s="16">
        <f t="shared" si="30"/>
        <v>26.142857142857146</v>
      </c>
      <c r="AA38" s="16">
        <f t="shared" si="30"/>
        <v>3</v>
      </c>
      <c r="AB38" s="16">
        <f t="shared" si="30"/>
        <v>3.2857142857142851</v>
      </c>
      <c r="AC38" s="16">
        <f t="shared" si="30"/>
        <v>805.71428571428578</v>
      </c>
      <c r="AD38" s="16">
        <f t="shared" si="30"/>
        <v>0.5714285714285714</v>
      </c>
      <c r="AE38" s="32">
        <f t="shared" si="30"/>
        <v>459.14285714285711</v>
      </c>
      <c r="AF38" s="32">
        <f t="shared" si="30"/>
        <v>1264.8571428571429</v>
      </c>
    </row>
    <row r="39" spans="2:32" ht="23.1" customHeight="1" x14ac:dyDescent="0.25">
      <c r="B39" s="24" t="s">
        <v>66</v>
      </c>
      <c r="C39" s="49">
        <f>AVERAGE('25.10 Isingiro-Mbarara'!C39,'26.10 Isingiro-Mbarara-24Hr'!C39,'27.10 Isingilo-Mbarara'!C39,'28.10 Isingiro-Mbarara-24Hr'!C39,'29.10 Isingiro-Mbarara'!C39,'30.10 Isingiro-Mbarara'!C39,'31.10 Isingiro-Mbarara'!C39)</f>
        <v>11.714285714285714</v>
      </c>
      <c r="D39" s="49">
        <f>AVERAGE('25.10 Isingiro-Mbarara'!D39,'26.10 Isingiro-Mbarara-24Hr'!D39,'27.10 Isingilo-Mbarara'!D39,'28.10 Isingiro-Mbarara-24Hr'!D39,'29.10 Isingiro-Mbarara'!D39,'30.10 Isingiro-Mbarara'!D39,'31.10 Isingiro-Mbarara'!D39)</f>
        <v>1.8571428571428572</v>
      </c>
      <c r="E39" s="49">
        <f>AVERAGE('25.10 Isingiro-Mbarara'!E39,'26.10 Isingiro-Mbarara-24Hr'!E39,'27.10 Isingilo-Mbarara'!E39,'28.10 Isingiro-Mbarara-24Hr'!E39,'29.10 Isingiro-Mbarara'!E39,'30.10 Isingiro-Mbarara'!E39,'31.10 Isingiro-Mbarara'!E39)</f>
        <v>3</v>
      </c>
      <c r="F39" s="49">
        <f>AVERAGE('25.10 Isingiro-Mbarara'!F39,'26.10 Isingiro-Mbarara-24Hr'!F39,'27.10 Isingilo-Mbarara'!F39,'28.10 Isingiro-Mbarara-24Hr'!F39,'29.10 Isingiro-Mbarara'!F39,'30.10 Isingiro-Mbarara'!F39,'31.10 Isingiro-Mbarara'!F39)</f>
        <v>1.4285714285714286</v>
      </c>
      <c r="G39" s="49">
        <f>AVERAGE('25.10 Isingiro-Mbarara'!G39,'26.10 Isingiro-Mbarara-24Hr'!G39,'27.10 Isingilo-Mbarara'!G39,'28.10 Isingiro-Mbarara-24Hr'!G39,'29.10 Isingiro-Mbarara'!G39,'30.10 Isingiro-Mbarara'!G39,'31.10 Isingiro-Mbarara'!G39)</f>
        <v>0</v>
      </c>
      <c r="H39" s="49">
        <f>AVERAGE('25.10 Isingiro-Mbarara'!H39,'26.10 Isingiro-Mbarara-24Hr'!H39,'27.10 Isingilo-Mbarara'!H39,'28.10 Isingiro-Mbarara-24Hr'!H39,'29.10 Isingiro-Mbarara'!H39,'30.10 Isingiro-Mbarara'!H39,'31.10 Isingiro-Mbarara'!H39)</f>
        <v>0</v>
      </c>
      <c r="I39" s="49">
        <f>AVERAGE('25.10 Isingiro-Mbarara'!I39,'26.10 Isingiro-Mbarara-24Hr'!I39,'27.10 Isingilo-Mbarara'!I39,'28.10 Isingiro-Mbarara-24Hr'!I39,'29.10 Isingiro-Mbarara'!I39,'30.10 Isingiro-Mbarara'!I39,'31.10 Isingiro-Mbarara'!I39)</f>
        <v>2.1428571428571428</v>
      </c>
      <c r="J39" s="49">
        <f>AVERAGE('25.10 Isingiro-Mbarara'!J39,'26.10 Isingiro-Mbarara-24Hr'!J39,'27.10 Isingilo-Mbarara'!J39,'28.10 Isingiro-Mbarara-24Hr'!J39,'29.10 Isingiro-Mbarara'!J39,'30.10 Isingiro-Mbarara'!J39,'31.10 Isingiro-Mbarara'!J39)</f>
        <v>0.8571428571428571</v>
      </c>
      <c r="K39" s="49">
        <f>AVERAGE('25.10 Isingiro-Mbarara'!K39,'26.10 Isingiro-Mbarara-24Hr'!K39,'27.10 Isingilo-Mbarara'!K39,'28.10 Isingiro-Mbarara-24Hr'!K39,'29.10 Isingiro-Mbarara'!K39,'30.10 Isingiro-Mbarara'!K39,'31.10 Isingiro-Mbarara'!K39)</f>
        <v>0.14285714285714285</v>
      </c>
      <c r="L39" s="49">
        <f>AVERAGE('25.10 Isingiro-Mbarara'!L39,'26.10 Isingiro-Mbarara-24Hr'!L39,'27.10 Isingilo-Mbarara'!L39,'28.10 Isingiro-Mbarara-24Hr'!L39,'29.10 Isingiro-Mbarara'!L39,'30.10 Isingiro-Mbarara'!L39,'31.10 Isingiro-Mbarara'!L39)</f>
        <v>0.14285714285714285</v>
      </c>
      <c r="M39" s="49">
        <f>AVERAGE('25.10 Isingiro-Mbarara'!M39,'26.10 Isingiro-Mbarara-24Hr'!M39,'27.10 Isingilo-Mbarara'!M39,'28.10 Isingiro-Mbarara-24Hr'!M39,'29.10 Isingiro-Mbarara'!M39,'30.10 Isingiro-Mbarara'!M39,'31.10 Isingiro-Mbarara'!M39)</f>
        <v>30.142857142857142</v>
      </c>
      <c r="N39" s="49">
        <f>AVERAGE('25.10 Isingiro-Mbarara'!N39,'26.10 Isingiro-Mbarara-24Hr'!N39,'27.10 Isingilo-Mbarara'!N39,'28.10 Isingiro-Mbarara-24Hr'!N39,'29.10 Isingiro-Mbarara'!N39,'30.10 Isingiro-Mbarara'!N39,'31.10 Isingiro-Mbarara'!N39)</f>
        <v>0</v>
      </c>
      <c r="O39" s="15">
        <f t="shared" si="0"/>
        <v>21.285714285714281</v>
      </c>
      <c r="P39" s="15">
        <f t="shared" si="1"/>
        <v>51.428571428571423</v>
      </c>
      <c r="R39" s="29" t="s">
        <v>87</v>
      </c>
      <c r="S39" s="16">
        <f t="shared" ref="S39:AF39" si="31">SUM(S19:S21)</f>
        <v>153.28571428571428</v>
      </c>
      <c r="T39" s="16">
        <f t="shared" si="31"/>
        <v>29.857142857142861</v>
      </c>
      <c r="U39" s="16">
        <f t="shared" si="31"/>
        <v>26.428571428571427</v>
      </c>
      <c r="V39" s="16">
        <f t="shared" si="31"/>
        <v>22.714285714285715</v>
      </c>
      <c r="W39" s="16">
        <f t="shared" si="31"/>
        <v>1.4285714285714284</v>
      </c>
      <c r="X39" s="16">
        <f t="shared" si="31"/>
        <v>0.14285714285714285</v>
      </c>
      <c r="Y39" s="16">
        <f t="shared" si="31"/>
        <v>24</v>
      </c>
      <c r="Z39" s="16">
        <f t="shared" si="31"/>
        <v>16.285714285714285</v>
      </c>
      <c r="AA39" s="16">
        <f t="shared" si="31"/>
        <v>2.714285714285714</v>
      </c>
      <c r="AB39" s="16">
        <f t="shared" si="31"/>
        <v>1.5714285714285714</v>
      </c>
      <c r="AC39" s="16">
        <f t="shared" si="31"/>
        <v>473.42857142857144</v>
      </c>
      <c r="AD39" s="16">
        <f t="shared" si="31"/>
        <v>0.14285714285714285</v>
      </c>
      <c r="AE39" s="32">
        <f t="shared" si="31"/>
        <v>278.57142857142856</v>
      </c>
      <c r="AF39" s="32">
        <f t="shared" si="31"/>
        <v>752</v>
      </c>
    </row>
    <row r="40" spans="2:32" ht="23.1" customHeight="1" x14ac:dyDescent="0.25">
      <c r="B40" s="24" t="s">
        <v>67</v>
      </c>
      <c r="C40" s="49">
        <f>AVERAGE('25.10 Isingiro-Mbarara'!C40,'26.10 Isingiro-Mbarara-24Hr'!C40,'27.10 Isingilo-Mbarara'!C40,'28.10 Isingiro-Mbarara-24Hr'!C40,'29.10 Isingiro-Mbarara'!C40,'30.10 Isingiro-Mbarara'!C40,'31.10 Isingiro-Mbarara'!C40)</f>
        <v>10.571428571428571</v>
      </c>
      <c r="D40" s="49">
        <f>AVERAGE('25.10 Isingiro-Mbarara'!D40,'26.10 Isingiro-Mbarara-24Hr'!D40,'27.10 Isingilo-Mbarara'!D40,'28.10 Isingiro-Mbarara-24Hr'!D40,'29.10 Isingiro-Mbarara'!D40,'30.10 Isingiro-Mbarara'!D40,'31.10 Isingiro-Mbarara'!D40)</f>
        <v>3</v>
      </c>
      <c r="E40" s="49">
        <f>AVERAGE('25.10 Isingiro-Mbarara'!E40,'26.10 Isingiro-Mbarara-24Hr'!E40,'27.10 Isingilo-Mbarara'!E40,'28.10 Isingiro-Mbarara-24Hr'!E40,'29.10 Isingiro-Mbarara'!E40,'30.10 Isingiro-Mbarara'!E40,'31.10 Isingiro-Mbarara'!E40)</f>
        <v>2.8571428571428572</v>
      </c>
      <c r="F40" s="49">
        <f>AVERAGE('25.10 Isingiro-Mbarara'!F40,'26.10 Isingiro-Mbarara-24Hr'!F40,'27.10 Isingilo-Mbarara'!F40,'28.10 Isingiro-Mbarara-24Hr'!F40,'29.10 Isingiro-Mbarara'!F40,'30.10 Isingiro-Mbarara'!F40,'31.10 Isingiro-Mbarara'!F40)</f>
        <v>1.1428571428571428</v>
      </c>
      <c r="G40" s="49">
        <f>AVERAGE('25.10 Isingiro-Mbarara'!G40,'26.10 Isingiro-Mbarara-24Hr'!G40,'27.10 Isingilo-Mbarara'!G40,'28.10 Isingiro-Mbarara-24Hr'!G40,'29.10 Isingiro-Mbarara'!G40,'30.10 Isingiro-Mbarara'!G40,'31.10 Isingiro-Mbarara'!G40)</f>
        <v>0</v>
      </c>
      <c r="H40" s="49">
        <f>AVERAGE('25.10 Isingiro-Mbarara'!H40,'26.10 Isingiro-Mbarara-24Hr'!H40,'27.10 Isingilo-Mbarara'!H40,'28.10 Isingiro-Mbarara-24Hr'!H40,'29.10 Isingiro-Mbarara'!H40,'30.10 Isingiro-Mbarara'!H40,'31.10 Isingiro-Mbarara'!H40)</f>
        <v>0</v>
      </c>
      <c r="I40" s="49">
        <f>AVERAGE('25.10 Isingiro-Mbarara'!I40,'26.10 Isingiro-Mbarara-24Hr'!I40,'27.10 Isingilo-Mbarara'!I40,'28.10 Isingiro-Mbarara-24Hr'!I40,'29.10 Isingiro-Mbarara'!I40,'30.10 Isingiro-Mbarara'!I40,'31.10 Isingiro-Mbarara'!I40)</f>
        <v>2.2857142857142856</v>
      </c>
      <c r="J40" s="49">
        <f>AVERAGE('25.10 Isingiro-Mbarara'!J40,'26.10 Isingiro-Mbarara-24Hr'!J40,'27.10 Isingilo-Mbarara'!J40,'28.10 Isingiro-Mbarara-24Hr'!J40,'29.10 Isingiro-Mbarara'!J40,'30.10 Isingiro-Mbarara'!J40,'31.10 Isingiro-Mbarara'!J40)</f>
        <v>1.8571428571428572</v>
      </c>
      <c r="K40" s="49">
        <f>AVERAGE('25.10 Isingiro-Mbarara'!K40,'26.10 Isingiro-Mbarara-24Hr'!K40,'27.10 Isingilo-Mbarara'!K40,'28.10 Isingiro-Mbarara-24Hr'!K40,'29.10 Isingiro-Mbarara'!K40,'30.10 Isingiro-Mbarara'!K40,'31.10 Isingiro-Mbarara'!K40)</f>
        <v>0.14285714285714285</v>
      </c>
      <c r="L40" s="49">
        <f>AVERAGE('25.10 Isingiro-Mbarara'!L40,'26.10 Isingiro-Mbarara-24Hr'!L40,'27.10 Isingilo-Mbarara'!L40,'28.10 Isingiro-Mbarara-24Hr'!L40,'29.10 Isingiro-Mbarara'!L40,'30.10 Isingiro-Mbarara'!L40,'31.10 Isingiro-Mbarara'!L40)</f>
        <v>0</v>
      </c>
      <c r="M40" s="49">
        <f>AVERAGE('25.10 Isingiro-Mbarara'!M40,'26.10 Isingiro-Mbarara-24Hr'!M40,'27.10 Isingilo-Mbarara'!M40,'28.10 Isingiro-Mbarara-24Hr'!M40,'29.10 Isingiro-Mbarara'!M40,'30.10 Isingiro-Mbarara'!M40,'31.10 Isingiro-Mbarara'!M40)</f>
        <v>30.714285714285715</v>
      </c>
      <c r="N40" s="49">
        <f>AVERAGE('25.10 Isingiro-Mbarara'!N40,'26.10 Isingiro-Mbarara-24Hr'!N40,'27.10 Isingilo-Mbarara'!N40,'28.10 Isingiro-Mbarara-24Hr'!N40,'29.10 Isingiro-Mbarara'!N40,'30.10 Isingiro-Mbarara'!N40,'31.10 Isingiro-Mbarara'!N40)</f>
        <v>0</v>
      </c>
      <c r="O40" s="15">
        <f t="shared" si="0"/>
        <v>21.857142857142854</v>
      </c>
      <c r="P40" s="15">
        <f t="shared" si="1"/>
        <v>52.571428571428569</v>
      </c>
      <c r="R40" s="5" t="s">
        <v>17</v>
      </c>
      <c r="S40" s="16">
        <f t="shared" ref="S40:AF40" si="32">SUM(S10:S21)</f>
        <v>530.71428571428578</v>
      </c>
      <c r="T40" s="16">
        <f t="shared" si="32"/>
        <v>90.857142857142861</v>
      </c>
      <c r="U40" s="16">
        <f t="shared" si="32"/>
        <v>86.714285714285722</v>
      </c>
      <c r="V40" s="16">
        <f t="shared" si="32"/>
        <v>118.85714285714286</v>
      </c>
      <c r="W40" s="16">
        <f t="shared" si="32"/>
        <v>2.4285714285714279</v>
      </c>
      <c r="X40" s="16">
        <f t="shared" si="32"/>
        <v>1.714285714285714</v>
      </c>
      <c r="Y40" s="16">
        <f t="shared" si="32"/>
        <v>81.142857142857139</v>
      </c>
      <c r="Z40" s="16">
        <f t="shared" si="32"/>
        <v>49.142857142857139</v>
      </c>
      <c r="AA40" s="16">
        <f t="shared" si="32"/>
        <v>6.5714285714285703</v>
      </c>
      <c r="AB40" s="16">
        <f t="shared" si="32"/>
        <v>5.7142857142857144</v>
      </c>
      <c r="AC40" s="16">
        <f t="shared" si="32"/>
        <v>1785.5714285714284</v>
      </c>
      <c r="AD40" s="16">
        <f t="shared" si="32"/>
        <v>0.71428571428571419</v>
      </c>
      <c r="AE40" s="32">
        <f t="shared" si="32"/>
        <v>974.57142857142856</v>
      </c>
      <c r="AF40" s="32">
        <f t="shared" si="32"/>
        <v>2760.1428571428573</v>
      </c>
    </row>
    <row r="41" spans="2:32" ht="23.1" customHeight="1" x14ac:dyDescent="0.25">
      <c r="B41" s="23" t="s">
        <v>68</v>
      </c>
      <c r="C41" s="49">
        <f>AVERAGE('25.10 Isingiro-Mbarara'!C41,'26.10 Isingiro-Mbarara-24Hr'!C41,'27.10 Isingilo-Mbarara'!C41,'28.10 Isingiro-Mbarara-24Hr'!C41,'29.10 Isingiro-Mbarara'!C41,'30.10 Isingiro-Mbarara'!C41,'31.10 Isingiro-Mbarara'!C41)</f>
        <v>8.7142857142857135</v>
      </c>
      <c r="D41" s="49">
        <f>AVERAGE('25.10 Isingiro-Mbarara'!D41,'26.10 Isingiro-Mbarara-24Hr'!D41,'27.10 Isingilo-Mbarara'!D41,'28.10 Isingiro-Mbarara-24Hr'!D41,'29.10 Isingiro-Mbarara'!D41,'30.10 Isingiro-Mbarara'!D41,'31.10 Isingiro-Mbarara'!D41)</f>
        <v>1.2857142857142858</v>
      </c>
      <c r="E41" s="49">
        <f>AVERAGE('25.10 Isingiro-Mbarara'!E41,'26.10 Isingiro-Mbarara-24Hr'!E41,'27.10 Isingilo-Mbarara'!E41,'28.10 Isingiro-Mbarara-24Hr'!E41,'29.10 Isingiro-Mbarara'!E41,'30.10 Isingiro-Mbarara'!E41,'31.10 Isingiro-Mbarara'!E41)</f>
        <v>1.2857142857142858</v>
      </c>
      <c r="F41" s="49">
        <f>AVERAGE('25.10 Isingiro-Mbarara'!F41,'26.10 Isingiro-Mbarara-24Hr'!F41,'27.10 Isingilo-Mbarara'!F41,'28.10 Isingiro-Mbarara-24Hr'!F41,'29.10 Isingiro-Mbarara'!F41,'30.10 Isingiro-Mbarara'!F41,'31.10 Isingiro-Mbarara'!F41)</f>
        <v>1.8571428571428572</v>
      </c>
      <c r="G41" s="49">
        <f>AVERAGE('25.10 Isingiro-Mbarara'!G41,'26.10 Isingiro-Mbarara-24Hr'!G41,'27.10 Isingilo-Mbarara'!G41,'28.10 Isingiro-Mbarara-24Hr'!G41,'29.10 Isingiro-Mbarara'!G41,'30.10 Isingiro-Mbarara'!G41,'31.10 Isingiro-Mbarara'!G41)</f>
        <v>0</v>
      </c>
      <c r="H41" s="49">
        <f>AVERAGE('25.10 Isingiro-Mbarara'!H41,'26.10 Isingiro-Mbarara-24Hr'!H41,'27.10 Isingilo-Mbarara'!H41,'28.10 Isingiro-Mbarara-24Hr'!H41,'29.10 Isingiro-Mbarara'!H41,'30.10 Isingiro-Mbarara'!H41,'31.10 Isingiro-Mbarara'!H41)</f>
        <v>0</v>
      </c>
      <c r="I41" s="49">
        <f>AVERAGE('25.10 Isingiro-Mbarara'!I41,'26.10 Isingiro-Mbarara-24Hr'!I41,'27.10 Isingilo-Mbarara'!I41,'28.10 Isingiro-Mbarara-24Hr'!I41,'29.10 Isingiro-Mbarara'!I41,'30.10 Isingiro-Mbarara'!I41,'31.10 Isingiro-Mbarara'!I41)</f>
        <v>1.1428571428571428</v>
      </c>
      <c r="J41" s="49">
        <f>AVERAGE('25.10 Isingiro-Mbarara'!J41,'26.10 Isingiro-Mbarara-24Hr'!J41,'27.10 Isingilo-Mbarara'!J41,'28.10 Isingiro-Mbarara-24Hr'!J41,'29.10 Isingiro-Mbarara'!J41,'30.10 Isingiro-Mbarara'!J41,'31.10 Isingiro-Mbarara'!J41)</f>
        <v>1</v>
      </c>
      <c r="K41" s="49">
        <f>AVERAGE('25.10 Isingiro-Mbarara'!K41,'26.10 Isingiro-Mbarara-24Hr'!K41,'27.10 Isingilo-Mbarara'!K41,'28.10 Isingiro-Mbarara-24Hr'!K41,'29.10 Isingiro-Mbarara'!K41,'30.10 Isingiro-Mbarara'!K41,'31.10 Isingiro-Mbarara'!K41)</f>
        <v>0</v>
      </c>
      <c r="L41" s="49">
        <f>AVERAGE('25.10 Isingiro-Mbarara'!L41,'26.10 Isingiro-Mbarara-24Hr'!L41,'27.10 Isingilo-Mbarara'!L41,'28.10 Isingiro-Mbarara-24Hr'!L41,'29.10 Isingiro-Mbarara'!L41,'30.10 Isingiro-Mbarara'!L41,'31.10 Isingiro-Mbarara'!L41)</f>
        <v>0.14285714285714285</v>
      </c>
      <c r="M41" s="49">
        <f>AVERAGE('25.10 Isingiro-Mbarara'!M41,'26.10 Isingiro-Mbarara-24Hr'!M41,'27.10 Isingilo-Mbarara'!M41,'28.10 Isingiro-Mbarara-24Hr'!M41,'29.10 Isingiro-Mbarara'!M41,'30.10 Isingiro-Mbarara'!M41,'31.10 Isingiro-Mbarara'!M41)</f>
        <v>28.571428571428573</v>
      </c>
      <c r="N41" s="49">
        <f>AVERAGE('25.10 Isingiro-Mbarara'!N41,'26.10 Isingiro-Mbarara-24Hr'!N41,'27.10 Isingilo-Mbarara'!N41,'28.10 Isingiro-Mbarara-24Hr'!N41,'29.10 Isingiro-Mbarara'!N41,'30.10 Isingiro-Mbarara'!N41,'31.10 Isingiro-Mbarara'!N41)</f>
        <v>0</v>
      </c>
      <c r="O41" s="15">
        <f t="shared" si="0"/>
        <v>15.428571428571429</v>
      </c>
      <c r="P41" s="15">
        <f t="shared" si="1"/>
        <v>44</v>
      </c>
      <c r="R41" s="5" t="s">
        <v>180</v>
      </c>
      <c r="S41" s="16">
        <f>SUM(S10:S33)</f>
        <v>715.21428571428578</v>
      </c>
      <c r="T41" s="16">
        <f t="shared" ref="T41:AD41" si="33">SUM(T10:T33)</f>
        <v>112.35714285714286</v>
      </c>
      <c r="U41" s="16">
        <f t="shared" si="33"/>
        <v>110.21428571428572</v>
      </c>
      <c r="V41" s="16">
        <f t="shared" si="33"/>
        <v>139.35714285714286</v>
      </c>
      <c r="W41" s="16">
        <f t="shared" si="33"/>
        <v>2.9285714285714279</v>
      </c>
      <c r="X41" s="16">
        <f t="shared" si="33"/>
        <v>2.214285714285714</v>
      </c>
      <c r="Y41" s="16">
        <f t="shared" si="33"/>
        <v>111.14285714285714</v>
      </c>
      <c r="Z41" s="16">
        <f t="shared" si="33"/>
        <v>74.642857142857139</v>
      </c>
      <c r="AA41" s="16">
        <f t="shared" si="33"/>
        <v>9.5714285714285694</v>
      </c>
      <c r="AB41" s="16">
        <f t="shared" si="33"/>
        <v>7.2142857142857144</v>
      </c>
      <c r="AC41" s="16">
        <f t="shared" si="33"/>
        <v>2133.5714285714284</v>
      </c>
      <c r="AD41" s="16">
        <f t="shared" si="33"/>
        <v>0.71428571428571419</v>
      </c>
      <c r="AE41" s="32">
        <f>SUM(AE10:AE33)</f>
        <v>1285.5714285714284</v>
      </c>
      <c r="AF41" s="32">
        <f>SUM(AF10:AF33)</f>
        <v>3419.1428571428573</v>
      </c>
    </row>
    <row r="42" spans="2:32" ht="23.1" customHeight="1" x14ac:dyDescent="0.25">
      <c r="B42" s="24" t="s">
        <v>69</v>
      </c>
      <c r="C42" s="49">
        <f>AVERAGE('25.10 Isingiro-Mbarara'!C42,'26.10 Isingiro-Mbarara-24Hr'!C42,'27.10 Isingilo-Mbarara'!C42,'28.10 Isingiro-Mbarara-24Hr'!C42,'29.10 Isingiro-Mbarara'!C42,'30.10 Isingiro-Mbarara'!C42,'31.10 Isingiro-Mbarara'!C42)</f>
        <v>8.5714285714285712</v>
      </c>
      <c r="D42" s="49">
        <f>AVERAGE('25.10 Isingiro-Mbarara'!D42,'26.10 Isingiro-Mbarara-24Hr'!D42,'27.10 Isingilo-Mbarara'!D42,'28.10 Isingiro-Mbarara-24Hr'!D42,'29.10 Isingiro-Mbarara'!D42,'30.10 Isingiro-Mbarara'!D42,'31.10 Isingiro-Mbarara'!D42)</f>
        <v>2.2857142857142856</v>
      </c>
      <c r="E42" s="49">
        <f>AVERAGE('25.10 Isingiro-Mbarara'!E42,'26.10 Isingiro-Mbarara-24Hr'!E42,'27.10 Isingilo-Mbarara'!E42,'28.10 Isingiro-Mbarara-24Hr'!E42,'29.10 Isingiro-Mbarara'!E42,'30.10 Isingiro-Mbarara'!E42,'31.10 Isingiro-Mbarara'!E42)</f>
        <v>2.2857142857142856</v>
      </c>
      <c r="F42" s="49">
        <f>AVERAGE('25.10 Isingiro-Mbarara'!F42,'26.10 Isingiro-Mbarara-24Hr'!F42,'27.10 Isingilo-Mbarara'!F42,'28.10 Isingiro-Mbarara-24Hr'!F42,'29.10 Isingiro-Mbarara'!F42,'30.10 Isingiro-Mbarara'!F42,'31.10 Isingiro-Mbarara'!F42)</f>
        <v>2.2857142857142856</v>
      </c>
      <c r="G42" s="49">
        <f>AVERAGE('25.10 Isingiro-Mbarara'!G42,'26.10 Isingiro-Mbarara-24Hr'!G42,'27.10 Isingilo-Mbarara'!G42,'28.10 Isingiro-Mbarara-24Hr'!G42,'29.10 Isingiro-Mbarara'!G42,'30.10 Isingiro-Mbarara'!G42,'31.10 Isingiro-Mbarara'!G42)</f>
        <v>0</v>
      </c>
      <c r="H42" s="49">
        <f>AVERAGE('25.10 Isingiro-Mbarara'!H42,'26.10 Isingiro-Mbarara-24Hr'!H42,'27.10 Isingilo-Mbarara'!H42,'28.10 Isingiro-Mbarara-24Hr'!H42,'29.10 Isingiro-Mbarara'!H42,'30.10 Isingiro-Mbarara'!H42,'31.10 Isingiro-Mbarara'!H42)</f>
        <v>0</v>
      </c>
      <c r="I42" s="49">
        <f>AVERAGE('25.10 Isingiro-Mbarara'!I42,'26.10 Isingiro-Mbarara-24Hr'!I42,'27.10 Isingilo-Mbarara'!I42,'28.10 Isingiro-Mbarara-24Hr'!I42,'29.10 Isingiro-Mbarara'!I42,'30.10 Isingiro-Mbarara'!I42,'31.10 Isingiro-Mbarara'!I42)</f>
        <v>1.8571428571428572</v>
      </c>
      <c r="J42" s="49">
        <f>AVERAGE('25.10 Isingiro-Mbarara'!J42,'26.10 Isingiro-Mbarara-24Hr'!J42,'27.10 Isingilo-Mbarara'!J42,'28.10 Isingiro-Mbarara-24Hr'!J42,'29.10 Isingiro-Mbarara'!J42,'30.10 Isingiro-Mbarara'!J42,'31.10 Isingiro-Mbarara'!J42)</f>
        <v>0.42857142857142855</v>
      </c>
      <c r="K42" s="49">
        <f>AVERAGE('25.10 Isingiro-Mbarara'!K42,'26.10 Isingiro-Mbarara-24Hr'!K42,'27.10 Isingilo-Mbarara'!K42,'28.10 Isingiro-Mbarara-24Hr'!K42,'29.10 Isingiro-Mbarara'!K42,'30.10 Isingiro-Mbarara'!K42,'31.10 Isingiro-Mbarara'!K42)</f>
        <v>0.2857142857142857</v>
      </c>
      <c r="L42" s="49">
        <f>AVERAGE('25.10 Isingiro-Mbarara'!L42,'26.10 Isingiro-Mbarara-24Hr'!L42,'27.10 Isingilo-Mbarara'!L42,'28.10 Isingiro-Mbarara-24Hr'!L42,'29.10 Isingiro-Mbarara'!L42,'30.10 Isingiro-Mbarara'!L42,'31.10 Isingiro-Mbarara'!L42)</f>
        <v>0.42857142857142855</v>
      </c>
      <c r="M42" s="49">
        <f>AVERAGE('25.10 Isingiro-Mbarara'!M42,'26.10 Isingiro-Mbarara-24Hr'!M42,'27.10 Isingilo-Mbarara'!M42,'28.10 Isingiro-Mbarara-24Hr'!M42,'29.10 Isingiro-Mbarara'!M42,'30.10 Isingiro-Mbarara'!M42,'31.10 Isingiro-Mbarara'!M42)</f>
        <v>33.714285714285715</v>
      </c>
      <c r="N42" s="49">
        <f>AVERAGE('25.10 Isingiro-Mbarara'!N42,'26.10 Isingiro-Mbarara-24Hr'!N42,'27.10 Isingilo-Mbarara'!N42,'28.10 Isingiro-Mbarara-24Hr'!N42,'29.10 Isingiro-Mbarara'!N42,'30.10 Isingiro-Mbarara'!N42,'31.10 Isingiro-Mbarara'!N42)</f>
        <v>0</v>
      </c>
      <c r="O42" s="15">
        <f t="shared" si="0"/>
        <v>18.428571428571423</v>
      </c>
      <c r="P42" s="15">
        <f t="shared" si="1"/>
        <v>52.142857142857139</v>
      </c>
      <c r="R42" s="5" t="s">
        <v>160</v>
      </c>
      <c r="S42" s="48">
        <f>S41/S40</f>
        <v>1.3476446837146703</v>
      </c>
      <c r="T42" s="48">
        <f t="shared" ref="T42:AF42" si="34">T41/T40</f>
        <v>1.2366352201257862</v>
      </c>
      <c r="U42" s="48">
        <f t="shared" si="34"/>
        <v>1.2710049423393739</v>
      </c>
      <c r="V42" s="48">
        <f t="shared" si="34"/>
        <v>1.1724759615384615</v>
      </c>
      <c r="W42" s="48">
        <f t="shared" si="34"/>
        <v>1.2058823529411766</v>
      </c>
      <c r="X42" s="48">
        <f t="shared" si="34"/>
        <v>1.2916666666666667</v>
      </c>
      <c r="Y42" s="48">
        <f t="shared" si="34"/>
        <v>1.369718309859155</v>
      </c>
      <c r="Z42" s="48">
        <f t="shared" si="34"/>
        <v>1.5188953488372094</v>
      </c>
      <c r="AA42" s="48">
        <f t="shared" si="34"/>
        <v>1.4565217391304348</v>
      </c>
      <c r="AB42" s="48">
        <f t="shared" si="34"/>
        <v>1.2625</v>
      </c>
      <c r="AC42" s="48">
        <f t="shared" si="34"/>
        <v>1.1948955916473318</v>
      </c>
      <c r="AD42" s="48">
        <f t="shared" si="34"/>
        <v>1</v>
      </c>
      <c r="AE42" s="52">
        <f t="shared" si="34"/>
        <v>1.3191146291410143</v>
      </c>
      <c r="AF42" s="52">
        <f t="shared" si="34"/>
        <v>1.2387557579835413</v>
      </c>
    </row>
    <row r="43" spans="2:32" ht="23.1" customHeight="1" x14ac:dyDescent="0.25">
      <c r="B43" s="23" t="s">
        <v>70</v>
      </c>
      <c r="C43" s="49">
        <f>AVERAGE('25.10 Isingiro-Mbarara'!C43,'26.10 Isingiro-Mbarara-24Hr'!C43,'27.10 Isingilo-Mbarara'!C43,'28.10 Isingiro-Mbarara-24Hr'!C43,'29.10 Isingiro-Mbarara'!C43,'30.10 Isingiro-Mbarara'!C43,'31.10 Isingiro-Mbarara'!C43)</f>
        <v>6.7142857142857144</v>
      </c>
      <c r="D43" s="49">
        <f>AVERAGE('25.10 Isingiro-Mbarara'!D43,'26.10 Isingiro-Mbarara-24Hr'!D43,'27.10 Isingilo-Mbarara'!D43,'28.10 Isingiro-Mbarara-24Hr'!D43,'29.10 Isingiro-Mbarara'!D43,'30.10 Isingiro-Mbarara'!D43,'31.10 Isingiro-Mbarara'!D43)</f>
        <v>1.5714285714285714</v>
      </c>
      <c r="E43" s="49">
        <f>AVERAGE('25.10 Isingiro-Mbarara'!E43,'26.10 Isingiro-Mbarara-24Hr'!E43,'27.10 Isingilo-Mbarara'!E43,'28.10 Isingiro-Mbarara-24Hr'!E43,'29.10 Isingiro-Mbarara'!E43,'30.10 Isingiro-Mbarara'!E43,'31.10 Isingiro-Mbarara'!E43)</f>
        <v>1</v>
      </c>
      <c r="F43" s="49">
        <f>AVERAGE('25.10 Isingiro-Mbarara'!F43,'26.10 Isingiro-Mbarara-24Hr'!F43,'27.10 Isingilo-Mbarara'!F43,'28.10 Isingiro-Mbarara-24Hr'!F43,'29.10 Isingiro-Mbarara'!F43,'30.10 Isingiro-Mbarara'!F43,'31.10 Isingiro-Mbarara'!F43)</f>
        <v>2.4285714285714284</v>
      </c>
      <c r="G43" s="49">
        <f>AVERAGE('25.10 Isingiro-Mbarara'!G43,'26.10 Isingiro-Mbarara-24Hr'!G43,'27.10 Isingilo-Mbarara'!G43,'28.10 Isingiro-Mbarara-24Hr'!G43,'29.10 Isingiro-Mbarara'!G43,'30.10 Isingiro-Mbarara'!G43,'31.10 Isingiro-Mbarara'!G43)</f>
        <v>0</v>
      </c>
      <c r="H43" s="49">
        <f>AVERAGE('25.10 Isingiro-Mbarara'!H43,'26.10 Isingiro-Mbarara-24Hr'!H43,'27.10 Isingilo-Mbarara'!H43,'28.10 Isingiro-Mbarara-24Hr'!H43,'29.10 Isingiro-Mbarara'!H43,'30.10 Isingiro-Mbarara'!H43,'31.10 Isingiro-Mbarara'!H43)</f>
        <v>0</v>
      </c>
      <c r="I43" s="49">
        <f>AVERAGE('25.10 Isingiro-Mbarara'!I43,'26.10 Isingiro-Mbarara-24Hr'!I43,'27.10 Isingilo-Mbarara'!I43,'28.10 Isingiro-Mbarara-24Hr'!I43,'29.10 Isingiro-Mbarara'!I43,'30.10 Isingiro-Mbarara'!I43,'31.10 Isingiro-Mbarara'!I43)</f>
        <v>2</v>
      </c>
      <c r="J43" s="49">
        <f>AVERAGE('25.10 Isingiro-Mbarara'!J43,'26.10 Isingiro-Mbarara-24Hr'!J43,'27.10 Isingilo-Mbarara'!J43,'28.10 Isingiro-Mbarara-24Hr'!J43,'29.10 Isingiro-Mbarara'!J43,'30.10 Isingiro-Mbarara'!J43,'31.10 Isingiro-Mbarara'!J43)</f>
        <v>0.8571428571428571</v>
      </c>
      <c r="K43" s="49">
        <f>AVERAGE('25.10 Isingiro-Mbarara'!K43,'26.10 Isingiro-Mbarara-24Hr'!K43,'27.10 Isingilo-Mbarara'!K43,'28.10 Isingiro-Mbarara-24Hr'!K43,'29.10 Isingiro-Mbarara'!K43,'30.10 Isingiro-Mbarara'!K43,'31.10 Isingiro-Mbarara'!K43)</f>
        <v>0.5714285714285714</v>
      </c>
      <c r="L43" s="49">
        <f>AVERAGE('25.10 Isingiro-Mbarara'!L43,'26.10 Isingiro-Mbarara-24Hr'!L43,'27.10 Isingilo-Mbarara'!L43,'28.10 Isingiro-Mbarara-24Hr'!L43,'29.10 Isingiro-Mbarara'!L43,'30.10 Isingiro-Mbarara'!L43,'31.10 Isingiro-Mbarara'!L43)</f>
        <v>0</v>
      </c>
      <c r="M43" s="49">
        <f>AVERAGE('25.10 Isingiro-Mbarara'!M43,'26.10 Isingiro-Mbarara-24Hr'!M43,'27.10 Isingilo-Mbarara'!M43,'28.10 Isingiro-Mbarara-24Hr'!M43,'29.10 Isingiro-Mbarara'!M43,'30.10 Isingiro-Mbarara'!M43,'31.10 Isingiro-Mbarara'!M43)</f>
        <v>29.571428571428573</v>
      </c>
      <c r="N43" s="49">
        <f>AVERAGE('25.10 Isingiro-Mbarara'!N43,'26.10 Isingiro-Mbarara-24Hr'!N43,'27.10 Isingilo-Mbarara'!N43,'28.10 Isingiro-Mbarara-24Hr'!N43,'29.10 Isingiro-Mbarara'!N43,'30.10 Isingiro-Mbarara'!N43,'31.10 Isingiro-Mbarara'!N43)</f>
        <v>0</v>
      </c>
      <c r="O43" s="15">
        <f t="shared" si="0"/>
        <v>15.142857142857144</v>
      </c>
      <c r="P43" s="15">
        <f t="shared" si="1"/>
        <v>44.714285714285715</v>
      </c>
    </row>
    <row r="44" spans="2:32" ht="23.1" customHeight="1" x14ac:dyDescent="0.25">
      <c r="B44" s="25" t="s">
        <v>71</v>
      </c>
      <c r="C44" s="49">
        <f>AVERAGE('25.10 Isingiro-Mbarara'!C44,'26.10 Isingiro-Mbarara-24Hr'!C44,'27.10 Isingilo-Mbarara'!C44,'28.10 Isingiro-Mbarara-24Hr'!C44,'29.10 Isingiro-Mbarara'!C44,'30.10 Isingiro-Mbarara'!C44,'31.10 Isingiro-Mbarara'!C44)</f>
        <v>9.4285714285714288</v>
      </c>
      <c r="D44" s="49">
        <f>AVERAGE('25.10 Isingiro-Mbarara'!D44,'26.10 Isingiro-Mbarara-24Hr'!D44,'27.10 Isingilo-Mbarara'!D44,'28.10 Isingiro-Mbarara-24Hr'!D44,'29.10 Isingiro-Mbarara'!D44,'30.10 Isingiro-Mbarara'!D44,'31.10 Isingiro-Mbarara'!D44)</f>
        <v>1.8571428571428572</v>
      </c>
      <c r="E44" s="49">
        <f>AVERAGE('25.10 Isingiro-Mbarara'!E44,'26.10 Isingiro-Mbarara-24Hr'!E44,'27.10 Isingilo-Mbarara'!E44,'28.10 Isingiro-Mbarara-24Hr'!E44,'29.10 Isingiro-Mbarara'!E44,'30.10 Isingiro-Mbarara'!E44,'31.10 Isingiro-Mbarara'!E44)</f>
        <v>2.2857142857142856</v>
      </c>
      <c r="F44" s="49">
        <f>AVERAGE('25.10 Isingiro-Mbarara'!F44,'26.10 Isingiro-Mbarara-24Hr'!F44,'27.10 Isingilo-Mbarara'!F44,'28.10 Isingiro-Mbarara-24Hr'!F44,'29.10 Isingiro-Mbarara'!F44,'30.10 Isingiro-Mbarara'!F44,'31.10 Isingiro-Mbarara'!F44)</f>
        <v>2</v>
      </c>
      <c r="G44" s="49">
        <f>AVERAGE('25.10 Isingiro-Mbarara'!G44,'26.10 Isingiro-Mbarara-24Hr'!G44,'27.10 Isingilo-Mbarara'!G44,'28.10 Isingiro-Mbarara-24Hr'!G44,'29.10 Isingiro-Mbarara'!G44,'30.10 Isingiro-Mbarara'!G44,'31.10 Isingiro-Mbarara'!G44)</f>
        <v>0</v>
      </c>
      <c r="H44" s="49">
        <f>AVERAGE('25.10 Isingiro-Mbarara'!H44,'26.10 Isingiro-Mbarara-24Hr'!H44,'27.10 Isingilo-Mbarara'!H44,'28.10 Isingiro-Mbarara-24Hr'!H44,'29.10 Isingiro-Mbarara'!H44,'30.10 Isingiro-Mbarara'!H44,'31.10 Isingiro-Mbarara'!H44)</f>
        <v>0</v>
      </c>
      <c r="I44" s="49">
        <f>AVERAGE('25.10 Isingiro-Mbarara'!I44,'26.10 Isingiro-Mbarara-24Hr'!I44,'27.10 Isingilo-Mbarara'!I44,'28.10 Isingiro-Mbarara-24Hr'!I44,'29.10 Isingiro-Mbarara'!I44,'30.10 Isingiro-Mbarara'!I44,'31.10 Isingiro-Mbarara'!I44)</f>
        <v>2.2857142857142856</v>
      </c>
      <c r="J44" s="49">
        <f>AVERAGE('25.10 Isingiro-Mbarara'!J44,'26.10 Isingiro-Mbarara-24Hr'!J44,'27.10 Isingilo-Mbarara'!J44,'28.10 Isingiro-Mbarara-24Hr'!J44,'29.10 Isingiro-Mbarara'!J44,'30.10 Isingiro-Mbarara'!J44,'31.10 Isingiro-Mbarara'!J44)</f>
        <v>1.4285714285714286</v>
      </c>
      <c r="K44" s="49">
        <f>AVERAGE('25.10 Isingiro-Mbarara'!K44,'26.10 Isingiro-Mbarara-24Hr'!K44,'27.10 Isingilo-Mbarara'!K44,'28.10 Isingiro-Mbarara-24Hr'!K44,'29.10 Isingiro-Mbarara'!K44,'30.10 Isingiro-Mbarara'!K44,'31.10 Isingiro-Mbarara'!K44)</f>
        <v>0.42857142857142855</v>
      </c>
      <c r="L44" s="49">
        <f>AVERAGE('25.10 Isingiro-Mbarara'!L44,'26.10 Isingiro-Mbarara-24Hr'!L44,'27.10 Isingilo-Mbarara'!L44,'28.10 Isingiro-Mbarara-24Hr'!L44,'29.10 Isingiro-Mbarara'!L44,'30.10 Isingiro-Mbarara'!L44,'31.10 Isingiro-Mbarara'!L44)</f>
        <v>0</v>
      </c>
      <c r="M44" s="49">
        <f>AVERAGE('25.10 Isingiro-Mbarara'!M44,'26.10 Isingiro-Mbarara-24Hr'!M44,'27.10 Isingilo-Mbarara'!M44,'28.10 Isingiro-Mbarara-24Hr'!M44,'29.10 Isingiro-Mbarara'!M44,'30.10 Isingiro-Mbarara'!M44,'31.10 Isingiro-Mbarara'!M44)</f>
        <v>27</v>
      </c>
      <c r="N44" s="49">
        <f>AVERAGE('25.10 Isingiro-Mbarara'!N44,'26.10 Isingiro-Mbarara-24Hr'!N44,'27.10 Isingilo-Mbarara'!N44,'28.10 Isingiro-Mbarara-24Hr'!N44,'29.10 Isingiro-Mbarara'!N44,'30.10 Isingiro-Mbarara'!N44,'31.10 Isingiro-Mbarara'!N44)</f>
        <v>0</v>
      </c>
      <c r="O44" s="15">
        <f t="shared" si="0"/>
        <v>19.714285714285712</v>
      </c>
      <c r="P44" s="15">
        <f t="shared" si="1"/>
        <v>46.714285714285708</v>
      </c>
    </row>
    <row r="45" spans="2:32" ht="23.1" customHeight="1" x14ac:dyDescent="0.25">
      <c r="B45" s="23" t="s">
        <v>72</v>
      </c>
      <c r="C45" s="49">
        <f>AVERAGE('25.10 Isingiro-Mbarara'!C45,'26.10 Isingiro-Mbarara-24Hr'!C45,'27.10 Isingilo-Mbarara'!C45,'28.10 Isingiro-Mbarara-24Hr'!C45,'29.10 Isingiro-Mbarara'!C45,'30.10 Isingiro-Mbarara'!C45,'31.10 Isingiro-Mbarara'!C45)</f>
        <v>10.428571428571429</v>
      </c>
      <c r="D45" s="49">
        <f>AVERAGE('25.10 Isingiro-Mbarara'!D45,'26.10 Isingiro-Mbarara-24Hr'!D45,'27.10 Isingilo-Mbarara'!D45,'28.10 Isingiro-Mbarara-24Hr'!D45,'29.10 Isingiro-Mbarara'!D45,'30.10 Isingiro-Mbarara'!D45,'31.10 Isingiro-Mbarara'!D45)</f>
        <v>3.5714285714285716</v>
      </c>
      <c r="E45" s="49">
        <f>AVERAGE('25.10 Isingiro-Mbarara'!E45,'26.10 Isingiro-Mbarara-24Hr'!E45,'27.10 Isingilo-Mbarara'!E45,'28.10 Isingiro-Mbarara-24Hr'!E45,'29.10 Isingiro-Mbarara'!E45,'30.10 Isingiro-Mbarara'!E45,'31.10 Isingiro-Mbarara'!E45)</f>
        <v>2.5714285714285716</v>
      </c>
      <c r="F45" s="49">
        <f>AVERAGE('25.10 Isingiro-Mbarara'!F45,'26.10 Isingiro-Mbarara-24Hr'!F45,'27.10 Isingilo-Mbarara'!F45,'28.10 Isingiro-Mbarara-24Hr'!F45,'29.10 Isingiro-Mbarara'!F45,'30.10 Isingiro-Mbarara'!F45,'31.10 Isingiro-Mbarara'!F45)</f>
        <v>1.1428571428571428</v>
      </c>
      <c r="G45" s="49">
        <f>AVERAGE('25.10 Isingiro-Mbarara'!G45,'26.10 Isingiro-Mbarara-24Hr'!G45,'27.10 Isingilo-Mbarara'!G45,'28.10 Isingiro-Mbarara-24Hr'!G45,'29.10 Isingiro-Mbarara'!G45,'30.10 Isingiro-Mbarara'!G45,'31.10 Isingiro-Mbarara'!G45)</f>
        <v>0.14285714285714285</v>
      </c>
      <c r="H45" s="49">
        <f>AVERAGE('25.10 Isingiro-Mbarara'!H45,'26.10 Isingiro-Mbarara-24Hr'!H45,'27.10 Isingilo-Mbarara'!H45,'28.10 Isingiro-Mbarara-24Hr'!H45,'29.10 Isingiro-Mbarara'!H45,'30.10 Isingiro-Mbarara'!H45,'31.10 Isingiro-Mbarara'!H45)</f>
        <v>0.7142857142857143</v>
      </c>
      <c r="I45" s="49">
        <f>AVERAGE('25.10 Isingiro-Mbarara'!I45,'26.10 Isingiro-Mbarara-24Hr'!I45,'27.10 Isingilo-Mbarara'!I45,'28.10 Isingiro-Mbarara-24Hr'!I45,'29.10 Isingiro-Mbarara'!I45,'30.10 Isingiro-Mbarara'!I45,'31.10 Isingiro-Mbarara'!I45)</f>
        <v>1.4285714285714286</v>
      </c>
      <c r="J45" s="49">
        <f>AVERAGE('25.10 Isingiro-Mbarara'!J45,'26.10 Isingiro-Mbarara-24Hr'!J45,'27.10 Isingilo-Mbarara'!J45,'28.10 Isingiro-Mbarara-24Hr'!J45,'29.10 Isingiro-Mbarara'!J45,'30.10 Isingiro-Mbarara'!J45,'31.10 Isingiro-Mbarara'!J45)</f>
        <v>1.1428571428571428</v>
      </c>
      <c r="K45" s="49">
        <f>AVERAGE('25.10 Isingiro-Mbarara'!K45,'26.10 Isingiro-Mbarara-24Hr'!K45,'27.10 Isingilo-Mbarara'!K45,'28.10 Isingiro-Mbarara-24Hr'!K45,'29.10 Isingiro-Mbarara'!K45,'30.10 Isingiro-Mbarara'!K45,'31.10 Isingiro-Mbarara'!K45)</f>
        <v>0</v>
      </c>
      <c r="L45" s="49">
        <f>AVERAGE('25.10 Isingiro-Mbarara'!L45,'26.10 Isingiro-Mbarara-24Hr'!L45,'27.10 Isingilo-Mbarara'!L45,'28.10 Isingiro-Mbarara-24Hr'!L45,'29.10 Isingiro-Mbarara'!L45,'30.10 Isingiro-Mbarara'!L45,'31.10 Isingiro-Mbarara'!L45)</f>
        <v>0</v>
      </c>
      <c r="M45" s="49">
        <f>AVERAGE('25.10 Isingiro-Mbarara'!M45,'26.10 Isingiro-Mbarara-24Hr'!M45,'27.10 Isingilo-Mbarara'!M45,'28.10 Isingiro-Mbarara-24Hr'!M45,'29.10 Isingiro-Mbarara'!M45,'30.10 Isingiro-Mbarara'!M45,'31.10 Isingiro-Mbarara'!M45)</f>
        <v>34.428571428571431</v>
      </c>
      <c r="N45" s="49">
        <f>AVERAGE('25.10 Isingiro-Mbarara'!N45,'26.10 Isingiro-Mbarara-24Hr'!N45,'27.10 Isingilo-Mbarara'!N45,'28.10 Isingiro-Mbarara-24Hr'!N45,'29.10 Isingiro-Mbarara'!N45,'30.10 Isingiro-Mbarara'!N45,'31.10 Isingiro-Mbarara'!N45)</f>
        <v>0</v>
      </c>
      <c r="O45" s="15">
        <f t="shared" si="0"/>
        <v>21.142857142857142</v>
      </c>
      <c r="P45" s="15">
        <f t="shared" si="1"/>
        <v>55.571428571428569</v>
      </c>
    </row>
    <row r="46" spans="2:32" ht="23.1" customHeight="1" x14ac:dyDescent="0.25">
      <c r="B46" s="24" t="s">
        <v>73</v>
      </c>
      <c r="C46" s="49">
        <f>AVERAGE('25.10 Isingiro-Mbarara'!C46,'26.10 Isingiro-Mbarara-24Hr'!C46,'27.10 Isingilo-Mbarara'!C46,'28.10 Isingiro-Mbarara-24Hr'!C46,'29.10 Isingiro-Mbarara'!C46,'30.10 Isingiro-Mbarara'!C46,'31.10 Isingiro-Mbarara'!C46)</f>
        <v>11</v>
      </c>
      <c r="D46" s="49">
        <f>AVERAGE('25.10 Isingiro-Mbarara'!D46,'26.10 Isingiro-Mbarara-24Hr'!D46,'27.10 Isingilo-Mbarara'!D46,'28.10 Isingiro-Mbarara-24Hr'!D46,'29.10 Isingiro-Mbarara'!D46,'30.10 Isingiro-Mbarara'!D46,'31.10 Isingiro-Mbarara'!D46)</f>
        <v>3.2857142857142856</v>
      </c>
      <c r="E46" s="49">
        <f>AVERAGE('25.10 Isingiro-Mbarara'!E46,'26.10 Isingiro-Mbarara-24Hr'!E46,'27.10 Isingilo-Mbarara'!E46,'28.10 Isingiro-Mbarara-24Hr'!E46,'29.10 Isingiro-Mbarara'!E46,'30.10 Isingiro-Mbarara'!E46,'31.10 Isingiro-Mbarara'!E46)</f>
        <v>2.5714285714285716</v>
      </c>
      <c r="F46" s="49">
        <f>AVERAGE('25.10 Isingiro-Mbarara'!F46,'26.10 Isingiro-Mbarara-24Hr'!F46,'27.10 Isingilo-Mbarara'!F46,'28.10 Isingiro-Mbarara-24Hr'!F46,'29.10 Isingiro-Mbarara'!F46,'30.10 Isingiro-Mbarara'!F46,'31.10 Isingiro-Mbarara'!F46)</f>
        <v>1.4285714285714286</v>
      </c>
      <c r="G46" s="49">
        <f>AVERAGE('25.10 Isingiro-Mbarara'!G46,'26.10 Isingiro-Mbarara-24Hr'!G46,'27.10 Isingilo-Mbarara'!G46,'28.10 Isingiro-Mbarara-24Hr'!G46,'29.10 Isingiro-Mbarara'!G46,'30.10 Isingiro-Mbarara'!G46,'31.10 Isingiro-Mbarara'!G46)</f>
        <v>0.42857142857142855</v>
      </c>
      <c r="H46" s="49">
        <f>AVERAGE('25.10 Isingiro-Mbarara'!H46,'26.10 Isingiro-Mbarara-24Hr'!H46,'27.10 Isingilo-Mbarara'!H46,'28.10 Isingiro-Mbarara-24Hr'!H46,'29.10 Isingiro-Mbarara'!H46,'30.10 Isingiro-Mbarara'!H46,'31.10 Isingiro-Mbarara'!H46)</f>
        <v>0</v>
      </c>
      <c r="I46" s="49">
        <f>AVERAGE('25.10 Isingiro-Mbarara'!I46,'26.10 Isingiro-Mbarara-24Hr'!I46,'27.10 Isingilo-Mbarara'!I46,'28.10 Isingiro-Mbarara-24Hr'!I46,'29.10 Isingiro-Mbarara'!I46,'30.10 Isingiro-Mbarara'!I46,'31.10 Isingiro-Mbarara'!I46)</f>
        <v>2.7142857142857144</v>
      </c>
      <c r="J46" s="49">
        <f>AVERAGE('25.10 Isingiro-Mbarara'!J46,'26.10 Isingiro-Mbarara-24Hr'!J46,'27.10 Isingilo-Mbarara'!J46,'28.10 Isingiro-Mbarara-24Hr'!J46,'29.10 Isingiro-Mbarara'!J46,'30.10 Isingiro-Mbarara'!J46,'31.10 Isingiro-Mbarara'!J46)</f>
        <v>1.2857142857142858</v>
      </c>
      <c r="K46" s="49">
        <f>AVERAGE('25.10 Isingiro-Mbarara'!K46,'26.10 Isingiro-Mbarara-24Hr'!K46,'27.10 Isingilo-Mbarara'!K46,'28.10 Isingiro-Mbarara-24Hr'!K46,'29.10 Isingiro-Mbarara'!K46,'30.10 Isingiro-Mbarara'!K46,'31.10 Isingiro-Mbarara'!K46)</f>
        <v>0</v>
      </c>
      <c r="L46" s="49">
        <f>AVERAGE('25.10 Isingiro-Mbarara'!L46,'26.10 Isingiro-Mbarara-24Hr'!L46,'27.10 Isingilo-Mbarara'!L46,'28.10 Isingiro-Mbarara-24Hr'!L46,'29.10 Isingiro-Mbarara'!L46,'30.10 Isingiro-Mbarara'!L46,'31.10 Isingiro-Mbarara'!L46)</f>
        <v>0.14285714285714285</v>
      </c>
      <c r="M46" s="49">
        <f>AVERAGE('25.10 Isingiro-Mbarara'!M46,'26.10 Isingiro-Mbarara-24Hr'!M46,'27.10 Isingilo-Mbarara'!M46,'28.10 Isingiro-Mbarara-24Hr'!M46,'29.10 Isingiro-Mbarara'!M46,'30.10 Isingiro-Mbarara'!M46,'31.10 Isingiro-Mbarara'!M46)</f>
        <v>38.285714285714285</v>
      </c>
      <c r="N46" s="49">
        <f>AVERAGE('25.10 Isingiro-Mbarara'!N46,'26.10 Isingiro-Mbarara-24Hr'!N46,'27.10 Isingilo-Mbarara'!N46,'28.10 Isingiro-Mbarara-24Hr'!N46,'29.10 Isingiro-Mbarara'!N46,'30.10 Isingiro-Mbarara'!N46,'31.10 Isingiro-Mbarara'!N46)</f>
        <v>0</v>
      </c>
      <c r="O46" s="15">
        <f t="shared" si="0"/>
        <v>22.857142857142854</v>
      </c>
      <c r="P46" s="15">
        <f t="shared" si="1"/>
        <v>61.142857142857139</v>
      </c>
      <c r="R46" s="8"/>
      <c r="T46"/>
    </row>
    <row r="47" spans="2:32" ht="23.1" customHeight="1" x14ac:dyDescent="0.25">
      <c r="B47" s="24" t="s">
        <v>74</v>
      </c>
      <c r="C47" s="49">
        <f>AVERAGE('25.10 Isingiro-Mbarara'!C47,'26.10 Isingiro-Mbarara-24Hr'!C47,'27.10 Isingilo-Mbarara'!C47,'28.10 Isingiro-Mbarara-24Hr'!C47,'29.10 Isingiro-Mbarara'!C47,'30.10 Isingiro-Mbarara'!C47,'31.10 Isingiro-Mbarara'!C47)</f>
        <v>10.428571428571429</v>
      </c>
      <c r="D47" s="49">
        <f>AVERAGE('25.10 Isingiro-Mbarara'!D47,'26.10 Isingiro-Mbarara-24Hr'!D47,'27.10 Isingilo-Mbarara'!D47,'28.10 Isingiro-Mbarara-24Hr'!D47,'29.10 Isingiro-Mbarara'!D47,'30.10 Isingiro-Mbarara'!D47,'31.10 Isingiro-Mbarara'!D47)</f>
        <v>2.1428571428571428</v>
      </c>
      <c r="E47" s="49">
        <f>AVERAGE('25.10 Isingiro-Mbarara'!E47,'26.10 Isingiro-Mbarara-24Hr'!E47,'27.10 Isingilo-Mbarara'!E47,'28.10 Isingiro-Mbarara-24Hr'!E47,'29.10 Isingiro-Mbarara'!E47,'30.10 Isingiro-Mbarara'!E47,'31.10 Isingiro-Mbarara'!E47)</f>
        <v>3</v>
      </c>
      <c r="F47" s="49">
        <f>AVERAGE('25.10 Isingiro-Mbarara'!F47,'26.10 Isingiro-Mbarara-24Hr'!F47,'27.10 Isingilo-Mbarara'!F47,'28.10 Isingiro-Mbarara-24Hr'!F47,'29.10 Isingiro-Mbarara'!F47,'30.10 Isingiro-Mbarara'!F47,'31.10 Isingiro-Mbarara'!F47)</f>
        <v>2</v>
      </c>
      <c r="G47" s="49">
        <f>AVERAGE('25.10 Isingiro-Mbarara'!G47,'26.10 Isingiro-Mbarara-24Hr'!G47,'27.10 Isingilo-Mbarara'!G47,'28.10 Isingiro-Mbarara-24Hr'!G47,'29.10 Isingiro-Mbarara'!G47,'30.10 Isingiro-Mbarara'!G47,'31.10 Isingiro-Mbarara'!G47)</f>
        <v>0.14285714285714285</v>
      </c>
      <c r="H47" s="49">
        <f>AVERAGE('25.10 Isingiro-Mbarara'!H47,'26.10 Isingiro-Mbarara-24Hr'!H47,'27.10 Isingilo-Mbarara'!H47,'28.10 Isingiro-Mbarara-24Hr'!H47,'29.10 Isingiro-Mbarara'!H47,'30.10 Isingiro-Mbarara'!H47,'31.10 Isingiro-Mbarara'!H47)</f>
        <v>0</v>
      </c>
      <c r="I47" s="49">
        <f>AVERAGE('25.10 Isingiro-Mbarara'!I47,'26.10 Isingiro-Mbarara-24Hr'!I47,'27.10 Isingilo-Mbarara'!I47,'28.10 Isingiro-Mbarara-24Hr'!I47,'29.10 Isingiro-Mbarara'!I47,'30.10 Isingiro-Mbarara'!I47,'31.10 Isingiro-Mbarara'!I47)</f>
        <v>2.4285714285714284</v>
      </c>
      <c r="J47" s="49">
        <f>AVERAGE('25.10 Isingiro-Mbarara'!J47,'26.10 Isingiro-Mbarara-24Hr'!J47,'27.10 Isingilo-Mbarara'!J47,'28.10 Isingiro-Mbarara-24Hr'!J47,'29.10 Isingiro-Mbarara'!J47,'30.10 Isingiro-Mbarara'!J47,'31.10 Isingiro-Mbarara'!J47)</f>
        <v>1.7142857142857142</v>
      </c>
      <c r="K47" s="49">
        <f>AVERAGE('25.10 Isingiro-Mbarara'!K47,'26.10 Isingiro-Mbarara-24Hr'!K47,'27.10 Isingilo-Mbarara'!K47,'28.10 Isingiro-Mbarara-24Hr'!K47,'29.10 Isingiro-Mbarara'!K47,'30.10 Isingiro-Mbarara'!K47,'31.10 Isingiro-Mbarara'!K47)</f>
        <v>0.14285714285714285</v>
      </c>
      <c r="L47" s="49">
        <f>AVERAGE('25.10 Isingiro-Mbarara'!L47,'26.10 Isingiro-Mbarara-24Hr'!L47,'27.10 Isingilo-Mbarara'!L47,'28.10 Isingiro-Mbarara-24Hr'!L47,'29.10 Isingiro-Mbarara'!L47,'30.10 Isingiro-Mbarara'!L47,'31.10 Isingiro-Mbarara'!L47)</f>
        <v>0.14285714285714285</v>
      </c>
      <c r="M47" s="49">
        <f>AVERAGE('25.10 Isingiro-Mbarara'!M47,'26.10 Isingiro-Mbarara-24Hr'!M47,'27.10 Isingilo-Mbarara'!M47,'28.10 Isingiro-Mbarara-24Hr'!M47,'29.10 Isingiro-Mbarara'!M47,'30.10 Isingiro-Mbarara'!M47,'31.10 Isingiro-Mbarara'!M47)</f>
        <v>36</v>
      </c>
      <c r="N47" s="49">
        <f>AVERAGE('25.10 Isingiro-Mbarara'!N47,'26.10 Isingiro-Mbarara-24Hr'!N47,'27.10 Isingilo-Mbarara'!N47,'28.10 Isingiro-Mbarara-24Hr'!N47,'29.10 Isingiro-Mbarara'!N47,'30.10 Isingiro-Mbarara'!N47,'31.10 Isingiro-Mbarara'!N47)</f>
        <v>0</v>
      </c>
      <c r="O47" s="15">
        <f t="shared" si="0"/>
        <v>22.142857142857139</v>
      </c>
      <c r="P47" s="15">
        <f t="shared" si="1"/>
        <v>58.142857142857139</v>
      </c>
      <c r="R47" s="8"/>
      <c r="T47"/>
    </row>
    <row r="48" spans="2:32" ht="23.1" customHeight="1" x14ac:dyDescent="0.25">
      <c r="B48" s="24" t="s">
        <v>75</v>
      </c>
      <c r="C48" s="49">
        <f>AVERAGE('25.10 Isingiro-Mbarara'!C48,'26.10 Isingiro-Mbarara-24Hr'!C48,'27.10 Isingilo-Mbarara'!C48,'28.10 Isingiro-Mbarara-24Hr'!C48,'29.10 Isingiro-Mbarara'!C48,'30.10 Isingiro-Mbarara'!C48,'31.10 Isingiro-Mbarara'!C48)</f>
        <v>11.857142857142858</v>
      </c>
      <c r="D48" s="49">
        <f>AVERAGE('25.10 Isingiro-Mbarara'!D48,'26.10 Isingiro-Mbarara-24Hr'!D48,'27.10 Isingilo-Mbarara'!D48,'28.10 Isingiro-Mbarara-24Hr'!D48,'29.10 Isingiro-Mbarara'!D48,'30.10 Isingiro-Mbarara'!D48,'31.10 Isingiro-Mbarara'!D48)</f>
        <v>1.8571428571428572</v>
      </c>
      <c r="E48" s="49">
        <f>AVERAGE('25.10 Isingiro-Mbarara'!E48,'26.10 Isingiro-Mbarara-24Hr'!E48,'27.10 Isingilo-Mbarara'!E48,'28.10 Isingiro-Mbarara-24Hr'!E48,'29.10 Isingiro-Mbarara'!E48,'30.10 Isingiro-Mbarara'!E48,'31.10 Isingiro-Mbarara'!E48)</f>
        <v>2</v>
      </c>
      <c r="F48" s="49">
        <f>AVERAGE('25.10 Isingiro-Mbarara'!F48,'26.10 Isingiro-Mbarara-24Hr'!F48,'27.10 Isingilo-Mbarara'!F48,'28.10 Isingiro-Mbarara-24Hr'!F48,'29.10 Isingiro-Mbarara'!F48,'30.10 Isingiro-Mbarara'!F48,'31.10 Isingiro-Mbarara'!F48)</f>
        <v>1</v>
      </c>
      <c r="G48" s="49">
        <f>AVERAGE('25.10 Isingiro-Mbarara'!G48,'26.10 Isingiro-Mbarara-24Hr'!G48,'27.10 Isingilo-Mbarara'!G48,'28.10 Isingiro-Mbarara-24Hr'!G48,'29.10 Isingiro-Mbarara'!G48,'30.10 Isingiro-Mbarara'!G48,'31.10 Isingiro-Mbarara'!G48)</f>
        <v>0</v>
      </c>
      <c r="H48" s="49">
        <f>AVERAGE('25.10 Isingiro-Mbarara'!H48,'26.10 Isingiro-Mbarara-24Hr'!H48,'27.10 Isingilo-Mbarara'!H48,'28.10 Isingiro-Mbarara-24Hr'!H48,'29.10 Isingiro-Mbarara'!H48,'30.10 Isingiro-Mbarara'!H48,'31.10 Isingiro-Mbarara'!H48)</f>
        <v>0</v>
      </c>
      <c r="I48" s="49">
        <f>AVERAGE('25.10 Isingiro-Mbarara'!I48,'26.10 Isingiro-Mbarara-24Hr'!I48,'27.10 Isingilo-Mbarara'!I48,'28.10 Isingiro-Mbarara-24Hr'!I48,'29.10 Isingiro-Mbarara'!I48,'30.10 Isingiro-Mbarara'!I48,'31.10 Isingiro-Mbarara'!I48)</f>
        <v>2.2857142857142856</v>
      </c>
      <c r="J48" s="49">
        <f>AVERAGE('25.10 Isingiro-Mbarara'!J48,'26.10 Isingiro-Mbarara-24Hr'!J48,'27.10 Isingilo-Mbarara'!J48,'28.10 Isingiro-Mbarara-24Hr'!J48,'29.10 Isingiro-Mbarara'!J48,'30.10 Isingiro-Mbarara'!J48,'31.10 Isingiro-Mbarara'!J48)</f>
        <v>0.5714285714285714</v>
      </c>
      <c r="K48" s="49">
        <f>AVERAGE('25.10 Isingiro-Mbarara'!K48,'26.10 Isingiro-Mbarara-24Hr'!K48,'27.10 Isingilo-Mbarara'!K48,'28.10 Isingiro-Mbarara-24Hr'!K48,'29.10 Isingiro-Mbarara'!K48,'30.10 Isingiro-Mbarara'!K48,'31.10 Isingiro-Mbarara'!K48)</f>
        <v>0.14285714285714285</v>
      </c>
      <c r="L48" s="49">
        <f>AVERAGE('25.10 Isingiro-Mbarara'!L48,'26.10 Isingiro-Mbarara-24Hr'!L48,'27.10 Isingilo-Mbarara'!L48,'28.10 Isingiro-Mbarara-24Hr'!L48,'29.10 Isingiro-Mbarara'!L48,'30.10 Isingiro-Mbarara'!L48,'31.10 Isingiro-Mbarara'!L48)</f>
        <v>0</v>
      </c>
      <c r="M48" s="49">
        <f>AVERAGE('25.10 Isingiro-Mbarara'!M48,'26.10 Isingiro-Mbarara-24Hr'!M48,'27.10 Isingilo-Mbarara'!M48,'28.10 Isingiro-Mbarara-24Hr'!M48,'29.10 Isingiro-Mbarara'!M48,'30.10 Isingiro-Mbarara'!M48,'31.10 Isingiro-Mbarara'!M48)</f>
        <v>37.285714285714285</v>
      </c>
      <c r="N48" s="49">
        <f>AVERAGE('25.10 Isingiro-Mbarara'!N48,'26.10 Isingiro-Mbarara-24Hr'!N48,'27.10 Isingilo-Mbarara'!N48,'28.10 Isingiro-Mbarara-24Hr'!N48,'29.10 Isingiro-Mbarara'!N48,'30.10 Isingiro-Mbarara'!N48,'31.10 Isingiro-Mbarara'!N48)</f>
        <v>0.14285714285714285</v>
      </c>
      <c r="O48" s="15">
        <f t="shared" si="0"/>
        <v>19.857142857142858</v>
      </c>
      <c r="P48" s="15">
        <f t="shared" si="1"/>
        <v>57.142857142857146</v>
      </c>
      <c r="R48" s="8"/>
      <c r="T48"/>
    </row>
    <row r="49" spans="2:20" ht="23.1" customHeight="1" x14ac:dyDescent="0.25">
      <c r="B49" s="23" t="s">
        <v>76</v>
      </c>
      <c r="C49" s="49">
        <f>AVERAGE('25.10 Isingiro-Mbarara'!C49,'26.10 Isingiro-Mbarara-24Hr'!C49,'27.10 Isingilo-Mbarara'!C49,'28.10 Isingiro-Mbarara-24Hr'!C49,'29.10 Isingiro-Mbarara'!C49,'30.10 Isingiro-Mbarara'!C49,'31.10 Isingiro-Mbarara'!C49)</f>
        <v>9.7142857142857135</v>
      </c>
      <c r="D49" s="49">
        <f>AVERAGE('25.10 Isingiro-Mbarara'!D49,'26.10 Isingiro-Mbarara-24Hr'!D49,'27.10 Isingilo-Mbarara'!D49,'28.10 Isingiro-Mbarara-24Hr'!D49,'29.10 Isingiro-Mbarara'!D49,'30.10 Isingiro-Mbarara'!D49,'31.10 Isingiro-Mbarara'!D49)</f>
        <v>3.2857142857142856</v>
      </c>
      <c r="E49" s="49">
        <f>AVERAGE('25.10 Isingiro-Mbarara'!E49,'26.10 Isingiro-Mbarara-24Hr'!E49,'27.10 Isingilo-Mbarara'!E49,'28.10 Isingiro-Mbarara-24Hr'!E49,'29.10 Isingiro-Mbarara'!E49,'30.10 Isingiro-Mbarara'!E49,'31.10 Isingiro-Mbarara'!E49)</f>
        <v>1.8571428571428572</v>
      </c>
      <c r="F49" s="49">
        <f>AVERAGE('25.10 Isingiro-Mbarara'!F49,'26.10 Isingiro-Mbarara-24Hr'!F49,'27.10 Isingilo-Mbarara'!F49,'28.10 Isingiro-Mbarara-24Hr'!F49,'29.10 Isingiro-Mbarara'!F49,'30.10 Isingiro-Mbarara'!F49,'31.10 Isingiro-Mbarara'!F49)</f>
        <v>2.2857142857142856</v>
      </c>
      <c r="G49" s="49">
        <f>AVERAGE('25.10 Isingiro-Mbarara'!G49,'26.10 Isingiro-Mbarara-24Hr'!G49,'27.10 Isingilo-Mbarara'!G49,'28.10 Isingiro-Mbarara-24Hr'!G49,'29.10 Isingiro-Mbarara'!G49,'30.10 Isingiro-Mbarara'!G49,'31.10 Isingiro-Mbarara'!G49)</f>
        <v>0</v>
      </c>
      <c r="H49" s="49">
        <f>AVERAGE('25.10 Isingiro-Mbarara'!H49,'26.10 Isingiro-Mbarara-24Hr'!H49,'27.10 Isingilo-Mbarara'!H49,'28.10 Isingiro-Mbarara-24Hr'!H49,'29.10 Isingiro-Mbarara'!H49,'30.10 Isingiro-Mbarara'!H49,'31.10 Isingiro-Mbarara'!H49)</f>
        <v>0</v>
      </c>
      <c r="I49" s="49">
        <f>AVERAGE('25.10 Isingiro-Mbarara'!I49,'26.10 Isingiro-Mbarara-24Hr'!I49,'27.10 Isingilo-Mbarara'!I49,'28.10 Isingiro-Mbarara-24Hr'!I49,'29.10 Isingiro-Mbarara'!I49,'30.10 Isingiro-Mbarara'!I49,'31.10 Isingiro-Mbarara'!I49)</f>
        <v>1.4285714285714286</v>
      </c>
      <c r="J49" s="49">
        <f>AVERAGE('25.10 Isingiro-Mbarara'!J49,'26.10 Isingiro-Mbarara-24Hr'!J49,'27.10 Isingilo-Mbarara'!J49,'28.10 Isingiro-Mbarara-24Hr'!J49,'29.10 Isingiro-Mbarara'!J49,'30.10 Isingiro-Mbarara'!J49,'31.10 Isingiro-Mbarara'!J49)</f>
        <v>1.5714285714285714</v>
      </c>
      <c r="K49" s="49">
        <f>AVERAGE('25.10 Isingiro-Mbarara'!K49,'26.10 Isingiro-Mbarara-24Hr'!K49,'27.10 Isingilo-Mbarara'!K49,'28.10 Isingiro-Mbarara-24Hr'!K49,'29.10 Isingiro-Mbarara'!K49,'30.10 Isingiro-Mbarara'!K49,'31.10 Isingiro-Mbarara'!K49)</f>
        <v>0.14285714285714285</v>
      </c>
      <c r="L49" s="49">
        <f>AVERAGE('25.10 Isingiro-Mbarara'!L49,'26.10 Isingiro-Mbarara-24Hr'!L49,'27.10 Isingilo-Mbarara'!L49,'28.10 Isingiro-Mbarara-24Hr'!L49,'29.10 Isingiro-Mbarara'!L49,'30.10 Isingiro-Mbarara'!L49,'31.10 Isingiro-Mbarara'!L49)</f>
        <v>0.42857142857142855</v>
      </c>
      <c r="M49" s="49">
        <f>AVERAGE('25.10 Isingiro-Mbarara'!M49,'26.10 Isingiro-Mbarara-24Hr'!M49,'27.10 Isingilo-Mbarara'!M49,'28.10 Isingiro-Mbarara-24Hr'!M49,'29.10 Isingiro-Mbarara'!M49,'30.10 Isingiro-Mbarara'!M49,'31.10 Isingiro-Mbarara'!M49)</f>
        <v>35.285714285714285</v>
      </c>
      <c r="N49" s="49">
        <f>AVERAGE('25.10 Isingiro-Mbarara'!N49,'26.10 Isingiro-Mbarara-24Hr'!N49,'27.10 Isingilo-Mbarara'!N49,'28.10 Isingiro-Mbarara-24Hr'!N49,'29.10 Isingiro-Mbarara'!N49,'30.10 Isingiro-Mbarara'!N49,'31.10 Isingiro-Mbarara'!N49)</f>
        <v>0</v>
      </c>
      <c r="O49" s="15">
        <f t="shared" si="0"/>
        <v>20.714285714285712</v>
      </c>
      <c r="P49" s="15">
        <f t="shared" si="1"/>
        <v>56</v>
      </c>
      <c r="R49" s="8"/>
      <c r="T49"/>
    </row>
    <row r="50" spans="2:20" ht="23.1" customHeight="1" x14ac:dyDescent="0.25">
      <c r="B50" s="24" t="s">
        <v>77</v>
      </c>
      <c r="C50" s="49">
        <f>AVERAGE('25.10 Isingiro-Mbarara'!C50,'26.10 Isingiro-Mbarara-24Hr'!C50,'27.10 Isingilo-Mbarara'!C50,'28.10 Isingiro-Mbarara-24Hr'!C50,'29.10 Isingiro-Mbarara'!C50,'30.10 Isingiro-Mbarara'!C50,'31.10 Isingiro-Mbarara'!C50)</f>
        <v>12.285714285714286</v>
      </c>
      <c r="D50" s="49">
        <f>AVERAGE('25.10 Isingiro-Mbarara'!D50,'26.10 Isingiro-Mbarara-24Hr'!D50,'27.10 Isingilo-Mbarara'!D50,'28.10 Isingiro-Mbarara-24Hr'!D50,'29.10 Isingiro-Mbarara'!D50,'30.10 Isingiro-Mbarara'!D50,'31.10 Isingiro-Mbarara'!D50)</f>
        <v>2</v>
      </c>
      <c r="E50" s="49">
        <f>AVERAGE('25.10 Isingiro-Mbarara'!E50,'26.10 Isingiro-Mbarara-24Hr'!E50,'27.10 Isingilo-Mbarara'!E50,'28.10 Isingiro-Mbarara-24Hr'!E50,'29.10 Isingiro-Mbarara'!E50,'30.10 Isingiro-Mbarara'!E50,'31.10 Isingiro-Mbarara'!E50)</f>
        <v>1.5714285714285714</v>
      </c>
      <c r="F50" s="49">
        <f>AVERAGE('25.10 Isingiro-Mbarara'!F50,'26.10 Isingiro-Mbarara-24Hr'!F50,'27.10 Isingilo-Mbarara'!F50,'28.10 Isingiro-Mbarara-24Hr'!F50,'29.10 Isingiro-Mbarara'!F50,'30.10 Isingiro-Mbarara'!F50,'31.10 Isingiro-Mbarara'!F50)</f>
        <v>3.7142857142857144</v>
      </c>
      <c r="G50" s="49">
        <f>AVERAGE('25.10 Isingiro-Mbarara'!G50,'26.10 Isingiro-Mbarara-24Hr'!G50,'27.10 Isingilo-Mbarara'!G50,'28.10 Isingiro-Mbarara-24Hr'!G50,'29.10 Isingiro-Mbarara'!G50,'30.10 Isingiro-Mbarara'!G50,'31.10 Isingiro-Mbarara'!G50)</f>
        <v>0.14285714285714285</v>
      </c>
      <c r="H50" s="49">
        <f>AVERAGE('25.10 Isingiro-Mbarara'!H50,'26.10 Isingiro-Mbarara-24Hr'!H50,'27.10 Isingilo-Mbarara'!H50,'28.10 Isingiro-Mbarara-24Hr'!H50,'29.10 Isingiro-Mbarara'!H50,'30.10 Isingiro-Mbarara'!H50,'31.10 Isingiro-Mbarara'!H50)</f>
        <v>0</v>
      </c>
      <c r="I50" s="49">
        <f>AVERAGE('25.10 Isingiro-Mbarara'!I50,'26.10 Isingiro-Mbarara-24Hr'!I50,'27.10 Isingilo-Mbarara'!I50,'28.10 Isingiro-Mbarara-24Hr'!I50,'29.10 Isingiro-Mbarara'!I50,'30.10 Isingiro-Mbarara'!I50,'31.10 Isingiro-Mbarara'!I50)</f>
        <v>2.2857142857142856</v>
      </c>
      <c r="J50" s="49">
        <f>AVERAGE('25.10 Isingiro-Mbarara'!J50,'26.10 Isingiro-Mbarara-24Hr'!J50,'27.10 Isingilo-Mbarara'!J50,'28.10 Isingiro-Mbarara-24Hr'!J50,'29.10 Isingiro-Mbarara'!J50,'30.10 Isingiro-Mbarara'!J50,'31.10 Isingiro-Mbarara'!J50)</f>
        <v>0.8571428571428571</v>
      </c>
      <c r="K50" s="49">
        <f>AVERAGE('25.10 Isingiro-Mbarara'!K50,'26.10 Isingiro-Mbarara-24Hr'!K50,'27.10 Isingilo-Mbarara'!K50,'28.10 Isingiro-Mbarara-24Hr'!K50,'29.10 Isingiro-Mbarara'!K50,'30.10 Isingiro-Mbarara'!K50,'31.10 Isingiro-Mbarara'!K50)</f>
        <v>0.14285714285714285</v>
      </c>
      <c r="L50" s="49">
        <f>AVERAGE('25.10 Isingiro-Mbarara'!L50,'26.10 Isingiro-Mbarara-24Hr'!L50,'27.10 Isingilo-Mbarara'!L50,'28.10 Isingiro-Mbarara-24Hr'!L50,'29.10 Isingiro-Mbarara'!L50,'30.10 Isingiro-Mbarara'!L50,'31.10 Isingiro-Mbarara'!L50)</f>
        <v>0</v>
      </c>
      <c r="M50" s="49">
        <f>AVERAGE('25.10 Isingiro-Mbarara'!M50,'26.10 Isingiro-Mbarara-24Hr'!M50,'27.10 Isingilo-Mbarara'!M50,'28.10 Isingiro-Mbarara-24Hr'!M50,'29.10 Isingiro-Mbarara'!M50,'30.10 Isingiro-Mbarara'!M50,'31.10 Isingiro-Mbarara'!M50)</f>
        <v>37.428571428571431</v>
      </c>
      <c r="N50" s="49">
        <f>AVERAGE('25.10 Isingiro-Mbarara'!N50,'26.10 Isingiro-Mbarara-24Hr'!N50,'27.10 Isingilo-Mbarara'!N50,'28.10 Isingiro-Mbarara-24Hr'!N50,'29.10 Isingiro-Mbarara'!N50,'30.10 Isingiro-Mbarara'!N50,'31.10 Isingiro-Mbarara'!N50)</f>
        <v>0</v>
      </c>
      <c r="O50" s="15">
        <f t="shared" si="0"/>
        <v>23</v>
      </c>
      <c r="P50" s="15">
        <f t="shared" si="1"/>
        <v>60.428571428571431</v>
      </c>
      <c r="R50" s="8"/>
      <c r="T50"/>
    </row>
    <row r="51" spans="2:20" ht="23.1" customHeight="1" x14ac:dyDescent="0.25">
      <c r="B51" s="24" t="s">
        <v>78</v>
      </c>
      <c r="C51" s="49">
        <f>AVERAGE('25.10 Isingiro-Mbarara'!C51,'26.10 Isingiro-Mbarara-24Hr'!C51,'27.10 Isingilo-Mbarara'!C51,'28.10 Isingiro-Mbarara-24Hr'!C51,'29.10 Isingiro-Mbarara'!C51,'30.10 Isingiro-Mbarara'!C51,'31.10 Isingiro-Mbarara'!C51)</f>
        <v>13.142857142857142</v>
      </c>
      <c r="D51" s="49">
        <f>AVERAGE('25.10 Isingiro-Mbarara'!D51,'26.10 Isingiro-Mbarara-24Hr'!D51,'27.10 Isingilo-Mbarara'!D51,'28.10 Isingiro-Mbarara-24Hr'!D51,'29.10 Isingiro-Mbarara'!D51,'30.10 Isingiro-Mbarara'!D51,'31.10 Isingiro-Mbarara'!D51)</f>
        <v>2.7142857142857144</v>
      </c>
      <c r="E51" s="49">
        <f>AVERAGE('25.10 Isingiro-Mbarara'!E51,'26.10 Isingiro-Mbarara-24Hr'!E51,'27.10 Isingilo-Mbarara'!E51,'28.10 Isingiro-Mbarara-24Hr'!E51,'29.10 Isingiro-Mbarara'!E51,'30.10 Isingiro-Mbarara'!E51,'31.10 Isingiro-Mbarara'!E51)</f>
        <v>2.8571428571428572</v>
      </c>
      <c r="F51" s="49">
        <f>AVERAGE('25.10 Isingiro-Mbarara'!F51,'26.10 Isingiro-Mbarara-24Hr'!F51,'27.10 Isingilo-Mbarara'!F51,'28.10 Isingiro-Mbarara-24Hr'!F51,'29.10 Isingiro-Mbarara'!F51,'30.10 Isingiro-Mbarara'!F51,'31.10 Isingiro-Mbarara'!F51)</f>
        <v>1.4285714285714286</v>
      </c>
      <c r="G51" s="49">
        <f>AVERAGE('25.10 Isingiro-Mbarara'!G51,'26.10 Isingiro-Mbarara-24Hr'!G51,'27.10 Isingilo-Mbarara'!G51,'28.10 Isingiro-Mbarara-24Hr'!G51,'29.10 Isingiro-Mbarara'!G51,'30.10 Isingiro-Mbarara'!G51,'31.10 Isingiro-Mbarara'!G51)</f>
        <v>0</v>
      </c>
      <c r="H51" s="49">
        <f>AVERAGE('25.10 Isingiro-Mbarara'!H51,'26.10 Isingiro-Mbarara-24Hr'!H51,'27.10 Isingilo-Mbarara'!H51,'28.10 Isingiro-Mbarara-24Hr'!H51,'29.10 Isingiro-Mbarara'!H51,'30.10 Isingiro-Mbarara'!H51,'31.10 Isingiro-Mbarara'!H51)</f>
        <v>0.14285714285714285</v>
      </c>
      <c r="I51" s="49">
        <f>AVERAGE('25.10 Isingiro-Mbarara'!I51,'26.10 Isingiro-Mbarara-24Hr'!I51,'27.10 Isingilo-Mbarara'!I51,'28.10 Isingiro-Mbarara-24Hr'!I51,'29.10 Isingiro-Mbarara'!I51,'30.10 Isingiro-Mbarara'!I51,'31.10 Isingiro-Mbarara'!I51)</f>
        <v>1.8571428571428572</v>
      </c>
      <c r="J51" s="49">
        <f>AVERAGE('25.10 Isingiro-Mbarara'!J51,'26.10 Isingiro-Mbarara-24Hr'!J51,'27.10 Isingilo-Mbarara'!J51,'28.10 Isingiro-Mbarara-24Hr'!J51,'29.10 Isingiro-Mbarara'!J51,'30.10 Isingiro-Mbarara'!J51,'31.10 Isingiro-Mbarara'!J51)</f>
        <v>2.1428571428571428</v>
      </c>
      <c r="K51" s="49">
        <f>AVERAGE('25.10 Isingiro-Mbarara'!K51,'26.10 Isingiro-Mbarara-24Hr'!K51,'27.10 Isingilo-Mbarara'!K51,'28.10 Isingiro-Mbarara-24Hr'!K51,'29.10 Isingiro-Mbarara'!K51,'30.10 Isingiro-Mbarara'!K51,'31.10 Isingiro-Mbarara'!K51)</f>
        <v>0.5714285714285714</v>
      </c>
      <c r="L51" s="49">
        <f>AVERAGE('25.10 Isingiro-Mbarara'!L51,'26.10 Isingiro-Mbarara-24Hr'!L51,'27.10 Isingilo-Mbarara'!L51,'28.10 Isingiro-Mbarara-24Hr'!L51,'29.10 Isingiro-Mbarara'!L51,'30.10 Isingiro-Mbarara'!L51,'31.10 Isingiro-Mbarara'!L51)</f>
        <v>0.2857142857142857</v>
      </c>
      <c r="M51" s="49">
        <f>AVERAGE('25.10 Isingiro-Mbarara'!M51,'26.10 Isingiro-Mbarara-24Hr'!M51,'27.10 Isingilo-Mbarara'!M51,'28.10 Isingiro-Mbarara-24Hr'!M51,'29.10 Isingiro-Mbarara'!M51,'30.10 Isingiro-Mbarara'!M51,'31.10 Isingiro-Mbarara'!M51)</f>
        <v>39.714285714285715</v>
      </c>
      <c r="N51" s="49">
        <f>AVERAGE('25.10 Isingiro-Mbarara'!N51,'26.10 Isingiro-Mbarara-24Hr'!N51,'27.10 Isingilo-Mbarara'!N51,'28.10 Isingiro-Mbarara-24Hr'!N51,'29.10 Isingiro-Mbarara'!N51,'30.10 Isingiro-Mbarara'!N51,'31.10 Isingiro-Mbarara'!N51)</f>
        <v>0</v>
      </c>
      <c r="O51" s="15">
        <f t="shared" si="0"/>
        <v>25.142857142857142</v>
      </c>
      <c r="P51" s="15">
        <f t="shared" si="1"/>
        <v>64.857142857142861</v>
      </c>
      <c r="R51" s="8"/>
      <c r="T51"/>
    </row>
    <row r="52" spans="2:20" ht="23.1" customHeight="1" x14ac:dyDescent="0.25">
      <c r="B52" s="24" t="s">
        <v>79</v>
      </c>
      <c r="C52" s="49">
        <f>AVERAGE('25.10 Isingiro-Mbarara'!C52,'26.10 Isingiro-Mbarara-24Hr'!C52,'27.10 Isingilo-Mbarara'!C52,'28.10 Isingiro-Mbarara-24Hr'!C52,'29.10 Isingiro-Mbarara'!C52,'30.10 Isingiro-Mbarara'!C52,'31.10 Isingiro-Mbarara'!C52)</f>
        <v>12.571428571428571</v>
      </c>
      <c r="D52" s="49">
        <f>AVERAGE('25.10 Isingiro-Mbarara'!D52,'26.10 Isingiro-Mbarara-24Hr'!D52,'27.10 Isingilo-Mbarara'!D52,'28.10 Isingiro-Mbarara-24Hr'!D52,'29.10 Isingiro-Mbarara'!D52,'30.10 Isingiro-Mbarara'!D52,'31.10 Isingiro-Mbarara'!D52)</f>
        <v>2.4285714285714284</v>
      </c>
      <c r="E52" s="49">
        <f>AVERAGE('25.10 Isingiro-Mbarara'!E52,'26.10 Isingiro-Mbarara-24Hr'!E52,'27.10 Isingilo-Mbarara'!E52,'28.10 Isingiro-Mbarara-24Hr'!E52,'29.10 Isingiro-Mbarara'!E52,'30.10 Isingiro-Mbarara'!E52,'31.10 Isingiro-Mbarara'!E52)</f>
        <v>3.1428571428571428</v>
      </c>
      <c r="F52" s="49">
        <f>AVERAGE('25.10 Isingiro-Mbarara'!F52,'26.10 Isingiro-Mbarara-24Hr'!F52,'27.10 Isingilo-Mbarara'!F52,'28.10 Isingiro-Mbarara-24Hr'!F52,'29.10 Isingiro-Mbarara'!F52,'30.10 Isingiro-Mbarara'!F52,'31.10 Isingiro-Mbarara'!F52)</f>
        <v>2.1428571428571428</v>
      </c>
      <c r="G52" s="49">
        <f>AVERAGE('25.10 Isingiro-Mbarara'!G52,'26.10 Isingiro-Mbarara-24Hr'!G52,'27.10 Isingilo-Mbarara'!G52,'28.10 Isingiro-Mbarara-24Hr'!G52,'29.10 Isingiro-Mbarara'!G52,'30.10 Isingiro-Mbarara'!G52,'31.10 Isingiro-Mbarara'!G52)</f>
        <v>0</v>
      </c>
      <c r="H52" s="49">
        <f>AVERAGE('25.10 Isingiro-Mbarara'!H52,'26.10 Isingiro-Mbarara-24Hr'!H52,'27.10 Isingilo-Mbarara'!H52,'28.10 Isingiro-Mbarara-24Hr'!H52,'29.10 Isingiro-Mbarara'!H52,'30.10 Isingiro-Mbarara'!H52,'31.10 Isingiro-Mbarara'!H52)</f>
        <v>0</v>
      </c>
      <c r="I52" s="49">
        <f>AVERAGE('25.10 Isingiro-Mbarara'!I52,'26.10 Isingiro-Mbarara-24Hr'!I52,'27.10 Isingilo-Mbarara'!I52,'28.10 Isingiro-Mbarara-24Hr'!I52,'29.10 Isingiro-Mbarara'!I52,'30.10 Isingiro-Mbarara'!I52,'31.10 Isingiro-Mbarara'!I52)</f>
        <v>1.4285714285714286</v>
      </c>
      <c r="J52" s="49">
        <f>AVERAGE('25.10 Isingiro-Mbarara'!J52,'26.10 Isingiro-Mbarara-24Hr'!J52,'27.10 Isingilo-Mbarara'!J52,'28.10 Isingiro-Mbarara-24Hr'!J52,'29.10 Isingiro-Mbarara'!J52,'30.10 Isingiro-Mbarara'!J52,'31.10 Isingiro-Mbarara'!J52)</f>
        <v>1.1428571428571428</v>
      </c>
      <c r="K52" s="49">
        <f>AVERAGE('25.10 Isingiro-Mbarara'!K52,'26.10 Isingiro-Mbarara-24Hr'!K52,'27.10 Isingilo-Mbarara'!K52,'28.10 Isingiro-Mbarara-24Hr'!K52,'29.10 Isingiro-Mbarara'!K52,'30.10 Isingiro-Mbarara'!K52,'31.10 Isingiro-Mbarara'!K52)</f>
        <v>0.42857142857142855</v>
      </c>
      <c r="L52" s="49">
        <f>AVERAGE('25.10 Isingiro-Mbarara'!L52,'26.10 Isingiro-Mbarara-24Hr'!L52,'27.10 Isingilo-Mbarara'!L52,'28.10 Isingiro-Mbarara-24Hr'!L52,'29.10 Isingiro-Mbarara'!L52,'30.10 Isingiro-Mbarara'!L52,'31.10 Isingiro-Mbarara'!L52)</f>
        <v>0.14285714285714285</v>
      </c>
      <c r="M52" s="49">
        <f>AVERAGE('25.10 Isingiro-Mbarara'!M52,'26.10 Isingiro-Mbarara-24Hr'!M52,'27.10 Isingilo-Mbarara'!M52,'28.10 Isingiro-Mbarara-24Hr'!M52,'29.10 Isingiro-Mbarara'!M52,'30.10 Isingiro-Mbarara'!M52,'31.10 Isingiro-Mbarara'!M52)</f>
        <v>41.714285714285715</v>
      </c>
      <c r="N52" s="49">
        <f>AVERAGE('25.10 Isingiro-Mbarara'!N52,'26.10 Isingiro-Mbarara-24Hr'!N52,'27.10 Isingilo-Mbarara'!N52,'28.10 Isingiro-Mbarara-24Hr'!N52,'29.10 Isingiro-Mbarara'!N52,'30.10 Isingiro-Mbarara'!N52,'31.10 Isingiro-Mbarara'!N52)</f>
        <v>0</v>
      </c>
      <c r="O52" s="15">
        <f t="shared" si="0"/>
        <v>23.428571428571423</v>
      </c>
      <c r="P52" s="15">
        <f t="shared" si="1"/>
        <v>65.142857142857139</v>
      </c>
      <c r="R52" s="8"/>
      <c r="T52"/>
    </row>
    <row r="53" spans="2:20" ht="23.1" customHeight="1" x14ac:dyDescent="0.25">
      <c r="B53" s="23" t="s">
        <v>80</v>
      </c>
      <c r="C53" s="49">
        <f>AVERAGE('25.10 Isingiro-Mbarara'!C53,'26.10 Isingiro-Mbarara-24Hr'!C53,'27.10 Isingilo-Mbarara'!C53,'28.10 Isingiro-Mbarara-24Hr'!C53,'29.10 Isingiro-Mbarara'!C53,'30.10 Isingiro-Mbarara'!C53,'31.10 Isingiro-Mbarara'!C53)</f>
        <v>12.857142857142858</v>
      </c>
      <c r="D53" s="49">
        <f>AVERAGE('25.10 Isingiro-Mbarara'!D53,'26.10 Isingiro-Mbarara-24Hr'!D53,'27.10 Isingilo-Mbarara'!D53,'28.10 Isingiro-Mbarara-24Hr'!D53,'29.10 Isingiro-Mbarara'!D53,'30.10 Isingiro-Mbarara'!D53,'31.10 Isingiro-Mbarara'!D53)</f>
        <v>2.4285714285714284</v>
      </c>
      <c r="E53" s="49">
        <f>AVERAGE('25.10 Isingiro-Mbarara'!E53,'26.10 Isingiro-Mbarara-24Hr'!E53,'27.10 Isingilo-Mbarara'!E53,'28.10 Isingiro-Mbarara-24Hr'!E53,'29.10 Isingiro-Mbarara'!E53,'30.10 Isingiro-Mbarara'!E53,'31.10 Isingiro-Mbarara'!E53)</f>
        <v>1.2857142857142858</v>
      </c>
      <c r="F53" s="49">
        <f>AVERAGE('25.10 Isingiro-Mbarara'!F53,'26.10 Isingiro-Mbarara-24Hr'!F53,'27.10 Isingilo-Mbarara'!F53,'28.10 Isingiro-Mbarara-24Hr'!F53,'29.10 Isingiro-Mbarara'!F53,'30.10 Isingiro-Mbarara'!F53,'31.10 Isingiro-Mbarara'!F53)</f>
        <v>2.2857142857142856</v>
      </c>
      <c r="G53" s="49">
        <f>AVERAGE('25.10 Isingiro-Mbarara'!G53,'26.10 Isingiro-Mbarara-24Hr'!G53,'27.10 Isingilo-Mbarara'!G53,'28.10 Isingiro-Mbarara-24Hr'!G53,'29.10 Isingiro-Mbarara'!G53,'30.10 Isingiro-Mbarara'!G53,'31.10 Isingiro-Mbarara'!G53)</f>
        <v>0</v>
      </c>
      <c r="H53" s="49">
        <f>AVERAGE('25.10 Isingiro-Mbarara'!H53,'26.10 Isingiro-Mbarara-24Hr'!H53,'27.10 Isingilo-Mbarara'!H53,'28.10 Isingiro-Mbarara-24Hr'!H53,'29.10 Isingiro-Mbarara'!H53,'30.10 Isingiro-Mbarara'!H53,'31.10 Isingiro-Mbarara'!H53)</f>
        <v>0</v>
      </c>
      <c r="I53" s="49">
        <f>AVERAGE('25.10 Isingiro-Mbarara'!I53,'26.10 Isingiro-Mbarara-24Hr'!I53,'27.10 Isingilo-Mbarara'!I53,'28.10 Isingiro-Mbarara-24Hr'!I53,'29.10 Isingiro-Mbarara'!I53,'30.10 Isingiro-Mbarara'!I53,'31.10 Isingiro-Mbarara'!I53)</f>
        <v>2.1428571428571428</v>
      </c>
      <c r="J53" s="49">
        <f>AVERAGE('25.10 Isingiro-Mbarara'!J53,'26.10 Isingiro-Mbarara-24Hr'!J53,'27.10 Isingilo-Mbarara'!J53,'28.10 Isingiro-Mbarara-24Hr'!J53,'29.10 Isingiro-Mbarara'!J53,'30.10 Isingiro-Mbarara'!J53,'31.10 Isingiro-Mbarara'!J53)</f>
        <v>1.1428571428571428</v>
      </c>
      <c r="K53" s="49">
        <f>AVERAGE('25.10 Isingiro-Mbarara'!K53,'26.10 Isingiro-Mbarara-24Hr'!K53,'27.10 Isingilo-Mbarara'!K53,'28.10 Isingiro-Mbarara-24Hr'!K53,'29.10 Isingiro-Mbarara'!K53,'30.10 Isingiro-Mbarara'!K53,'31.10 Isingiro-Mbarara'!K53)</f>
        <v>0.2857142857142857</v>
      </c>
      <c r="L53" s="49">
        <f>AVERAGE('25.10 Isingiro-Mbarara'!L53,'26.10 Isingiro-Mbarara-24Hr'!L53,'27.10 Isingilo-Mbarara'!L53,'28.10 Isingiro-Mbarara-24Hr'!L53,'29.10 Isingiro-Mbarara'!L53,'30.10 Isingiro-Mbarara'!L53,'31.10 Isingiro-Mbarara'!L53)</f>
        <v>0</v>
      </c>
      <c r="M53" s="49">
        <f>AVERAGE('25.10 Isingiro-Mbarara'!M53,'26.10 Isingiro-Mbarara-24Hr'!M53,'27.10 Isingilo-Mbarara'!M53,'28.10 Isingiro-Mbarara-24Hr'!M53,'29.10 Isingiro-Mbarara'!M53,'30.10 Isingiro-Mbarara'!M53,'31.10 Isingiro-Mbarara'!M53)</f>
        <v>40.285714285714285</v>
      </c>
      <c r="N53" s="49">
        <f>AVERAGE('25.10 Isingiro-Mbarara'!N53,'26.10 Isingiro-Mbarara-24Hr'!N53,'27.10 Isingilo-Mbarara'!N53,'28.10 Isingiro-Mbarara-24Hr'!N53,'29.10 Isingiro-Mbarara'!N53,'30.10 Isingiro-Mbarara'!N53,'31.10 Isingiro-Mbarara'!N53)</f>
        <v>0</v>
      </c>
      <c r="O53" s="15">
        <f t="shared" si="0"/>
        <v>22.428571428571427</v>
      </c>
      <c r="P53" s="15">
        <f t="shared" si="1"/>
        <v>62.714285714285708</v>
      </c>
      <c r="R53" s="8"/>
      <c r="T53"/>
    </row>
    <row r="54" spans="2:20" ht="23.1" customHeight="1" x14ac:dyDescent="0.25">
      <c r="B54" s="23" t="s">
        <v>81</v>
      </c>
      <c r="C54" s="49">
        <f>AVERAGE('25.10 Isingiro-Mbarara'!C54,'26.10 Isingiro-Mbarara-24Hr'!C54,'27.10 Isingilo-Mbarara'!C54,'28.10 Isingiro-Mbarara-24Hr'!C54,'29.10 Isingiro-Mbarara'!C54,'30.10 Isingiro-Mbarara'!C54,'31.10 Isingiro-Mbarara'!C54)</f>
        <v>12.285714285714286</v>
      </c>
      <c r="D54" s="49">
        <f>AVERAGE('25.10 Isingiro-Mbarara'!D54,'26.10 Isingiro-Mbarara-24Hr'!D54,'27.10 Isingilo-Mbarara'!D54,'28.10 Isingiro-Mbarara-24Hr'!D54,'29.10 Isingiro-Mbarara'!D54,'30.10 Isingiro-Mbarara'!D54,'31.10 Isingiro-Mbarara'!D54)</f>
        <v>2.2857142857142856</v>
      </c>
      <c r="E54" s="49">
        <f>AVERAGE('25.10 Isingiro-Mbarara'!E54,'26.10 Isingiro-Mbarara-24Hr'!E54,'27.10 Isingilo-Mbarara'!E54,'28.10 Isingiro-Mbarara-24Hr'!E54,'29.10 Isingiro-Mbarara'!E54,'30.10 Isingiro-Mbarara'!E54,'31.10 Isingiro-Mbarara'!E54)</f>
        <v>2.1428571428571428</v>
      </c>
      <c r="F54" s="49">
        <f>AVERAGE('25.10 Isingiro-Mbarara'!F54,'26.10 Isingiro-Mbarara-24Hr'!F54,'27.10 Isingilo-Mbarara'!F54,'28.10 Isingiro-Mbarara-24Hr'!F54,'29.10 Isingiro-Mbarara'!F54,'30.10 Isingiro-Mbarara'!F54,'31.10 Isingiro-Mbarara'!F54)</f>
        <v>1.8571428571428572</v>
      </c>
      <c r="G54" s="49">
        <f>AVERAGE('25.10 Isingiro-Mbarara'!G54,'26.10 Isingiro-Mbarara-24Hr'!G54,'27.10 Isingilo-Mbarara'!G54,'28.10 Isingiro-Mbarara-24Hr'!G54,'29.10 Isingiro-Mbarara'!G54,'30.10 Isingiro-Mbarara'!G54,'31.10 Isingiro-Mbarara'!G54)</f>
        <v>0</v>
      </c>
      <c r="H54" s="49">
        <f>AVERAGE('25.10 Isingiro-Mbarara'!H54,'26.10 Isingiro-Mbarara-24Hr'!H54,'27.10 Isingilo-Mbarara'!H54,'28.10 Isingiro-Mbarara-24Hr'!H54,'29.10 Isingiro-Mbarara'!H54,'30.10 Isingiro-Mbarara'!H54,'31.10 Isingiro-Mbarara'!H54)</f>
        <v>0</v>
      </c>
      <c r="I54" s="49">
        <f>AVERAGE('25.10 Isingiro-Mbarara'!I54,'26.10 Isingiro-Mbarara-24Hr'!I54,'27.10 Isingilo-Mbarara'!I54,'28.10 Isingiro-Mbarara-24Hr'!I54,'29.10 Isingiro-Mbarara'!I54,'30.10 Isingiro-Mbarara'!I54,'31.10 Isingiro-Mbarara'!I54)</f>
        <v>1.8571428571428572</v>
      </c>
      <c r="J54" s="49">
        <f>AVERAGE('25.10 Isingiro-Mbarara'!J54,'26.10 Isingiro-Mbarara-24Hr'!J54,'27.10 Isingilo-Mbarara'!J54,'28.10 Isingiro-Mbarara-24Hr'!J54,'29.10 Isingiro-Mbarara'!J54,'30.10 Isingiro-Mbarara'!J54,'31.10 Isingiro-Mbarara'!J54)</f>
        <v>1.5714285714285714</v>
      </c>
      <c r="K54" s="49">
        <f>AVERAGE('25.10 Isingiro-Mbarara'!K54,'26.10 Isingiro-Mbarara-24Hr'!K54,'27.10 Isingilo-Mbarara'!K54,'28.10 Isingiro-Mbarara-24Hr'!K54,'29.10 Isingiro-Mbarara'!K54,'30.10 Isingiro-Mbarara'!K54,'31.10 Isingiro-Mbarara'!K54)</f>
        <v>0</v>
      </c>
      <c r="L54" s="49">
        <f>AVERAGE('25.10 Isingiro-Mbarara'!L54,'26.10 Isingiro-Mbarara-24Hr'!L54,'27.10 Isingilo-Mbarara'!L54,'28.10 Isingiro-Mbarara-24Hr'!L54,'29.10 Isingiro-Mbarara'!L54,'30.10 Isingiro-Mbarara'!L54,'31.10 Isingiro-Mbarara'!L54)</f>
        <v>0.14285714285714285</v>
      </c>
      <c r="M54" s="49">
        <f>AVERAGE('25.10 Isingiro-Mbarara'!M54,'26.10 Isingiro-Mbarara-24Hr'!M54,'27.10 Isingilo-Mbarara'!M54,'28.10 Isingiro-Mbarara-24Hr'!M54,'29.10 Isingiro-Mbarara'!M54,'30.10 Isingiro-Mbarara'!M54,'31.10 Isingiro-Mbarara'!M54)</f>
        <v>43.714285714285715</v>
      </c>
      <c r="N54" s="49">
        <f>AVERAGE('25.10 Isingiro-Mbarara'!N54,'26.10 Isingiro-Mbarara-24Hr'!N54,'27.10 Isingilo-Mbarara'!N54,'28.10 Isingiro-Mbarara-24Hr'!N54,'29.10 Isingiro-Mbarara'!N54,'30.10 Isingiro-Mbarara'!N54,'31.10 Isingiro-Mbarara'!N54)</f>
        <v>0</v>
      </c>
      <c r="O54" s="15">
        <f t="shared" si="0"/>
        <v>22.142857142857146</v>
      </c>
      <c r="P54" s="15">
        <f t="shared" si="1"/>
        <v>65.857142857142861</v>
      </c>
      <c r="R54" s="8"/>
      <c r="T54"/>
    </row>
    <row r="55" spans="2:20" ht="23.1" customHeight="1" x14ac:dyDescent="0.25">
      <c r="B55" s="23" t="s">
        <v>82</v>
      </c>
      <c r="C55" s="49">
        <f>AVERAGE('25.10 Isingiro-Mbarara'!C55,'26.10 Isingiro-Mbarara-24Hr'!C55,'27.10 Isingilo-Mbarara'!C55,'28.10 Isingiro-Mbarara-24Hr'!C55,'29.10 Isingiro-Mbarara'!C55,'30.10 Isingiro-Mbarara'!C55,'31.10 Isingiro-Mbarara'!C55)</f>
        <v>16.857142857142858</v>
      </c>
      <c r="D55" s="49">
        <f>AVERAGE('25.10 Isingiro-Mbarara'!D55,'26.10 Isingiro-Mbarara-24Hr'!D55,'27.10 Isingilo-Mbarara'!D55,'28.10 Isingiro-Mbarara-24Hr'!D55,'29.10 Isingiro-Mbarara'!D55,'30.10 Isingiro-Mbarara'!D55,'31.10 Isingiro-Mbarara'!D55)</f>
        <v>3.2857142857142856</v>
      </c>
      <c r="E55" s="49">
        <f>AVERAGE('25.10 Isingiro-Mbarara'!E55,'26.10 Isingiro-Mbarara-24Hr'!E55,'27.10 Isingilo-Mbarara'!E55,'28.10 Isingiro-Mbarara-24Hr'!E55,'29.10 Isingiro-Mbarara'!E55,'30.10 Isingiro-Mbarara'!E55,'31.10 Isingiro-Mbarara'!E55)</f>
        <v>1.7142857142857142</v>
      </c>
      <c r="F55" s="49">
        <f>AVERAGE('25.10 Isingiro-Mbarara'!F55,'26.10 Isingiro-Mbarara-24Hr'!F55,'27.10 Isingilo-Mbarara'!F55,'28.10 Isingiro-Mbarara-24Hr'!F55,'29.10 Isingiro-Mbarara'!F55,'30.10 Isingiro-Mbarara'!F55,'31.10 Isingiro-Mbarara'!F55)</f>
        <v>2</v>
      </c>
      <c r="G55" s="49">
        <f>AVERAGE('25.10 Isingiro-Mbarara'!G55,'26.10 Isingiro-Mbarara-24Hr'!G55,'27.10 Isingilo-Mbarara'!G55,'28.10 Isingiro-Mbarara-24Hr'!G55,'29.10 Isingiro-Mbarara'!G55,'30.10 Isingiro-Mbarara'!G55,'31.10 Isingiro-Mbarara'!G55)</f>
        <v>0</v>
      </c>
      <c r="H55" s="49">
        <f>AVERAGE('25.10 Isingiro-Mbarara'!H55,'26.10 Isingiro-Mbarara-24Hr'!H55,'27.10 Isingilo-Mbarara'!H55,'28.10 Isingiro-Mbarara-24Hr'!H55,'29.10 Isingiro-Mbarara'!H55,'30.10 Isingiro-Mbarara'!H55,'31.10 Isingiro-Mbarara'!H55)</f>
        <v>0</v>
      </c>
      <c r="I55" s="49">
        <f>AVERAGE('25.10 Isingiro-Mbarara'!I55,'26.10 Isingiro-Mbarara-24Hr'!I55,'27.10 Isingilo-Mbarara'!I55,'28.10 Isingiro-Mbarara-24Hr'!I55,'29.10 Isingiro-Mbarara'!I55,'30.10 Isingiro-Mbarara'!I55,'31.10 Isingiro-Mbarara'!I55)</f>
        <v>1.1428571428571428</v>
      </c>
      <c r="J55" s="49">
        <f>AVERAGE('25.10 Isingiro-Mbarara'!J55,'26.10 Isingiro-Mbarara-24Hr'!J55,'27.10 Isingilo-Mbarara'!J55,'28.10 Isingiro-Mbarara-24Hr'!J55,'29.10 Isingiro-Mbarara'!J55,'30.10 Isingiro-Mbarara'!J55,'31.10 Isingiro-Mbarara'!J55)</f>
        <v>1.5714285714285714</v>
      </c>
      <c r="K55" s="49">
        <f>AVERAGE('25.10 Isingiro-Mbarara'!K55,'26.10 Isingiro-Mbarara-24Hr'!K55,'27.10 Isingilo-Mbarara'!K55,'28.10 Isingiro-Mbarara-24Hr'!K55,'29.10 Isingiro-Mbarara'!K55,'30.10 Isingiro-Mbarara'!K55,'31.10 Isingiro-Mbarara'!K55)</f>
        <v>0.14285714285714285</v>
      </c>
      <c r="L55" s="49">
        <f>AVERAGE('25.10 Isingiro-Mbarara'!L55,'26.10 Isingiro-Mbarara-24Hr'!L55,'27.10 Isingilo-Mbarara'!L55,'28.10 Isingiro-Mbarara-24Hr'!L55,'29.10 Isingiro-Mbarara'!L55,'30.10 Isingiro-Mbarara'!L55,'31.10 Isingiro-Mbarara'!L55)</f>
        <v>0.14285714285714285</v>
      </c>
      <c r="M55" s="49">
        <f>AVERAGE('25.10 Isingiro-Mbarara'!M55,'26.10 Isingiro-Mbarara-24Hr'!M55,'27.10 Isingilo-Mbarara'!M55,'28.10 Isingiro-Mbarara-24Hr'!M55,'29.10 Isingiro-Mbarara'!M55,'30.10 Isingiro-Mbarara'!M55,'31.10 Isingiro-Mbarara'!M55)</f>
        <v>39.142857142857146</v>
      </c>
      <c r="N55" s="49">
        <f>AVERAGE('25.10 Isingiro-Mbarara'!N55,'26.10 Isingiro-Mbarara-24Hr'!N55,'27.10 Isingilo-Mbarara'!N55,'28.10 Isingiro-Mbarara-24Hr'!N55,'29.10 Isingiro-Mbarara'!N55,'30.10 Isingiro-Mbarara'!N55,'31.10 Isingiro-Mbarara'!N55)</f>
        <v>0</v>
      </c>
      <c r="O55" s="15">
        <f t="shared" si="0"/>
        <v>26.857142857142858</v>
      </c>
      <c r="P55" s="15">
        <f t="shared" si="1"/>
        <v>66</v>
      </c>
      <c r="R55" s="8"/>
      <c r="T55"/>
    </row>
    <row r="56" spans="2:20" ht="23.1" customHeight="1" x14ac:dyDescent="0.25">
      <c r="B56" s="23" t="s">
        <v>83</v>
      </c>
      <c r="C56" s="49">
        <f>AVERAGE('25.10 Isingiro-Mbarara'!C56,'26.10 Isingiro-Mbarara-24Hr'!C56,'27.10 Isingilo-Mbarara'!C56,'28.10 Isingiro-Mbarara-24Hr'!C56,'29.10 Isingiro-Mbarara'!C56,'30.10 Isingiro-Mbarara'!C56,'31.10 Isingiro-Mbarara'!C56)</f>
        <v>15.142857142857142</v>
      </c>
      <c r="D56" s="49">
        <f>AVERAGE('25.10 Isingiro-Mbarara'!D56,'26.10 Isingiro-Mbarara-24Hr'!D56,'27.10 Isingilo-Mbarara'!D56,'28.10 Isingiro-Mbarara-24Hr'!D56,'29.10 Isingiro-Mbarara'!D56,'30.10 Isingiro-Mbarara'!D56,'31.10 Isingiro-Mbarara'!D56)</f>
        <v>1.8571428571428572</v>
      </c>
      <c r="E56" s="49">
        <f>AVERAGE('25.10 Isingiro-Mbarara'!E56,'26.10 Isingiro-Mbarara-24Hr'!E56,'27.10 Isingilo-Mbarara'!E56,'28.10 Isingiro-Mbarara-24Hr'!E56,'29.10 Isingiro-Mbarara'!E56,'30.10 Isingiro-Mbarara'!E56,'31.10 Isingiro-Mbarara'!E56)</f>
        <v>2.5714285714285716</v>
      </c>
      <c r="F56" s="49">
        <f>AVERAGE('25.10 Isingiro-Mbarara'!F56,'26.10 Isingiro-Mbarara-24Hr'!F56,'27.10 Isingilo-Mbarara'!F56,'28.10 Isingiro-Mbarara-24Hr'!F56,'29.10 Isingiro-Mbarara'!F56,'30.10 Isingiro-Mbarara'!F56,'31.10 Isingiro-Mbarara'!F56)</f>
        <v>0.8571428571428571</v>
      </c>
      <c r="G56" s="49">
        <f>AVERAGE('25.10 Isingiro-Mbarara'!G56,'26.10 Isingiro-Mbarara-24Hr'!G56,'27.10 Isingilo-Mbarara'!G56,'28.10 Isingiro-Mbarara-24Hr'!G56,'29.10 Isingiro-Mbarara'!G56,'30.10 Isingiro-Mbarara'!G56,'31.10 Isingiro-Mbarara'!G56)</f>
        <v>0.42857142857142855</v>
      </c>
      <c r="H56" s="49">
        <f>AVERAGE('25.10 Isingiro-Mbarara'!H56,'26.10 Isingiro-Mbarara-24Hr'!H56,'27.10 Isingilo-Mbarara'!H56,'28.10 Isingiro-Mbarara-24Hr'!H56,'29.10 Isingiro-Mbarara'!H56,'30.10 Isingiro-Mbarara'!H56,'31.10 Isingiro-Mbarara'!H56)</f>
        <v>0</v>
      </c>
      <c r="I56" s="49">
        <f>AVERAGE('25.10 Isingiro-Mbarara'!I56,'26.10 Isingiro-Mbarara-24Hr'!I56,'27.10 Isingilo-Mbarara'!I56,'28.10 Isingiro-Mbarara-24Hr'!I56,'29.10 Isingiro-Mbarara'!I56,'30.10 Isingiro-Mbarara'!I56,'31.10 Isingiro-Mbarara'!I56)</f>
        <v>1.8571428571428572</v>
      </c>
      <c r="J56" s="49">
        <f>AVERAGE('25.10 Isingiro-Mbarara'!J56,'26.10 Isingiro-Mbarara-24Hr'!J56,'27.10 Isingilo-Mbarara'!J56,'28.10 Isingiro-Mbarara-24Hr'!J56,'29.10 Isingiro-Mbarara'!J56,'30.10 Isingiro-Mbarara'!J56,'31.10 Isingiro-Mbarara'!J56)</f>
        <v>1.2857142857142858</v>
      </c>
      <c r="K56" s="49">
        <f>AVERAGE('25.10 Isingiro-Mbarara'!K56,'26.10 Isingiro-Mbarara-24Hr'!K56,'27.10 Isingilo-Mbarara'!K56,'28.10 Isingiro-Mbarara-24Hr'!K56,'29.10 Isingiro-Mbarara'!K56,'30.10 Isingiro-Mbarara'!K56,'31.10 Isingiro-Mbarara'!K56)</f>
        <v>0.2857142857142857</v>
      </c>
      <c r="L56" s="49">
        <f>AVERAGE('25.10 Isingiro-Mbarara'!L56,'26.10 Isingiro-Mbarara-24Hr'!L56,'27.10 Isingilo-Mbarara'!L56,'28.10 Isingiro-Mbarara-24Hr'!L56,'29.10 Isingiro-Mbarara'!L56,'30.10 Isingiro-Mbarara'!L56,'31.10 Isingiro-Mbarara'!L56)</f>
        <v>0</v>
      </c>
      <c r="M56" s="49">
        <f>AVERAGE('25.10 Isingiro-Mbarara'!M56,'26.10 Isingiro-Mbarara-24Hr'!M56,'27.10 Isingilo-Mbarara'!M56,'28.10 Isingiro-Mbarara-24Hr'!M56,'29.10 Isingiro-Mbarara'!M56,'30.10 Isingiro-Mbarara'!M56,'31.10 Isingiro-Mbarara'!M56)</f>
        <v>40.285714285714285</v>
      </c>
      <c r="N56" s="49">
        <f>AVERAGE('25.10 Isingiro-Mbarara'!N56,'26.10 Isingiro-Mbarara-24Hr'!N56,'27.10 Isingilo-Mbarara'!N56,'28.10 Isingiro-Mbarara-24Hr'!N56,'29.10 Isingiro-Mbarara'!N56,'30.10 Isingiro-Mbarara'!N56,'31.10 Isingiro-Mbarara'!N56)</f>
        <v>0</v>
      </c>
      <c r="O56" s="15">
        <f t="shared" si="0"/>
        <v>24.285714285714285</v>
      </c>
      <c r="P56" s="15">
        <f t="shared" si="1"/>
        <v>64.571428571428569</v>
      </c>
      <c r="R56" s="8"/>
      <c r="T56"/>
    </row>
    <row r="57" spans="2:20" ht="23.1" customHeight="1" x14ac:dyDescent="0.25">
      <c r="B57" s="23" t="s">
        <v>84</v>
      </c>
      <c r="C57" s="49">
        <f>AVERAGE('25.10 Isingiro-Mbarara'!C57,'26.10 Isingiro-Mbarara-24Hr'!C57,'27.10 Isingilo-Mbarara'!C57,'28.10 Isingiro-Mbarara-24Hr'!C57,'29.10 Isingiro-Mbarara'!C57,'30.10 Isingiro-Mbarara'!C57,'31.10 Isingiro-Mbarara'!C57)</f>
        <v>15.142857142857142</v>
      </c>
      <c r="D57" s="49">
        <f>AVERAGE('25.10 Isingiro-Mbarara'!D57,'26.10 Isingiro-Mbarara-24Hr'!D57,'27.10 Isingilo-Mbarara'!D57,'28.10 Isingiro-Mbarara-24Hr'!D57,'29.10 Isingiro-Mbarara'!D57,'30.10 Isingiro-Mbarara'!D57,'31.10 Isingiro-Mbarara'!D57)</f>
        <v>2.2857142857142856</v>
      </c>
      <c r="E57" s="49">
        <f>AVERAGE('25.10 Isingiro-Mbarara'!E57,'26.10 Isingiro-Mbarara-24Hr'!E57,'27.10 Isingilo-Mbarara'!E57,'28.10 Isingiro-Mbarara-24Hr'!E57,'29.10 Isingiro-Mbarara'!E57,'30.10 Isingiro-Mbarara'!E57,'31.10 Isingiro-Mbarara'!E57)</f>
        <v>1.7142857142857142</v>
      </c>
      <c r="F57" s="49">
        <f>AVERAGE('25.10 Isingiro-Mbarara'!F57,'26.10 Isingiro-Mbarara-24Hr'!F57,'27.10 Isingilo-Mbarara'!F57,'28.10 Isingiro-Mbarara-24Hr'!F57,'29.10 Isingiro-Mbarara'!F57,'30.10 Isingiro-Mbarara'!F57,'31.10 Isingiro-Mbarara'!F57)</f>
        <v>1.7142857142857142</v>
      </c>
      <c r="G57" s="49">
        <f>AVERAGE('25.10 Isingiro-Mbarara'!G57,'26.10 Isingiro-Mbarara-24Hr'!G57,'27.10 Isingilo-Mbarara'!G57,'28.10 Isingiro-Mbarara-24Hr'!G57,'29.10 Isingiro-Mbarara'!G57,'30.10 Isingiro-Mbarara'!G57,'31.10 Isingiro-Mbarara'!G57)</f>
        <v>0.2857142857142857</v>
      </c>
      <c r="H57" s="49">
        <f>AVERAGE('25.10 Isingiro-Mbarara'!H57,'26.10 Isingiro-Mbarara-24Hr'!H57,'27.10 Isingilo-Mbarara'!H57,'28.10 Isingiro-Mbarara-24Hr'!H57,'29.10 Isingiro-Mbarara'!H57,'30.10 Isingiro-Mbarara'!H57,'31.10 Isingiro-Mbarara'!H57)</f>
        <v>0</v>
      </c>
      <c r="I57" s="49">
        <f>AVERAGE('25.10 Isingiro-Mbarara'!I57,'26.10 Isingiro-Mbarara-24Hr'!I57,'27.10 Isingilo-Mbarara'!I57,'28.10 Isingiro-Mbarara-24Hr'!I57,'29.10 Isingiro-Mbarara'!I57,'30.10 Isingiro-Mbarara'!I57,'31.10 Isingiro-Mbarara'!I57)</f>
        <v>2.5714285714285716</v>
      </c>
      <c r="J57" s="49">
        <f>AVERAGE('25.10 Isingiro-Mbarara'!J57,'26.10 Isingiro-Mbarara-24Hr'!J57,'27.10 Isingilo-Mbarara'!J57,'28.10 Isingiro-Mbarara-24Hr'!J57,'29.10 Isingiro-Mbarara'!J57,'30.10 Isingiro-Mbarara'!J57,'31.10 Isingiro-Mbarara'!J57)</f>
        <v>1.4285714285714286</v>
      </c>
      <c r="K57" s="49">
        <f>AVERAGE('25.10 Isingiro-Mbarara'!K57,'26.10 Isingiro-Mbarara-24Hr'!K57,'27.10 Isingilo-Mbarara'!K57,'28.10 Isingiro-Mbarara-24Hr'!K57,'29.10 Isingiro-Mbarara'!K57,'30.10 Isingiro-Mbarara'!K57,'31.10 Isingiro-Mbarara'!K57)</f>
        <v>0.42857142857142855</v>
      </c>
      <c r="L57" s="49">
        <f>AVERAGE('25.10 Isingiro-Mbarara'!L57,'26.10 Isingiro-Mbarara-24Hr'!L57,'27.10 Isingilo-Mbarara'!L57,'28.10 Isingiro-Mbarara-24Hr'!L57,'29.10 Isingiro-Mbarara'!L57,'30.10 Isingiro-Mbarara'!L57,'31.10 Isingiro-Mbarara'!L57)</f>
        <v>0.14285714285714285</v>
      </c>
      <c r="M57" s="49">
        <f>AVERAGE('25.10 Isingiro-Mbarara'!M57,'26.10 Isingiro-Mbarara-24Hr'!M57,'27.10 Isingilo-Mbarara'!M57,'28.10 Isingiro-Mbarara-24Hr'!M57,'29.10 Isingiro-Mbarara'!M57,'30.10 Isingiro-Mbarara'!M57,'31.10 Isingiro-Mbarara'!M57)</f>
        <v>44.285714285714285</v>
      </c>
      <c r="N57" s="49">
        <f>AVERAGE('25.10 Isingiro-Mbarara'!N57,'26.10 Isingiro-Mbarara-24Hr'!N57,'27.10 Isingilo-Mbarara'!N57,'28.10 Isingiro-Mbarara-24Hr'!N57,'29.10 Isingiro-Mbarara'!N57,'30.10 Isingiro-Mbarara'!N57,'31.10 Isingiro-Mbarara'!N57)</f>
        <v>0</v>
      </c>
      <c r="O57" s="15">
        <f t="shared" si="0"/>
        <v>25.714285714285712</v>
      </c>
      <c r="P57" s="15">
        <f t="shared" si="1"/>
        <v>70</v>
      </c>
      <c r="R57" s="8"/>
      <c r="T57"/>
    </row>
    <row r="58" spans="2:20" ht="23.1" customHeight="1" x14ac:dyDescent="0.25">
      <c r="B58" s="23" t="s">
        <v>99</v>
      </c>
      <c r="C58" s="49">
        <f>AVERAGE('26.10 Isingiro-Mbarara-24Hr'!C58,'28.10 Isingiro-Mbarara-24Hr'!C58)</f>
        <v>15.5</v>
      </c>
      <c r="D58" s="49">
        <f>AVERAGE('26.10 Isingiro-Mbarara-24Hr'!D58,'28.10 Isingiro-Mbarara-24Hr'!D58)</f>
        <v>0</v>
      </c>
      <c r="E58" s="49">
        <f>AVERAGE('26.10 Isingiro-Mbarara-24Hr'!E58,'28.10 Isingiro-Mbarara-24Hr'!E58)</f>
        <v>3</v>
      </c>
      <c r="F58" s="49">
        <f>AVERAGE('26.10 Isingiro-Mbarara-24Hr'!F58,'28.10 Isingiro-Mbarara-24Hr'!F58)</f>
        <v>1</v>
      </c>
      <c r="G58" s="49">
        <f>AVERAGE('26.10 Isingiro-Mbarara-24Hr'!G58,'28.10 Isingiro-Mbarara-24Hr'!G58)</f>
        <v>0</v>
      </c>
      <c r="H58" s="49">
        <f>AVERAGE('26.10 Isingiro-Mbarara-24Hr'!H58,'28.10 Isingiro-Mbarara-24Hr'!H58)</f>
        <v>0</v>
      </c>
      <c r="I58" s="49">
        <f>AVERAGE('26.10 Isingiro-Mbarara-24Hr'!I58,'28.10 Isingiro-Mbarara-24Hr'!I58)</f>
        <v>2</v>
      </c>
      <c r="J58" s="49">
        <f>AVERAGE('26.10 Isingiro-Mbarara-24Hr'!J58,'28.10 Isingiro-Mbarara-24Hr'!J58)</f>
        <v>0.5</v>
      </c>
      <c r="K58" s="49">
        <f>AVERAGE('26.10 Isingiro-Mbarara-24Hr'!K58,'28.10 Isingiro-Mbarara-24Hr'!K58)</f>
        <v>0.5</v>
      </c>
      <c r="L58" s="49">
        <f>AVERAGE('26.10 Isingiro-Mbarara-24Hr'!L58,'28.10 Isingiro-Mbarara-24Hr'!L58)</f>
        <v>0</v>
      </c>
      <c r="M58" s="49">
        <f>AVERAGE('26.10 Isingiro-Mbarara-24Hr'!M58,'28.10 Isingiro-Mbarara-24Hr'!M58)</f>
        <v>33.5</v>
      </c>
      <c r="N58" s="49">
        <f>AVERAGE('26.10 Isingiro-Mbarara-24Hr'!N58,'28.10 Isingiro-Mbarara-24Hr'!N58)</f>
        <v>0</v>
      </c>
      <c r="O58" s="15">
        <f t="shared" si="0"/>
        <v>22.5</v>
      </c>
      <c r="P58" s="15">
        <f t="shared" si="1"/>
        <v>56</v>
      </c>
      <c r="R58" s="8"/>
      <c r="T58"/>
    </row>
    <row r="59" spans="2:20" ht="23.1" customHeight="1" x14ac:dyDescent="0.25">
      <c r="B59" s="23" t="s">
        <v>100</v>
      </c>
      <c r="C59" s="49">
        <f>AVERAGE('26.10 Isingiro-Mbarara-24Hr'!C59,'28.10 Isingiro-Mbarara-24Hr'!C59)</f>
        <v>7.5</v>
      </c>
      <c r="D59" s="49">
        <f>AVERAGE('26.10 Isingiro-Mbarara-24Hr'!D59,'28.10 Isingiro-Mbarara-24Hr'!D59)</f>
        <v>0</v>
      </c>
      <c r="E59" s="49">
        <f>AVERAGE('26.10 Isingiro-Mbarara-24Hr'!E59,'28.10 Isingiro-Mbarara-24Hr'!E59)</f>
        <v>1</v>
      </c>
      <c r="F59" s="49">
        <f>AVERAGE('26.10 Isingiro-Mbarara-24Hr'!F59,'28.10 Isingiro-Mbarara-24Hr'!F59)</f>
        <v>1.5</v>
      </c>
      <c r="G59" s="49">
        <f>AVERAGE('26.10 Isingiro-Mbarara-24Hr'!G59,'28.10 Isingiro-Mbarara-24Hr'!G59)</f>
        <v>0</v>
      </c>
      <c r="H59" s="49">
        <f>AVERAGE('26.10 Isingiro-Mbarara-24Hr'!H59,'28.10 Isingiro-Mbarara-24Hr'!H59)</f>
        <v>0</v>
      </c>
      <c r="I59" s="49">
        <f>AVERAGE('26.10 Isingiro-Mbarara-24Hr'!I59,'28.10 Isingiro-Mbarara-24Hr'!I59)</f>
        <v>1</v>
      </c>
      <c r="J59" s="49">
        <f>AVERAGE('26.10 Isingiro-Mbarara-24Hr'!J59,'28.10 Isingiro-Mbarara-24Hr'!J59)</f>
        <v>0.5</v>
      </c>
      <c r="K59" s="49">
        <f>AVERAGE('26.10 Isingiro-Mbarara-24Hr'!K59,'28.10 Isingiro-Mbarara-24Hr'!K59)</f>
        <v>0</v>
      </c>
      <c r="L59" s="49">
        <f>AVERAGE('26.10 Isingiro-Mbarara-24Hr'!L59,'28.10 Isingiro-Mbarara-24Hr'!L59)</f>
        <v>0</v>
      </c>
      <c r="M59" s="49">
        <f>AVERAGE('26.10 Isingiro-Mbarara-24Hr'!M59,'28.10 Isingiro-Mbarara-24Hr'!M59)</f>
        <v>24</v>
      </c>
      <c r="N59" s="49">
        <f>AVERAGE('26.10 Isingiro-Mbarara-24Hr'!N59,'28.10 Isingiro-Mbarara-24Hr'!N59)</f>
        <v>0</v>
      </c>
      <c r="O59" s="15">
        <f t="shared" si="0"/>
        <v>11.5</v>
      </c>
      <c r="P59" s="15">
        <f t="shared" si="1"/>
        <v>35.5</v>
      </c>
      <c r="R59" s="8"/>
      <c r="T59"/>
    </row>
    <row r="60" spans="2:20" ht="23.1" customHeight="1" x14ac:dyDescent="0.25">
      <c r="B60" s="23" t="s">
        <v>101</v>
      </c>
      <c r="C60" s="49">
        <f>AVERAGE('26.10 Isingiro-Mbarara-24Hr'!C60,'28.10 Isingiro-Mbarara-24Hr'!C60)</f>
        <v>12.5</v>
      </c>
      <c r="D60" s="49">
        <f>AVERAGE('26.10 Isingiro-Mbarara-24Hr'!D60,'28.10 Isingiro-Mbarara-24Hr'!D60)</f>
        <v>0.5</v>
      </c>
      <c r="E60" s="49">
        <f>AVERAGE('26.10 Isingiro-Mbarara-24Hr'!E60,'28.10 Isingiro-Mbarara-24Hr'!E60)</f>
        <v>1</v>
      </c>
      <c r="F60" s="49">
        <f>AVERAGE('26.10 Isingiro-Mbarara-24Hr'!F60,'28.10 Isingiro-Mbarara-24Hr'!F60)</f>
        <v>2</v>
      </c>
      <c r="G60" s="49">
        <f>AVERAGE('26.10 Isingiro-Mbarara-24Hr'!G60,'28.10 Isingiro-Mbarara-24Hr'!G60)</f>
        <v>0</v>
      </c>
      <c r="H60" s="49">
        <f>AVERAGE('26.10 Isingiro-Mbarara-24Hr'!H60,'28.10 Isingiro-Mbarara-24Hr'!H60)</f>
        <v>0</v>
      </c>
      <c r="I60" s="49">
        <f>AVERAGE('26.10 Isingiro-Mbarara-24Hr'!I60,'28.10 Isingiro-Mbarara-24Hr'!I60)</f>
        <v>0.5</v>
      </c>
      <c r="J60" s="49">
        <f>AVERAGE('26.10 Isingiro-Mbarara-24Hr'!J60,'28.10 Isingiro-Mbarara-24Hr'!J60)</f>
        <v>1</v>
      </c>
      <c r="K60" s="49">
        <f>AVERAGE('26.10 Isingiro-Mbarara-24Hr'!K60,'28.10 Isingiro-Mbarara-24Hr'!K60)</f>
        <v>0</v>
      </c>
      <c r="L60" s="49">
        <f>AVERAGE('26.10 Isingiro-Mbarara-24Hr'!L60,'28.10 Isingiro-Mbarara-24Hr'!L60)</f>
        <v>0</v>
      </c>
      <c r="M60" s="49">
        <f>AVERAGE('26.10 Isingiro-Mbarara-24Hr'!M60,'28.10 Isingiro-Mbarara-24Hr'!M60)</f>
        <v>29.5</v>
      </c>
      <c r="N60" s="49">
        <f>AVERAGE('26.10 Isingiro-Mbarara-24Hr'!N60,'28.10 Isingiro-Mbarara-24Hr'!N60)</f>
        <v>0</v>
      </c>
      <c r="O60" s="15">
        <f t="shared" si="0"/>
        <v>17.5</v>
      </c>
      <c r="P60" s="15">
        <f t="shared" si="1"/>
        <v>47</v>
      </c>
      <c r="R60" s="8"/>
      <c r="T60"/>
    </row>
    <row r="61" spans="2:20" ht="23.1" customHeight="1" x14ac:dyDescent="0.25">
      <c r="B61" s="23" t="s">
        <v>102</v>
      </c>
      <c r="C61" s="49">
        <f>AVERAGE('26.10 Isingiro-Mbarara-24Hr'!C61,'28.10 Isingiro-Mbarara-24Hr'!C61)</f>
        <v>14.5</v>
      </c>
      <c r="D61" s="49">
        <f>AVERAGE('26.10 Isingiro-Mbarara-24Hr'!D61,'28.10 Isingiro-Mbarara-24Hr'!D61)</f>
        <v>3</v>
      </c>
      <c r="E61" s="49">
        <f>AVERAGE('26.10 Isingiro-Mbarara-24Hr'!E61,'28.10 Isingiro-Mbarara-24Hr'!E61)</f>
        <v>3</v>
      </c>
      <c r="F61" s="49">
        <f>AVERAGE('26.10 Isingiro-Mbarara-24Hr'!F61,'28.10 Isingiro-Mbarara-24Hr'!F61)</f>
        <v>2</v>
      </c>
      <c r="G61" s="49">
        <f>AVERAGE('26.10 Isingiro-Mbarara-24Hr'!G61,'28.10 Isingiro-Mbarara-24Hr'!G61)</f>
        <v>0</v>
      </c>
      <c r="H61" s="49">
        <f>AVERAGE('26.10 Isingiro-Mbarara-24Hr'!H61,'28.10 Isingiro-Mbarara-24Hr'!H61)</f>
        <v>0</v>
      </c>
      <c r="I61" s="49">
        <f>AVERAGE('26.10 Isingiro-Mbarara-24Hr'!I61,'28.10 Isingiro-Mbarara-24Hr'!I61)</f>
        <v>6</v>
      </c>
      <c r="J61" s="49">
        <f>AVERAGE('26.10 Isingiro-Mbarara-24Hr'!J61,'28.10 Isingiro-Mbarara-24Hr'!J61)</f>
        <v>1.5</v>
      </c>
      <c r="K61" s="49">
        <f>AVERAGE('26.10 Isingiro-Mbarara-24Hr'!K61,'28.10 Isingiro-Mbarara-24Hr'!K61)</f>
        <v>0.5</v>
      </c>
      <c r="L61" s="49">
        <f>AVERAGE('26.10 Isingiro-Mbarara-24Hr'!L61,'28.10 Isingiro-Mbarara-24Hr'!L61)</f>
        <v>0</v>
      </c>
      <c r="M61" s="49">
        <f>AVERAGE('26.10 Isingiro-Mbarara-24Hr'!M61,'28.10 Isingiro-Mbarara-24Hr'!M61)</f>
        <v>26</v>
      </c>
      <c r="N61" s="49">
        <f>AVERAGE('26.10 Isingiro-Mbarara-24Hr'!N61,'28.10 Isingiro-Mbarara-24Hr'!N61)</f>
        <v>0</v>
      </c>
      <c r="O61" s="15">
        <f t="shared" si="0"/>
        <v>30.5</v>
      </c>
      <c r="P61" s="15">
        <f t="shared" si="1"/>
        <v>56.5</v>
      </c>
      <c r="R61" s="8"/>
      <c r="T61"/>
    </row>
    <row r="62" spans="2:20" ht="23.1" customHeight="1" x14ac:dyDescent="0.25">
      <c r="B62" s="23" t="s">
        <v>107</v>
      </c>
      <c r="C62" s="49">
        <f>AVERAGE('26.10 Isingiro-Mbarara-24Hr'!C62,'28.10 Isingiro-Mbarara-24Hr'!C62)</f>
        <v>11</v>
      </c>
      <c r="D62" s="49">
        <f>AVERAGE('26.10 Isingiro-Mbarara-24Hr'!D62,'28.10 Isingiro-Mbarara-24Hr'!D62)</f>
        <v>2.5</v>
      </c>
      <c r="E62" s="49">
        <f>AVERAGE('26.10 Isingiro-Mbarara-24Hr'!E62,'28.10 Isingiro-Mbarara-24Hr'!E62)</f>
        <v>0</v>
      </c>
      <c r="F62" s="49">
        <f>AVERAGE('26.10 Isingiro-Mbarara-24Hr'!F62,'28.10 Isingiro-Mbarara-24Hr'!F62)</f>
        <v>2</v>
      </c>
      <c r="G62" s="49">
        <f>AVERAGE('26.10 Isingiro-Mbarara-24Hr'!G62,'28.10 Isingiro-Mbarara-24Hr'!G62)</f>
        <v>0</v>
      </c>
      <c r="H62" s="49">
        <f>AVERAGE('26.10 Isingiro-Mbarara-24Hr'!H62,'28.10 Isingiro-Mbarara-24Hr'!H62)</f>
        <v>0</v>
      </c>
      <c r="I62" s="49">
        <f>AVERAGE('26.10 Isingiro-Mbarara-24Hr'!I62,'28.10 Isingiro-Mbarara-24Hr'!I62)</f>
        <v>2</v>
      </c>
      <c r="J62" s="49">
        <f>AVERAGE('26.10 Isingiro-Mbarara-24Hr'!J62,'28.10 Isingiro-Mbarara-24Hr'!J62)</f>
        <v>1.5</v>
      </c>
      <c r="K62" s="49">
        <f>AVERAGE('26.10 Isingiro-Mbarara-24Hr'!K62,'28.10 Isingiro-Mbarara-24Hr'!K62)</f>
        <v>0</v>
      </c>
      <c r="L62" s="49">
        <f>AVERAGE('26.10 Isingiro-Mbarara-24Hr'!L62,'28.10 Isingiro-Mbarara-24Hr'!L62)</f>
        <v>0</v>
      </c>
      <c r="M62" s="49">
        <f>AVERAGE('26.10 Isingiro-Mbarara-24Hr'!M62,'28.10 Isingiro-Mbarara-24Hr'!M62)</f>
        <v>16.5</v>
      </c>
      <c r="N62" s="49">
        <f>AVERAGE('26.10 Isingiro-Mbarara-24Hr'!N62,'28.10 Isingiro-Mbarara-24Hr'!N62)</f>
        <v>0</v>
      </c>
      <c r="O62" s="15">
        <f t="shared" si="0"/>
        <v>19</v>
      </c>
      <c r="P62" s="15">
        <f t="shared" si="1"/>
        <v>35.5</v>
      </c>
      <c r="R62" s="8"/>
      <c r="T62"/>
    </row>
    <row r="63" spans="2:20" ht="23.1" customHeight="1" x14ac:dyDescent="0.25">
      <c r="B63" s="23" t="s">
        <v>108</v>
      </c>
      <c r="C63" s="49">
        <f>AVERAGE('26.10 Isingiro-Mbarara-24Hr'!C63,'28.10 Isingiro-Mbarara-24Hr'!C63)</f>
        <v>9.5</v>
      </c>
      <c r="D63" s="49">
        <f>AVERAGE('26.10 Isingiro-Mbarara-24Hr'!D63,'28.10 Isingiro-Mbarara-24Hr'!D63)</f>
        <v>0.5</v>
      </c>
      <c r="E63" s="49">
        <f>AVERAGE('26.10 Isingiro-Mbarara-24Hr'!E63,'28.10 Isingiro-Mbarara-24Hr'!E63)</f>
        <v>1</v>
      </c>
      <c r="F63" s="49">
        <f>AVERAGE('26.10 Isingiro-Mbarara-24Hr'!F63,'28.10 Isingiro-Mbarara-24Hr'!F63)</f>
        <v>1</v>
      </c>
      <c r="G63" s="49">
        <f>AVERAGE('26.10 Isingiro-Mbarara-24Hr'!G63,'28.10 Isingiro-Mbarara-24Hr'!G63)</f>
        <v>0</v>
      </c>
      <c r="H63" s="49">
        <f>AVERAGE('26.10 Isingiro-Mbarara-24Hr'!H63,'28.10 Isingiro-Mbarara-24Hr'!H63)</f>
        <v>0</v>
      </c>
      <c r="I63" s="49">
        <f>AVERAGE('26.10 Isingiro-Mbarara-24Hr'!I63,'28.10 Isingiro-Mbarara-24Hr'!I63)</f>
        <v>1</v>
      </c>
      <c r="J63" s="49">
        <f>AVERAGE('26.10 Isingiro-Mbarara-24Hr'!J63,'28.10 Isingiro-Mbarara-24Hr'!J63)</f>
        <v>1</v>
      </c>
      <c r="K63" s="49">
        <f>AVERAGE('26.10 Isingiro-Mbarara-24Hr'!K63,'28.10 Isingiro-Mbarara-24Hr'!K63)</f>
        <v>0</v>
      </c>
      <c r="L63" s="49">
        <f>AVERAGE('26.10 Isingiro-Mbarara-24Hr'!L63,'28.10 Isingiro-Mbarara-24Hr'!L63)</f>
        <v>0</v>
      </c>
      <c r="M63" s="49">
        <f>AVERAGE('26.10 Isingiro-Mbarara-24Hr'!M63,'28.10 Isingiro-Mbarara-24Hr'!M63)</f>
        <v>17.5</v>
      </c>
      <c r="N63" s="49">
        <f>AVERAGE('26.10 Isingiro-Mbarara-24Hr'!N63,'28.10 Isingiro-Mbarara-24Hr'!N63)</f>
        <v>0</v>
      </c>
      <c r="O63" s="15">
        <f t="shared" si="0"/>
        <v>14</v>
      </c>
      <c r="P63" s="15">
        <f t="shared" si="1"/>
        <v>31.5</v>
      </c>
      <c r="R63" s="8"/>
      <c r="T63"/>
    </row>
    <row r="64" spans="2:20" ht="23.1" customHeight="1" x14ac:dyDescent="0.25">
      <c r="B64" s="23" t="s">
        <v>109</v>
      </c>
      <c r="C64" s="49">
        <f>AVERAGE('26.10 Isingiro-Mbarara-24Hr'!C64,'28.10 Isingiro-Mbarara-24Hr'!C64)</f>
        <v>10</v>
      </c>
      <c r="D64" s="49">
        <f>AVERAGE('26.10 Isingiro-Mbarara-24Hr'!D64,'28.10 Isingiro-Mbarara-24Hr'!D64)</f>
        <v>0.5</v>
      </c>
      <c r="E64" s="49">
        <f>AVERAGE('26.10 Isingiro-Mbarara-24Hr'!E64,'28.10 Isingiro-Mbarara-24Hr'!E64)</f>
        <v>2</v>
      </c>
      <c r="F64" s="49">
        <f>AVERAGE('26.10 Isingiro-Mbarara-24Hr'!F64,'28.10 Isingiro-Mbarara-24Hr'!F64)</f>
        <v>1</v>
      </c>
      <c r="G64" s="49">
        <f>AVERAGE('26.10 Isingiro-Mbarara-24Hr'!G64,'28.10 Isingiro-Mbarara-24Hr'!G64)</f>
        <v>0</v>
      </c>
      <c r="H64" s="49">
        <f>AVERAGE('26.10 Isingiro-Mbarara-24Hr'!H64,'28.10 Isingiro-Mbarara-24Hr'!H64)</f>
        <v>0</v>
      </c>
      <c r="I64" s="49">
        <f>AVERAGE('26.10 Isingiro-Mbarara-24Hr'!I64,'28.10 Isingiro-Mbarara-24Hr'!I64)</f>
        <v>2</v>
      </c>
      <c r="J64" s="49">
        <f>AVERAGE('26.10 Isingiro-Mbarara-24Hr'!J64,'28.10 Isingiro-Mbarara-24Hr'!J64)</f>
        <v>0</v>
      </c>
      <c r="K64" s="49">
        <f>AVERAGE('26.10 Isingiro-Mbarara-24Hr'!K64,'28.10 Isingiro-Mbarara-24Hr'!K64)</f>
        <v>0</v>
      </c>
      <c r="L64" s="49">
        <f>AVERAGE('26.10 Isingiro-Mbarara-24Hr'!L64,'28.10 Isingiro-Mbarara-24Hr'!L64)</f>
        <v>0</v>
      </c>
      <c r="M64" s="49">
        <f>AVERAGE('26.10 Isingiro-Mbarara-24Hr'!M64,'28.10 Isingiro-Mbarara-24Hr'!M64)</f>
        <v>11.5</v>
      </c>
      <c r="N64" s="49">
        <f>AVERAGE('26.10 Isingiro-Mbarara-24Hr'!N64,'28.10 Isingiro-Mbarara-24Hr'!N64)</f>
        <v>0</v>
      </c>
      <c r="O64" s="15">
        <f t="shared" si="0"/>
        <v>15.5</v>
      </c>
      <c r="P64" s="15">
        <f t="shared" si="1"/>
        <v>27</v>
      </c>
      <c r="R64" s="8"/>
      <c r="T64"/>
    </row>
    <row r="65" spans="2:20" ht="23.1" customHeight="1" x14ac:dyDescent="0.25">
      <c r="B65" s="23" t="s">
        <v>158</v>
      </c>
      <c r="C65" s="49">
        <f>AVERAGE('26.10 Isingiro-Mbarara-24Hr'!C65,'28.10 Isingiro-Mbarara-24Hr'!C65)</f>
        <v>3</v>
      </c>
      <c r="D65" s="49">
        <f>AVERAGE('26.10 Isingiro-Mbarara-24Hr'!D65,'28.10 Isingiro-Mbarara-24Hr'!D65)</f>
        <v>2</v>
      </c>
      <c r="E65" s="49">
        <f>AVERAGE('26.10 Isingiro-Mbarara-24Hr'!E65,'28.10 Isingiro-Mbarara-24Hr'!E65)</f>
        <v>2</v>
      </c>
      <c r="F65" s="49">
        <f>AVERAGE('26.10 Isingiro-Mbarara-24Hr'!F65,'28.10 Isingiro-Mbarara-24Hr'!F65)</f>
        <v>1</v>
      </c>
      <c r="G65" s="49">
        <f>AVERAGE('26.10 Isingiro-Mbarara-24Hr'!G65,'28.10 Isingiro-Mbarara-24Hr'!G65)</f>
        <v>0</v>
      </c>
      <c r="H65" s="49">
        <f>AVERAGE('26.10 Isingiro-Mbarara-24Hr'!H65,'28.10 Isingiro-Mbarara-24Hr'!H65)</f>
        <v>0</v>
      </c>
      <c r="I65" s="49">
        <f>AVERAGE('26.10 Isingiro-Mbarara-24Hr'!I65,'28.10 Isingiro-Mbarara-24Hr'!I65)</f>
        <v>2.5</v>
      </c>
      <c r="J65" s="49">
        <f>AVERAGE('26.10 Isingiro-Mbarara-24Hr'!J65,'28.10 Isingiro-Mbarara-24Hr'!J65)</f>
        <v>2.5</v>
      </c>
      <c r="K65" s="49">
        <f>AVERAGE('26.10 Isingiro-Mbarara-24Hr'!K65,'28.10 Isingiro-Mbarara-24Hr'!K65)</f>
        <v>0</v>
      </c>
      <c r="L65" s="49">
        <f>AVERAGE('26.10 Isingiro-Mbarara-24Hr'!L65,'28.10 Isingiro-Mbarara-24Hr'!L65)</f>
        <v>0</v>
      </c>
      <c r="M65" s="49">
        <f>AVERAGE('26.10 Isingiro-Mbarara-24Hr'!M65,'28.10 Isingiro-Mbarara-24Hr'!M65)</f>
        <v>18.5</v>
      </c>
      <c r="N65" s="49">
        <f>AVERAGE('26.10 Isingiro-Mbarara-24Hr'!N65,'28.10 Isingiro-Mbarara-24Hr'!N65)</f>
        <v>0</v>
      </c>
      <c r="O65" s="15">
        <f t="shared" si="0"/>
        <v>13</v>
      </c>
      <c r="P65" s="15">
        <f t="shared" si="1"/>
        <v>31.5</v>
      </c>
      <c r="R65" s="8"/>
      <c r="T65"/>
    </row>
    <row r="66" spans="2:20" ht="23.1" customHeight="1" x14ac:dyDescent="0.25">
      <c r="B66" s="23" t="s">
        <v>103</v>
      </c>
      <c r="C66" s="49">
        <f>AVERAGE('26.10 Isingiro-Mbarara-24Hr'!C66,'28.10 Isingiro-Mbarara-24Hr'!C66)</f>
        <v>10.5</v>
      </c>
      <c r="D66" s="49">
        <f>AVERAGE('26.10 Isingiro-Mbarara-24Hr'!D66,'28.10 Isingiro-Mbarara-24Hr'!D66)</f>
        <v>2</v>
      </c>
      <c r="E66" s="49">
        <f>AVERAGE('26.10 Isingiro-Mbarara-24Hr'!E66,'28.10 Isingiro-Mbarara-24Hr'!E66)</f>
        <v>1</v>
      </c>
      <c r="F66" s="49">
        <f>AVERAGE('26.10 Isingiro-Mbarara-24Hr'!F66,'28.10 Isingiro-Mbarara-24Hr'!F66)</f>
        <v>2</v>
      </c>
      <c r="G66" s="49">
        <f>AVERAGE('26.10 Isingiro-Mbarara-24Hr'!G66,'28.10 Isingiro-Mbarara-24Hr'!G66)</f>
        <v>0</v>
      </c>
      <c r="H66" s="49">
        <f>AVERAGE('26.10 Isingiro-Mbarara-24Hr'!H66,'28.10 Isingiro-Mbarara-24Hr'!H66)</f>
        <v>0</v>
      </c>
      <c r="I66" s="49">
        <f>AVERAGE('26.10 Isingiro-Mbarara-24Hr'!I66,'28.10 Isingiro-Mbarara-24Hr'!I66)</f>
        <v>0.5</v>
      </c>
      <c r="J66" s="49">
        <f>AVERAGE('26.10 Isingiro-Mbarara-24Hr'!J66,'28.10 Isingiro-Mbarara-24Hr'!J66)</f>
        <v>2</v>
      </c>
      <c r="K66" s="49">
        <f>AVERAGE('26.10 Isingiro-Mbarara-24Hr'!K66,'28.10 Isingiro-Mbarara-24Hr'!K66)</f>
        <v>0</v>
      </c>
      <c r="L66" s="49">
        <f>AVERAGE('26.10 Isingiro-Mbarara-24Hr'!L66,'28.10 Isingiro-Mbarara-24Hr'!L66)</f>
        <v>0</v>
      </c>
      <c r="M66" s="49">
        <f>AVERAGE('26.10 Isingiro-Mbarara-24Hr'!M66,'28.10 Isingiro-Mbarara-24Hr'!M66)</f>
        <v>16.5</v>
      </c>
      <c r="N66" s="49">
        <f>AVERAGE('26.10 Isingiro-Mbarara-24Hr'!N66,'28.10 Isingiro-Mbarara-24Hr'!N66)</f>
        <v>0</v>
      </c>
      <c r="O66" s="15">
        <f t="shared" si="0"/>
        <v>18</v>
      </c>
      <c r="P66" s="15">
        <f t="shared" si="1"/>
        <v>34.5</v>
      </c>
      <c r="R66" s="8"/>
      <c r="T66"/>
    </row>
    <row r="67" spans="2:20" ht="23.1" customHeight="1" x14ac:dyDescent="0.25">
      <c r="B67" s="23" t="s">
        <v>104</v>
      </c>
      <c r="C67" s="49">
        <f>AVERAGE('26.10 Isingiro-Mbarara-24Hr'!C67,'28.10 Isingiro-Mbarara-24Hr'!C67)</f>
        <v>9.5</v>
      </c>
      <c r="D67" s="49">
        <f>AVERAGE('26.10 Isingiro-Mbarara-24Hr'!D67,'28.10 Isingiro-Mbarara-24Hr'!D67)</f>
        <v>0.5</v>
      </c>
      <c r="E67" s="49">
        <f>AVERAGE('26.10 Isingiro-Mbarara-24Hr'!E67,'28.10 Isingiro-Mbarara-24Hr'!E67)</f>
        <v>2.5</v>
      </c>
      <c r="F67" s="49">
        <f>AVERAGE('26.10 Isingiro-Mbarara-24Hr'!F67,'28.10 Isingiro-Mbarara-24Hr'!F67)</f>
        <v>1</v>
      </c>
      <c r="G67" s="49">
        <f>AVERAGE('26.10 Isingiro-Mbarara-24Hr'!G67,'28.10 Isingiro-Mbarara-24Hr'!G67)</f>
        <v>0</v>
      </c>
      <c r="H67" s="49">
        <f>AVERAGE('26.10 Isingiro-Mbarara-24Hr'!H67,'28.10 Isingiro-Mbarara-24Hr'!H67)</f>
        <v>0</v>
      </c>
      <c r="I67" s="49">
        <f>AVERAGE('26.10 Isingiro-Mbarara-24Hr'!I67,'28.10 Isingiro-Mbarara-24Hr'!I67)</f>
        <v>0</v>
      </c>
      <c r="J67" s="49">
        <f>AVERAGE('26.10 Isingiro-Mbarara-24Hr'!J67,'28.10 Isingiro-Mbarara-24Hr'!J67)</f>
        <v>0.5</v>
      </c>
      <c r="K67" s="49">
        <f>AVERAGE('26.10 Isingiro-Mbarara-24Hr'!K67,'28.10 Isingiro-Mbarara-24Hr'!K67)</f>
        <v>0.5</v>
      </c>
      <c r="L67" s="49">
        <f>AVERAGE('26.10 Isingiro-Mbarara-24Hr'!L67,'28.10 Isingiro-Mbarara-24Hr'!L67)</f>
        <v>0</v>
      </c>
      <c r="M67" s="49">
        <f>AVERAGE('26.10 Isingiro-Mbarara-24Hr'!M67,'28.10 Isingiro-Mbarara-24Hr'!M67)</f>
        <v>12.5</v>
      </c>
      <c r="N67" s="49">
        <f>AVERAGE('26.10 Isingiro-Mbarara-24Hr'!N67,'28.10 Isingiro-Mbarara-24Hr'!N67)</f>
        <v>0</v>
      </c>
      <c r="O67" s="15">
        <f t="shared" si="0"/>
        <v>14.5</v>
      </c>
      <c r="P67" s="15">
        <f t="shared" si="1"/>
        <v>27</v>
      </c>
      <c r="R67" s="8"/>
      <c r="T67"/>
    </row>
    <row r="68" spans="2:20" ht="23.1" customHeight="1" x14ac:dyDescent="0.25">
      <c r="B68" s="23" t="s">
        <v>105</v>
      </c>
      <c r="C68" s="49">
        <f>AVERAGE('26.10 Isingiro-Mbarara-24Hr'!C68,'28.10 Isingiro-Mbarara-24Hr'!C68)</f>
        <v>6.5</v>
      </c>
      <c r="D68" s="49">
        <f>AVERAGE('26.10 Isingiro-Mbarara-24Hr'!D68,'28.10 Isingiro-Mbarara-24Hr'!D68)</f>
        <v>1</v>
      </c>
      <c r="E68" s="49">
        <f>AVERAGE('26.10 Isingiro-Mbarara-24Hr'!E68,'28.10 Isingiro-Mbarara-24Hr'!E68)</f>
        <v>1.5</v>
      </c>
      <c r="F68" s="49">
        <f>AVERAGE('26.10 Isingiro-Mbarara-24Hr'!F68,'28.10 Isingiro-Mbarara-24Hr'!F68)</f>
        <v>0</v>
      </c>
      <c r="G68" s="49">
        <f>AVERAGE('26.10 Isingiro-Mbarara-24Hr'!G68,'28.10 Isingiro-Mbarara-24Hr'!G68)</f>
        <v>0</v>
      </c>
      <c r="H68" s="49">
        <f>AVERAGE('26.10 Isingiro-Mbarara-24Hr'!H68,'28.10 Isingiro-Mbarara-24Hr'!H68)</f>
        <v>0.5</v>
      </c>
      <c r="I68" s="49">
        <f>AVERAGE('26.10 Isingiro-Mbarara-24Hr'!I68,'28.10 Isingiro-Mbarara-24Hr'!I68)</f>
        <v>0</v>
      </c>
      <c r="J68" s="49">
        <f>AVERAGE('26.10 Isingiro-Mbarara-24Hr'!J68,'28.10 Isingiro-Mbarara-24Hr'!J68)</f>
        <v>0</v>
      </c>
      <c r="K68" s="49">
        <f>AVERAGE('26.10 Isingiro-Mbarara-24Hr'!K68,'28.10 Isingiro-Mbarara-24Hr'!K68)</f>
        <v>0.5</v>
      </c>
      <c r="L68" s="49">
        <f>AVERAGE('26.10 Isingiro-Mbarara-24Hr'!L68,'28.10 Isingiro-Mbarara-24Hr'!L68)</f>
        <v>0</v>
      </c>
      <c r="M68" s="49">
        <f>AVERAGE('26.10 Isingiro-Mbarara-24Hr'!M68,'28.10 Isingiro-Mbarara-24Hr'!M68)</f>
        <v>14</v>
      </c>
      <c r="N68" s="49">
        <f>AVERAGE('26.10 Isingiro-Mbarara-24Hr'!N68,'28.10 Isingiro-Mbarara-24Hr'!N68)</f>
        <v>0</v>
      </c>
      <c r="O68" s="15">
        <f t="shared" si="0"/>
        <v>10</v>
      </c>
      <c r="P68" s="15">
        <f t="shared" si="1"/>
        <v>24</v>
      </c>
      <c r="R68" s="8"/>
      <c r="T68"/>
    </row>
    <row r="69" spans="2:20" ht="23.1" customHeight="1" x14ac:dyDescent="0.25">
      <c r="B69" s="23" t="s">
        <v>106</v>
      </c>
      <c r="C69" s="49">
        <f>AVERAGE('26.10 Isingiro-Mbarara-24Hr'!C69,'28.10 Isingiro-Mbarara-24Hr'!C69)</f>
        <v>4.5</v>
      </c>
      <c r="D69" s="49">
        <f>AVERAGE('26.10 Isingiro-Mbarara-24Hr'!D69,'28.10 Isingiro-Mbarara-24Hr'!D69)</f>
        <v>1</v>
      </c>
      <c r="E69" s="49">
        <f>AVERAGE('26.10 Isingiro-Mbarara-24Hr'!E69,'28.10 Isingiro-Mbarara-24Hr'!E69)</f>
        <v>1</v>
      </c>
      <c r="F69" s="49">
        <f>AVERAGE('26.10 Isingiro-Mbarara-24Hr'!F69,'28.10 Isingiro-Mbarara-24Hr'!F69)</f>
        <v>0</v>
      </c>
      <c r="G69" s="49">
        <f>AVERAGE('26.10 Isingiro-Mbarara-24Hr'!G69,'28.10 Isingiro-Mbarara-24Hr'!G69)</f>
        <v>0</v>
      </c>
      <c r="H69" s="49">
        <f>AVERAGE('26.10 Isingiro-Mbarara-24Hr'!H69,'28.10 Isingiro-Mbarara-24Hr'!H69)</f>
        <v>0</v>
      </c>
      <c r="I69" s="49">
        <f>AVERAGE('26.10 Isingiro-Mbarara-24Hr'!I69,'28.10 Isingiro-Mbarara-24Hr'!I69)</f>
        <v>1</v>
      </c>
      <c r="J69" s="49">
        <f>AVERAGE('26.10 Isingiro-Mbarara-24Hr'!J69,'28.10 Isingiro-Mbarara-24Hr'!J69)</f>
        <v>0.5</v>
      </c>
      <c r="K69" s="49">
        <f>AVERAGE('26.10 Isingiro-Mbarara-24Hr'!K69,'28.10 Isingiro-Mbarara-24Hr'!K69)</f>
        <v>0.5</v>
      </c>
      <c r="L69" s="49">
        <f>AVERAGE('26.10 Isingiro-Mbarara-24Hr'!L69,'28.10 Isingiro-Mbarara-24Hr'!L69)</f>
        <v>0</v>
      </c>
      <c r="M69" s="49">
        <f>AVERAGE('26.10 Isingiro-Mbarara-24Hr'!M69,'28.10 Isingiro-Mbarara-24Hr'!M69)</f>
        <v>11.5</v>
      </c>
      <c r="N69" s="49">
        <f>AVERAGE('26.10 Isingiro-Mbarara-24Hr'!N69,'28.10 Isingiro-Mbarara-24Hr'!N69)</f>
        <v>0</v>
      </c>
      <c r="O69" s="15">
        <f t="shared" si="0"/>
        <v>8.5</v>
      </c>
      <c r="P69" s="15">
        <f t="shared" si="1"/>
        <v>20</v>
      </c>
      <c r="R69" s="8"/>
      <c r="T69"/>
    </row>
    <row r="70" spans="2:20" ht="23.1" customHeight="1" x14ac:dyDescent="0.25">
      <c r="B70" s="23" t="s">
        <v>110</v>
      </c>
      <c r="C70" s="49">
        <f>AVERAGE('26.10 Isingiro-Mbarara-24Hr'!C70,'28.10 Isingiro-Mbarara-24Hr'!C70)</f>
        <v>7</v>
      </c>
      <c r="D70" s="49">
        <f>AVERAGE('26.10 Isingiro-Mbarara-24Hr'!D70,'28.10 Isingiro-Mbarara-24Hr'!D70)</f>
        <v>0.5</v>
      </c>
      <c r="E70" s="49">
        <f>AVERAGE('26.10 Isingiro-Mbarara-24Hr'!E70,'28.10 Isingiro-Mbarara-24Hr'!E70)</f>
        <v>1.5</v>
      </c>
      <c r="F70" s="49">
        <f>AVERAGE('26.10 Isingiro-Mbarara-24Hr'!F70,'28.10 Isingiro-Mbarara-24Hr'!F70)</f>
        <v>1.5</v>
      </c>
      <c r="G70" s="49">
        <f>AVERAGE('26.10 Isingiro-Mbarara-24Hr'!G70,'28.10 Isingiro-Mbarara-24Hr'!G70)</f>
        <v>0</v>
      </c>
      <c r="H70" s="49">
        <f>AVERAGE('26.10 Isingiro-Mbarara-24Hr'!H70,'28.10 Isingiro-Mbarara-24Hr'!H70)</f>
        <v>0</v>
      </c>
      <c r="I70" s="49">
        <f>AVERAGE('26.10 Isingiro-Mbarara-24Hr'!I70,'28.10 Isingiro-Mbarara-24Hr'!I70)</f>
        <v>0</v>
      </c>
      <c r="J70" s="49">
        <f>AVERAGE('26.10 Isingiro-Mbarara-24Hr'!J70,'28.10 Isingiro-Mbarara-24Hr'!J70)</f>
        <v>1</v>
      </c>
      <c r="K70" s="49">
        <f>AVERAGE('26.10 Isingiro-Mbarara-24Hr'!K70,'28.10 Isingiro-Mbarara-24Hr'!K70)</f>
        <v>0</v>
      </c>
      <c r="L70" s="49">
        <f>AVERAGE('26.10 Isingiro-Mbarara-24Hr'!L70,'28.10 Isingiro-Mbarara-24Hr'!L70)</f>
        <v>0</v>
      </c>
      <c r="M70" s="49">
        <f>AVERAGE('26.10 Isingiro-Mbarara-24Hr'!M70,'28.10 Isingiro-Mbarara-24Hr'!M70)</f>
        <v>9</v>
      </c>
      <c r="N70" s="49">
        <f>AVERAGE('26.10 Isingiro-Mbarara-24Hr'!N70,'28.10 Isingiro-Mbarara-24Hr'!N70)</f>
        <v>0</v>
      </c>
      <c r="O70" s="15">
        <f t="shared" si="0"/>
        <v>11.5</v>
      </c>
      <c r="P70" s="15">
        <f t="shared" si="1"/>
        <v>20.5</v>
      </c>
      <c r="R70" s="8"/>
      <c r="T70"/>
    </row>
    <row r="71" spans="2:20" ht="23.1" customHeight="1" x14ac:dyDescent="0.25">
      <c r="B71" s="23" t="s">
        <v>111</v>
      </c>
      <c r="C71" s="49">
        <f>AVERAGE('26.10 Isingiro-Mbarara-24Hr'!C71,'28.10 Isingiro-Mbarara-24Hr'!C71)</f>
        <v>5</v>
      </c>
      <c r="D71" s="49">
        <f>AVERAGE('26.10 Isingiro-Mbarara-24Hr'!D71,'28.10 Isingiro-Mbarara-24Hr'!D71)</f>
        <v>1</v>
      </c>
      <c r="E71" s="49">
        <f>AVERAGE('26.10 Isingiro-Mbarara-24Hr'!E71,'28.10 Isingiro-Mbarara-24Hr'!E71)</f>
        <v>1</v>
      </c>
      <c r="F71" s="49">
        <f>AVERAGE('26.10 Isingiro-Mbarara-24Hr'!F71,'28.10 Isingiro-Mbarara-24Hr'!F71)</f>
        <v>1</v>
      </c>
      <c r="G71" s="49">
        <f>AVERAGE('26.10 Isingiro-Mbarara-24Hr'!G71,'28.10 Isingiro-Mbarara-24Hr'!G71)</f>
        <v>0</v>
      </c>
      <c r="H71" s="49">
        <f>AVERAGE('26.10 Isingiro-Mbarara-24Hr'!H71,'28.10 Isingiro-Mbarara-24Hr'!H71)</f>
        <v>0</v>
      </c>
      <c r="I71" s="49">
        <f>AVERAGE('26.10 Isingiro-Mbarara-24Hr'!I71,'28.10 Isingiro-Mbarara-24Hr'!I71)</f>
        <v>0</v>
      </c>
      <c r="J71" s="49">
        <f>AVERAGE('26.10 Isingiro-Mbarara-24Hr'!J71,'28.10 Isingiro-Mbarara-24Hr'!J71)</f>
        <v>3</v>
      </c>
      <c r="K71" s="49">
        <f>AVERAGE('26.10 Isingiro-Mbarara-24Hr'!K71,'28.10 Isingiro-Mbarara-24Hr'!K71)</f>
        <v>0</v>
      </c>
      <c r="L71" s="49">
        <f>AVERAGE('26.10 Isingiro-Mbarara-24Hr'!L71,'28.10 Isingiro-Mbarara-24Hr'!L71)</f>
        <v>0</v>
      </c>
      <c r="M71" s="49">
        <f>AVERAGE('26.10 Isingiro-Mbarara-24Hr'!M71,'28.10 Isingiro-Mbarara-24Hr'!M71)</f>
        <v>5.5</v>
      </c>
      <c r="N71" s="49">
        <f>AVERAGE('26.10 Isingiro-Mbarara-24Hr'!N71,'28.10 Isingiro-Mbarara-24Hr'!N71)</f>
        <v>0</v>
      </c>
      <c r="O71" s="15">
        <f t="shared" si="0"/>
        <v>11</v>
      </c>
      <c r="P71" s="15">
        <f t="shared" si="1"/>
        <v>16.5</v>
      </c>
      <c r="R71" s="8"/>
      <c r="T71"/>
    </row>
    <row r="72" spans="2:20" ht="23.1" customHeight="1" x14ac:dyDescent="0.25">
      <c r="B72" s="23" t="s">
        <v>112</v>
      </c>
      <c r="C72" s="49">
        <f>AVERAGE('26.10 Isingiro-Mbarara-24Hr'!C72,'28.10 Isingiro-Mbarara-24Hr'!C72)</f>
        <v>6</v>
      </c>
      <c r="D72" s="49">
        <f>AVERAGE('26.10 Isingiro-Mbarara-24Hr'!D72,'28.10 Isingiro-Mbarara-24Hr'!D72)</f>
        <v>0.5</v>
      </c>
      <c r="E72" s="49">
        <f>AVERAGE('26.10 Isingiro-Mbarara-24Hr'!E72,'28.10 Isingiro-Mbarara-24Hr'!E72)</f>
        <v>0</v>
      </c>
      <c r="F72" s="49">
        <f>AVERAGE('26.10 Isingiro-Mbarara-24Hr'!F72,'28.10 Isingiro-Mbarara-24Hr'!F72)</f>
        <v>0</v>
      </c>
      <c r="G72" s="49">
        <f>AVERAGE('26.10 Isingiro-Mbarara-24Hr'!G72,'28.10 Isingiro-Mbarara-24Hr'!G72)</f>
        <v>0</v>
      </c>
      <c r="H72" s="49">
        <f>AVERAGE('26.10 Isingiro-Mbarara-24Hr'!H72,'28.10 Isingiro-Mbarara-24Hr'!H72)</f>
        <v>0</v>
      </c>
      <c r="I72" s="49">
        <f>AVERAGE('26.10 Isingiro-Mbarara-24Hr'!I72,'28.10 Isingiro-Mbarara-24Hr'!I72)</f>
        <v>0</v>
      </c>
      <c r="J72" s="49">
        <f>AVERAGE('26.10 Isingiro-Mbarara-24Hr'!J72,'28.10 Isingiro-Mbarara-24Hr'!J72)</f>
        <v>0.5</v>
      </c>
      <c r="K72" s="49">
        <f>AVERAGE('26.10 Isingiro-Mbarara-24Hr'!K72,'28.10 Isingiro-Mbarara-24Hr'!K72)</f>
        <v>0</v>
      </c>
      <c r="L72" s="49">
        <f>AVERAGE('26.10 Isingiro-Mbarara-24Hr'!L72,'28.10 Isingiro-Mbarara-24Hr'!L72)</f>
        <v>0</v>
      </c>
      <c r="M72" s="49">
        <f>AVERAGE('26.10 Isingiro-Mbarara-24Hr'!M72,'28.10 Isingiro-Mbarara-24Hr'!M72)</f>
        <v>4</v>
      </c>
      <c r="N72" s="49">
        <f>AVERAGE('26.10 Isingiro-Mbarara-24Hr'!N72,'28.10 Isingiro-Mbarara-24Hr'!N72)</f>
        <v>0</v>
      </c>
      <c r="O72" s="15">
        <f t="shared" si="0"/>
        <v>7</v>
      </c>
      <c r="P72" s="15">
        <f t="shared" si="1"/>
        <v>11</v>
      </c>
      <c r="R72" s="8"/>
      <c r="T72"/>
    </row>
    <row r="73" spans="2:20" ht="23.1" customHeight="1" x14ac:dyDescent="0.25">
      <c r="B73" s="23" t="s">
        <v>113</v>
      </c>
      <c r="C73" s="49">
        <f>AVERAGE('26.10 Isingiro-Mbarara-24Hr'!C73,'28.10 Isingiro-Mbarara-24Hr'!C73)</f>
        <v>3.5</v>
      </c>
      <c r="D73" s="49">
        <f>AVERAGE('26.10 Isingiro-Mbarara-24Hr'!D73,'28.10 Isingiro-Mbarara-24Hr'!D73)</f>
        <v>0</v>
      </c>
      <c r="E73" s="49">
        <f>AVERAGE('26.10 Isingiro-Mbarara-24Hr'!E73,'28.10 Isingiro-Mbarara-24Hr'!E73)</f>
        <v>0</v>
      </c>
      <c r="F73" s="49">
        <f>AVERAGE('26.10 Isingiro-Mbarara-24Hr'!F73,'28.10 Isingiro-Mbarara-24Hr'!F73)</f>
        <v>0.5</v>
      </c>
      <c r="G73" s="49">
        <f>AVERAGE('26.10 Isingiro-Mbarara-24Hr'!G73,'28.10 Isingiro-Mbarara-24Hr'!G73)</f>
        <v>0</v>
      </c>
      <c r="H73" s="49">
        <f>AVERAGE('26.10 Isingiro-Mbarara-24Hr'!H73,'28.10 Isingiro-Mbarara-24Hr'!H73)</f>
        <v>0</v>
      </c>
      <c r="I73" s="49">
        <f>AVERAGE('26.10 Isingiro-Mbarara-24Hr'!I73,'28.10 Isingiro-Mbarara-24Hr'!I73)</f>
        <v>0</v>
      </c>
      <c r="J73" s="49">
        <f>AVERAGE('26.10 Isingiro-Mbarara-24Hr'!J73,'28.10 Isingiro-Mbarara-24Hr'!J73)</f>
        <v>0.5</v>
      </c>
      <c r="K73" s="49">
        <f>AVERAGE('26.10 Isingiro-Mbarara-24Hr'!K73,'28.10 Isingiro-Mbarara-24Hr'!K73)</f>
        <v>0</v>
      </c>
      <c r="L73" s="49">
        <f>AVERAGE('26.10 Isingiro-Mbarara-24Hr'!L73,'28.10 Isingiro-Mbarara-24Hr'!L73)</f>
        <v>0</v>
      </c>
      <c r="M73" s="49">
        <f>AVERAGE('26.10 Isingiro-Mbarara-24Hr'!M73,'28.10 Isingiro-Mbarara-24Hr'!M73)</f>
        <v>17.5</v>
      </c>
      <c r="N73" s="49">
        <f>AVERAGE('26.10 Isingiro-Mbarara-24Hr'!N73,'28.10 Isingiro-Mbarara-24Hr'!N73)</f>
        <v>0</v>
      </c>
      <c r="O73" s="15">
        <f t="shared" si="0"/>
        <v>4.5</v>
      </c>
      <c r="P73" s="15">
        <f t="shared" si="1"/>
        <v>22</v>
      </c>
      <c r="R73" s="8"/>
      <c r="T73"/>
    </row>
    <row r="74" spans="2:20" ht="23.1" customHeight="1" x14ac:dyDescent="0.25">
      <c r="B74" s="23" t="s">
        <v>114</v>
      </c>
      <c r="C74" s="49">
        <f>AVERAGE('26.10 Isingiro-Mbarara-24Hr'!C74,'28.10 Isingiro-Mbarara-24Hr'!C74)</f>
        <v>2</v>
      </c>
      <c r="D74" s="49">
        <f>AVERAGE('26.10 Isingiro-Mbarara-24Hr'!D74,'28.10 Isingiro-Mbarara-24Hr'!D74)</f>
        <v>0.5</v>
      </c>
      <c r="E74" s="49">
        <f>AVERAGE('26.10 Isingiro-Mbarara-24Hr'!E74,'28.10 Isingiro-Mbarara-24Hr'!E74)</f>
        <v>0.5</v>
      </c>
      <c r="F74" s="49">
        <f>AVERAGE('26.10 Isingiro-Mbarara-24Hr'!F74,'28.10 Isingiro-Mbarara-24Hr'!F74)</f>
        <v>0</v>
      </c>
      <c r="G74" s="49">
        <f>AVERAGE('26.10 Isingiro-Mbarara-24Hr'!G74,'28.10 Isingiro-Mbarara-24Hr'!G74)</f>
        <v>0</v>
      </c>
      <c r="H74" s="49">
        <f>AVERAGE('26.10 Isingiro-Mbarara-24Hr'!H74,'28.10 Isingiro-Mbarara-24Hr'!H74)</f>
        <v>0</v>
      </c>
      <c r="I74" s="49">
        <f>AVERAGE('26.10 Isingiro-Mbarara-24Hr'!I74,'28.10 Isingiro-Mbarara-24Hr'!I74)</f>
        <v>1.5</v>
      </c>
      <c r="J74" s="49">
        <f>AVERAGE('26.10 Isingiro-Mbarara-24Hr'!J74,'28.10 Isingiro-Mbarara-24Hr'!J74)</f>
        <v>0</v>
      </c>
      <c r="K74" s="49">
        <f>AVERAGE('26.10 Isingiro-Mbarara-24Hr'!K74,'28.10 Isingiro-Mbarara-24Hr'!K74)</f>
        <v>0</v>
      </c>
      <c r="L74" s="49">
        <f>AVERAGE('26.10 Isingiro-Mbarara-24Hr'!L74,'28.10 Isingiro-Mbarara-24Hr'!L74)</f>
        <v>0</v>
      </c>
      <c r="M74" s="49">
        <f>AVERAGE('26.10 Isingiro-Mbarara-24Hr'!M74,'28.10 Isingiro-Mbarara-24Hr'!M74)</f>
        <v>2.5</v>
      </c>
      <c r="N74" s="49">
        <f>AVERAGE('26.10 Isingiro-Mbarara-24Hr'!N74,'28.10 Isingiro-Mbarara-24Hr'!N74)</f>
        <v>0</v>
      </c>
      <c r="O74" s="15">
        <f t="shared" ref="O74:O105" si="35">SUM(C74:L74,N74)</f>
        <v>4.5</v>
      </c>
      <c r="P74" s="15">
        <f t="shared" ref="P74:P105" si="36">SUM(C74:N74)</f>
        <v>7</v>
      </c>
      <c r="R74" s="8"/>
      <c r="T74"/>
    </row>
    <row r="75" spans="2:20" ht="23.1" customHeight="1" x14ac:dyDescent="0.25">
      <c r="B75" s="23" t="s">
        <v>115</v>
      </c>
      <c r="C75" s="49">
        <f>AVERAGE('26.10 Isingiro-Mbarara-24Hr'!C75,'28.10 Isingiro-Mbarara-24Hr'!C75)</f>
        <v>2.5</v>
      </c>
      <c r="D75" s="49">
        <f>AVERAGE('26.10 Isingiro-Mbarara-24Hr'!D75,'28.10 Isingiro-Mbarara-24Hr'!D75)</f>
        <v>0</v>
      </c>
      <c r="E75" s="49">
        <f>AVERAGE('26.10 Isingiro-Mbarara-24Hr'!E75,'28.10 Isingiro-Mbarara-24Hr'!E75)</f>
        <v>0</v>
      </c>
      <c r="F75" s="49">
        <f>AVERAGE('26.10 Isingiro-Mbarara-24Hr'!F75,'28.10 Isingiro-Mbarara-24Hr'!F75)</f>
        <v>0</v>
      </c>
      <c r="G75" s="49">
        <f>AVERAGE('26.10 Isingiro-Mbarara-24Hr'!G75,'28.10 Isingiro-Mbarara-24Hr'!G75)</f>
        <v>0</v>
      </c>
      <c r="H75" s="49">
        <f>AVERAGE('26.10 Isingiro-Mbarara-24Hr'!H75,'28.10 Isingiro-Mbarara-24Hr'!H75)</f>
        <v>0</v>
      </c>
      <c r="I75" s="49">
        <f>AVERAGE('26.10 Isingiro-Mbarara-24Hr'!I75,'28.10 Isingiro-Mbarara-24Hr'!I75)</f>
        <v>2</v>
      </c>
      <c r="J75" s="49">
        <f>AVERAGE('26.10 Isingiro-Mbarara-24Hr'!J75,'28.10 Isingiro-Mbarara-24Hr'!J75)</f>
        <v>0.5</v>
      </c>
      <c r="K75" s="49">
        <f>AVERAGE('26.10 Isingiro-Mbarara-24Hr'!K75,'28.10 Isingiro-Mbarara-24Hr'!K75)</f>
        <v>0</v>
      </c>
      <c r="L75" s="49">
        <f>AVERAGE('26.10 Isingiro-Mbarara-24Hr'!L75,'28.10 Isingiro-Mbarara-24Hr'!L75)</f>
        <v>0</v>
      </c>
      <c r="M75" s="49">
        <f>AVERAGE('26.10 Isingiro-Mbarara-24Hr'!M75,'28.10 Isingiro-Mbarara-24Hr'!M75)</f>
        <v>1.5</v>
      </c>
      <c r="N75" s="49">
        <f>AVERAGE('26.10 Isingiro-Mbarara-24Hr'!N75,'28.10 Isingiro-Mbarara-24Hr'!N75)</f>
        <v>0</v>
      </c>
      <c r="O75" s="15">
        <f t="shared" si="35"/>
        <v>5</v>
      </c>
      <c r="P75" s="15">
        <f t="shared" si="36"/>
        <v>6.5</v>
      </c>
      <c r="R75" s="8"/>
      <c r="T75"/>
    </row>
    <row r="76" spans="2:20" ht="23.1" customHeight="1" x14ac:dyDescent="0.25">
      <c r="B76" s="23" t="s">
        <v>116</v>
      </c>
      <c r="C76" s="49">
        <f>AVERAGE('26.10 Isingiro-Mbarara-24Hr'!C76,'28.10 Isingiro-Mbarara-24Hr'!C76)</f>
        <v>2</v>
      </c>
      <c r="D76" s="49">
        <f>AVERAGE('26.10 Isingiro-Mbarara-24Hr'!D76,'28.10 Isingiro-Mbarara-24Hr'!D76)</f>
        <v>0.5</v>
      </c>
      <c r="E76" s="49">
        <f>AVERAGE('26.10 Isingiro-Mbarara-24Hr'!E76,'28.10 Isingiro-Mbarara-24Hr'!E76)</f>
        <v>0</v>
      </c>
      <c r="F76" s="49">
        <f>AVERAGE('26.10 Isingiro-Mbarara-24Hr'!F76,'28.10 Isingiro-Mbarara-24Hr'!F76)</f>
        <v>0</v>
      </c>
      <c r="G76" s="49">
        <f>AVERAGE('26.10 Isingiro-Mbarara-24Hr'!G76,'28.10 Isingiro-Mbarara-24Hr'!G76)</f>
        <v>0.5</v>
      </c>
      <c r="H76" s="49">
        <f>AVERAGE('26.10 Isingiro-Mbarara-24Hr'!H76,'28.10 Isingiro-Mbarara-24Hr'!H76)</f>
        <v>0</v>
      </c>
      <c r="I76" s="49">
        <f>AVERAGE('26.10 Isingiro-Mbarara-24Hr'!I76,'28.10 Isingiro-Mbarara-24Hr'!I76)</f>
        <v>0.5</v>
      </c>
      <c r="J76" s="49">
        <f>AVERAGE('26.10 Isingiro-Mbarara-24Hr'!J76,'28.10 Isingiro-Mbarara-24Hr'!J76)</f>
        <v>0</v>
      </c>
      <c r="K76" s="49">
        <f>AVERAGE('26.10 Isingiro-Mbarara-24Hr'!K76,'28.10 Isingiro-Mbarara-24Hr'!K76)</f>
        <v>0</v>
      </c>
      <c r="L76" s="49">
        <f>AVERAGE('26.10 Isingiro-Mbarara-24Hr'!L76,'28.10 Isingiro-Mbarara-24Hr'!L76)</f>
        <v>0</v>
      </c>
      <c r="M76" s="49">
        <f>AVERAGE('26.10 Isingiro-Mbarara-24Hr'!M76,'28.10 Isingiro-Mbarara-24Hr'!M76)</f>
        <v>0</v>
      </c>
      <c r="N76" s="49">
        <f>AVERAGE('26.10 Isingiro-Mbarara-24Hr'!N76,'28.10 Isingiro-Mbarara-24Hr'!N76)</f>
        <v>0</v>
      </c>
      <c r="O76" s="15">
        <f t="shared" si="35"/>
        <v>3.5</v>
      </c>
      <c r="P76" s="15">
        <f t="shared" si="36"/>
        <v>3.5</v>
      </c>
      <c r="R76" s="8"/>
      <c r="T76"/>
    </row>
    <row r="77" spans="2:20" ht="23.1" customHeight="1" x14ac:dyDescent="0.25">
      <c r="B77" s="23" t="s">
        <v>117</v>
      </c>
      <c r="C77" s="49">
        <f>AVERAGE('26.10 Isingiro-Mbarara-24Hr'!C77,'28.10 Isingiro-Mbarara-24Hr'!C77)</f>
        <v>3</v>
      </c>
      <c r="D77" s="49">
        <f>AVERAGE('26.10 Isingiro-Mbarara-24Hr'!D77,'28.10 Isingiro-Mbarara-24Hr'!D77)</f>
        <v>0.5</v>
      </c>
      <c r="E77" s="49">
        <f>AVERAGE('26.10 Isingiro-Mbarara-24Hr'!E77,'28.10 Isingiro-Mbarara-24Hr'!E77)</f>
        <v>0</v>
      </c>
      <c r="F77" s="49">
        <f>AVERAGE('26.10 Isingiro-Mbarara-24Hr'!F77,'28.10 Isingiro-Mbarara-24Hr'!F77)</f>
        <v>0</v>
      </c>
      <c r="G77" s="49">
        <f>AVERAGE('26.10 Isingiro-Mbarara-24Hr'!G77,'28.10 Isingiro-Mbarara-24Hr'!G77)</f>
        <v>0</v>
      </c>
      <c r="H77" s="49">
        <f>AVERAGE('26.10 Isingiro-Mbarara-24Hr'!H77,'28.10 Isingiro-Mbarara-24Hr'!H77)</f>
        <v>0</v>
      </c>
      <c r="I77" s="49">
        <f>AVERAGE('26.10 Isingiro-Mbarara-24Hr'!I77,'28.10 Isingiro-Mbarara-24Hr'!I77)</f>
        <v>0.5</v>
      </c>
      <c r="J77" s="49">
        <f>AVERAGE('26.10 Isingiro-Mbarara-24Hr'!J77,'28.10 Isingiro-Mbarara-24Hr'!J77)</f>
        <v>2</v>
      </c>
      <c r="K77" s="49">
        <f>AVERAGE('26.10 Isingiro-Mbarara-24Hr'!K77,'28.10 Isingiro-Mbarara-24Hr'!K77)</f>
        <v>0</v>
      </c>
      <c r="L77" s="49">
        <f>AVERAGE('26.10 Isingiro-Mbarara-24Hr'!L77,'28.10 Isingiro-Mbarara-24Hr'!L77)</f>
        <v>0</v>
      </c>
      <c r="M77" s="49">
        <f>AVERAGE('26.10 Isingiro-Mbarara-24Hr'!M77,'28.10 Isingiro-Mbarara-24Hr'!M77)</f>
        <v>3</v>
      </c>
      <c r="N77" s="49">
        <f>AVERAGE('26.10 Isingiro-Mbarara-24Hr'!N77,'28.10 Isingiro-Mbarara-24Hr'!N77)</f>
        <v>0</v>
      </c>
      <c r="O77" s="15">
        <f t="shared" si="35"/>
        <v>6</v>
      </c>
      <c r="P77" s="15">
        <f t="shared" si="36"/>
        <v>9</v>
      </c>
      <c r="R77" s="8"/>
      <c r="T77"/>
    </row>
    <row r="78" spans="2:20" ht="23.1" customHeight="1" x14ac:dyDescent="0.25">
      <c r="B78" s="24" t="s">
        <v>118</v>
      </c>
      <c r="C78" s="49">
        <f>AVERAGE('26.10 Isingiro-Mbarara-24Hr'!C78,'28.10 Isingiro-Mbarara-24Hr'!C78)</f>
        <v>1</v>
      </c>
      <c r="D78" s="49">
        <f>AVERAGE('26.10 Isingiro-Mbarara-24Hr'!D78,'28.10 Isingiro-Mbarara-24Hr'!D78)</f>
        <v>1</v>
      </c>
      <c r="E78" s="49">
        <f>AVERAGE('26.10 Isingiro-Mbarara-24Hr'!E78,'28.10 Isingiro-Mbarara-24Hr'!E78)</f>
        <v>0</v>
      </c>
      <c r="F78" s="49">
        <f>AVERAGE('26.10 Isingiro-Mbarara-24Hr'!F78,'28.10 Isingiro-Mbarara-24Hr'!F78)</f>
        <v>0</v>
      </c>
      <c r="G78" s="49">
        <f>AVERAGE('26.10 Isingiro-Mbarara-24Hr'!G78,'28.10 Isingiro-Mbarara-24Hr'!G78)</f>
        <v>0</v>
      </c>
      <c r="H78" s="49">
        <f>AVERAGE('26.10 Isingiro-Mbarara-24Hr'!H78,'28.10 Isingiro-Mbarara-24Hr'!H78)</f>
        <v>0</v>
      </c>
      <c r="I78" s="49">
        <f>AVERAGE('26.10 Isingiro-Mbarara-24Hr'!I78,'28.10 Isingiro-Mbarara-24Hr'!I78)</f>
        <v>0</v>
      </c>
      <c r="J78" s="49">
        <f>AVERAGE('26.10 Isingiro-Mbarara-24Hr'!J78,'28.10 Isingiro-Mbarara-24Hr'!J78)</f>
        <v>0</v>
      </c>
      <c r="K78" s="49">
        <f>AVERAGE('26.10 Isingiro-Mbarara-24Hr'!K78,'28.10 Isingiro-Mbarara-24Hr'!K78)</f>
        <v>0</v>
      </c>
      <c r="L78" s="49">
        <f>AVERAGE('26.10 Isingiro-Mbarara-24Hr'!L78,'28.10 Isingiro-Mbarara-24Hr'!L78)</f>
        <v>0</v>
      </c>
      <c r="M78" s="49">
        <f>AVERAGE('26.10 Isingiro-Mbarara-24Hr'!M78,'28.10 Isingiro-Mbarara-24Hr'!M78)</f>
        <v>1</v>
      </c>
      <c r="N78" s="49">
        <f>AVERAGE('26.10 Isingiro-Mbarara-24Hr'!N78,'28.10 Isingiro-Mbarara-24Hr'!N78)</f>
        <v>0</v>
      </c>
      <c r="O78" s="15">
        <f t="shared" si="35"/>
        <v>2</v>
      </c>
      <c r="P78" s="15">
        <f t="shared" si="36"/>
        <v>3</v>
      </c>
      <c r="R78" s="8"/>
      <c r="T78"/>
    </row>
    <row r="79" spans="2:20" ht="23.1" customHeight="1" x14ac:dyDescent="0.25">
      <c r="B79" s="23" t="s">
        <v>119</v>
      </c>
      <c r="C79" s="49">
        <f>AVERAGE('26.10 Isingiro-Mbarara-24Hr'!C79,'28.10 Isingiro-Mbarara-24Hr'!C79)</f>
        <v>1</v>
      </c>
      <c r="D79" s="49">
        <f>AVERAGE('26.10 Isingiro-Mbarara-24Hr'!D79,'28.10 Isingiro-Mbarara-24Hr'!D79)</f>
        <v>0</v>
      </c>
      <c r="E79" s="49">
        <f>AVERAGE('26.10 Isingiro-Mbarara-24Hr'!E79,'28.10 Isingiro-Mbarara-24Hr'!E79)</f>
        <v>0</v>
      </c>
      <c r="F79" s="49">
        <f>AVERAGE('26.10 Isingiro-Mbarara-24Hr'!F79,'28.10 Isingiro-Mbarara-24Hr'!F79)</f>
        <v>0</v>
      </c>
      <c r="G79" s="49">
        <f>AVERAGE('26.10 Isingiro-Mbarara-24Hr'!G79,'28.10 Isingiro-Mbarara-24Hr'!G79)</f>
        <v>0</v>
      </c>
      <c r="H79" s="49">
        <f>AVERAGE('26.10 Isingiro-Mbarara-24Hr'!H79,'28.10 Isingiro-Mbarara-24Hr'!H79)</f>
        <v>0</v>
      </c>
      <c r="I79" s="49">
        <f>AVERAGE('26.10 Isingiro-Mbarara-24Hr'!I79,'28.10 Isingiro-Mbarara-24Hr'!I79)</f>
        <v>0</v>
      </c>
      <c r="J79" s="49">
        <f>AVERAGE('26.10 Isingiro-Mbarara-24Hr'!J79,'28.10 Isingiro-Mbarara-24Hr'!J79)</f>
        <v>0</v>
      </c>
      <c r="K79" s="49">
        <f>AVERAGE('26.10 Isingiro-Mbarara-24Hr'!K79,'28.10 Isingiro-Mbarara-24Hr'!K79)</f>
        <v>0</v>
      </c>
      <c r="L79" s="49">
        <f>AVERAGE('26.10 Isingiro-Mbarara-24Hr'!L79,'28.10 Isingiro-Mbarara-24Hr'!L79)</f>
        <v>0</v>
      </c>
      <c r="M79" s="49">
        <f>AVERAGE('26.10 Isingiro-Mbarara-24Hr'!M79,'28.10 Isingiro-Mbarara-24Hr'!M79)</f>
        <v>1</v>
      </c>
      <c r="N79" s="49">
        <f>AVERAGE('26.10 Isingiro-Mbarara-24Hr'!N79,'28.10 Isingiro-Mbarara-24Hr'!N79)</f>
        <v>0</v>
      </c>
      <c r="O79" s="15">
        <f t="shared" si="35"/>
        <v>1</v>
      </c>
      <c r="P79" s="15">
        <f t="shared" si="36"/>
        <v>2</v>
      </c>
      <c r="R79" s="8"/>
      <c r="T79"/>
    </row>
    <row r="80" spans="2:20" ht="23.1" customHeight="1" x14ac:dyDescent="0.25">
      <c r="B80" s="25" t="s">
        <v>120</v>
      </c>
      <c r="C80" s="49">
        <f>AVERAGE('26.10 Isingiro-Mbarara-24Hr'!C80,'28.10 Isingiro-Mbarara-24Hr'!C80)</f>
        <v>0.5</v>
      </c>
      <c r="D80" s="49">
        <f>AVERAGE('26.10 Isingiro-Mbarara-24Hr'!D80,'28.10 Isingiro-Mbarara-24Hr'!D80)</f>
        <v>0</v>
      </c>
      <c r="E80" s="49">
        <f>AVERAGE('26.10 Isingiro-Mbarara-24Hr'!E80,'28.10 Isingiro-Mbarara-24Hr'!E80)</f>
        <v>0</v>
      </c>
      <c r="F80" s="49">
        <f>AVERAGE('26.10 Isingiro-Mbarara-24Hr'!F80,'28.10 Isingiro-Mbarara-24Hr'!F80)</f>
        <v>0</v>
      </c>
      <c r="G80" s="49">
        <f>AVERAGE('26.10 Isingiro-Mbarara-24Hr'!G80,'28.10 Isingiro-Mbarara-24Hr'!G80)</f>
        <v>0</v>
      </c>
      <c r="H80" s="49">
        <f>AVERAGE('26.10 Isingiro-Mbarara-24Hr'!H80,'28.10 Isingiro-Mbarara-24Hr'!H80)</f>
        <v>0</v>
      </c>
      <c r="I80" s="49">
        <f>AVERAGE('26.10 Isingiro-Mbarara-24Hr'!I80,'28.10 Isingiro-Mbarara-24Hr'!I80)</f>
        <v>0</v>
      </c>
      <c r="J80" s="49">
        <f>AVERAGE('26.10 Isingiro-Mbarara-24Hr'!J80,'28.10 Isingiro-Mbarara-24Hr'!J80)</f>
        <v>0</v>
      </c>
      <c r="K80" s="49">
        <f>AVERAGE('26.10 Isingiro-Mbarara-24Hr'!K80,'28.10 Isingiro-Mbarara-24Hr'!K80)</f>
        <v>0</v>
      </c>
      <c r="L80" s="49">
        <f>AVERAGE('26.10 Isingiro-Mbarara-24Hr'!L80,'28.10 Isingiro-Mbarara-24Hr'!L80)</f>
        <v>0</v>
      </c>
      <c r="M80" s="49">
        <f>AVERAGE('26.10 Isingiro-Mbarara-24Hr'!M80,'28.10 Isingiro-Mbarara-24Hr'!M80)</f>
        <v>0.5</v>
      </c>
      <c r="N80" s="49">
        <f>AVERAGE('26.10 Isingiro-Mbarara-24Hr'!N80,'28.10 Isingiro-Mbarara-24Hr'!N80)</f>
        <v>0</v>
      </c>
      <c r="O80" s="15">
        <f t="shared" si="35"/>
        <v>0.5</v>
      </c>
      <c r="P80" s="15">
        <f t="shared" si="36"/>
        <v>1</v>
      </c>
      <c r="R80" s="8"/>
      <c r="T80"/>
    </row>
    <row r="81" spans="2:20" ht="23.1" customHeight="1" x14ac:dyDescent="0.25">
      <c r="B81" s="23" t="s">
        <v>121</v>
      </c>
      <c r="C81" s="49">
        <f>AVERAGE('26.10 Isingiro-Mbarara-24Hr'!C81,'28.10 Isingiro-Mbarara-24Hr'!C81)</f>
        <v>1.5</v>
      </c>
      <c r="D81" s="49">
        <f>AVERAGE('26.10 Isingiro-Mbarara-24Hr'!D81,'28.10 Isingiro-Mbarara-24Hr'!D81)</f>
        <v>1.5</v>
      </c>
      <c r="E81" s="49">
        <f>AVERAGE('26.10 Isingiro-Mbarara-24Hr'!E81,'28.10 Isingiro-Mbarara-24Hr'!E81)</f>
        <v>0</v>
      </c>
      <c r="F81" s="49">
        <f>AVERAGE('26.10 Isingiro-Mbarara-24Hr'!F81,'28.10 Isingiro-Mbarara-24Hr'!F81)</f>
        <v>0</v>
      </c>
      <c r="G81" s="49">
        <f>AVERAGE('26.10 Isingiro-Mbarara-24Hr'!G81,'28.10 Isingiro-Mbarara-24Hr'!G81)</f>
        <v>0</v>
      </c>
      <c r="H81" s="49">
        <f>AVERAGE('26.10 Isingiro-Mbarara-24Hr'!H81,'28.10 Isingiro-Mbarara-24Hr'!H81)</f>
        <v>0</v>
      </c>
      <c r="I81" s="49">
        <f>AVERAGE('26.10 Isingiro-Mbarara-24Hr'!I81,'28.10 Isingiro-Mbarara-24Hr'!I81)</f>
        <v>0</v>
      </c>
      <c r="J81" s="49">
        <f>AVERAGE('26.10 Isingiro-Mbarara-24Hr'!J81,'28.10 Isingiro-Mbarara-24Hr'!J81)</f>
        <v>0.5</v>
      </c>
      <c r="K81" s="49">
        <f>AVERAGE('26.10 Isingiro-Mbarara-24Hr'!K81,'28.10 Isingiro-Mbarara-24Hr'!K81)</f>
        <v>0</v>
      </c>
      <c r="L81" s="49">
        <f>AVERAGE('26.10 Isingiro-Mbarara-24Hr'!L81,'28.10 Isingiro-Mbarara-24Hr'!L81)</f>
        <v>0</v>
      </c>
      <c r="M81" s="49">
        <f>AVERAGE('26.10 Isingiro-Mbarara-24Hr'!M81,'28.10 Isingiro-Mbarara-24Hr'!M81)</f>
        <v>0.5</v>
      </c>
      <c r="N81" s="49">
        <f>AVERAGE('26.10 Isingiro-Mbarara-24Hr'!N81,'28.10 Isingiro-Mbarara-24Hr'!N81)</f>
        <v>0</v>
      </c>
      <c r="O81" s="15">
        <f t="shared" si="35"/>
        <v>3.5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AVERAGE('26.10 Isingiro-Mbarara-24Hr'!C82,'28.10 Isingiro-Mbarara-24Hr'!C82)</f>
        <v>1</v>
      </c>
      <c r="D82" s="49">
        <f>AVERAGE('26.10 Isingiro-Mbarara-24Hr'!D82,'28.10 Isingiro-Mbarara-24Hr'!D82)</f>
        <v>0</v>
      </c>
      <c r="E82" s="49">
        <f>AVERAGE('26.10 Isingiro-Mbarara-24Hr'!E82,'28.10 Isingiro-Mbarara-24Hr'!E82)</f>
        <v>0</v>
      </c>
      <c r="F82" s="49">
        <f>AVERAGE('26.10 Isingiro-Mbarara-24Hr'!F82,'28.10 Isingiro-Mbarara-24Hr'!F82)</f>
        <v>0.5</v>
      </c>
      <c r="G82" s="49">
        <f>AVERAGE('26.10 Isingiro-Mbarara-24Hr'!G82,'28.10 Isingiro-Mbarara-24Hr'!G82)</f>
        <v>0</v>
      </c>
      <c r="H82" s="49">
        <f>AVERAGE('26.10 Isingiro-Mbarara-24Hr'!H82,'28.10 Isingiro-Mbarara-24Hr'!H82)</f>
        <v>0</v>
      </c>
      <c r="I82" s="49">
        <f>AVERAGE('26.10 Isingiro-Mbarara-24Hr'!I82,'28.10 Isingiro-Mbarara-24Hr'!I82)</f>
        <v>0</v>
      </c>
      <c r="J82" s="49">
        <f>AVERAGE('26.10 Isingiro-Mbarara-24Hr'!J82,'28.10 Isingiro-Mbarara-24Hr'!J82)</f>
        <v>1.5</v>
      </c>
      <c r="K82" s="49">
        <f>AVERAGE('26.10 Isingiro-Mbarara-24Hr'!K82,'28.10 Isingiro-Mbarara-24Hr'!K82)</f>
        <v>0</v>
      </c>
      <c r="L82" s="49">
        <f>AVERAGE('26.10 Isingiro-Mbarara-24Hr'!L82,'28.10 Isingiro-Mbarara-24Hr'!L82)</f>
        <v>1</v>
      </c>
      <c r="M82" s="49">
        <f>AVERAGE('26.10 Isingiro-Mbarara-24Hr'!M82,'28.10 Isingiro-Mbarara-24Hr'!M82)</f>
        <v>1</v>
      </c>
      <c r="N82" s="49">
        <f>AVERAGE('26.10 Isingiro-Mbarara-24Hr'!N82,'28.10 Isingiro-Mbarara-24Hr'!N82)</f>
        <v>0</v>
      </c>
      <c r="O82" s="15">
        <f t="shared" si="35"/>
        <v>4</v>
      </c>
      <c r="P82" s="15">
        <f t="shared" si="36"/>
        <v>5</v>
      </c>
      <c r="R82" s="8"/>
      <c r="T82"/>
    </row>
    <row r="83" spans="2:20" ht="23.1" customHeight="1" x14ac:dyDescent="0.25">
      <c r="B83" s="23" t="s">
        <v>123</v>
      </c>
      <c r="C83" s="49">
        <f>AVERAGE('26.10 Isingiro-Mbarara-24Hr'!C83,'28.10 Isingiro-Mbarara-24Hr'!C83)</f>
        <v>0.5</v>
      </c>
      <c r="D83" s="49">
        <f>AVERAGE('26.10 Isingiro-Mbarara-24Hr'!D83,'28.10 Isingiro-Mbarara-24Hr'!D83)</f>
        <v>0</v>
      </c>
      <c r="E83" s="49">
        <f>AVERAGE('26.10 Isingiro-Mbarara-24Hr'!E83,'28.10 Isingiro-Mbarara-24Hr'!E83)</f>
        <v>0</v>
      </c>
      <c r="F83" s="49">
        <f>AVERAGE('26.10 Isingiro-Mbarara-24Hr'!F83,'28.10 Isingiro-Mbarara-24Hr'!F83)</f>
        <v>1</v>
      </c>
      <c r="G83" s="49">
        <f>AVERAGE('26.10 Isingiro-Mbarara-24Hr'!G83,'28.10 Isingiro-Mbarara-24Hr'!G83)</f>
        <v>0</v>
      </c>
      <c r="H83" s="49">
        <f>AVERAGE('26.10 Isingiro-Mbarara-24Hr'!H83,'28.10 Isingiro-Mbarara-24Hr'!H83)</f>
        <v>0</v>
      </c>
      <c r="I83" s="49">
        <f>AVERAGE('26.10 Isingiro-Mbarara-24Hr'!I83,'28.10 Isingiro-Mbarara-24Hr'!I83)</f>
        <v>0</v>
      </c>
      <c r="J83" s="49">
        <f>AVERAGE('26.10 Isingiro-Mbarara-24Hr'!J83,'28.10 Isingiro-Mbarara-24Hr'!J83)</f>
        <v>0.5</v>
      </c>
      <c r="K83" s="49">
        <f>AVERAGE('26.10 Isingiro-Mbarara-24Hr'!K83,'28.10 Isingiro-Mbarara-24Hr'!K83)</f>
        <v>0</v>
      </c>
      <c r="L83" s="49">
        <f>AVERAGE('26.10 Isingiro-Mbarara-24Hr'!L83,'28.10 Isingiro-Mbarara-24Hr'!L83)</f>
        <v>0</v>
      </c>
      <c r="M83" s="49">
        <f>AVERAGE('26.10 Isingiro-Mbarara-24Hr'!M83,'28.10 Isingiro-Mbarara-24Hr'!M83)</f>
        <v>0.5</v>
      </c>
      <c r="N83" s="49">
        <f>AVERAGE('26.10 Isingiro-Mbarara-24Hr'!N83,'28.10 Isingiro-Mbarara-24Hr'!N83)</f>
        <v>0</v>
      </c>
      <c r="O83" s="15">
        <f t="shared" si="35"/>
        <v>2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AVERAGE('26.10 Isingiro-Mbarara-24Hr'!C84,'28.10 Isingiro-Mbarara-24Hr'!C84)</f>
        <v>1</v>
      </c>
      <c r="D84" s="49">
        <f>AVERAGE('26.10 Isingiro-Mbarara-24Hr'!D84,'28.10 Isingiro-Mbarara-24Hr'!D84)</f>
        <v>0</v>
      </c>
      <c r="E84" s="49">
        <f>AVERAGE('26.10 Isingiro-Mbarara-24Hr'!E84,'28.10 Isingiro-Mbarara-24Hr'!E84)</f>
        <v>0</v>
      </c>
      <c r="F84" s="49">
        <f>AVERAGE('26.10 Isingiro-Mbarara-24Hr'!F84,'28.10 Isingiro-Mbarara-24Hr'!F84)</f>
        <v>0</v>
      </c>
      <c r="G84" s="49">
        <f>AVERAGE('26.10 Isingiro-Mbarara-24Hr'!G84,'28.10 Isingiro-Mbarara-24Hr'!G84)</f>
        <v>0</v>
      </c>
      <c r="H84" s="49">
        <f>AVERAGE('26.10 Isingiro-Mbarara-24Hr'!H84,'28.10 Isingiro-Mbarara-24Hr'!H84)</f>
        <v>0</v>
      </c>
      <c r="I84" s="49">
        <f>AVERAGE('26.10 Isingiro-Mbarara-24Hr'!I84,'28.10 Isingiro-Mbarara-24Hr'!I84)</f>
        <v>0.5</v>
      </c>
      <c r="J84" s="49">
        <f>AVERAGE('26.10 Isingiro-Mbarara-24Hr'!J84,'28.10 Isingiro-Mbarara-24Hr'!J84)</f>
        <v>1</v>
      </c>
      <c r="K84" s="49">
        <f>AVERAGE('26.10 Isingiro-Mbarara-24Hr'!K84,'28.10 Isingiro-Mbarara-24Hr'!K84)</f>
        <v>0</v>
      </c>
      <c r="L84" s="49">
        <f>AVERAGE('26.10 Isingiro-Mbarara-24Hr'!L84,'28.10 Isingiro-Mbarara-24Hr'!L84)</f>
        <v>0</v>
      </c>
      <c r="M84" s="49">
        <f>AVERAGE('26.10 Isingiro-Mbarara-24Hr'!M84,'28.10 Isingiro-Mbarara-24Hr'!M84)</f>
        <v>0.5</v>
      </c>
      <c r="N84" s="49">
        <f>AVERAGE('26.10 Isingiro-Mbarara-24Hr'!N84,'28.10 Isingiro-Mbarara-24Hr'!N84)</f>
        <v>0</v>
      </c>
      <c r="O84" s="15">
        <f t="shared" si="35"/>
        <v>2.5</v>
      </c>
      <c r="P84" s="15">
        <f t="shared" si="36"/>
        <v>3</v>
      </c>
      <c r="R84" s="8"/>
      <c r="T84"/>
    </row>
    <row r="85" spans="2:20" ht="23.1" customHeight="1" x14ac:dyDescent="0.25">
      <c r="B85" s="23" t="s">
        <v>125</v>
      </c>
      <c r="C85" s="49">
        <f>AVERAGE('26.10 Isingiro-Mbarara-24Hr'!C85,'28.10 Isingiro-Mbarara-24Hr'!C85)</f>
        <v>0.5</v>
      </c>
      <c r="D85" s="49">
        <f>AVERAGE('26.10 Isingiro-Mbarara-24Hr'!D85,'28.10 Isingiro-Mbarara-24Hr'!D85)</f>
        <v>0</v>
      </c>
      <c r="E85" s="49">
        <f>AVERAGE('26.10 Isingiro-Mbarara-24Hr'!E85,'28.10 Isingiro-Mbarara-24Hr'!E85)</f>
        <v>0.5</v>
      </c>
      <c r="F85" s="49">
        <f>AVERAGE('26.10 Isingiro-Mbarara-24Hr'!F85,'28.10 Isingiro-Mbarara-24Hr'!F85)</f>
        <v>0</v>
      </c>
      <c r="G85" s="49">
        <f>AVERAGE('26.10 Isingiro-Mbarara-24Hr'!G85,'28.10 Isingiro-Mbarara-24Hr'!G85)</f>
        <v>0</v>
      </c>
      <c r="H85" s="49">
        <f>AVERAGE('26.10 Isingiro-Mbarara-24Hr'!H85,'28.10 Isingiro-Mbarara-24Hr'!H85)</f>
        <v>0</v>
      </c>
      <c r="I85" s="49">
        <f>AVERAGE('26.10 Isingiro-Mbarara-24Hr'!I85,'28.10 Isingiro-Mbarara-24Hr'!I85)</f>
        <v>0</v>
      </c>
      <c r="J85" s="49">
        <f>AVERAGE('26.10 Isingiro-Mbarara-24Hr'!J85,'28.10 Isingiro-Mbarara-24Hr'!J85)</f>
        <v>0</v>
      </c>
      <c r="K85" s="49">
        <f>AVERAGE('26.10 Isingiro-Mbarara-24Hr'!K85,'28.10 Isingiro-Mbarara-24Hr'!K85)</f>
        <v>0</v>
      </c>
      <c r="L85" s="49">
        <f>AVERAGE('26.10 Isingiro-Mbarara-24Hr'!L85,'28.10 Isingiro-Mbarara-24Hr'!L85)</f>
        <v>0</v>
      </c>
      <c r="M85" s="49">
        <f>AVERAGE('26.10 Isingiro-Mbarara-24Hr'!M85,'28.10 Isingiro-Mbarara-24Hr'!M85)</f>
        <v>3</v>
      </c>
      <c r="N85" s="49">
        <f>AVERAGE('26.10 Isingiro-Mbarara-24Hr'!N85,'28.10 Isingiro-Mbarara-24Hr'!N85)</f>
        <v>0</v>
      </c>
      <c r="O85" s="15">
        <f t="shared" si="35"/>
        <v>1</v>
      </c>
      <c r="P85" s="15">
        <f t="shared" si="36"/>
        <v>4</v>
      </c>
      <c r="R85" s="8"/>
      <c r="T85"/>
    </row>
    <row r="86" spans="2:20" ht="23.1" customHeight="1" x14ac:dyDescent="0.25">
      <c r="B86" s="24" t="s">
        <v>126</v>
      </c>
      <c r="C86" s="49">
        <f>AVERAGE('26.10 Isingiro-Mbarara-24Hr'!C86,'28.10 Isingiro-Mbarara-24Hr'!C86)</f>
        <v>1</v>
      </c>
      <c r="D86" s="49">
        <f>AVERAGE('26.10 Isingiro-Mbarara-24Hr'!D86,'28.10 Isingiro-Mbarara-24Hr'!D86)</f>
        <v>0</v>
      </c>
      <c r="E86" s="49">
        <f>AVERAGE('26.10 Isingiro-Mbarara-24Hr'!E86,'28.10 Isingiro-Mbarara-24Hr'!E86)</f>
        <v>0</v>
      </c>
      <c r="F86" s="49">
        <f>AVERAGE('26.10 Isingiro-Mbarara-24Hr'!F86,'28.10 Isingiro-Mbarara-24Hr'!F86)</f>
        <v>0</v>
      </c>
      <c r="G86" s="49">
        <f>AVERAGE('26.10 Isingiro-Mbarara-24Hr'!G86,'28.10 Isingiro-Mbarara-24Hr'!G86)</f>
        <v>0</v>
      </c>
      <c r="H86" s="49">
        <f>AVERAGE('26.10 Isingiro-Mbarara-24Hr'!H86,'28.10 Isingiro-Mbarara-24Hr'!H86)</f>
        <v>0</v>
      </c>
      <c r="I86" s="49">
        <f>AVERAGE('26.10 Isingiro-Mbarara-24Hr'!I86,'28.10 Isingiro-Mbarara-24Hr'!I86)</f>
        <v>0</v>
      </c>
      <c r="J86" s="49">
        <f>AVERAGE('26.10 Isingiro-Mbarara-24Hr'!J86,'28.10 Isingiro-Mbarara-24Hr'!J86)</f>
        <v>0</v>
      </c>
      <c r="K86" s="49">
        <f>AVERAGE('26.10 Isingiro-Mbarara-24Hr'!K86,'28.10 Isingiro-Mbarara-24Hr'!K86)</f>
        <v>0</v>
      </c>
      <c r="L86" s="49">
        <f>AVERAGE('26.10 Isingiro-Mbarara-24Hr'!L86,'28.10 Isingiro-Mbarara-24Hr'!L86)</f>
        <v>0</v>
      </c>
      <c r="M86" s="49">
        <f>AVERAGE('26.10 Isingiro-Mbarara-24Hr'!M86,'28.10 Isingiro-Mbarara-24Hr'!M86)</f>
        <v>1</v>
      </c>
      <c r="N86" s="49">
        <f>AVERAGE('26.10 Isingiro-Mbarara-24Hr'!N86,'28.10 Isingiro-Mbarara-24Hr'!N86)</f>
        <v>0</v>
      </c>
      <c r="O86" s="15">
        <f t="shared" si="35"/>
        <v>1</v>
      </c>
      <c r="P86" s="15">
        <f t="shared" si="36"/>
        <v>2</v>
      </c>
      <c r="R86" s="8"/>
      <c r="T86"/>
    </row>
    <row r="87" spans="2:20" ht="23.1" customHeight="1" x14ac:dyDescent="0.25">
      <c r="B87" s="23" t="s">
        <v>127</v>
      </c>
      <c r="C87" s="49">
        <f>AVERAGE('26.10 Isingiro-Mbarara-24Hr'!C87,'28.10 Isingiro-Mbarara-24Hr'!C87)</f>
        <v>0</v>
      </c>
      <c r="D87" s="49">
        <f>AVERAGE('26.10 Isingiro-Mbarara-24Hr'!D87,'28.10 Isingiro-Mbarara-24Hr'!D87)</f>
        <v>0</v>
      </c>
      <c r="E87" s="49">
        <f>AVERAGE('26.10 Isingiro-Mbarara-24Hr'!E87,'28.10 Isingiro-Mbarara-24Hr'!E87)</f>
        <v>0</v>
      </c>
      <c r="F87" s="49">
        <f>AVERAGE('26.10 Isingiro-Mbarara-24Hr'!F87,'28.10 Isingiro-Mbarara-24Hr'!F87)</f>
        <v>0</v>
      </c>
      <c r="G87" s="49">
        <f>AVERAGE('26.10 Isingiro-Mbarara-24Hr'!G87,'28.10 Isingiro-Mbarara-24Hr'!G87)</f>
        <v>0</v>
      </c>
      <c r="H87" s="49">
        <f>AVERAGE('26.10 Isingiro-Mbarara-24Hr'!H87,'28.10 Isingiro-Mbarara-24Hr'!H87)</f>
        <v>0</v>
      </c>
      <c r="I87" s="49">
        <f>AVERAGE('26.10 Isingiro-Mbarara-24Hr'!I87,'28.10 Isingiro-Mbarara-24Hr'!I87)</f>
        <v>0.5</v>
      </c>
      <c r="J87" s="49">
        <f>AVERAGE('26.10 Isingiro-Mbarara-24Hr'!J87,'28.10 Isingiro-Mbarara-24Hr'!J87)</f>
        <v>0.5</v>
      </c>
      <c r="K87" s="49">
        <f>AVERAGE('26.10 Isingiro-Mbarara-24Hr'!K87,'28.10 Isingiro-Mbarara-24Hr'!K87)</f>
        <v>0</v>
      </c>
      <c r="L87" s="49">
        <f>AVERAGE('26.10 Isingiro-Mbarara-24Hr'!L87,'28.10 Isingiro-Mbarara-24Hr'!L87)</f>
        <v>0</v>
      </c>
      <c r="M87" s="49">
        <f>AVERAGE('26.10 Isingiro-Mbarara-24Hr'!M87,'28.10 Isingiro-Mbarara-24Hr'!M87)</f>
        <v>0</v>
      </c>
      <c r="N87" s="49">
        <f>AVERAGE('26.10 Isingiro-Mbarara-24Hr'!N87,'28.10 Isingiro-Mbarara-24Hr'!N87)</f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AVERAGE('26.10 Isingiro-Mbarara-24Hr'!C88,'28.10 Isingiro-Mbarara-24Hr'!C88)</f>
        <v>1</v>
      </c>
      <c r="D88" s="49">
        <f>AVERAGE('26.10 Isingiro-Mbarara-24Hr'!D88,'28.10 Isingiro-Mbarara-24Hr'!D88)</f>
        <v>0</v>
      </c>
      <c r="E88" s="49">
        <f>AVERAGE('26.10 Isingiro-Mbarara-24Hr'!E88,'28.10 Isingiro-Mbarara-24Hr'!E88)</f>
        <v>0</v>
      </c>
      <c r="F88" s="49">
        <f>AVERAGE('26.10 Isingiro-Mbarara-24Hr'!F88,'28.10 Isingiro-Mbarara-24Hr'!F88)</f>
        <v>0</v>
      </c>
      <c r="G88" s="49">
        <f>AVERAGE('26.10 Isingiro-Mbarara-24Hr'!G88,'28.10 Isingiro-Mbarara-24Hr'!G88)</f>
        <v>0</v>
      </c>
      <c r="H88" s="49">
        <f>AVERAGE('26.10 Isingiro-Mbarara-24Hr'!H88,'28.10 Isingiro-Mbarara-24Hr'!H88)</f>
        <v>0</v>
      </c>
      <c r="I88" s="49">
        <f>AVERAGE('26.10 Isingiro-Mbarara-24Hr'!I88,'28.10 Isingiro-Mbarara-24Hr'!I88)</f>
        <v>0</v>
      </c>
      <c r="J88" s="49">
        <f>AVERAGE('26.10 Isingiro-Mbarara-24Hr'!J88,'28.10 Isingiro-Mbarara-24Hr'!J88)</f>
        <v>1</v>
      </c>
      <c r="K88" s="49">
        <f>AVERAGE('26.10 Isingiro-Mbarara-24Hr'!K88,'28.10 Isingiro-Mbarara-24Hr'!K88)</f>
        <v>0</v>
      </c>
      <c r="L88" s="49">
        <f>AVERAGE('26.10 Isingiro-Mbarara-24Hr'!L88,'28.10 Isingiro-Mbarara-24Hr'!L88)</f>
        <v>0.5</v>
      </c>
      <c r="M88" s="49">
        <f>AVERAGE('26.10 Isingiro-Mbarara-24Hr'!M88,'28.10 Isingiro-Mbarara-24Hr'!M88)</f>
        <v>0</v>
      </c>
      <c r="N88" s="49">
        <f>AVERAGE('26.10 Isingiro-Mbarara-24Hr'!N88,'28.10 Isingiro-Mbarara-24Hr'!N88)</f>
        <v>0</v>
      </c>
      <c r="O88" s="15">
        <f t="shared" si="35"/>
        <v>2.5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AVERAGE('26.10 Isingiro-Mbarara-24Hr'!C89,'28.10 Isingiro-Mbarara-24Hr'!C89)</f>
        <v>0</v>
      </c>
      <c r="D89" s="49">
        <f>AVERAGE('26.10 Isingiro-Mbarara-24Hr'!D89,'28.10 Isingiro-Mbarara-24Hr'!D89)</f>
        <v>0</v>
      </c>
      <c r="E89" s="49">
        <f>AVERAGE('26.10 Isingiro-Mbarara-24Hr'!E89,'28.10 Isingiro-Mbarara-24Hr'!E89)</f>
        <v>0</v>
      </c>
      <c r="F89" s="49">
        <f>AVERAGE('26.10 Isingiro-Mbarara-24Hr'!F89,'28.10 Isingiro-Mbarara-24Hr'!F89)</f>
        <v>0</v>
      </c>
      <c r="G89" s="49">
        <f>AVERAGE('26.10 Isingiro-Mbarara-24Hr'!G89,'28.10 Isingiro-Mbarara-24Hr'!G89)</f>
        <v>0</v>
      </c>
      <c r="H89" s="49">
        <f>AVERAGE('26.10 Isingiro-Mbarara-24Hr'!H89,'28.10 Isingiro-Mbarara-24Hr'!H89)</f>
        <v>0</v>
      </c>
      <c r="I89" s="49">
        <f>AVERAGE('26.10 Isingiro-Mbarara-24Hr'!I89,'28.10 Isingiro-Mbarara-24Hr'!I89)</f>
        <v>0</v>
      </c>
      <c r="J89" s="49">
        <f>AVERAGE('26.10 Isingiro-Mbarara-24Hr'!J89,'28.10 Isingiro-Mbarara-24Hr'!J89)</f>
        <v>0.5</v>
      </c>
      <c r="K89" s="49">
        <f>AVERAGE('26.10 Isingiro-Mbarara-24Hr'!K89,'28.10 Isingiro-Mbarara-24Hr'!K89)</f>
        <v>0</v>
      </c>
      <c r="L89" s="49">
        <f>AVERAGE('26.10 Isingiro-Mbarara-24Hr'!L89,'28.10 Isingiro-Mbarara-24Hr'!L89)</f>
        <v>0</v>
      </c>
      <c r="M89" s="49">
        <f>AVERAGE('26.10 Isingiro-Mbarara-24Hr'!M89,'28.10 Isingiro-Mbarara-24Hr'!M89)</f>
        <v>0</v>
      </c>
      <c r="N89" s="49">
        <f>AVERAGE('26.10 Isingiro-Mbarara-24Hr'!N89,'28.10 Isingiro-Mbarara-24Hr'!N89)</f>
        <v>0</v>
      </c>
      <c r="O89" s="15">
        <f t="shared" si="35"/>
        <v>0.5</v>
      </c>
      <c r="P89" s="15">
        <f t="shared" si="36"/>
        <v>0.5</v>
      </c>
      <c r="R89" s="8"/>
      <c r="T89"/>
    </row>
    <row r="90" spans="2:20" ht="23.1" customHeight="1" x14ac:dyDescent="0.25">
      <c r="B90" s="24" t="s">
        <v>130</v>
      </c>
      <c r="C90" s="49">
        <f>AVERAGE('26.10 Isingiro-Mbarara-24Hr'!C90,'28.10 Isingiro-Mbarara-24Hr'!C90)</f>
        <v>0</v>
      </c>
      <c r="D90" s="49">
        <f>AVERAGE('26.10 Isingiro-Mbarara-24Hr'!D90,'28.10 Isingiro-Mbarara-24Hr'!D90)</f>
        <v>0.5</v>
      </c>
      <c r="E90" s="49">
        <f>AVERAGE('26.10 Isingiro-Mbarara-24Hr'!E90,'28.10 Isingiro-Mbarara-24Hr'!E90)</f>
        <v>0</v>
      </c>
      <c r="F90" s="49">
        <f>AVERAGE('26.10 Isingiro-Mbarara-24Hr'!F90,'28.10 Isingiro-Mbarara-24Hr'!F90)</f>
        <v>0</v>
      </c>
      <c r="G90" s="49">
        <f>AVERAGE('26.10 Isingiro-Mbarara-24Hr'!G90,'28.10 Isingiro-Mbarara-24Hr'!G90)</f>
        <v>0</v>
      </c>
      <c r="H90" s="49">
        <f>AVERAGE('26.10 Isingiro-Mbarara-24Hr'!H90,'28.10 Isingiro-Mbarara-24Hr'!H90)</f>
        <v>0</v>
      </c>
      <c r="I90" s="49">
        <f>AVERAGE('26.10 Isingiro-Mbarara-24Hr'!I90,'28.10 Isingiro-Mbarara-24Hr'!I90)</f>
        <v>0.5</v>
      </c>
      <c r="J90" s="49">
        <f>AVERAGE('26.10 Isingiro-Mbarara-24Hr'!J90,'28.10 Isingiro-Mbarara-24Hr'!J90)</f>
        <v>0.5</v>
      </c>
      <c r="K90" s="49">
        <f>AVERAGE('26.10 Isingiro-Mbarara-24Hr'!K90,'28.10 Isingiro-Mbarara-24Hr'!K90)</f>
        <v>0</v>
      </c>
      <c r="L90" s="49">
        <f>AVERAGE('26.10 Isingiro-Mbarara-24Hr'!L90,'28.10 Isingiro-Mbarara-24Hr'!L90)</f>
        <v>0</v>
      </c>
      <c r="M90" s="49">
        <f>AVERAGE('26.10 Isingiro-Mbarara-24Hr'!M90,'28.10 Isingiro-Mbarara-24Hr'!M90)</f>
        <v>2</v>
      </c>
      <c r="N90" s="49">
        <f>AVERAGE('26.10 Isingiro-Mbarara-24Hr'!N90,'28.10 Isingiro-Mbarara-24Hr'!N90)</f>
        <v>0</v>
      </c>
      <c r="O90" s="15">
        <f t="shared" si="35"/>
        <v>1.5</v>
      </c>
      <c r="P90" s="15">
        <f t="shared" si="36"/>
        <v>3.5</v>
      </c>
      <c r="R90" s="8"/>
      <c r="T90"/>
    </row>
    <row r="91" spans="2:20" ht="23.1" customHeight="1" x14ac:dyDescent="0.25">
      <c r="B91" s="23" t="s">
        <v>131</v>
      </c>
      <c r="C91" s="49">
        <f>AVERAGE('26.10 Isingiro-Mbarara-24Hr'!C91,'28.10 Isingiro-Mbarara-24Hr'!C91)</f>
        <v>0</v>
      </c>
      <c r="D91" s="49">
        <f>AVERAGE('26.10 Isingiro-Mbarara-24Hr'!D91,'28.10 Isingiro-Mbarara-24Hr'!D91)</f>
        <v>0</v>
      </c>
      <c r="E91" s="49">
        <f>AVERAGE('26.10 Isingiro-Mbarara-24Hr'!E91,'28.10 Isingiro-Mbarara-24Hr'!E91)</f>
        <v>0</v>
      </c>
      <c r="F91" s="49">
        <f>AVERAGE('26.10 Isingiro-Mbarara-24Hr'!F91,'28.10 Isingiro-Mbarara-24Hr'!F91)</f>
        <v>0</v>
      </c>
      <c r="G91" s="49">
        <f>AVERAGE('26.10 Isingiro-Mbarara-24Hr'!G91,'28.10 Isingiro-Mbarara-24Hr'!G91)</f>
        <v>0</v>
      </c>
      <c r="H91" s="49">
        <f>AVERAGE('26.10 Isingiro-Mbarara-24Hr'!H91,'28.10 Isingiro-Mbarara-24Hr'!H91)</f>
        <v>0</v>
      </c>
      <c r="I91" s="49">
        <f>AVERAGE('26.10 Isingiro-Mbarara-24Hr'!I91,'28.10 Isingiro-Mbarara-24Hr'!I91)</f>
        <v>0</v>
      </c>
      <c r="J91" s="49">
        <f>AVERAGE('26.10 Isingiro-Mbarara-24Hr'!J91,'28.10 Isingiro-Mbarara-24Hr'!J91)</f>
        <v>0</v>
      </c>
      <c r="K91" s="49">
        <f>AVERAGE('26.10 Isingiro-Mbarara-24Hr'!K91,'28.10 Isingiro-Mbarara-24Hr'!K91)</f>
        <v>0</v>
      </c>
      <c r="L91" s="49">
        <f>AVERAGE('26.10 Isingiro-Mbarara-24Hr'!L91,'28.10 Isingiro-Mbarara-24Hr'!L91)</f>
        <v>0</v>
      </c>
      <c r="M91" s="49">
        <f>AVERAGE('26.10 Isingiro-Mbarara-24Hr'!M91,'28.10 Isingiro-Mbarara-24Hr'!M91)</f>
        <v>1</v>
      </c>
      <c r="N91" s="49">
        <f>AVERAGE('26.10 Isingiro-Mbarara-24Hr'!N91,'28.10 Isingiro-Mbarara-24Hr'!N91)</f>
        <v>0</v>
      </c>
      <c r="O91" s="15">
        <f t="shared" si="35"/>
        <v>0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AVERAGE('26.10 Isingiro-Mbarara-24Hr'!C92,'28.10 Isingiro-Mbarara-24Hr'!C92)</f>
        <v>0</v>
      </c>
      <c r="D92" s="49">
        <f>AVERAGE('26.10 Isingiro-Mbarara-24Hr'!D92,'28.10 Isingiro-Mbarara-24Hr'!D92)</f>
        <v>0</v>
      </c>
      <c r="E92" s="49">
        <f>AVERAGE('26.10 Isingiro-Mbarara-24Hr'!E92,'28.10 Isingiro-Mbarara-24Hr'!E92)</f>
        <v>0</v>
      </c>
      <c r="F92" s="49">
        <f>AVERAGE('26.10 Isingiro-Mbarara-24Hr'!F92,'28.10 Isingiro-Mbarara-24Hr'!F92)</f>
        <v>0</v>
      </c>
      <c r="G92" s="49">
        <f>AVERAGE('26.10 Isingiro-Mbarara-24Hr'!G92,'28.10 Isingiro-Mbarara-24Hr'!G92)</f>
        <v>0</v>
      </c>
      <c r="H92" s="49">
        <f>AVERAGE('26.10 Isingiro-Mbarara-24Hr'!H92,'28.10 Isingiro-Mbarara-24Hr'!H92)</f>
        <v>0</v>
      </c>
      <c r="I92" s="49">
        <f>AVERAGE('26.10 Isingiro-Mbarara-24Hr'!I92,'28.10 Isingiro-Mbarara-24Hr'!I92)</f>
        <v>0</v>
      </c>
      <c r="J92" s="49">
        <f>AVERAGE('26.10 Isingiro-Mbarara-24Hr'!J92,'28.10 Isingiro-Mbarara-24Hr'!J92)</f>
        <v>0</v>
      </c>
      <c r="K92" s="49">
        <f>AVERAGE('26.10 Isingiro-Mbarara-24Hr'!K92,'28.10 Isingiro-Mbarara-24Hr'!K92)</f>
        <v>0</v>
      </c>
      <c r="L92" s="49">
        <f>AVERAGE('26.10 Isingiro-Mbarara-24Hr'!L92,'28.10 Isingiro-Mbarara-24Hr'!L92)</f>
        <v>0</v>
      </c>
      <c r="M92" s="49">
        <f>AVERAGE('26.10 Isingiro-Mbarara-24Hr'!M92,'28.10 Isingiro-Mbarara-24Hr'!M92)</f>
        <v>2</v>
      </c>
      <c r="N92" s="49">
        <f>AVERAGE('26.10 Isingiro-Mbarara-24Hr'!N92,'28.10 Isingiro-Mbarara-24Hr'!N92)</f>
        <v>0</v>
      </c>
      <c r="O92" s="15">
        <f t="shared" si="35"/>
        <v>0</v>
      </c>
      <c r="P92" s="15">
        <f t="shared" si="36"/>
        <v>2</v>
      </c>
      <c r="R92" s="8"/>
      <c r="T92"/>
    </row>
    <row r="93" spans="2:20" ht="23.1" customHeight="1" x14ac:dyDescent="0.25">
      <c r="B93" s="23" t="s">
        <v>133</v>
      </c>
      <c r="C93" s="49">
        <f>AVERAGE('26.10 Isingiro-Mbarara-24Hr'!C93,'28.10 Isingiro-Mbarara-24Hr'!C93)</f>
        <v>0</v>
      </c>
      <c r="D93" s="49">
        <f>AVERAGE('26.10 Isingiro-Mbarara-24Hr'!D93,'28.10 Isingiro-Mbarara-24Hr'!D93)</f>
        <v>0</v>
      </c>
      <c r="E93" s="49">
        <f>AVERAGE('26.10 Isingiro-Mbarara-24Hr'!E93,'28.10 Isingiro-Mbarara-24Hr'!E93)</f>
        <v>0.5</v>
      </c>
      <c r="F93" s="49">
        <f>AVERAGE('26.10 Isingiro-Mbarara-24Hr'!F93,'28.10 Isingiro-Mbarara-24Hr'!F93)</f>
        <v>0</v>
      </c>
      <c r="G93" s="49">
        <f>AVERAGE('26.10 Isingiro-Mbarara-24Hr'!G93,'28.10 Isingiro-Mbarara-24Hr'!G93)</f>
        <v>0</v>
      </c>
      <c r="H93" s="49">
        <f>AVERAGE('26.10 Isingiro-Mbarara-24Hr'!H93,'28.10 Isingiro-Mbarara-24Hr'!H93)</f>
        <v>0</v>
      </c>
      <c r="I93" s="49">
        <f>AVERAGE('26.10 Isingiro-Mbarara-24Hr'!I93,'28.10 Isingiro-Mbarara-24Hr'!I93)</f>
        <v>0</v>
      </c>
      <c r="J93" s="49">
        <f>AVERAGE('26.10 Isingiro-Mbarara-24Hr'!J93,'28.10 Isingiro-Mbarara-24Hr'!J93)</f>
        <v>0.5</v>
      </c>
      <c r="K93" s="49">
        <f>AVERAGE('26.10 Isingiro-Mbarara-24Hr'!K93,'28.10 Isingiro-Mbarara-24Hr'!K93)</f>
        <v>0</v>
      </c>
      <c r="L93" s="49">
        <f>AVERAGE('26.10 Isingiro-Mbarara-24Hr'!L93,'28.10 Isingiro-Mbarara-24Hr'!L93)</f>
        <v>0</v>
      </c>
      <c r="M93" s="49">
        <f>AVERAGE('26.10 Isingiro-Mbarara-24Hr'!M93,'28.10 Isingiro-Mbarara-24Hr'!M93)</f>
        <v>0.5</v>
      </c>
      <c r="N93" s="49">
        <f>AVERAGE('26.10 Isingiro-Mbarara-24Hr'!N93,'28.10 Isingiro-Mbarara-24Hr'!N93)</f>
        <v>0</v>
      </c>
      <c r="O93" s="15">
        <f t="shared" si="35"/>
        <v>1</v>
      </c>
      <c r="P93" s="15">
        <f t="shared" si="36"/>
        <v>1.5</v>
      </c>
      <c r="R93" s="8"/>
      <c r="T93"/>
    </row>
    <row r="94" spans="2:20" ht="23.1" customHeight="1" x14ac:dyDescent="0.25">
      <c r="B94" s="24" t="s">
        <v>134</v>
      </c>
      <c r="C94" s="49">
        <f>AVERAGE('26.10 Isingiro-Mbarara-24Hr'!C94,'28.10 Isingiro-Mbarara-24Hr'!C94)</f>
        <v>1</v>
      </c>
      <c r="D94" s="49">
        <f>AVERAGE('26.10 Isingiro-Mbarara-24Hr'!D94,'28.10 Isingiro-Mbarara-24Hr'!D94)</f>
        <v>1</v>
      </c>
      <c r="E94" s="49">
        <f>AVERAGE('26.10 Isingiro-Mbarara-24Hr'!E94,'28.10 Isingiro-Mbarara-24Hr'!E94)</f>
        <v>0</v>
      </c>
      <c r="F94" s="49">
        <f>AVERAGE('26.10 Isingiro-Mbarara-24Hr'!F94,'28.10 Isingiro-Mbarara-24Hr'!F94)</f>
        <v>0</v>
      </c>
      <c r="G94" s="49">
        <f>AVERAGE('26.10 Isingiro-Mbarara-24Hr'!G94,'28.10 Isingiro-Mbarara-24Hr'!G94)</f>
        <v>0</v>
      </c>
      <c r="H94" s="49">
        <f>AVERAGE('26.10 Isingiro-Mbarara-24Hr'!H94,'28.10 Isingiro-Mbarara-24Hr'!H94)</f>
        <v>0</v>
      </c>
      <c r="I94" s="49">
        <f>AVERAGE('26.10 Isingiro-Mbarara-24Hr'!I94,'28.10 Isingiro-Mbarara-24Hr'!I94)</f>
        <v>0</v>
      </c>
      <c r="J94" s="49">
        <f>AVERAGE('26.10 Isingiro-Mbarara-24Hr'!J94,'28.10 Isingiro-Mbarara-24Hr'!J94)</f>
        <v>0</v>
      </c>
      <c r="K94" s="49">
        <f>AVERAGE('26.10 Isingiro-Mbarara-24Hr'!K94,'28.10 Isingiro-Mbarara-24Hr'!K94)</f>
        <v>0</v>
      </c>
      <c r="L94" s="49">
        <f>AVERAGE('26.10 Isingiro-Mbarara-24Hr'!L94,'28.10 Isingiro-Mbarara-24Hr'!L94)</f>
        <v>0</v>
      </c>
      <c r="M94" s="49">
        <f>AVERAGE('26.10 Isingiro-Mbarara-24Hr'!M94,'28.10 Isingiro-Mbarara-24Hr'!M94)</f>
        <v>1</v>
      </c>
      <c r="N94" s="49">
        <f>AVERAGE('26.10 Isingiro-Mbarara-24Hr'!N94,'28.10 Isingiro-Mbarara-24Hr'!N94)</f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23" t="s">
        <v>135</v>
      </c>
      <c r="C95" s="49">
        <f>AVERAGE('26.10 Isingiro-Mbarara-24Hr'!C95,'28.10 Isingiro-Mbarara-24Hr'!C95)</f>
        <v>0</v>
      </c>
      <c r="D95" s="49">
        <f>AVERAGE('26.10 Isingiro-Mbarara-24Hr'!D95,'28.10 Isingiro-Mbarara-24Hr'!D95)</f>
        <v>0</v>
      </c>
      <c r="E95" s="49">
        <f>AVERAGE('26.10 Isingiro-Mbarara-24Hr'!E95,'28.10 Isingiro-Mbarara-24Hr'!E95)</f>
        <v>0</v>
      </c>
      <c r="F95" s="49">
        <f>AVERAGE('26.10 Isingiro-Mbarara-24Hr'!F95,'28.10 Isingiro-Mbarara-24Hr'!F95)</f>
        <v>0</v>
      </c>
      <c r="G95" s="49">
        <f>AVERAGE('26.10 Isingiro-Mbarara-24Hr'!G95,'28.10 Isingiro-Mbarara-24Hr'!G95)</f>
        <v>0</v>
      </c>
      <c r="H95" s="49">
        <f>AVERAGE('26.10 Isingiro-Mbarara-24Hr'!H95,'28.10 Isingiro-Mbarara-24Hr'!H95)</f>
        <v>0</v>
      </c>
      <c r="I95" s="49">
        <f>AVERAGE('26.10 Isingiro-Mbarara-24Hr'!I95,'28.10 Isingiro-Mbarara-24Hr'!I95)</f>
        <v>0</v>
      </c>
      <c r="J95" s="49">
        <f>AVERAGE('26.10 Isingiro-Mbarara-24Hr'!J95,'28.10 Isingiro-Mbarara-24Hr'!J95)</f>
        <v>0</v>
      </c>
      <c r="K95" s="49">
        <f>AVERAGE('26.10 Isingiro-Mbarara-24Hr'!K95,'28.10 Isingiro-Mbarara-24Hr'!K95)</f>
        <v>0</v>
      </c>
      <c r="L95" s="49">
        <f>AVERAGE('26.10 Isingiro-Mbarara-24Hr'!L95,'28.10 Isingiro-Mbarara-24Hr'!L95)</f>
        <v>0</v>
      </c>
      <c r="M95" s="49">
        <f>AVERAGE('26.10 Isingiro-Mbarara-24Hr'!M95,'28.10 Isingiro-Mbarara-24Hr'!M95)</f>
        <v>1</v>
      </c>
      <c r="N95" s="49">
        <f>AVERAGE('26.10 Isingiro-Mbarara-24Hr'!N95,'28.10 Isingiro-Mbarara-24Hr'!N95)</f>
        <v>0</v>
      </c>
      <c r="O95" s="15">
        <f t="shared" si="35"/>
        <v>0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AVERAGE('26.10 Isingiro-Mbarara-24Hr'!C96,'28.10 Isingiro-Mbarara-24Hr'!C96)</f>
        <v>1.5</v>
      </c>
      <c r="D96" s="49">
        <f>AVERAGE('26.10 Isingiro-Mbarara-24Hr'!D96,'28.10 Isingiro-Mbarara-24Hr'!D96)</f>
        <v>0</v>
      </c>
      <c r="E96" s="49">
        <f>AVERAGE('26.10 Isingiro-Mbarara-24Hr'!E96,'28.10 Isingiro-Mbarara-24Hr'!E96)</f>
        <v>0</v>
      </c>
      <c r="F96" s="49">
        <f>AVERAGE('26.10 Isingiro-Mbarara-24Hr'!F96,'28.10 Isingiro-Mbarara-24Hr'!F96)</f>
        <v>0</v>
      </c>
      <c r="G96" s="49">
        <f>AVERAGE('26.10 Isingiro-Mbarara-24Hr'!G96,'28.10 Isingiro-Mbarara-24Hr'!G96)</f>
        <v>0</v>
      </c>
      <c r="H96" s="49">
        <f>AVERAGE('26.10 Isingiro-Mbarara-24Hr'!H96,'28.10 Isingiro-Mbarara-24Hr'!H96)</f>
        <v>0</v>
      </c>
      <c r="I96" s="49">
        <f>AVERAGE('26.10 Isingiro-Mbarara-24Hr'!I96,'28.10 Isingiro-Mbarara-24Hr'!I96)</f>
        <v>2</v>
      </c>
      <c r="J96" s="49">
        <f>AVERAGE('26.10 Isingiro-Mbarara-24Hr'!J96,'28.10 Isingiro-Mbarara-24Hr'!J96)</f>
        <v>0</v>
      </c>
      <c r="K96" s="49">
        <f>AVERAGE('26.10 Isingiro-Mbarara-24Hr'!K96,'28.10 Isingiro-Mbarara-24Hr'!K96)</f>
        <v>0</v>
      </c>
      <c r="L96" s="49">
        <f>AVERAGE('26.10 Isingiro-Mbarara-24Hr'!L96,'28.10 Isingiro-Mbarara-24Hr'!L96)</f>
        <v>0</v>
      </c>
      <c r="M96" s="49">
        <f>AVERAGE('26.10 Isingiro-Mbarara-24Hr'!M96,'28.10 Isingiro-Mbarara-24Hr'!M96)</f>
        <v>1</v>
      </c>
      <c r="N96" s="49">
        <f>AVERAGE('26.10 Isingiro-Mbarara-24Hr'!N96,'28.10 Isingiro-Mbarara-24Hr'!N96)</f>
        <v>0</v>
      </c>
      <c r="O96" s="15">
        <f t="shared" si="35"/>
        <v>3.5</v>
      </c>
      <c r="P96" s="15">
        <f t="shared" si="36"/>
        <v>4.5</v>
      </c>
      <c r="R96" s="8"/>
      <c r="T96"/>
    </row>
    <row r="97" spans="2:20" ht="23.1" customHeight="1" x14ac:dyDescent="0.25">
      <c r="B97" s="23" t="s">
        <v>137</v>
      </c>
      <c r="C97" s="49">
        <f>AVERAGE('26.10 Isingiro-Mbarara-24Hr'!C97,'28.10 Isingiro-Mbarara-24Hr'!C97)</f>
        <v>1</v>
      </c>
      <c r="D97" s="49">
        <f>AVERAGE('26.10 Isingiro-Mbarara-24Hr'!D97,'28.10 Isingiro-Mbarara-24Hr'!D97)</f>
        <v>0</v>
      </c>
      <c r="E97" s="49">
        <f>AVERAGE('26.10 Isingiro-Mbarara-24Hr'!E97,'28.10 Isingiro-Mbarara-24Hr'!E97)</f>
        <v>0</v>
      </c>
      <c r="F97" s="49">
        <f>AVERAGE('26.10 Isingiro-Mbarara-24Hr'!F97,'28.10 Isingiro-Mbarara-24Hr'!F97)</f>
        <v>0</v>
      </c>
      <c r="G97" s="49">
        <f>AVERAGE('26.10 Isingiro-Mbarara-24Hr'!G97,'28.10 Isingiro-Mbarara-24Hr'!G97)</f>
        <v>0</v>
      </c>
      <c r="H97" s="49">
        <f>AVERAGE('26.10 Isingiro-Mbarara-24Hr'!H97,'28.10 Isingiro-Mbarara-24Hr'!H97)</f>
        <v>0</v>
      </c>
      <c r="I97" s="49">
        <f>AVERAGE('26.10 Isingiro-Mbarara-24Hr'!I97,'28.10 Isingiro-Mbarara-24Hr'!I97)</f>
        <v>0.5</v>
      </c>
      <c r="J97" s="49">
        <f>AVERAGE('26.10 Isingiro-Mbarara-24Hr'!J97,'28.10 Isingiro-Mbarara-24Hr'!J97)</f>
        <v>0</v>
      </c>
      <c r="K97" s="49">
        <f>AVERAGE('26.10 Isingiro-Mbarara-24Hr'!K97,'28.10 Isingiro-Mbarara-24Hr'!K97)</f>
        <v>0</v>
      </c>
      <c r="L97" s="49">
        <f>AVERAGE('26.10 Isingiro-Mbarara-24Hr'!L97,'28.10 Isingiro-Mbarara-24Hr'!L97)</f>
        <v>0</v>
      </c>
      <c r="M97" s="49">
        <f>AVERAGE('26.10 Isingiro-Mbarara-24Hr'!M97,'28.10 Isingiro-Mbarara-24Hr'!M97)</f>
        <v>3</v>
      </c>
      <c r="N97" s="49">
        <f>AVERAGE('26.10 Isingiro-Mbarara-24Hr'!N97,'28.10 Isingiro-Mbarara-24Hr'!N97)</f>
        <v>0</v>
      </c>
      <c r="O97" s="15">
        <f t="shared" si="35"/>
        <v>1.5</v>
      </c>
      <c r="P97" s="15">
        <f t="shared" si="36"/>
        <v>4.5</v>
      </c>
      <c r="R97" s="8"/>
      <c r="T97"/>
    </row>
    <row r="98" spans="2:20" ht="23.1" customHeight="1" x14ac:dyDescent="0.25">
      <c r="B98" s="24" t="s">
        <v>138</v>
      </c>
      <c r="C98" s="49">
        <f>AVERAGE('26.10 Isingiro-Mbarara-24Hr'!C98,'28.10 Isingiro-Mbarara-24Hr'!C98)</f>
        <v>0</v>
      </c>
      <c r="D98" s="49">
        <f>AVERAGE('26.10 Isingiro-Mbarara-24Hr'!D98,'28.10 Isingiro-Mbarara-24Hr'!D98)</f>
        <v>0</v>
      </c>
      <c r="E98" s="49">
        <f>AVERAGE('26.10 Isingiro-Mbarara-24Hr'!E98,'28.10 Isingiro-Mbarara-24Hr'!E98)</f>
        <v>0</v>
      </c>
      <c r="F98" s="49">
        <f>AVERAGE('26.10 Isingiro-Mbarara-24Hr'!F98,'28.10 Isingiro-Mbarara-24Hr'!F98)</f>
        <v>0</v>
      </c>
      <c r="G98" s="49">
        <f>AVERAGE('26.10 Isingiro-Mbarara-24Hr'!G98,'28.10 Isingiro-Mbarara-24Hr'!G98)</f>
        <v>0</v>
      </c>
      <c r="H98" s="49">
        <f>AVERAGE('26.10 Isingiro-Mbarara-24Hr'!H98,'28.10 Isingiro-Mbarara-24Hr'!H98)</f>
        <v>0</v>
      </c>
      <c r="I98" s="49">
        <f>AVERAGE('26.10 Isingiro-Mbarara-24Hr'!I98,'28.10 Isingiro-Mbarara-24Hr'!I98)</f>
        <v>0.5</v>
      </c>
      <c r="J98" s="49">
        <f>AVERAGE('26.10 Isingiro-Mbarara-24Hr'!J98,'28.10 Isingiro-Mbarara-24Hr'!J98)</f>
        <v>0</v>
      </c>
      <c r="K98" s="49">
        <f>AVERAGE('26.10 Isingiro-Mbarara-24Hr'!K98,'28.10 Isingiro-Mbarara-24Hr'!K98)</f>
        <v>0</v>
      </c>
      <c r="L98" s="49">
        <f>AVERAGE('26.10 Isingiro-Mbarara-24Hr'!L98,'28.10 Isingiro-Mbarara-24Hr'!L98)</f>
        <v>0</v>
      </c>
      <c r="M98" s="49">
        <f>AVERAGE('26.10 Isingiro-Mbarara-24Hr'!M98,'28.10 Isingiro-Mbarara-24Hr'!M98)</f>
        <v>0</v>
      </c>
      <c r="N98" s="49">
        <f>AVERAGE('26.10 Isingiro-Mbarara-24Hr'!N98,'28.10 Isingiro-Mbarara-24Hr'!N98)</f>
        <v>0</v>
      </c>
      <c r="O98" s="15">
        <f t="shared" si="35"/>
        <v>0.5</v>
      </c>
      <c r="P98" s="15">
        <f t="shared" si="36"/>
        <v>0.5</v>
      </c>
      <c r="R98" s="8"/>
      <c r="T98"/>
    </row>
    <row r="99" spans="2:20" ht="23.1" customHeight="1" x14ac:dyDescent="0.25">
      <c r="B99" s="23" t="s">
        <v>139</v>
      </c>
      <c r="C99" s="49">
        <f>AVERAGE('26.10 Isingiro-Mbarara-24Hr'!C99,'28.10 Isingiro-Mbarara-24Hr'!C99)</f>
        <v>0</v>
      </c>
      <c r="D99" s="49">
        <f>AVERAGE('26.10 Isingiro-Mbarara-24Hr'!D99,'28.10 Isingiro-Mbarara-24Hr'!D99)</f>
        <v>0</v>
      </c>
      <c r="E99" s="49">
        <f>AVERAGE('26.10 Isingiro-Mbarara-24Hr'!E99,'28.10 Isingiro-Mbarara-24Hr'!E99)</f>
        <v>0</v>
      </c>
      <c r="F99" s="49">
        <f>AVERAGE('26.10 Isingiro-Mbarara-24Hr'!F99,'28.10 Isingiro-Mbarara-24Hr'!F99)</f>
        <v>0</v>
      </c>
      <c r="G99" s="49">
        <f>AVERAGE('26.10 Isingiro-Mbarara-24Hr'!G99,'28.10 Isingiro-Mbarara-24Hr'!G99)</f>
        <v>0</v>
      </c>
      <c r="H99" s="49">
        <f>AVERAGE('26.10 Isingiro-Mbarara-24Hr'!H99,'28.10 Isingiro-Mbarara-24Hr'!H99)</f>
        <v>0</v>
      </c>
      <c r="I99" s="49">
        <f>AVERAGE('26.10 Isingiro-Mbarara-24Hr'!I99,'28.10 Isingiro-Mbarara-24Hr'!I99)</f>
        <v>0.5</v>
      </c>
      <c r="J99" s="49">
        <f>AVERAGE('26.10 Isingiro-Mbarara-24Hr'!J99,'28.10 Isingiro-Mbarara-24Hr'!J99)</f>
        <v>0</v>
      </c>
      <c r="K99" s="49">
        <f>AVERAGE('26.10 Isingiro-Mbarara-24Hr'!K99,'28.10 Isingiro-Mbarara-24Hr'!K99)</f>
        <v>0</v>
      </c>
      <c r="L99" s="49">
        <f>AVERAGE('26.10 Isingiro-Mbarara-24Hr'!L99,'28.10 Isingiro-Mbarara-24Hr'!L99)</f>
        <v>0</v>
      </c>
      <c r="M99" s="49">
        <f>AVERAGE('26.10 Isingiro-Mbarara-24Hr'!M99,'28.10 Isingiro-Mbarara-24Hr'!M99)</f>
        <v>0.5</v>
      </c>
      <c r="N99" s="49">
        <f>AVERAGE('26.10 Isingiro-Mbarara-24Hr'!N99,'28.10 Isingiro-Mbarara-24Hr'!N99)</f>
        <v>0</v>
      </c>
      <c r="O99" s="15">
        <f t="shared" si="35"/>
        <v>0.5</v>
      </c>
      <c r="P99" s="15">
        <f t="shared" si="36"/>
        <v>1</v>
      </c>
      <c r="R99" s="8"/>
      <c r="T99"/>
    </row>
    <row r="100" spans="2:20" ht="23.1" customHeight="1" x14ac:dyDescent="0.25">
      <c r="B100" s="25" t="s">
        <v>140</v>
      </c>
      <c r="C100" s="49">
        <f>AVERAGE('26.10 Isingiro-Mbarara-24Hr'!C100,'28.10 Isingiro-Mbarara-24Hr'!C100)</f>
        <v>1</v>
      </c>
      <c r="D100" s="49">
        <f>AVERAGE('26.10 Isingiro-Mbarara-24Hr'!D100,'28.10 Isingiro-Mbarara-24Hr'!D100)</f>
        <v>0</v>
      </c>
      <c r="E100" s="49">
        <f>AVERAGE('26.10 Isingiro-Mbarara-24Hr'!E100,'28.10 Isingiro-Mbarara-24Hr'!E100)</f>
        <v>0</v>
      </c>
      <c r="F100" s="49">
        <f>AVERAGE('26.10 Isingiro-Mbarara-24Hr'!F100,'28.10 Isingiro-Mbarara-24Hr'!F100)</f>
        <v>0</v>
      </c>
      <c r="G100" s="49">
        <f>AVERAGE('26.10 Isingiro-Mbarara-24Hr'!G100,'28.10 Isingiro-Mbarara-24Hr'!G100)</f>
        <v>0</v>
      </c>
      <c r="H100" s="49">
        <f>AVERAGE('26.10 Isingiro-Mbarara-24Hr'!H100,'28.10 Isingiro-Mbarara-24Hr'!H100)</f>
        <v>0</v>
      </c>
      <c r="I100" s="49">
        <f>AVERAGE('26.10 Isingiro-Mbarara-24Hr'!I100,'28.10 Isingiro-Mbarara-24Hr'!I100)</f>
        <v>0</v>
      </c>
      <c r="J100" s="49">
        <f>AVERAGE('26.10 Isingiro-Mbarara-24Hr'!J100,'28.10 Isingiro-Mbarara-24Hr'!J100)</f>
        <v>0</v>
      </c>
      <c r="K100" s="49">
        <f>AVERAGE('26.10 Isingiro-Mbarara-24Hr'!K100,'28.10 Isingiro-Mbarara-24Hr'!K100)</f>
        <v>0</v>
      </c>
      <c r="L100" s="49">
        <f>AVERAGE('26.10 Isingiro-Mbarara-24Hr'!L100,'28.10 Isingiro-Mbarara-24Hr'!L100)</f>
        <v>0</v>
      </c>
      <c r="M100" s="49">
        <f>AVERAGE('26.10 Isingiro-Mbarara-24Hr'!M100,'28.10 Isingiro-Mbarara-24Hr'!M100)</f>
        <v>0.5</v>
      </c>
      <c r="N100" s="49">
        <f>AVERAGE('26.10 Isingiro-Mbarara-24Hr'!N100,'28.10 Isingiro-Mbarara-24Hr'!N100)</f>
        <v>0</v>
      </c>
      <c r="O100" s="15">
        <f t="shared" si="35"/>
        <v>1</v>
      </c>
      <c r="P100" s="15">
        <f t="shared" si="36"/>
        <v>1.5</v>
      </c>
      <c r="R100" s="8"/>
      <c r="T100"/>
    </row>
    <row r="101" spans="2:20" ht="23.1" customHeight="1" x14ac:dyDescent="0.25">
      <c r="B101" s="23" t="s">
        <v>141</v>
      </c>
      <c r="C101" s="49">
        <f>AVERAGE('26.10 Isingiro-Mbarara-24Hr'!C101,'28.10 Isingiro-Mbarara-24Hr'!C101)</f>
        <v>0</v>
      </c>
      <c r="D101" s="49">
        <f>AVERAGE('26.10 Isingiro-Mbarara-24Hr'!D101,'28.10 Isingiro-Mbarara-24Hr'!D101)</f>
        <v>0</v>
      </c>
      <c r="E101" s="49">
        <f>AVERAGE('26.10 Isingiro-Mbarara-24Hr'!E101,'28.10 Isingiro-Mbarara-24Hr'!E101)</f>
        <v>0</v>
      </c>
      <c r="F101" s="49">
        <f>AVERAGE('26.10 Isingiro-Mbarara-24Hr'!F101,'28.10 Isingiro-Mbarara-24Hr'!F101)</f>
        <v>0</v>
      </c>
      <c r="G101" s="49">
        <f>AVERAGE('26.10 Isingiro-Mbarara-24Hr'!G101,'28.10 Isingiro-Mbarara-24Hr'!G101)</f>
        <v>0</v>
      </c>
      <c r="H101" s="49">
        <f>AVERAGE('26.10 Isingiro-Mbarara-24Hr'!H101,'28.10 Isingiro-Mbarara-24Hr'!H101)</f>
        <v>0</v>
      </c>
      <c r="I101" s="49">
        <f>AVERAGE('26.10 Isingiro-Mbarara-24Hr'!I101,'28.10 Isingiro-Mbarara-24Hr'!I101)</f>
        <v>0</v>
      </c>
      <c r="J101" s="49">
        <f>AVERAGE('26.10 Isingiro-Mbarara-24Hr'!J101,'28.10 Isingiro-Mbarara-24Hr'!J101)</f>
        <v>0</v>
      </c>
      <c r="K101" s="49">
        <f>AVERAGE('26.10 Isingiro-Mbarara-24Hr'!K101,'28.10 Isingiro-Mbarara-24Hr'!K101)</f>
        <v>0</v>
      </c>
      <c r="L101" s="49">
        <f>AVERAGE('26.10 Isingiro-Mbarara-24Hr'!L101,'28.10 Isingiro-Mbarara-24Hr'!L101)</f>
        <v>0</v>
      </c>
      <c r="M101" s="49">
        <f>AVERAGE('26.10 Isingiro-Mbarara-24Hr'!M101,'28.10 Isingiro-Mbarara-24Hr'!M101)</f>
        <v>2</v>
      </c>
      <c r="N101" s="49">
        <f>AVERAGE('26.10 Isingiro-Mbarara-24Hr'!N101,'28.10 Isingiro-Mbarara-24Hr'!N101)</f>
        <v>0</v>
      </c>
      <c r="O101" s="15">
        <f t="shared" si="35"/>
        <v>0</v>
      </c>
      <c r="P101" s="15">
        <f t="shared" si="36"/>
        <v>2</v>
      </c>
      <c r="R101" s="8"/>
      <c r="T101"/>
    </row>
    <row r="102" spans="2:20" ht="23.1" customHeight="1" x14ac:dyDescent="0.25">
      <c r="B102" s="24" t="s">
        <v>142</v>
      </c>
      <c r="C102" s="49">
        <f>AVERAGE('26.10 Isingiro-Mbarara-24Hr'!C102,'28.10 Isingiro-Mbarara-24Hr'!C102)</f>
        <v>0.5</v>
      </c>
      <c r="D102" s="49">
        <f>AVERAGE('26.10 Isingiro-Mbarara-24Hr'!D102,'28.10 Isingiro-Mbarara-24Hr'!D102)</f>
        <v>0</v>
      </c>
      <c r="E102" s="49">
        <f>AVERAGE('26.10 Isingiro-Mbarara-24Hr'!E102,'28.10 Isingiro-Mbarara-24Hr'!E102)</f>
        <v>0</v>
      </c>
      <c r="F102" s="49">
        <f>AVERAGE('26.10 Isingiro-Mbarara-24Hr'!F102,'28.10 Isingiro-Mbarara-24Hr'!F102)</f>
        <v>0.5</v>
      </c>
      <c r="G102" s="49">
        <f>AVERAGE('26.10 Isingiro-Mbarara-24Hr'!G102,'28.10 Isingiro-Mbarara-24Hr'!G102)</f>
        <v>0</v>
      </c>
      <c r="H102" s="49">
        <f>AVERAGE('26.10 Isingiro-Mbarara-24Hr'!H102,'28.10 Isingiro-Mbarara-24Hr'!H102)</f>
        <v>0</v>
      </c>
      <c r="I102" s="49">
        <f>AVERAGE('26.10 Isingiro-Mbarara-24Hr'!I102,'28.10 Isingiro-Mbarara-24Hr'!I102)</f>
        <v>0</v>
      </c>
      <c r="J102" s="49">
        <f>AVERAGE('26.10 Isingiro-Mbarara-24Hr'!J102,'28.10 Isingiro-Mbarara-24Hr'!J102)</f>
        <v>0</v>
      </c>
      <c r="K102" s="49">
        <f>AVERAGE('26.10 Isingiro-Mbarara-24Hr'!K102,'28.10 Isingiro-Mbarara-24Hr'!K102)</f>
        <v>0</v>
      </c>
      <c r="L102" s="49">
        <f>AVERAGE('26.10 Isingiro-Mbarara-24Hr'!L102,'28.10 Isingiro-Mbarara-24Hr'!L102)</f>
        <v>0</v>
      </c>
      <c r="M102" s="49">
        <f>AVERAGE('26.10 Isingiro-Mbarara-24Hr'!M102,'28.10 Isingiro-Mbarara-24Hr'!M102)</f>
        <v>4</v>
      </c>
      <c r="N102" s="49">
        <f>AVERAGE('26.10 Isingiro-Mbarara-24Hr'!N102,'28.10 Isingiro-Mbarara-24Hr'!N102)</f>
        <v>0</v>
      </c>
      <c r="O102" s="15">
        <f t="shared" si="35"/>
        <v>1</v>
      </c>
      <c r="P102" s="15">
        <f t="shared" si="36"/>
        <v>5</v>
      </c>
      <c r="R102" s="8"/>
      <c r="T102"/>
    </row>
    <row r="103" spans="2:20" ht="23.1" customHeight="1" x14ac:dyDescent="0.25">
      <c r="B103" s="23" t="s">
        <v>143</v>
      </c>
      <c r="C103" s="49">
        <f>AVERAGE('26.10 Isingiro-Mbarara-24Hr'!C103,'28.10 Isingiro-Mbarara-24Hr'!C103)</f>
        <v>0.5</v>
      </c>
      <c r="D103" s="49">
        <f>AVERAGE('26.10 Isingiro-Mbarara-24Hr'!D103,'28.10 Isingiro-Mbarara-24Hr'!D103)</f>
        <v>0</v>
      </c>
      <c r="E103" s="49">
        <f>AVERAGE('26.10 Isingiro-Mbarara-24Hr'!E103,'28.10 Isingiro-Mbarara-24Hr'!E103)</f>
        <v>0</v>
      </c>
      <c r="F103" s="49">
        <f>AVERAGE('26.10 Isingiro-Mbarara-24Hr'!F103,'28.10 Isingiro-Mbarara-24Hr'!F103)</f>
        <v>0.5</v>
      </c>
      <c r="G103" s="49">
        <f>AVERAGE('26.10 Isingiro-Mbarara-24Hr'!G103,'28.10 Isingiro-Mbarara-24Hr'!G103)</f>
        <v>0</v>
      </c>
      <c r="H103" s="49">
        <f>AVERAGE('26.10 Isingiro-Mbarara-24Hr'!H103,'28.10 Isingiro-Mbarara-24Hr'!H103)</f>
        <v>0</v>
      </c>
      <c r="I103" s="49">
        <f>AVERAGE('26.10 Isingiro-Mbarara-24Hr'!I103,'28.10 Isingiro-Mbarara-24Hr'!I103)</f>
        <v>0</v>
      </c>
      <c r="J103" s="49">
        <f>AVERAGE('26.10 Isingiro-Mbarara-24Hr'!J103,'28.10 Isingiro-Mbarara-24Hr'!J103)</f>
        <v>0</v>
      </c>
      <c r="K103" s="49">
        <f>AVERAGE('26.10 Isingiro-Mbarara-24Hr'!K103,'28.10 Isingiro-Mbarara-24Hr'!K103)</f>
        <v>0</v>
      </c>
      <c r="L103" s="49">
        <f>AVERAGE('26.10 Isingiro-Mbarara-24Hr'!L103,'28.10 Isingiro-Mbarara-24Hr'!L103)</f>
        <v>0</v>
      </c>
      <c r="M103" s="49">
        <f>AVERAGE('26.10 Isingiro-Mbarara-24Hr'!M103,'28.10 Isingiro-Mbarara-24Hr'!M103)</f>
        <v>11</v>
      </c>
      <c r="N103" s="49">
        <f>AVERAGE('26.10 Isingiro-Mbarara-24Hr'!N103,'28.10 Isingiro-Mbarara-24Hr'!N103)</f>
        <v>0</v>
      </c>
      <c r="O103" s="15">
        <f t="shared" si="35"/>
        <v>1</v>
      </c>
      <c r="P103" s="15">
        <f t="shared" si="36"/>
        <v>12</v>
      </c>
      <c r="R103" s="8"/>
      <c r="T103"/>
    </row>
    <row r="104" spans="2:20" ht="23.1" customHeight="1" x14ac:dyDescent="0.25">
      <c r="B104" s="25" t="s">
        <v>144</v>
      </c>
      <c r="C104" s="49">
        <f>AVERAGE('26.10 Isingiro-Mbarara-24Hr'!C104,'28.10 Isingiro-Mbarara-24Hr'!C104)</f>
        <v>21</v>
      </c>
      <c r="D104" s="49">
        <f>AVERAGE('26.10 Isingiro-Mbarara-24Hr'!D104,'28.10 Isingiro-Mbarara-24Hr'!D104)</f>
        <v>0</v>
      </c>
      <c r="E104" s="49">
        <f>AVERAGE('26.10 Isingiro-Mbarara-24Hr'!E104,'28.10 Isingiro-Mbarara-24Hr'!E104)</f>
        <v>0</v>
      </c>
      <c r="F104" s="49">
        <f>AVERAGE('26.10 Isingiro-Mbarara-24Hr'!F104,'28.10 Isingiro-Mbarara-24Hr'!F104)</f>
        <v>0</v>
      </c>
      <c r="G104" s="49">
        <f>AVERAGE('26.10 Isingiro-Mbarara-24Hr'!G104,'28.10 Isingiro-Mbarara-24Hr'!G104)</f>
        <v>0</v>
      </c>
      <c r="H104" s="49">
        <f>AVERAGE('26.10 Isingiro-Mbarara-24Hr'!H104,'28.10 Isingiro-Mbarara-24Hr'!H104)</f>
        <v>0</v>
      </c>
      <c r="I104" s="49">
        <f>AVERAGE('26.10 Isingiro-Mbarara-24Hr'!I104,'28.10 Isingiro-Mbarara-24Hr'!I104)</f>
        <v>0</v>
      </c>
      <c r="J104" s="49">
        <f>AVERAGE('26.10 Isingiro-Mbarara-24Hr'!J104,'28.10 Isingiro-Mbarara-24Hr'!J104)</f>
        <v>0</v>
      </c>
      <c r="K104" s="49">
        <f>AVERAGE('26.10 Isingiro-Mbarara-24Hr'!K104,'28.10 Isingiro-Mbarara-24Hr'!K104)</f>
        <v>0.5</v>
      </c>
      <c r="L104" s="49">
        <f>AVERAGE('26.10 Isingiro-Mbarara-24Hr'!L104,'28.10 Isingiro-Mbarara-24Hr'!L104)</f>
        <v>0</v>
      </c>
      <c r="M104" s="49">
        <f>AVERAGE('26.10 Isingiro-Mbarara-24Hr'!M104,'28.10 Isingiro-Mbarara-24Hr'!M104)</f>
        <v>13</v>
      </c>
      <c r="N104" s="49">
        <f>AVERAGE('26.10 Isingiro-Mbarara-24Hr'!N104,'28.10 Isingiro-Mbarara-24Hr'!N104)</f>
        <v>0</v>
      </c>
      <c r="O104" s="15">
        <f t="shared" si="35"/>
        <v>21.5</v>
      </c>
      <c r="P104" s="15">
        <f t="shared" si="36"/>
        <v>34.5</v>
      </c>
      <c r="R104" s="8"/>
      <c r="T104"/>
    </row>
    <row r="105" spans="2:20" ht="23.1" customHeight="1" x14ac:dyDescent="0.25">
      <c r="B105" s="23" t="s">
        <v>145</v>
      </c>
      <c r="C105" s="49">
        <f>AVERAGE('26.10 Isingiro-Mbarara-24Hr'!C105,'28.10 Isingiro-Mbarara-24Hr'!C105)</f>
        <v>3.5</v>
      </c>
      <c r="D105" s="49">
        <f>AVERAGE('26.10 Isingiro-Mbarara-24Hr'!D105,'28.10 Isingiro-Mbarara-24Hr'!D105)</f>
        <v>0.5</v>
      </c>
      <c r="E105" s="49">
        <f>AVERAGE('26.10 Isingiro-Mbarara-24Hr'!E105,'28.10 Isingiro-Mbarara-24Hr'!E105)</f>
        <v>0.5</v>
      </c>
      <c r="F105" s="49">
        <f>AVERAGE('26.10 Isingiro-Mbarara-24Hr'!F105,'28.10 Isingiro-Mbarara-24Hr'!F105)</f>
        <v>0.5</v>
      </c>
      <c r="G105" s="49">
        <f>AVERAGE('26.10 Isingiro-Mbarara-24Hr'!G105,'28.10 Isingiro-Mbarara-24Hr'!G105)</f>
        <v>0</v>
      </c>
      <c r="H105" s="49">
        <f>AVERAGE('26.10 Isingiro-Mbarara-24Hr'!H105,'28.10 Isingiro-Mbarara-24Hr'!H105)</f>
        <v>0</v>
      </c>
      <c r="I105" s="49">
        <f>AVERAGE('26.10 Isingiro-Mbarara-24Hr'!I105,'28.10 Isingiro-Mbarara-24Hr'!I105)</f>
        <v>2</v>
      </c>
      <c r="J105" s="49">
        <f>AVERAGE('26.10 Isingiro-Mbarara-24Hr'!J105,'28.10 Isingiro-Mbarara-24Hr'!J105)</f>
        <v>0</v>
      </c>
      <c r="K105" s="49">
        <f>AVERAGE('26.10 Isingiro-Mbarara-24Hr'!K105,'28.10 Isingiro-Mbarara-24Hr'!K105)</f>
        <v>0</v>
      </c>
      <c r="L105" s="49">
        <f>AVERAGE('26.10 Isingiro-Mbarara-24Hr'!L105,'28.10 Isingiro-Mbarara-24Hr'!L105)</f>
        <v>0</v>
      </c>
      <c r="M105" s="49">
        <f>AVERAGE('26.10 Isingiro-Mbarara-24Hr'!M105,'28.10 Isingiro-Mbarara-24Hr'!M105)</f>
        <v>22</v>
      </c>
      <c r="N105" s="49">
        <f>AVERAGE('26.10 Isingiro-Mbarara-24Hr'!N105,'28.10 Isingiro-Mbarara-24Hr'!N105)</f>
        <v>0</v>
      </c>
      <c r="O105" s="15">
        <f t="shared" si="35"/>
        <v>7</v>
      </c>
      <c r="P105" s="15">
        <f t="shared" si="36"/>
        <v>29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715.21428571428555</v>
      </c>
      <c r="D106" s="16">
        <f t="shared" ref="D106:P106" si="37">SUM(D10:D105)</f>
        <v>112.35714285714288</v>
      </c>
      <c r="E106" s="16">
        <f t="shared" si="37"/>
        <v>110.21428571428568</v>
      </c>
      <c r="F106" s="16">
        <f t="shared" si="37"/>
        <v>139.35714285714286</v>
      </c>
      <c r="G106" s="16">
        <f t="shared" si="37"/>
        <v>2.9285714285714279</v>
      </c>
      <c r="H106" s="16">
        <f t="shared" si="37"/>
        <v>2.214285714285714</v>
      </c>
      <c r="I106" s="16">
        <f t="shared" si="37"/>
        <v>111.14285714285717</v>
      </c>
      <c r="J106" s="16">
        <f t="shared" si="37"/>
        <v>74.642857142857139</v>
      </c>
      <c r="K106" s="16">
        <f t="shared" si="37"/>
        <v>9.571428571428573</v>
      </c>
      <c r="L106" s="16">
        <f t="shared" si="37"/>
        <v>7.2142857142857162</v>
      </c>
      <c r="M106" s="16">
        <f t="shared" si="37"/>
        <v>2133.5714285714284</v>
      </c>
      <c r="N106" s="16">
        <f t="shared" si="37"/>
        <v>0.71428571428571419</v>
      </c>
      <c r="O106" s="16">
        <f t="shared" si="37"/>
        <v>1285.5714285714284</v>
      </c>
      <c r="P106" s="16">
        <f t="shared" si="37"/>
        <v>3419.1428571428578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0.20917941004428836</v>
      </c>
      <c r="D107" s="43">
        <f t="shared" si="38"/>
        <v>3.2861201637837387E-2</v>
      </c>
      <c r="E107" s="43">
        <f t="shared" si="38"/>
        <v>3.2234478148240979E-2</v>
      </c>
      <c r="F107" s="43">
        <f t="shared" si="38"/>
        <v>4.0757917606751896E-2</v>
      </c>
      <c r="G107" s="43">
        <f t="shared" si="38"/>
        <v>8.5652210244839945E-4</v>
      </c>
      <c r="H107" s="43">
        <f t="shared" si="38"/>
        <v>6.4761427258293617E-4</v>
      </c>
      <c r="I107" s="43">
        <f t="shared" si="38"/>
        <v>3.2506058327066101E-2</v>
      </c>
      <c r="J107" s="43">
        <f t="shared" si="38"/>
        <v>2.1830868220940915E-2</v>
      </c>
      <c r="K107" s="43">
        <f t="shared" si="38"/>
        <v>2.7993649201972087E-3</v>
      </c>
      <c r="L107" s="43">
        <f t="shared" si="38"/>
        <v>2.1099690816411801E-3</v>
      </c>
      <c r="M107" s="43">
        <f t="shared" si="38"/>
        <v>0.62400768780813887</v>
      </c>
      <c r="N107" s="43">
        <f t="shared" si="38"/>
        <v>2.0890782986546328E-4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0.55633959328814309</v>
      </c>
      <c r="D108" s="44">
        <f t="shared" ref="D108:N108" si="39">D106/$O$106</f>
        <v>8.7398599844427188E-2</v>
      </c>
      <c r="E108" s="44">
        <f t="shared" si="39"/>
        <v>8.5731747971996869E-2</v>
      </c>
      <c r="F108" s="44">
        <f t="shared" si="39"/>
        <v>0.10840093343704857</v>
      </c>
      <c r="G108" s="44">
        <f t="shared" si="39"/>
        <v>2.2780308923213686E-3</v>
      </c>
      <c r="H108" s="44">
        <f t="shared" si="39"/>
        <v>1.722413601511279E-3</v>
      </c>
      <c r="I108" s="44">
        <f t="shared" si="39"/>
        <v>8.645405045005003E-2</v>
      </c>
      <c r="J108" s="44">
        <f t="shared" si="39"/>
        <v>5.8062006889654412E-2</v>
      </c>
      <c r="K108" s="44">
        <f t="shared" si="39"/>
        <v>7.4452716968552079E-3</v>
      </c>
      <c r="L108" s="44">
        <f t="shared" si="39"/>
        <v>5.6117346371819116E-3</v>
      </c>
      <c r="M108" s="44"/>
      <c r="N108" s="44">
        <f t="shared" si="39"/>
        <v>5.5561729081008999E-4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40" zoomScale="60" workbookViewId="0">
      <selection activeCell="AE57" sqref="AE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5" t="str">
        <f>'31.10 Mbarara-Isingiro'!C3:G3</f>
        <v>MCC-C4-STN100A-MBARARA-ISINGIRO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'31.10 Mbarara-Isingiro'!G5:H5</f>
        <v>KASENYI</v>
      </c>
      <c r="H5" s="62"/>
      <c r="I5" s="14"/>
      <c r="J5" s="2" t="s">
        <v>5</v>
      </c>
      <c r="K5" s="61" t="s">
        <v>179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'31.10 Mbarara-Isingiro'!D6:E6</f>
        <v>MBARARA</v>
      </c>
      <c r="E6" s="62"/>
      <c r="F6" s="2" t="s">
        <v>2</v>
      </c>
      <c r="G6" s="61" t="str">
        <f>'31.10 Mbarara-Isingiro'!G6:H6</f>
        <v>ISINGIRO</v>
      </c>
      <c r="H6" s="62"/>
      <c r="J6" s="2" t="s">
        <v>21</v>
      </c>
      <c r="K6" s="61" t="str">
        <f>'31.10 Mbarara-Isingiro'!K6:L6</f>
        <v>MIREMBE RUTH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AVERAGE('25.10 Mbarara-Isingiro'!C10,'26.10 Mbarara-Isingiro-24Hr'!C10,'27.10 Mbarara-Isingiro'!C10,'28.10 Mbarara-Isingiro-24Hr'!C10,'29.10 Mbarara-Isingiro'!C10,'30.10 Mbarara-Isingiro'!C10,'31.10 Mbarara-Isingiro'!C10)</f>
        <v>6.5714285714285712</v>
      </c>
      <c r="D10" s="49">
        <f>AVERAGE('25.10 Mbarara-Isingiro'!D10,'26.10 Mbarara-Isingiro-24Hr'!D10,'27.10 Mbarara-Isingiro'!D10,'28.10 Mbarara-Isingiro-24Hr'!D10,'29.10 Mbarara-Isingiro'!D10,'30.10 Mbarara-Isingiro'!D10,'31.10 Mbarara-Isingiro'!D10)</f>
        <v>0.7142857142857143</v>
      </c>
      <c r="E10" s="49">
        <f>AVERAGE('25.10 Mbarara-Isingiro'!E10,'26.10 Mbarara-Isingiro-24Hr'!E10,'27.10 Mbarara-Isingiro'!E10,'28.10 Mbarara-Isingiro-24Hr'!E10,'29.10 Mbarara-Isingiro'!E10,'30.10 Mbarara-Isingiro'!E10,'31.10 Mbarara-Isingiro'!E10)</f>
        <v>1.5714285714285714</v>
      </c>
      <c r="F10" s="49">
        <f>AVERAGE('25.10 Mbarara-Isingiro'!F10,'26.10 Mbarara-Isingiro-24Hr'!F10,'27.10 Mbarara-Isingiro'!F10,'28.10 Mbarara-Isingiro-24Hr'!F10,'29.10 Mbarara-Isingiro'!F10,'30.10 Mbarara-Isingiro'!F10,'31.10 Mbarara-Isingiro'!F10)</f>
        <v>1.8571428571428572</v>
      </c>
      <c r="G10" s="49">
        <f>AVERAGE('25.10 Mbarara-Isingiro'!G10,'26.10 Mbarara-Isingiro-24Hr'!G10,'27.10 Mbarara-Isingiro'!G10,'28.10 Mbarara-Isingiro-24Hr'!G10,'29.10 Mbarara-Isingiro'!G10,'30.10 Mbarara-Isingiro'!G10,'31.10 Mbarara-Isingiro'!G10)</f>
        <v>0</v>
      </c>
      <c r="H10" s="49">
        <f>AVERAGE('25.10 Mbarara-Isingiro'!H10,'26.10 Mbarara-Isingiro-24Hr'!H10,'27.10 Mbarara-Isingiro'!H10,'28.10 Mbarara-Isingiro-24Hr'!H10,'29.10 Mbarara-Isingiro'!H10,'30.10 Mbarara-Isingiro'!H10,'31.10 Mbarara-Isingiro'!H10)</f>
        <v>0</v>
      </c>
      <c r="I10" s="49">
        <f>AVERAGE('25.10 Mbarara-Isingiro'!I10,'26.10 Mbarara-Isingiro-24Hr'!I10,'27.10 Mbarara-Isingiro'!I10,'28.10 Mbarara-Isingiro-24Hr'!I10,'29.10 Mbarara-Isingiro'!I10,'30.10 Mbarara-Isingiro'!I10,'31.10 Mbarara-Isingiro'!I10)</f>
        <v>1</v>
      </c>
      <c r="J10" s="49">
        <f>AVERAGE('25.10 Mbarara-Isingiro'!J10,'26.10 Mbarara-Isingiro-24Hr'!J10,'27.10 Mbarara-Isingiro'!J10,'28.10 Mbarara-Isingiro-24Hr'!J10,'29.10 Mbarara-Isingiro'!J10,'30.10 Mbarara-Isingiro'!J10,'31.10 Mbarara-Isingiro'!J10)</f>
        <v>1.4285714285714286</v>
      </c>
      <c r="K10" s="49">
        <f>AVERAGE('25.10 Mbarara-Isingiro'!K10,'26.10 Mbarara-Isingiro-24Hr'!K10,'27.10 Mbarara-Isingiro'!K10,'28.10 Mbarara-Isingiro-24Hr'!K10,'29.10 Mbarara-Isingiro'!K10,'30.10 Mbarara-Isingiro'!K10,'31.10 Mbarara-Isingiro'!K10)</f>
        <v>0</v>
      </c>
      <c r="L10" s="49">
        <f>AVERAGE('25.10 Mbarara-Isingiro'!L10,'26.10 Mbarara-Isingiro-24Hr'!L10,'27.10 Mbarara-Isingiro'!L10,'28.10 Mbarara-Isingiro-24Hr'!L10,'29.10 Mbarara-Isingiro'!L10,'30.10 Mbarara-Isingiro'!L10,'31.10 Mbarara-Isingiro'!L10)</f>
        <v>0.2857142857142857</v>
      </c>
      <c r="M10" s="49">
        <f>AVERAGE('25.10 Mbarara-Isingiro'!M10,'26.10 Mbarara-Isingiro-24Hr'!M10,'27.10 Mbarara-Isingiro'!M10,'28.10 Mbarara-Isingiro-24Hr'!M10,'29.10 Mbarara-Isingiro'!M10,'30.10 Mbarara-Isingiro'!M10,'31.10 Mbarara-Isingiro'!M10)</f>
        <v>19.714285714285715</v>
      </c>
      <c r="N10" s="49">
        <f>AVERAGE('25.10 Mbarara-Isingiro'!N10,'26.10 Mbarara-Isingiro-24Hr'!N10,'27.10 Mbarara-Isingiro'!N10,'28.10 Mbarara-Isingiro-24Hr'!N10,'29.10 Mbarara-Isingiro'!N10,'30.10 Mbarara-Isingiro'!N10,'31.10 Mbarara-Isingiro'!N10)</f>
        <v>0</v>
      </c>
      <c r="O10" s="15">
        <f t="shared" ref="O10:O73" si="0">SUM(C10:L10,N10)</f>
        <v>13.428571428571431</v>
      </c>
      <c r="P10" s="15">
        <f t="shared" ref="P10:P73" si="1">SUM(C10:N10)</f>
        <v>33.142857142857146</v>
      </c>
      <c r="R10" s="1" t="s">
        <v>6</v>
      </c>
      <c r="S10" s="17">
        <f t="shared" ref="S10:AF10" si="2">SUM(C10:C13)</f>
        <v>32.857142857142861</v>
      </c>
      <c r="T10" s="17">
        <f t="shared" si="2"/>
        <v>7</v>
      </c>
      <c r="U10" s="17">
        <f t="shared" si="2"/>
        <v>6.7142857142857144</v>
      </c>
      <c r="V10" s="17">
        <f t="shared" si="2"/>
        <v>8.5714285714285712</v>
      </c>
      <c r="W10" s="17">
        <f t="shared" si="2"/>
        <v>0.14285714285714285</v>
      </c>
      <c r="X10" s="17">
        <f t="shared" si="2"/>
        <v>0.14285714285714285</v>
      </c>
      <c r="Y10" s="17">
        <f t="shared" si="2"/>
        <v>3.7142857142857144</v>
      </c>
      <c r="Z10" s="17">
        <f t="shared" si="2"/>
        <v>6.5714285714285721</v>
      </c>
      <c r="AA10" s="17">
        <f t="shared" si="2"/>
        <v>0.85714285714285698</v>
      </c>
      <c r="AB10" s="17">
        <f t="shared" si="2"/>
        <v>0.71428571428571419</v>
      </c>
      <c r="AC10" s="17">
        <f t="shared" si="2"/>
        <v>113.28571428571428</v>
      </c>
      <c r="AD10" s="17">
        <f t="shared" si="2"/>
        <v>0</v>
      </c>
      <c r="AE10" s="31">
        <f t="shared" si="2"/>
        <v>67.285714285714278</v>
      </c>
      <c r="AF10" s="31">
        <f t="shared" si="2"/>
        <v>180.57142857142856</v>
      </c>
    </row>
    <row r="11" spans="2:32" s="6" customFormat="1" ht="23.1" customHeight="1" x14ac:dyDescent="0.25">
      <c r="B11" s="23" t="s">
        <v>38</v>
      </c>
      <c r="C11" s="49">
        <f>AVERAGE('25.10 Mbarara-Isingiro'!C11,'26.10 Mbarara-Isingiro-24Hr'!C11,'27.10 Mbarara-Isingiro'!C11,'28.10 Mbarara-Isingiro-24Hr'!C11,'29.10 Mbarara-Isingiro'!C11,'30.10 Mbarara-Isingiro'!C11,'31.10 Mbarara-Isingiro'!C11)</f>
        <v>8.4285714285714288</v>
      </c>
      <c r="D11" s="49">
        <f>AVERAGE('25.10 Mbarara-Isingiro'!D11,'26.10 Mbarara-Isingiro-24Hr'!D11,'27.10 Mbarara-Isingiro'!D11,'28.10 Mbarara-Isingiro-24Hr'!D11,'29.10 Mbarara-Isingiro'!D11,'30.10 Mbarara-Isingiro'!D11,'31.10 Mbarara-Isingiro'!D11)</f>
        <v>0.7142857142857143</v>
      </c>
      <c r="E11" s="49">
        <f>AVERAGE('25.10 Mbarara-Isingiro'!E11,'26.10 Mbarara-Isingiro-24Hr'!E11,'27.10 Mbarara-Isingiro'!E11,'28.10 Mbarara-Isingiro-24Hr'!E11,'29.10 Mbarara-Isingiro'!E11,'30.10 Mbarara-Isingiro'!E11,'31.10 Mbarara-Isingiro'!E11)</f>
        <v>1.2857142857142858</v>
      </c>
      <c r="F11" s="49">
        <f>AVERAGE('25.10 Mbarara-Isingiro'!F11,'26.10 Mbarara-Isingiro-24Hr'!F11,'27.10 Mbarara-Isingiro'!F11,'28.10 Mbarara-Isingiro-24Hr'!F11,'29.10 Mbarara-Isingiro'!F11,'30.10 Mbarara-Isingiro'!F11,'31.10 Mbarara-Isingiro'!F11)</f>
        <v>2.1428571428571428</v>
      </c>
      <c r="G11" s="49">
        <f>AVERAGE('25.10 Mbarara-Isingiro'!G11,'26.10 Mbarara-Isingiro-24Hr'!G11,'27.10 Mbarara-Isingiro'!G11,'28.10 Mbarara-Isingiro-24Hr'!G11,'29.10 Mbarara-Isingiro'!G11,'30.10 Mbarara-Isingiro'!G11,'31.10 Mbarara-Isingiro'!G11)</f>
        <v>0</v>
      </c>
      <c r="H11" s="49">
        <f>AVERAGE('25.10 Mbarara-Isingiro'!H11,'26.10 Mbarara-Isingiro-24Hr'!H11,'27.10 Mbarara-Isingiro'!H11,'28.10 Mbarara-Isingiro-24Hr'!H11,'29.10 Mbarara-Isingiro'!H11,'30.10 Mbarara-Isingiro'!H11,'31.10 Mbarara-Isingiro'!H11)</f>
        <v>0</v>
      </c>
      <c r="I11" s="49">
        <f>AVERAGE('25.10 Mbarara-Isingiro'!I11,'26.10 Mbarara-Isingiro-24Hr'!I11,'27.10 Mbarara-Isingiro'!I11,'28.10 Mbarara-Isingiro-24Hr'!I11,'29.10 Mbarara-Isingiro'!I11,'30.10 Mbarara-Isingiro'!I11,'31.10 Mbarara-Isingiro'!I11)</f>
        <v>0.7142857142857143</v>
      </c>
      <c r="J11" s="49">
        <f>AVERAGE('25.10 Mbarara-Isingiro'!J11,'26.10 Mbarara-Isingiro-24Hr'!J11,'27.10 Mbarara-Isingiro'!J11,'28.10 Mbarara-Isingiro-24Hr'!J11,'29.10 Mbarara-Isingiro'!J11,'30.10 Mbarara-Isingiro'!J11,'31.10 Mbarara-Isingiro'!J11)</f>
        <v>1</v>
      </c>
      <c r="K11" s="49">
        <f>AVERAGE('25.10 Mbarara-Isingiro'!K11,'26.10 Mbarara-Isingiro-24Hr'!K11,'27.10 Mbarara-Isingiro'!K11,'28.10 Mbarara-Isingiro-24Hr'!K11,'29.10 Mbarara-Isingiro'!K11,'30.10 Mbarara-Isingiro'!K11,'31.10 Mbarara-Isingiro'!K11)</f>
        <v>0.2857142857142857</v>
      </c>
      <c r="L11" s="49">
        <f>AVERAGE('25.10 Mbarara-Isingiro'!L11,'26.10 Mbarara-Isingiro-24Hr'!L11,'27.10 Mbarara-Isingiro'!L11,'28.10 Mbarara-Isingiro-24Hr'!L11,'29.10 Mbarara-Isingiro'!L11,'30.10 Mbarara-Isingiro'!L11,'31.10 Mbarara-Isingiro'!L11)</f>
        <v>0</v>
      </c>
      <c r="M11" s="49">
        <f>AVERAGE('25.10 Mbarara-Isingiro'!M11,'26.10 Mbarara-Isingiro-24Hr'!M11,'27.10 Mbarara-Isingiro'!M11,'28.10 Mbarara-Isingiro-24Hr'!M11,'29.10 Mbarara-Isingiro'!M11,'30.10 Mbarara-Isingiro'!M11,'31.10 Mbarara-Isingiro'!M11)</f>
        <v>25.142857142857142</v>
      </c>
      <c r="N11" s="49">
        <f>AVERAGE('25.10 Mbarara-Isingiro'!N11,'26.10 Mbarara-Isingiro-24Hr'!N11,'27.10 Mbarara-Isingiro'!N11,'28.10 Mbarara-Isingiro-24Hr'!N11,'29.10 Mbarara-Isingiro'!N11,'30.10 Mbarara-Isingiro'!N11,'31.10 Mbarara-Isingiro'!N11)</f>
        <v>0</v>
      </c>
      <c r="O11" s="15">
        <f t="shared" si="0"/>
        <v>14.571428571428571</v>
      </c>
      <c r="P11" s="15">
        <f t="shared" si="1"/>
        <v>39.714285714285715</v>
      </c>
      <c r="R11" s="1" t="s">
        <v>7</v>
      </c>
      <c r="S11" s="17">
        <f t="shared" ref="S11:AF11" si="3">SUM(C14:C17)</f>
        <v>33</v>
      </c>
      <c r="T11" s="17">
        <f t="shared" si="3"/>
        <v>9.5714285714285712</v>
      </c>
      <c r="U11" s="17">
        <f t="shared" si="3"/>
        <v>11.428571428571427</v>
      </c>
      <c r="V11" s="17">
        <f t="shared" si="3"/>
        <v>7.7142857142857144</v>
      </c>
      <c r="W11" s="17">
        <f t="shared" si="3"/>
        <v>0.71428571428571419</v>
      </c>
      <c r="X11" s="17">
        <f t="shared" si="3"/>
        <v>0</v>
      </c>
      <c r="Y11" s="17">
        <f t="shared" si="3"/>
        <v>7.7142857142857135</v>
      </c>
      <c r="Z11" s="17">
        <f t="shared" si="3"/>
        <v>7</v>
      </c>
      <c r="AA11" s="17">
        <f t="shared" si="3"/>
        <v>0.2857142857142857</v>
      </c>
      <c r="AB11" s="17">
        <f t="shared" si="3"/>
        <v>0</v>
      </c>
      <c r="AC11" s="17">
        <f t="shared" si="3"/>
        <v>136.57142857142856</v>
      </c>
      <c r="AD11" s="17">
        <f t="shared" si="3"/>
        <v>0</v>
      </c>
      <c r="AE11" s="31">
        <f t="shared" si="3"/>
        <v>77.428571428571431</v>
      </c>
      <c r="AF11" s="31">
        <f t="shared" si="3"/>
        <v>214</v>
      </c>
    </row>
    <row r="12" spans="2:32" ht="23.1" customHeight="1" x14ac:dyDescent="0.25">
      <c r="B12" s="23" t="s">
        <v>39</v>
      </c>
      <c r="C12" s="49">
        <f>AVERAGE('25.10 Mbarara-Isingiro'!C12,'26.10 Mbarara-Isingiro-24Hr'!C12,'27.10 Mbarara-Isingiro'!C12,'28.10 Mbarara-Isingiro-24Hr'!C12,'29.10 Mbarara-Isingiro'!C12,'30.10 Mbarara-Isingiro'!C12,'31.10 Mbarara-Isingiro'!C12)</f>
        <v>8.7142857142857135</v>
      </c>
      <c r="D12" s="49">
        <f>AVERAGE('25.10 Mbarara-Isingiro'!D12,'26.10 Mbarara-Isingiro-24Hr'!D12,'27.10 Mbarara-Isingiro'!D12,'28.10 Mbarara-Isingiro-24Hr'!D12,'29.10 Mbarara-Isingiro'!D12,'30.10 Mbarara-Isingiro'!D12,'31.10 Mbarara-Isingiro'!D12)</f>
        <v>2.1428571428571428</v>
      </c>
      <c r="E12" s="49">
        <f>AVERAGE('25.10 Mbarara-Isingiro'!E12,'26.10 Mbarara-Isingiro-24Hr'!E12,'27.10 Mbarara-Isingiro'!E12,'28.10 Mbarara-Isingiro-24Hr'!E12,'29.10 Mbarara-Isingiro'!E12,'30.10 Mbarara-Isingiro'!E12,'31.10 Mbarara-Isingiro'!E12)</f>
        <v>1.8571428571428572</v>
      </c>
      <c r="F12" s="49">
        <f>AVERAGE('25.10 Mbarara-Isingiro'!F12,'26.10 Mbarara-Isingiro-24Hr'!F12,'27.10 Mbarara-Isingiro'!F12,'28.10 Mbarara-Isingiro-24Hr'!F12,'29.10 Mbarara-Isingiro'!F12,'30.10 Mbarara-Isingiro'!F12,'31.10 Mbarara-Isingiro'!F12)</f>
        <v>3</v>
      </c>
      <c r="G12" s="49">
        <f>AVERAGE('25.10 Mbarara-Isingiro'!G12,'26.10 Mbarara-Isingiro-24Hr'!G12,'27.10 Mbarara-Isingiro'!G12,'28.10 Mbarara-Isingiro-24Hr'!G12,'29.10 Mbarara-Isingiro'!G12,'30.10 Mbarara-Isingiro'!G12,'31.10 Mbarara-Isingiro'!G12)</f>
        <v>0</v>
      </c>
      <c r="H12" s="49">
        <f>AVERAGE('25.10 Mbarara-Isingiro'!H12,'26.10 Mbarara-Isingiro-24Hr'!H12,'27.10 Mbarara-Isingiro'!H12,'28.10 Mbarara-Isingiro-24Hr'!H12,'29.10 Mbarara-Isingiro'!H12,'30.10 Mbarara-Isingiro'!H12,'31.10 Mbarara-Isingiro'!H12)</f>
        <v>0.14285714285714285</v>
      </c>
      <c r="I12" s="49">
        <f>AVERAGE('25.10 Mbarara-Isingiro'!I12,'26.10 Mbarara-Isingiro-24Hr'!I12,'27.10 Mbarara-Isingiro'!I12,'28.10 Mbarara-Isingiro-24Hr'!I12,'29.10 Mbarara-Isingiro'!I12,'30.10 Mbarara-Isingiro'!I12,'31.10 Mbarara-Isingiro'!I12)</f>
        <v>1</v>
      </c>
      <c r="J12" s="49">
        <f>AVERAGE('25.10 Mbarara-Isingiro'!J12,'26.10 Mbarara-Isingiro-24Hr'!J12,'27.10 Mbarara-Isingiro'!J12,'28.10 Mbarara-Isingiro-24Hr'!J12,'29.10 Mbarara-Isingiro'!J12,'30.10 Mbarara-Isingiro'!J12,'31.10 Mbarara-Isingiro'!J12)</f>
        <v>2.7142857142857144</v>
      </c>
      <c r="K12" s="49">
        <f>AVERAGE('25.10 Mbarara-Isingiro'!K12,'26.10 Mbarara-Isingiro-24Hr'!K12,'27.10 Mbarara-Isingiro'!K12,'28.10 Mbarara-Isingiro-24Hr'!K12,'29.10 Mbarara-Isingiro'!K12,'30.10 Mbarara-Isingiro'!K12,'31.10 Mbarara-Isingiro'!K12)</f>
        <v>0.42857142857142855</v>
      </c>
      <c r="L12" s="49">
        <f>AVERAGE('25.10 Mbarara-Isingiro'!L12,'26.10 Mbarara-Isingiro-24Hr'!L12,'27.10 Mbarara-Isingiro'!L12,'28.10 Mbarara-Isingiro-24Hr'!L12,'29.10 Mbarara-Isingiro'!L12,'30.10 Mbarara-Isingiro'!L12,'31.10 Mbarara-Isingiro'!L12)</f>
        <v>0.14285714285714285</v>
      </c>
      <c r="M12" s="49">
        <f>AVERAGE('25.10 Mbarara-Isingiro'!M12,'26.10 Mbarara-Isingiro-24Hr'!M12,'27.10 Mbarara-Isingiro'!M12,'28.10 Mbarara-Isingiro-24Hr'!M12,'29.10 Mbarara-Isingiro'!M12,'30.10 Mbarara-Isingiro'!M12,'31.10 Mbarara-Isingiro'!M12)</f>
        <v>34.571428571428569</v>
      </c>
      <c r="N12" s="49">
        <f>AVERAGE('25.10 Mbarara-Isingiro'!N12,'26.10 Mbarara-Isingiro-24Hr'!N12,'27.10 Mbarara-Isingiro'!N12,'28.10 Mbarara-Isingiro-24Hr'!N12,'29.10 Mbarara-Isingiro'!N12,'30.10 Mbarara-Isingiro'!N12,'31.10 Mbarara-Isingiro'!N12)</f>
        <v>0</v>
      </c>
      <c r="O12" s="15">
        <f t="shared" si="0"/>
        <v>20.142857142857139</v>
      </c>
      <c r="P12" s="15">
        <f t="shared" si="1"/>
        <v>54.714285714285708</v>
      </c>
      <c r="R12" s="1" t="s">
        <v>8</v>
      </c>
      <c r="S12" s="17">
        <f t="shared" ref="S12:AF12" si="4">SUM(C18:C21)</f>
        <v>35.857142857142861</v>
      </c>
      <c r="T12" s="17">
        <f t="shared" si="4"/>
        <v>7.2857142857142865</v>
      </c>
      <c r="U12" s="17">
        <f t="shared" si="4"/>
        <v>11.428571428571429</v>
      </c>
      <c r="V12" s="17">
        <f t="shared" si="4"/>
        <v>8.5714285714285712</v>
      </c>
      <c r="W12" s="17">
        <f t="shared" si="4"/>
        <v>0</v>
      </c>
      <c r="X12" s="17">
        <f t="shared" si="4"/>
        <v>0.42857142857142855</v>
      </c>
      <c r="Y12" s="17">
        <f t="shared" si="4"/>
        <v>8.1428571428571423</v>
      </c>
      <c r="Z12" s="17">
        <f t="shared" si="4"/>
        <v>7</v>
      </c>
      <c r="AA12" s="17">
        <f t="shared" si="4"/>
        <v>0.71428571428571419</v>
      </c>
      <c r="AB12" s="17">
        <f t="shared" si="4"/>
        <v>0.8571428571428571</v>
      </c>
      <c r="AC12" s="17">
        <f t="shared" si="4"/>
        <v>140.85714285714286</v>
      </c>
      <c r="AD12" s="17">
        <f t="shared" si="4"/>
        <v>0</v>
      </c>
      <c r="AE12" s="31">
        <f t="shared" si="4"/>
        <v>80.285714285714292</v>
      </c>
      <c r="AF12" s="31">
        <f t="shared" si="4"/>
        <v>221.14285714285717</v>
      </c>
    </row>
    <row r="13" spans="2:32" ht="23.1" customHeight="1" x14ac:dyDescent="0.25">
      <c r="B13" s="23" t="s">
        <v>40</v>
      </c>
      <c r="C13" s="49">
        <f>AVERAGE('25.10 Mbarara-Isingiro'!C13,'26.10 Mbarara-Isingiro-24Hr'!C13,'27.10 Mbarara-Isingiro'!C13,'28.10 Mbarara-Isingiro-24Hr'!C13,'29.10 Mbarara-Isingiro'!C13,'30.10 Mbarara-Isingiro'!C13,'31.10 Mbarara-Isingiro'!C13)</f>
        <v>9.1428571428571423</v>
      </c>
      <c r="D13" s="49">
        <f>AVERAGE('25.10 Mbarara-Isingiro'!D13,'26.10 Mbarara-Isingiro-24Hr'!D13,'27.10 Mbarara-Isingiro'!D13,'28.10 Mbarara-Isingiro-24Hr'!D13,'29.10 Mbarara-Isingiro'!D13,'30.10 Mbarara-Isingiro'!D13,'31.10 Mbarara-Isingiro'!D13)</f>
        <v>3.4285714285714284</v>
      </c>
      <c r="E13" s="49">
        <f>AVERAGE('25.10 Mbarara-Isingiro'!E13,'26.10 Mbarara-Isingiro-24Hr'!E13,'27.10 Mbarara-Isingiro'!E13,'28.10 Mbarara-Isingiro-24Hr'!E13,'29.10 Mbarara-Isingiro'!E13,'30.10 Mbarara-Isingiro'!E13,'31.10 Mbarara-Isingiro'!E13)</f>
        <v>2</v>
      </c>
      <c r="F13" s="49">
        <f>AVERAGE('25.10 Mbarara-Isingiro'!F13,'26.10 Mbarara-Isingiro-24Hr'!F13,'27.10 Mbarara-Isingiro'!F13,'28.10 Mbarara-Isingiro-24Hr'!F13,'29.10 Mbarara-Isingiro'!F13,'30.10 Mbarara-Isingiro'!F13,'31.10 Mbarara-Isingiro'!F13)</f>
        <v>1.5714285714285714</v>
      </c>
      <c r="G13" s="49">
        <f>AVERAGE('25.10 Mbarara-Isingiro'!G13,'26.10 Mbarara-Isingiro-24Hr'!G13,'27.10 Mbarara-Isingiro'!G13,'28.10 Mbarara-Isingiro-24Hr'!G13,'29.10 Mbarara-Isingiro'!G13,'30.10 Mbarara-Isingiro'!G13,'31.10 Mbarara-Isingiro'!G13)</f>
        <v>0.14285714285714285</v>
      </c>
      <c r="H13" s="49">
        <f>AVERAGE('25.10 Mbarara-Isingiro'!H13,'26.10 Mbarara-Isingiro-24Hr'!H13,'27.10 Mbarara-Isingiro'!H13,'28.10 Mbarara-Isingiro-24Hr'!H13,'29.10 Mbarara-Isingiro'!H13,'30.10 Mbarara-Isingiro'!H13,'31.10 Mbarara-Isingiro'!H13)</f>
        <v>0</v>
      </c>
      <c r="I13" s="49">
        <f>AVERAGE('25.10 Mbarara-Isingiro'!I13,'26.10 Mbarara-Isingiro-24Hr'!I13,'27.10 Mbarara-Isingiro'!I13,'28.10 Mbarara-Isingiro-24Hr'!I13,'29.10 Mbarara-Isingiro'!I13,'30.10 Mbarara-Isingiro'!I13,'31.10 Mbarara-Isingiro'!I13)</f>
        <v>1</v>
      </c>
      <c r="J13" s="49">
        <f>AVERAGE('25.10 Mbarara-Isingiro'!J13,'26.10 Mbarara-Isingiro-24Hr'!J13,'27.10 Mbarara-Isingiro'!J13,'28.10 Mbarara-Isingiro-24Hr'!J13,'29.10 Mbarara-Isingiro'!J13,'30.10 Mbarara-Isingiro'!J13,'31.10 Mbarara-Isingiro'!J13)</f>
        <v>1.4285714285714286</v>
      </c>
      <c r="K13" s="49">
        <f>AVERAGE('25.10 Mbarara-Isingiro'!K13,'26.10 Mbarara-Isingiro-24Hr'!K13,'27.10 Mbarara-Isingiro'!K13,'28.10 Mbarara-Isingiro-24Hr'!K13,'29.10 Mbarara-Isingiro'!K13,'30.10 Mbarara-Isingiro'!K13,'31.10 Mbarara-Isingiro'!K13)</f>
        <v>0.14285714285714285</v>
      </c>
      <c r="L13" s="49">
        <f>AVERAGE('25.10 Mbarara-Isingiro'!L13,'26.10 Mbarara-Isingiro-24Hr'!L13,'27.10 Mbarara-Isingiro'!L13,'28.10 Mbarara-Isingiro-24Hr'!L13,'29.10 Mbarara-Isingiro'!L13,'30.10 Mbarara-Isingiro'!L13,'31.10 Mbarara-Isingiro'!L13)</f>
        <v>0.2857142857142857</v>
      </c>
      <c r="M13" s="49">
        <f>AVERAGE('25.10 Mbarara-Isingiro'!M13,'26.10 Mbarara-Isingiro-24Hr'!M13,'27.10 Mbarara-Isingiro'!M13,'28.10 Mbarara-Isingiro-24Hr'!M13,'29.10 Mbarara-Isingiro'!M13,'30.10 Mbarara-Isingiro'!M13,'31.10 Mbarara-Isingiro'!M13)</f>
        <v>33.857142857142854</v>
      </c>
      <c r="N13" s="49">
        <f>AVERAGE('25.10 Mbarara-Isingiro'!N13,'26.10 Mbarara-Isingiro-24Hr'!N13,'27.10 Mbarara-Isingiro'!N13,'28.10 Mbarara-Isingiro-24Hr'!N13,'29.10 Mbarara-Isingiro'!N13,'30.10 Mbarara-Isingiro'!N13,'31.10 Mbarara-Isingiro'!N13)</f>
        <v>0</v>
      </c>
      <c r="O13" s="15">
        <f t="shared" si="0"/>
        <v>19.142857142857139</v>
      </c>
      <c r="P13" s="15">
        <f t="shared" si="1"/>
        <v>52.999999999999993</v>
      </c>
      <c r="R13" s="1" t="s">
        <v>9</v>
      </c>
      <c r="S13" s="17">
        <f t="shared" ref="S13:AF13" si="5">SUM(C22:C25)</f>
        <v>35.714285714285715</v>
      </c>
      <c r="T13" s="17">
        <f t="shared" si="5"/>
        <v>7</v>
      </c>
      <c r="U13" s="17">
        <f t="shared" si="5"/>
        <v>7.7142857142857135</v>
      </c>
      <c r="V13" s="17">
        <f t="shared" si="5"/>
        <v>11.142857142857142</v>
      </c>
      <c r="W13" s="17">
        <f t="shared" si="5"/>
        <v>0.2857142857142857</v>
      </c>
      <c r="X13" s="17">
        <f t="shared" si="5"/>
        <v>0.14285714285714285</v>
      </c>
      <c r="Y13" s="17">
        <f t="shared" si="5"/>
        <v>9.4285714285714288</v>
      </c>
      <c r="Z13" s="17">
        <f t="shared" si="5"/>
        <v>7.2857142857142856</v>
      </c>
      <c r="AA13" s="17">
        <f t="shared" si="5"/>
        <v>1.1428571428571428</v>
      </c>
      <c r="AB13" s="17">
        <f t="shared" si="5"/>
        <v>0.14285714285714285</v>
      </c>
      <c r="AC13" s="17">
        <f t="shared" si="5"/>
        <v>146.28571428571428</v>
      </c>
      <c r="AD13" s="17">
        <f t="shared" si="5"/>
        <v>0</v>
      </c>
      <c r="AE13" s="31">
        <f t="shared" si="5"/>
        <v>80</v>
      </c>
      <c r="AF13" s="31">
        <f t="shared" si="5"/>
        <v>226.28571428571428</v>
      </c>
    </row>
    <row r="14" spans="2:32" ht="23.1" customHeight="1" x14ac:dyDescent="0.25">
      <c r="B14" s="23" t="s">
        <v>41</v>
      </c>
      <c r="C14" s="49">
        <f>AVERAGE('25.10 Mbarara-Isingiro'!C14,'26.10 Mbarara-Isingiro-24Hr'!C14,'27.10 Mbarara-Isingiro'!C14,'28.10 Mbarara-Isingiro-24Hr'!C14,'29.10 Mbarara-Isingiro'!C14,'30.10 Mbarara-Isingiro'!C14,'31.10 Mbarara-Isingiro'!C14)</f>
        <v>9</v>
      </c>
      <c r="D14" s="49">
        <f>AVERAGE('25.10 Mbarara-Isingiro'!D14,'26.10 Mbarara-Isingiro-24Hr'!D14,'27.10 Mbarara-Isingiro'!D14,'28.10 Mbarara-Isingiro-24Hr'!D14,'29.10 Mbarara-Isingiro'!D14,'30.10 Mbarara-Isingiro'!D14,'31.10 Mbarara-Isingiro'!D14)</f>
        <v>1.1428571428571428</v>
      </c>
      <c r="E14" s="49">
        <f>AVERAGE('25.10 Mbarara-Isingiro'!E14,'26.10 Mbarara-Isingiro-24Hr'!E14,'27.10 Mbarara-Isingiro'!E14,'28.10 Mbarara-Isingiro-24Hr'!E14,'29.10 Mbarara-Isingiro'!E14,'30.10 Mbarara-Isingiro'!E14,'31.10 Mbarara-Isingiro'!E14)</f>
        <v>2.4285714285714284</v>
      </c>
      <c r="F14" s="49">
        <f>AVERAGE('25.10 Mbarara-Isingiro'!F14,'26.10 Mbarara-Isingiro-24Hr'!F14,'27.10 Mbarara-Isingiro'!F14,'28.10 Mbarara-Isingiro-24Hr'!F14,'29.10 Mbarara-Isingiro'!F14,'30.10 Mbarara-Isingiro'!F14,'31.10 Mbarara-Isingiro'!F14)</f>
        <v>2.4285714285714284</v>
      </c>
      <c r="G14" s="49">
        <f>AVERAGE('25.10 Mbarara-Isingiro'!G14,'26.10 Mbarara-Isingiro-24Hr'!G14,'27.10 Mbarara-Isingiro'!G14,'28.10 Mbarara-Isingiro-24Hr'!G14,'29.10 Mbarara-Isingiro'!G14,'30.10 Mbarara-Isingiro'!G14,'31.10 Mbarara-Isingiro'!G14)</f>
        <v>0.5714285714285714</v>
      </c>
      <c r="H14" s="49">
        <f>AVERAGE('25.10 Mbarara-Isingiro'!H14,'26.10 Mbarara-Isingiro-24Hr'!H14,'27.10 Mbarara-Isingiro'!H14,'28.10 Mbarara-Isingiro-24Hr'!H14,'29.10 Mbarara-Isingiro'!H14,'30.10 Mbarara-Isingiro'!H14,'31.10 Mbarara-Isingiro'!H14)</f>
        <v>0</v>
      </c>
      <c r="I14" s="49">
        <f>AVERAGE('25.10 Mbarara-Isingiro'!I14,'26.10 Mbarara-Isingiro-24Hr'!I14,'27.10 Mbarara-Isingiro'!I14,'28.10 Mbarara-Isingiro-24Hr'!I14,'29.10 Mbarara-Isingiro'!I14,'30.10 Mbarara-Isingiro'!I14,'31.10 Mbarara-Isingiro'!I14)</f>
        <v>2.2857142857142856</v>
      </c>
      <c r="J14" s="49">
        <f>AVERAGE('25.10 Mbarara-Isingiro'!J14,'26.10 Mbarara-Isingiro-24Hr'!J14,'27.10 Mbarara-Isingiro'!J14,'28.10 Mbarara-Isingiro-24Hr'!J14,'29.10 Mbarara-Isingiro'!J14,'30.10 Mbarara-Isingiro'!J14,'31.10 Mbarara-Isingiro'!J14)</f>
        <v>1.2857142857142858</v>
      </c>
      <c r="K14" s="49">
        <f>AVERAGE('25.10 Mbarara-Isingiro'!K14,'26.10 Mbarara-Isingiro-24Hr'!K14,'27.10 Mbarara-Isingiro'!K14,'28.10 Mbarara-Isingiro-24Hr'!K14,'29.10 Mbarara-Isingiro'!K14,'30.10 Mbarara-Isingiro'!K14,'31.10 Mbarara-Isingiro'!K14)</f>
        <v>0.14285714285714285</v>
      </c>
      <c r="L14" s="49">
        <f>AVERAGE('25.10 Mbarara-Isingiro'!L14,'26.10 Mbarara-Isingiro-24Hr'!L14,'27.10 Mbarara-Isingiro'!L14,'28.10 Mbarara-Isingiro-24Hr'!L14,'29.10 Mbarara-Isingiro'!L14,'30.10 Mbarara-Isingiro'!L14,'31.10 Mbarara-Isingiro'!L14)</f>
        <v>0</v>
      </c>
      <c r="M14" s="49">
        <f>AVERAGE('25.10 Mbarara-Isingiro'!M14,'26.10 Mbarara-Isingiro-24Hr'!M14,'27.10 Mbarara-Isingiro'!M14,'28.10 Mbarara-Isingiro-24Hr'!M14,'29.10 Mbarara-Isingiro'!M14,'30.10 Mbarara-Isingiro'!M14,'31.10 Mbarara-Isingiro'!M14)</f>
        <v>33.285714285714285</v>
      </c>
      <c r="N14" s="49">
        <f>AVERAGE('25.10 Mbarara-Isingiro'!N14,'26.10 Mbarara-Isingiro-24Hr'!N14,'27.10 Mbarara-Isingiro'!N14,'28.10 Mbarara-Isingiro-24Hr'!N14,'29.10 Mbarara-Isingiro'!N14,'30.10 Mbarara-Isingiro'!N14,'31.10 Mbarara-Isingiro'!N14)</f>
        <v>0</v>
      </c>
      <c r="O14" s="15">
        <f t="shared" si="0"/>
        <v>19.285714285714285</v>
      </c>
      <c r="P14" s="15">
        <f t="shared" si="1"/>
        <v>52.571428571428569</v>
      </c>
      <c r="R14" s="1" t="s">
        <v>10</v>
      </c>
      <c r="S14" s="17">
        <f t="shared" ref="S14:AF14" si="6">SUM(C26:C29)</f>
        <v>41</v>
      </c>
      <c r="T14" s="17">
        <f t="shared" si="6"/>
        <v>6.7142857142857144</v>
      </c>
      <c r="U14" s="17">
        <f t="shared" si="6"/>
        <v>8.7142857142857135</v>
      </c>
      <c r="V14" s="17">
        <f t="shared" si="6"/>
        <v>9.8571428571428577</v>
      </c>
      <c r="W14" s="17">
        <f t="shared" si="6"/>
        <v>0.14285714285714285</v>
      </c>
      <c r="X14" s="17">
        <f t="shared" si="6"/>
        <v>0.14285714285714285</v>
      </c>
      <c r="Y14" s="17">
        <f t="shared" si="6"/>
        <v>7.4285714285714288</v>
      </c>
      <c r="Z14" s="17">
        <f t="shared" si="6"/>
        <v>6.2857142857142856</v>
      </c>
      <c r="AA14" s="17">
        <f t="shared" si="6"/>
        <v>0.2857142857142857</v>
      </c>
      <c r="AB14" s="17">
        <f t="shared" si="6"/>
        <v>0.14285714285714285</v>
      </c>
      <c r="AC14" s="17">
        <f t="shared" si="6"/>
        <v>133.42857142857142</v>
      </c>
      <c r="AD14" s="17">
        <f t="shared" si="6"/>
        <v>0</v>
      </c>
      <c r="AE14" s="31">
        <f t="shared" si="6"/>
        <v>80.714285714285722</v>
      </c>
      <c r="AF14" s="31">
        <f t="shared" si="6"/>
        <v>214.14285714285714</v>
      </c>
    </row>
    <row r="15" spans="2:32" ht="23.1" customHeight="1" x14ac:dyDescent="0.25">
      <c r="B15" s="23" t="s">
        <v>42</v>
      </c>
      <c r="C15" s="49">
        <f>AVERAGE('25.10 Mbarara-Isingiro'!C15,'26.10 Mbarara-Isingiro-24Hr'!C15,'27.10 Mbarara-Isingiro'!C15,'28.10 Mbarara-Isingiro-24Hr'!C15,'29.10 Mbarara-Isingiro'!C15,'30.10 Mbarara-Isingiro'!C15,'31.10 Mbarara-Isingiro'!C15)</f>
        <v>7.7142857142857144</v>
      </c>
      <c r="D15" s="49">
        <f>AVERAGE('25.10 Mbarara-Isingiro'!D15,'26.10 Mbarara-Isingiro-24Hr'!D15,'27.10 Mbarara-Isingiro'!D15,'28.10 Mbarara-Isingiro-24Hr'!D15,'29.10 Mbarara-Isingiro'!D15,'30.10 Mbarara-Isingiro'!D15,'31.10 Mbarara-Isingiro'!D15)</f>
        <v>2.7142857142857144</v>
      </c>
      <c r="E15" s="49">
        <f>AVERAGE('25.10 Mbarara-Isingiro'!E15,'26.10 Mbarara-Isingiro-24Hr'!E15,'27.10 Mbarara-Isingiro'!E15,'28.10 Mbarara-Isingiro-24Hr'!E15,'29.10 Mbarara-Isingiro'!E15,'30.10 Mbarara-Isingiro'!E15,'31.10 Mbarara-Isingiro'!E15)</f>
        <v>3.1428571428571428</v>
      </c>
      <c r="F15" s="49">
        <f>AVERAGE('25.10 Mbarara-Isingiro'!F15,'26.10 Mbarara-Isingiro-24Hr'!F15,'27.10 Mbarara-Isingiro'!F15,'28.10 Mbarara-Isingiro-24Hr'!F15,'29.10 Mbarara-Isingiro'!F15,'30.10 Mbarara-Isingiro'!F15,'31.10 Mbarara-Isingiro'!F15)</f>
        <v>1.1428571428571428</v>
      </c>
      <c r="G15" s="49">
        <f>AVERAGE('25.10 Mbarara-Isingiro'!G15,'26.10 Mbarara-Isingiro-24Hr'!G15,'27.10 Mbarara-Isingiro'!G15,'28.10 Mbarara-Isingiro-24Hr'!G15,'29.10 Mbarara-Isingiro'!G15,'30.10 Mbarara-Isingiro'!G15,'31.10 Mbarara-Isingiro'!G15)</f>
        <v>0</v>
      </c>
      <c r="H15" s="49">
        <f>AVERAGE('25.10 Mbarara-Isingiro'!H15,'26.10 Mbarara-Isingiro-24Hr'!H15,'27.10 Mbarara-Isingiro'!H15,'28.10 Mbarara-Isingiro-24Hr'!H15,'29.10 Mbarara-Isingiro'!H15,'30.10 Mbarara-Isingiro'!H15,'31.10 Mbarara-Isingiro'!H15)</f>
        <v>0</v>
      </c>
      <c r="I15" s="49">
        <f>AVERAGE('25.10 Mbarara-Isingiro'!I15,'26.10 Mbarara-Isingiro-24Hr'!I15,'27.10 Mbarara-Isingiro'!I15,'28.10 Mbarara-Isingiro-24Hr'!I15,'29.10 Mbarara-Isingiro'!I15,'30.10 Mbarara-Isingiro'!I15,'31.10 Mbarara-Isingiro'!I15)</f>
        <v>2.4285714285714284</v>
      </c>
      <c r="J15" s="49">
        <f>AVERAGE('25.10 Mbarara-Isingiro'!J15,'26.10 Mbarara-Isingiro-24Hr'!J15,'27.10 Mbarara-Isingiro'!J15,'28.10 Mbarara-Isingiro-24Hr'!J15,'29.10 Mbarara-Isingiro'!J15,'30.10 Mbarara-Isingiro'!J15,'31.10 Mbarara-Isingiro'!J15)</f>
        <v>1</v>
      </c>
      <c r="K15" s="49">
        <f>AVERAGE('25.10 Mbarara-Isingiro'!K15,'26.10 Mbarara-Isingiro-24Hr'!K15,'27.10 Mbarara-Isingiro'!K15,'28.10 Mbarara-Isingiro-24Hr'!K15,'29.10 Mbarara-Isingiro'!K15,'30.10 Mbarara-Isingiro'!K15,'31.10 Mbarara-Isingiro'!K15)</f>
        <v>0</v>
      </c>
      <c r="L15" s="49">
        <f>AVERAGE('25.10 Mbarara-Isingiro'!L15,'26.10 Mbarara-Isingiro-24Hr'!L15,'27.10 Mbarara-Isingiro'!L15,'28.10 Mbarara-Isingiro-24Hr'!L15,'29.10 Mbarara-Isingiro'!L15,'30.10 Mbarara-Isingiro'!L15,'31.10 Mbarara-Isingiro'!L15)</f>
        <v>0</v>
      </c>
      <c r="M15" s="49">
        <f>AVERAGE('25.10 Mbarara-Isingiro'!M15,'26.10 Mbarara-Isingiro-24Hr'!M15,'27.10 Mbarara-Isingiro'!M15,'28.10 Mbarara-Isingiro-24Hr'!M15,'29.10 Mbarara-Isingiro'!M15,'30.10 Mbarara-Isingiro'!M15,'31.10 Mbarara-Isingiro'!M15)</f>
        <v>34.857142857142854</v>
      </c>
      <c r="N15" s="49">
        <f>AVERAGE('25.10 Mbarara-Isingiro'!N15,'26.10 Mbarara-Isingiro-24Hr'!N15,'27.10 Mbarara-Isingiro'!N15,'28.10 Mbarara-Isingiro-24Hr'!N15,'29.10 Mbarara-Isingiro'!N15,'30.10 Mbarara-Isingiro'!N15,'31.10 Mbarara-Isingiro'!N15)</f>
        <v>0</v>
      </c>
      <c r="O15" s="15">
        <f t="shared" si="0"/>
        <v>18.142857142857142</v>
      </c>
      <c r="P15" s="15">
        <f t="shared" si="1"/>
        <v>53</v>
      </c>
      <c r="R15" s="1" t="s">
        <v>11</v>
      </c>
      <c r="S15" s="17">
        <f t="shared" ref="S15:AF15" si="7">SUM(C30:C33)</f>
        <v>33.285714285714285</v>
      </c>
      <c r="T15" s="17">
        <f t="shared" si="7"/>
        <v>6</v>
      </c>
      <c r="U15" s="17">
        <f t="shared" si="7"/>
        <v>5.5714285714285712</v>
      </c>
      <c r="V15" s="17">
        <f t="shared" si="7"/>
        <v>13.428571428571427</v>
      </c>
      <c r="W15" s="17">
        <f t="shared" si="7"/>
        <v>0.14285714285714285</v>
      </c>
      <c r="X15" s="17">
        <f t="shared" si="7"/>
        <v>0</v>
      </c>
      <c r="Y15" s="17">
        <f t="shared" si="7"/>
        <v>5.8571428571428577</v>
      </c>
      <c r="Z15" s="17">
        <f t="shared" si="7"/>
        <v>5</v>
      </c>
      <c r="AA15" s="17">
        <f t="shared" si="7"/>
        <v>0.5714285714285714</v>
      </c>
      <c r="AB15" s="17">
        <f t="shared" si="7"/>
        <v>0</v>
      </c>
      <c r="AC15" s="17">
        <f t="shared" si="7"/>
        <v>132.85714285714283</v>
      </c>
      <c r="AD15" s="17">
        <f t="shared" si="7"/>
        <v>0</v>
      </c>
      <c r="AE15" s="31">
        <f t="shared" si="7"/>
        <v>69.857142857142861</v>
      </c>
      <c r="AF15" s="31">
        <f t="shared" si="7"/>
        <v>202.71428571428572</v>
      </c>
    </row>
    <row r="16" spans="2:32" ht="23.1" customHeight="1" x14ac:dyDescent="0.25">
      <c r="B16" s="23" t="s">
        <v>43</v>
      </c>
      <c r="C16" s="49">
        <f>AVERAGE('25.10 Mbarara-Isingiro'!C16,'26.10 Mbarara-Isingiro-24Hr'!C16,'27.10 Mbarara-Isingiro'!C16,'28.10 Mbarara-Isingiro-24Hr'!C16,'29.10 Mbarara-Isingiro'!C16,'30.10 Mbarara-Isingiro'!C16,'31.10 Mbarara-Isingiro'!C16)</f>
        <v>6.8571428571428568</v>
      </c>
      <c r="D16" s="49">
        <f>AVERAGE('25.10 Mbarara-Isingiro'!D16,'26.10 Mbarara-Isingiro-24Hr'!D16,'27.10 Mbarara-Isingiro'!D16,'28.10 Mbarara-Isingiro-24Hr'!D16,'29.10 Mbarara-Isingiro'!D16,'30.10 Mbarara-Isingiro'!D16,'31.10 Mbarara-Isingiro'!D16)</f>
        <v>3.4285714285714284</v>
      </c>
      <c r="E16" s="49">
        <f>AVERAGE('25.10 Mbarara-Isingiro'!E16,'26.10 Mbarara-Isingiro-24Hr'!E16,'27.10 Mbarara-Isingiro'!E16,'28.10 Mbarara-Isingiro-24Hr'!E16,'29.10 Mbarara-Isingiro'!E16,'30.10 Mbarara-Isingiro'!E16,'31.10 Mbarara-Isingiro'!E16)</f>
        <v>2.1428571428571428</v>
      </c>
      <c r="F16" s="49">
        <f>AVERAGE('25.10 Mbarara-Isingiro'!F16,'26.10 Mbarara-Isingiro-24Hr'!F16,'27.10 Mbarara-Isingiro'!F16,'28.10 Mbarara-Isingiro-24Hr'!F16,'29.10 Mbarara-Isingiro'!F16,'30.10 Mbarara-Isingiro'!F16,'31.10 Mbarara-Isingiro'!F16)</f>
        <v>2.7142857142857144</v>
      </c>
      <c r="G16" s="49">
        <f>AVERAGE('25.10 Mbarara-Isingiro'!G16,'26.10 Mbarara-Isingiro-24Hr'!G16,'27.10 Mbarara-Isingiro'!G16,'28.10 Mbarara-Isingiro-24Hr'!G16,'29.10 Mbarara-Isingiro'!G16,'30.10 Mbarara-Isingiro'!G16,'31.10 Mbarara-Isingiro'!G16)</f>
        <v>0</v>
      </c>
      <c r="H16" s="49">
        <f>AVERAGE('25.10 Mbarara-Isingiro'!H16,'26.10 Mbarara-Isingiro-24Hr'!H16,'27.10 Mbarara-Isingiro'!H16,'28.10 Mbarara-Isingiro-24Hr'!H16,'29.10 Mbarara-Isingiro'!H16,'30.10 Mbarara-Isingiro'!H16,'31.10 Mbarara-Isingiro'!H16)</f>
        <v>0</v>
      </c>
      <c r="I16" s="49">
        <f>AVERAGE('25.10 Mbarara-Isingiro'!I16,'26.10 Mbarara-Isingiro-24Hr'!I16,'27.10 Mbarara-Isingiro'!I16,'28.10 Mbarara-Isingiro-24Hr'!I16,'29.10 Mbarara-Isingiro'!I16,'30.10 Mbarara-Isingiro'!I16,'31.10 Mbarara-Isingiro'!I16)</f>
        <v>1</v>
      </c>
      <c r="J16" s="49">
        <f>AVERAGE('25.10 Mbarara-Isingiro'!J16,'26.10 Mbarara-Isingiro-24Hr'!J16,'27.10 Mbarara-Isingiro'!J16,'28.10 Mbarara-Isingiro-24Hr'!J16,'29.10 Mbarara-Isingiro'!J16,'30.10 Mbarara-Isingiro'!J16,'31.10 Mbarara-Isingiro'!J16)</f>
        <v>2.2857142857142856</v>
      </c>
      <c r="K16" s="49">
        <f>AVERAGE('25.10 Mbarara-Isingiro'!K16,'26.10 Mbarara-Isingiro-24Hr'!K16,'27.10 Mbarara-Isingiro'!K16,'28.10 Mbarara-Isingiro-24Hr'!K16,'29.10 Mbarara-Isingiro'!K16,'30.10 Mbarara-Isingiro'!K16,'31.10 Mbarara-Isingiro'!K16)</f>
        <v>0.14285714285714285</v>
      </c>
      <c r="L16" s="49">
        <f>AVERAGE('25.10 Mbarara-Isingiro'!L16,'26.10 Mbarara-Isingiro-24Hr'!L16,'27.10 Mbarara-Isingiro'!L16,'28.10 Mbarara-Isingiro-24Hr'!L16,'29.10 Mbarara-Isingiro'!L16,'30.10 Mbarara-Isingiro'!L16,'31.10 Mbarara-Isingiro'!L16)</f>
        <v>0</v>
      </c>
      <c r="M16" s="49">
        <f>AVERAGE('25.10 Mbarara-Isingiro'!M16,'26.10 Mbarara-Isingiro-24Hr'!M16,'27.10 Mbarara-Isingiro'!M16,'28.10 Mbarara-Isingiro-24Hr'!M16,'29.10 Mbarara-Isingiro'!M16,'30.10 Mbarara-Isingiro'!M16,'31.10 Mbarara-Isingiro'!M16)</f>
        <v>33.285714285714285</v>
      </c>
      <c r="N16" s="49">
        <f>AVERAGE('25.10 Mbarara-Isingiro'!N16,'26.10 Mbarara-Isingiro-24Hr'!N16,'27.10 Mbarara-Isingiro'!N16,'28.10 Mbarara-Isingiro-24Hr'!N16,'29.10 Mbarara-Isingiro'!N16,'30.10 Mbarara-Isingiro'!N16,'31.10 Mbarara-Isingiro'!N16)</f>
        <v>0</v>
      </c>
      <c r="O16" s="15">
        <f t="shared" si="0"/>
        <v>18.571428571428569</v>
      </c>
      <c r="P16" s="15">
        <f t="shared" si="1"/>
        <v>51.857142857142854</v>
      </c>
      <c r="R16" s="1" t="s">
        <v>12</v>
      </c>
      <c r="S16" s="17">
        <f t="shared" ref="S16:AF16" si="8">SUM(C34:C37)</f>
        <v>39.571428571428569</v>
      </c>
      <c r="T16" s="17">
        <f t="shared" si="8"/>
        <v>7</v>
      </c>
      <c r="U16" s="17">
        <f t="shared" si="8"/>
        <v>8.7142857142857135</v>
      </c>
      <c r="V16" s="17">
        <f t="shared" si="8"/>
        <v>13.428571428571429</v>
      </c>
      <c r="W16" s="17">
        <f t="shared" si="8"/>
        <v>0.14285714285714285</v>
      </c>
      <c r="X16" s="17">
        <f t="shared" si="8"/>
        <v>0</v>
      </c>
      <c r="Y16" s="17">
        <f t="shared" si="8"/>
        <v>6.4285714285714279</v>
      </c>
      <c r="Z16" s="17">
        <f t="shared" si="8"/>
        <v>5.8571428571428568</v>
      </c>
      <c r="AA16" s="17">
        <f t="shared" si="8"/>
        <v>0.42857142857142855</v>
      </c>
      <c r="AB16" s="17">
        <f t="shared" si="8"/>
        <v>0.42857142857142855</v>
      </c>
      <c r="AC16" s="17">
        <f t="shared" si="8"/>
        <v>145</v>
      </c>
      <c r="AD16" s="17">
        <f t="shared" si="8"/>
        <v>0</v>
      </c>
      <c r="AE16" s="31">
        <f t="shared" si="8"/>
        <v>82</v>
      </c>
      <c r="AF16" s="31">
        <f t="shared" si="8"/>
        <v>227</v>
      </c>
    </row>
    <row r="17" spans="2:32" ht="23.1" customHeight="1" x14ac:dyDescent="0.25">
      <c r="B17" s="23" t="s">
        <v>44</v>
      </c>
      <c r="C17" s="49">
        <f>AVERAGE('25.10 Mbarara-Isingiro'!C17,'26.10 Mbarara-Isingiro-24Hr'!C17,'27.10 Mbarara-Isingiro'!C17,'28.10 Mbarara-Isingiro-24Hr'!C17,'29.10 Mbarara-Isingiro'!C17,'30.10 Mbarara-Isingiro'!C17,'31.10 Mbarara-Isingiro'!C17)</f>
        <v>9.4285714285714288</v>
      </c>
      <c r="D17" s="49">
        <f>AVERAGE('25.10 Mbarara-Isingiro'!D17,'26.10 Mbarara-Isingiro-24Hr'!D17,'27.10 Mbarara-Isingiro'!D17,'28.10 Mbarara-Isingiro-24Hr'!D17,'29.10 Mbarara-Isingiro'!D17,'30.10 Mbarara-Isingiro'!D17,'31.10 Mbarara-Isingiro'!D17)</f>
        <v>2.2857142857142856</v>
      </c>
      <c r="E17" s="49">
        <f>AVERAGE('25.10 Mbarara-Isingiro'!E17,'26.10 Mbarara-Isingiro-24Hr'!E17,'27.10 Mbarara-Isingiro'!E17,'28.10 Mbarara-Isingiro-24Hr'!E17,'29.10 Mbarara-Isingiro'!E17,'30.10 Mbarara-Isingiro'!E17,'31.10 Mbarara-Isingiro'!E17)</f>
        <v>3.7142857142857144</v>
      </c>
      <c r="F17" s="49">
        <f>AVERAGE('25.10 Mbarara-Isingiro'!F17,'26.10 Mbarara-Isingiro-24Hr'!F17,'27.10 Mbarara-Isingiro'!F17,'28.10 Mbarara-Isingiro-24Hr'!F17,'29.10 Mbarara-Isingiro'!F17,'30.10 Mbarara-Isingiro'!F17,'31.10 Mbarara-Isingiro'!F17)</f>
        <v>1.4285714285714286</v>
      </c>
      <c r="G17" s="49">
        <f>AVERAGE('25.10 Mbarara-Isingiro'!G17,'26.10 Mbarara-Isingiro-24Hr'!G17,'27.10 Mbarara-Isingiro'!G17,'28.10 Mbarara-Isingiro-24Hr'!G17,'29.10 Mbarara-Isingiro'!G17,'30.10 Mbarara-Isingiro'!G17,'31.10 Mbarara-Isingiro'!G17)</f>
        <v>0.14285714285714285</v>
      </c>
      <c r="H17" s="49">
        <f>AVERAGE('25.10 Mbarara-Isingiro'!H17,'26.10 Mbarara-Isingiro-24Hr'!H17,'27.10 Mbarara-Isingiro'!H17,'28.10 Mbarara-Isingiro-24Hr'!H17,'29.10 Mbarara-Isingiro'!H17,'30.10 Mbarara-Isingiro'!H17,'31.10 Mbarara-Isingiro'!H17)</f>
        <v>0</v>
      </c>
      <c r="I17" s="49">
        <f>AVERAGE('25.10 Mbarara-Isingiro'!I17,'26.10 Mbarara-Isingiro-24Hr'!I17,'27.10 Mbarara-Isingiro'!I17,'28.10 Mbarara-Isingiro-24Hr'!I17,'29.10 Mbarara-Isingiro'!I17,'30.10 Mbarara-Isingiro'!I17,'31.10 Mbarara-Isingiro'!I17)</f>
        <v>2</v>
      </c>
      <c r="J17" s="49">
        <f>AVERAGE('25.10 Mbarara-Isingiro'!J17,'26.10 Mbarara-Isingiro-24Hr'!J17,'27.10 Mbarara-Isingiro'!J17,'28.10 Mbarara-Isingiro-24Hr'!J17,'29.10 Mbarara-Isingiro'!J17,'30.10 Mbarara-Isingiro'!J17,'31.10 Mbarara-Isingiro'!J17)</f>
        <v>2.4285714285714284</v>
      </c>
      <c r="K17" s="49">
        <f>AVERAGE('25.10 Mbarara-Isingiro'!K17,'26.10 Mbarara-Isingiro-24Hr'!K17,'27.10 Mbarara-Isingiro'!K17,'28.10 Mbarara-Isingiro-24Hr'!K17,'29.10 Mbarara-Isingiro'!K17,'30.10 Mbarara-Isingiro'!K17,'31.10 Mbarara-Isingiro'!K17)</f>
        <v>0</v>
      </c>
      <c r="L17" s="49">
        <f>AVERAGE('25.10 Mbarara-Isingiro'!L17,'26.10 Mbarara-Isingiro-24Hr'!L17,'27.10 Mbarara-Isingiro'!L17,'28.10 Mbarara-Isingiro-24Hr'!L17,'29.10 Mbarara-Isingiro'!L17,'30.10 Mbarara-Isingiro'!L17,'31.10 Mbarara-Isingiro'!L17)</f>
        <v>0</v>
      </c>
      <c r="M17" s="49">
        <f>AVERAGE('25.10 Mbarara-Isingiro'!M17,'26.10 Mbarara-Isingiro-24Hr'!M17,'27.10 Mbarara-Isingiro'!M17,'28.10 Mbarara-Isingiro-24Hr'!M17,'29.10 Mbarara-Isingiro'!M17,'30.10 Mbarara-Isingiro'!M17,'31.10 Mbarara-Isingiro'!M17)</f>
        <v>35.142857142857146</v>
      </c>
      <c r="N17" s="49">
        <f>AVERAGE('25.10 Mbarara-Isingiro'!N17,'26.10 Mbarara-Isingiro-24Hr'!N17,'27.10 Mbarara-Isingiro'!N17,'28.10 Mbarara-Isingiro-24Hr'!N17,'29.10 Mbarara-Isingiro'!N17,'30.10 Mbarara-Isingiro'!N17,'31.10 Mbarara-Isingiro'!N17)</f>
        <v>0</v>
      </c>
      <c r="O17" s="15">
        <f t="shared" si="0"/>
        <v>21.428571428571427</v>
      </c>
      <c r="P17" s="15">
        <f t="shared" si="1"/>
        <v>56.571428571428569</v>
      </c>
      <c r="R17" s="1" t="s">
        <v>13</v>
      </c>
      <c r="S17" s="17">
        <f t="shared" ref="S17:AF17" si="9">SUM(C38:C41)</f>
        <v>43.857142857142854</v>
      </c>
      <c r="T17" s="17">
        <f t="shared" si="9"/>
        <v>9</v>
      </c>
      <c r="U17" s="17">
        <f t="shared" si="9"/>
        <v>6.8571428571428577</v>
      </c>
      <c r="V17" s="17">
        <f t="shared" si="9"/>
        <v>12.714285714285714</v>
      </c>
      <c r="W17" s="17">
        <f t="shared" si="9"/>
        <v>0</v>
      </c>
      <c r="X17" s="17">
        <f t="shared" si="9"/>
        <v>0.14285714285714285</v>
      </c>
      <c r="Y17" s="17">
        <f t="shared" si="9"/>
        <v>5.2857142857142847</v>
      </c>
      <c r="Z17" s="17">
        <f t="shared" si="9"/>
        <v>4.4285714285714288</v>
      </c>
      <c r="AA17" s="17">
        <f t="shared" si="9"/>
        <v>0.5714285714285714</v>
      </c>
      <c r="AB17" s="17">
        <f t="shared" si="9"/>
        <v>0.42857142857142855</v>
      </c>
      <c r="AC17" s="17">
        <f t="shared" si="9"/>
        <v>119.71428571428572</v>
      </c>
      <c r="AD17" s="17">
        <f t="shared" si="9"/>
        <v>0</v>
      </c>
      <c r="AE17" s="31">
        <f t="shared" si="9"/>
        <v>83.285714285714278</v>
      </c>
      <c r="AF17" s="31">
        <f t="shared" si="9"/>
        <v>203</v>
      </c>
    </row>
    <row r="18" spans="2:32" ht="23.1" customHeight="1" x14ac:dyDescent="0.25">
      <c r="B18" s="23" t="s">
        <v>45</v>
      </c>
      <c r="C18" s="49">
        <f>AVERAGE('25.10 Mbarara-Isingiro'!C18,'26.10 Mbarara-Isingiro-24Hr'!C18,'27.10 Mbarara-Isingiro'!C18,'28.10 Mbarara-Isingiro-24Hr'!C18,'29.10 Mbarara-Isingiro'!C18,'30.10 Mbarara-Isingiro'!C18,'31.10 Mbarara-Isingiro'!C18)</f>
        <v>6.5714285714285712</v>
      </c>
      <c r="D18" s="49">
        <f>AVERAGE('25.10 Mbarara-Isingiro'!D18,'26.10 Mbarara-Isingiro-24Hr'!D18,'27.10 Mbarara-Isingiro'!D18,'28.10 Mbarara-Isingiro-24Hr'!D18,'29.10 Mbarara-Isingiro'!D18,'30.10 Mbarara-Isingiro'!D18,'31.10 Mbarara-Isingiro'!D18)</f>
        <v>1.8571428571428572</v>
      </c>
      <c r="E18" s="49">
        <f>AVERAGE('25.10 Mbarara-Isingiro'!E18,'26.10 Mbarara-Isingiro-24Hr'!E18,'27.10 Mbarara-Isingiro'!E18,'28.10 Mbarara-Isingiro-24Hr'!E18,'29.10 Mbarara-Isingiro'!E18,'30.10 Mbarara-Isingiro'!E18,'31.10 Mbarara-Isingiro'!E18)</f>
        <v>3</v>
      </c>
      <c r="F18" s="49">
        <f>AVERAGE('25.10 Mbarara-Isingiro'!F18,'26.10 Mbarara-Isingiro-24Hr'!F18,'27.10 Mbarara-Isingiro'!F18,'28.10 Mbarara-Isingiro-24Hr'!F18,'29.10 Mbarara-Isingiro'!F18,'30.10 Mbarara-Isingiro'!F18,'31.10 Mbarara-Isingiro'!F18)</f>
        <v>2</v>
      </c>
      <c r="G18" s="49">
        <f>AVERAGE('25.10 Mbarara-Isingiro'!G18,'26.10 Mbarara-Isingiro-24Hr'!G18,'27.10 Mbarara-Isingiro'!G18,'28.10 Mbarara-Isingiro-24Hr'!G18,'29.10 Mbarara-Isingiro'!G18,'30.10 Mbarara-Isingiro'!G18,'31.10 Mbarara-Isingiro'!G18)</f>
        <v>0</v>
      </c>
      <c r="H18" s="49">
        <f>AVERAGE('25.10 Mbarara-Isingiro'!H18,'26.10 Mbarara-Isingiro-24Hr'!H18,'27.10 Mbarara-Isingiro'!H18,'28.10 Mbarara-Isingiro-24Hr'!H18,'29.10 Mbarara-Isingiro'!H18,'30.10 Mbarara-Isingiro'!H18,'31.10 Mbarara-Isingiro'!H18)</f>
        <v>0.14285714285714285</v>
      </c>
      <c r="I18" s="49">
        <f>AVERAGE('25.10 Mbarara-Isingiro'!I18,'26.10 Mbarara-Isingiro-24Hr'!I18,'27.10 Mbarara-Isingiro'!I18,'28.10 Mbarara-Isingiro-24Hr'!I18,'29.10 Mbarara-Isingiro'!I18,'30.10 Mbarara-Isingiro'!I18,'31.10 Mbarara-Isingiro'!I18)</f>
        <v>2.4285714285714284</v>
      </c>
      <c r="J18" s="49">
        <f>AVERAGE('25.10 Mbarara-Isingiro'!J18,'26.10 Mbarara-Isingiro-24Hr'!J18,'27.10 Mbarara-Isingiro'!J18,'28.10 Mbarara-Isingiro-24Hr'!J18,'29.10 Mbarara-Isingiro'!J18,'30.10 Mbarara-Isingiro'!J18,'31.10 Mbarara-Isingiro'!J18)</f>
        <v>1.5714285714285714</v>
      </c>
      <c r="K18" s="49">
        <f>AVERAGE('25.10 Mbarara-Isingiro'!K18,'26.10 Mbarara-Isingiro-24Hr'!K18,'27.10 Mbarara-Isingiro'!K18,'28.10 Mbarara-Isingiro-24Hr'!K18,'29.10 Mbarara-Isingiro'!K18,'30.10 Mbarara-Isingiro'!K18,'31.10 Mbarara-Isingiro'!K18)</f>
        <v>0</v>
      </c>
      <c r="L18" s="49">
        <f>AVERAGE('25.10 Mbarara-Isingiro'!L18,'26.10 Mbarara-Isingiro-24Hr'!L18,'27.10 Mbarara-Isingiro'!L18,'28.10 Mbarara-Isingiro-24Hr'!L18,'29.10 Mbarara-Isingiro'!L18,'30.10 Mbarara-Isingiro'!L18,'31.10 Mbarara-Isingiro'!L18)</f>
        <v>0.2857142857142857</v>
      </c>
      <c r="M18" s="49">
        <f>AVERAGE('25.10 Mbarara-Isingiro'!M18,'26.10 Mbarara-Isingiro-24Hr'!M18,'27.10 Mbarara-Isingiro'!M18,'28.10 Mbarara-Isingiro-24Hr'!M18,'29.10 Mbarara-Isingiro'!M18,'30.10 Mbarara-Isingiro'!M18,'31.10 Mbarara-Isingiro'!M18)</f>
        <v>37.428571428571431</v>
      </c>
      <c r="N18" s="49">
        <f>AVERAGE('25.10 Mbarara-Isingiro'!N18,'26.10 Mbarara-Isingiro-24Hr'!N18,'27.10 Mbarara-Isingiro'!N18,'28.10 Mbarara-Isingiro-24Hr'!N18,'29.10 Mbarara-Isingiro'!N18,'30.10 Mbarara-Isingiro'!N18,'31.10 Mbarara-Isingiro'!N18)</f>
        <v>0</v>
      </c>
      <c r="O18" s="15">
        <f t="shared" si="0"/>
        <v>17.857142857142858</v>
      </c>
      <c r="P18" s="15">
        <f t="shared" si="1"/>
        <v>55.285714285714292</v>
      </c>
      <c r="R18" s="1" t="s">
        <v>14</v>
      </c>
      <c r="S18" s="17">
        <f t="shared" ref="S18:AF18" si="10">SUM(C42:C45)</f>
        <v>43.285714285714285</v>
      </c>
      <c r="T18" s="17">
        <f t="shared" si="10"/>
        <v>6</v>
      </c>
      <c r="U18" s="17">
        <f t="shared" si="10"/>
        <v>6.4285714285714288</v>
      </c>
      <c r="V18" s="17">
        <f t="shared" si="10"/>
        <v>13.714285714285714</v>
      </c>
      <c r="W18" s="17">
        <f t="shared" si="10"/>
        <v>0.14285714285714285</v>
      </c>
      <c r="X18" s="17">
        <f t="shared" si="10"/>
        <v>0</v>
      </c>
      <c r="Y18" s="17">
        <f t="shared" si="10"/>
        <v>4.2857142857142865</v>
      </c>
      <c r="Z18" s="17">
        <f t="shared" si="10"/>
        <v>7</v>
      </c>
      <c r="AA18" s="17">
        <f t="shared" si="10"/>
        <v>0.2857142857142857</v>
      </c>
      <c r="AB18" s="17">
        <f t="shared" si="10"/>
        <v>0.2857142857142857</v>
      </c>
      <c r="AC18" s="17">
        <f t="shared" si="10"/>
        <v>121.14285714285714</v>
      </c>
      <c r="AD18" s="17">
        <f t="shared" si="10"/>
        <v>0</v>
      </c>
      <c r="AE18" s="31">
        <f t="shared" si="10"/>
        <v>81.428571428571431</v>
      </c>
      <c r="AF18" s="31">
        <f t="shared" si="10"/>
        <v>202.57142857142858</v>
      </c>
    </row>
    <row r="19" spans="2:32" ht="23.1" customHeight="1" x14ac:dyDescent="0.25">
      <c r="B19" s="23" t="s">
        <v>46</v>
      </c>
      <c r="C19" s="49">
        <f>AVERAGE('25.10 Mbarara-Isingiro'!C19,'26.10 Mbarara-Isingiro-24Hr'!C19,'27.10 Mbarara-Isingiro'!C19,'28.10 Mbarara-Isingiro-24Hr'!C19,'29.10 Mbarara-Isingiro'!C19,'30.10 Mbarara-Isingiro'!C19,'31.10 Mbarara-Isingiro'!C19)</f>
        <v>9.4285714285714288</v>
      </c>
      <c r="D19" s="49">
        <f>AVERAGE('25.10 Mbarara-Isingiro'!D19,'26.10 Mbarara-Isingiro-24Hr'!D19,'27.10 Mbarara-Isingiro'!D19,'28.10 Mbarara-Isingiro-24Hr'!D19,'29.10 Mbarara-Isingiro'!D19,'30.10 Mbarara-Isingiro'!D19,'31.10 Mbarara-Isingiro'!D19)</f>
        <v>1.5714285714285714</v>
      </c>
      <c r="E19" s="49">
        <f>AVERAGE('25.10 Mbarara-Isingiro'!E19,'26.10 Mbarara-Isingiro-24Hr'!E19,'27.10 Mbarara-Isingiro'!E19,'28.10 Mbarara-Isingiro-24Hr'!E19,'29.10 Mbarara-Isingiro'!E19,'30.10 Mbarara-Isingiro'!E19,'31.10 Mbarara-Isingiro'!E19)</f>
        <v>2.1428571428571428</v>
      </c>
      <c r="F19" s="49">
        <f>AVERAGE('25.10 Mbarara-Isingiro'!F19,'26.10 Mbarara-Isingiro-24Hr'!F19,'27.10 Mbarara-Isingiro'!F19,'28.10 Mbarara-Isingiro-24Hr'!F19,'29.10 Mbarara-Isingiro'!F19,'30.10 Mbarara-Isingiro'!F19,'31.10 Mbarara-Isingiro'!F19)</f>
        <v>2.2857142857142856</v>
      </c>
      <c r="G19" s="49">
        <f>AVERAGE('25.10 Mbarara-Isingiro'!G19,'26.10 Mbarara-Isingiro-24Hr'!G19,'27.10 Mbarara-Isingiro'!G19,'28.10 Mbarara-Isingiro-24Hr'!G19,'29.10 Mbarara-Isingiro'!G19,'30.10 Mbarara-Isingiro'!G19,'31.10 Mbarara-Isingiro'!G19)</f>
        <v>0</v>
      </c>
      <c r="H19" s="49">
        <f>AVERAGE('25.10 Mbarara-Isingiro'!H19,'26.10 Mbarara-Isingiro-24Hr'!H19,'27.10 Mbarara-Isingiro'!H19,'28.10 Mbarara-Isingiro-24Hr'!H19,'29.10 Mbarara-Isingiro'!H19,'30.10 Mbarara-Isingiro'!H19,'31.10 Mbarara-Isingiro'!H19)</f>
        <v>0</v>
      </c>
      <c r="I19" s="49">
        <f>AVERAGE('25.10 Mbarara-Isingiro'!I19,'26.10 Mbarara-Isingiro-24Hr'!I19,'27.10 Mbarara-Isingiro'!I19,'28.10 Mbarara-Isingiro-24Hr'!I19,'29.10 Mbarara-Isingiro'!I19,'30.10 Mbarara-Isingiro'!I19,'31.10 Mbarara-Isingiro'!I19)</f>
        <v>1.8571428571428572</v>
      </c>
      <c r="J19" s="49">
        <f>AVERAGE('25.10 Mbarara-Isingiro'!J19,'26.10 Mbarara-Isingiro-24Hr'!J19,'27.10 Mbarara-Isingiro'!J19,'28.10 Mbarara-Isingiro-24Hr'!J19,'29.10 Mbarara-Isingiro'!J19,'30.10 Mbarara-Isingiro'!J19,'31.10 Mbarara-Isingiro'!J19)</f>
        <v>1.7142857142857142</v>
      </c>
      <c r="K19" s="49">
        <f>AVERAGE('25.10 Mbarara-Isingiro'!K19,'26.10 Mbarara-Isingiro-24Hr'!K19,'27.10 Mbarara-Isingiro'!K19,'28.10 Mbarara-Isingiro-24Hr'!K19,'29.10 Mbarara-Isingiro'!K19,'30.10 Mbarara-Isingiro'!K19,'31.10 Mbarara-Isingiro'!K19)</f>
        <v>0</v>
      </c>
      <c r="L19" s="49">
        <f>AVERAGE('25.10 Mbarara-Isingiro'!L19,'26.10 Mbarara-Isingiro-24Hr'!L19,'27.10 Mbarara-Isingiro'!L19,'28.10 Mbarara-Isingiro-24Hr'!L19,'29.10 Mbarara-Isingiro'!L19,'30.10 Mbarara-Isingiro'!L19,'31.10 Mbarara-Isingiro'!L19)</f>
        <v>0</v>
      </c>
      <c r="M19" s="49">
        <f>AVERAGE('25.10 Mbarara-Isingiro'!M19,'26.10 Mbarara-Isingiro-24Hr'!M19,'27.10 Mbarara-Isingiro'!M19,'28.10 Mbarara-Isingiro-24Hr'!M19,'29.10 Mbarara-Isingiro'!M19,'30.10 Mbarara-Isingiro'!M19,'31.10 Mbarara-Isingiro'!M19)</f>
        <v>33.142857142857146</v>
      </c>
      <c r="N19" s="49">
        <f>AVERAGE('25.10 Mbarara-Isingiro'!N19,'26.10 Mbarara-Isingiro-24Hr'!N19,'27.10 Mbarara-Isingiro'!N19,'28.10 Mbarara-Isingiro-24Hr'!N19,'29.10 Mbarara-Isingiro'!N19,'30.10 Mbarara-Isingiro'!N19,'31.10 Mbarara-Isingiro'!N19)</f>
        <v>0</v>
      </c>
      <c r="O19" s="15">
        <f t="shared" si="0"/>
        <v>19</v>
      </c>
      <c r="P19" s="15">
        <f t="shared" si="1"/>
        <v>52.142857142857146</v>
      </c>
      <c r="R19" s="1" t="s">
        <v>15</v>
      </c>
      <c r="S19" s="17">
        <f t="shared" ref="S19:AF19" si="11">SUM(C46:C49)</f>
        <v>44.285714285714285</v>
      </c>
      <c r="T19" s="17">
        <f t="shared" si="11"/>
        <v>7</v>
      </c>
      <c r="U19" s="17">
        <f t="shared" si="11"/>
        <v>7.7142857142857144</v>
      </c>
      <c r="V19" s="17">
        <f t="shared" si="11"/>
        <v>16.857142857142858</v>
      </c>
      <c r="W19" s="17">
        <f t="shared" si="11"/>
        <v>0</v>
      </c>
      <c r="X19" s="17">
        <f t="shared" si="11"/>
        <v>0</v>
      </c>
      <c r="Y19" s="17">
        <f t="shared" si="11"/>
        <v>7.8571428571428577</v>
      </c>
      <c r="Z19" s="17">
        <f t="shared" si="11"/>
        <v>6.5714285714285712</v>
      </c>
      <c r="AA19" s="17">
        <f t="shared" si="11"/>
        <v>0.2857142857142857</v>
      </c>
      <c r="AB19" s="17">
        <f t="shared" si="11"/>
        <v>0.2857142857142857</v>
      </c>
      <c r="AC19" s="17">
        <f t="shared" si="11"/>
        <v>160.85714285714286</v>
      </c>
      <c r="AD19" s="17">
        <f t="shared" si="11"/>
        <v>0</v>
      </c>
      <c r="AE19" s="31">
        <f t="shared" si="11"/>
        <v>90.857142857142861</v>
      </c>
      <c r="AF19" s="31">
        <f t="shared" si="11"/>
        <v>251.71428571428569</v>
      </c>
    </row>
    <row r="20" spans="2:32" ht="23.1" customHeight="1" x14ac:dyDescent="0.25">
      <c r="B20" s="23" t="s">
        <v>47</v>
      </c>
      <c r="C20" s="49">
        <f>AVERAGE('25.10 Mbarara-Isingiro'!C20,'26.10 Mbarara-Isingiro-24Hr'!C20,'27.10 Mbarara-Isingiro'!C20,'28.10 Mbarara-Isingiro-24Hr'!C20,'29.10 Mbarara-Isingiro'!C20,'30.10 Mbarara-Isingiro'!C20,'31.10 Mbarara-Isingiro'!C20)</f>
        <v>9.4285714285714288</v>
      </c>
      <c r="D20" s="49">
        <f>AVERAGE('25.10 Mbarara-Isingiro'!D20,'26.10 Mbarara-Isingiro-24Hr'!D20,'27.10 Mbarara-Isingiro'!D20,'28.10 Mbarara-Isingiro-24Hr'!D20,'29.10 Mbarara-Isingiro'!D20,'30.10 Mbarara-Isingiro'!D20,'31.10 Mbarara-Isingiro'!D20)</f>
        <v>2.4285714285714284</v>
      </c>
      <c r="E20" s="49">
        <f>AVERAGE('25.10 Mbarara-Isingiro'!E20,'26.10 Mbarara-Isingiro-24Hr'!E20,'27.10 Mbarara-Isingiro'!E20,'28.10 Mbarara-Isingiro-24Hr'!E20,'29.10 Mbarara-Isingiro'!E20,'30.10 Mbarara-Isingiro'!E20,'31.10 Mbarara-Isingiro'!E20)</f>
        <v>2.7142857142857144</v>
      </c>
      <c r="F20" s="49">
        <f>AVERAGE('25.10 Mbarara-Isingiro'!F20,'26.10 Mbarara-Isingiro-24Hr'!F20,'27.10 Mbarara-Isingiro'!F20,'28.10 Mbarara-Isingiro-24Hr'!F20,'29.10 Mbarara-Isingiro'!F20,'30.10 Mbarara-Isingiro'!F20,'31.10 Mbarara-Isingiro'!F20)</f>
        <v>0.8571428571428571</v>
      </c>
      <c r="G20" s="49">
        <f>AVERAGE('25.10 Mbarara-Isingiro'!G20,'26.10 Mbarara-Isingiro-24Hr'!G20,'27.10 Mbarara-Isingiro'!G20,'28.10 Mbarara-Isingiro-24Hr'!G20,'29.10 Mbarara-Isingiro'!G20,'30.10 Mbarara-Isingiro'!G20,'31.10 Mbarara-Isingiro'!G20)</f>
        <v>0</v>
      </c>
      <c r="H20" s="49">
        <f>AVERAGE('25.10 Mbarara-Isingiro'!H20,'26.10 Mbarara-Isingiro-24Hr'!H20,'27.10 Mbarara-Isingiro'!H20,'28.10 Mbarara-Isingiro-24Hr'!H20,'29.10 Mbarara-Isingiro'!H20,'30.10 Mbarara-Isingiro'!H20,'31.10 Mbarara-Isingiro'!H20)</f>
        <v>0.2857142857142857</v>
      </c>
      <c r="I20" s="49">
        <f>AVERAGE('25.10 Mbarara-Isingiro'!I20,'26.10 Mbarara-Isingiro-24Hr'!I20,'27.10 Mbarara-Isingiro'!I20,'28.10 Mbarara-Isingiro-24Hr'!I20,'29.10 Mbarara-Isingiro'!I20,'30.10 Mbarara-Isingiro'!I20,'31.10 Mbarara-Isingiro'!I20)</f>
        <v>1.8571428571428572</v>
      </c>
      <c r="J20" s="49">
        <f>AVERAGE('25.10 Mbarara-Isingiro'!J20,'26.10 Mbarara-Isingiro-24Hr'!J20,'27.10 Mbarara-Isingiro'!J20,'28.10 Mbarara-Isingiro-24Hr'!J20,'29.10 Mbarara-Isingiro'!J20,'30.10 Mbarara-Isingiro'!J20,'31.10 Mbarara-Isingiro'!J20)</f>
        <v>1.8571428571428572</v>
      </c>
      <c r="K20" s="49">
        <f>AVERAGE('25.10 Mbarara-Isingiro'!K20,'26.10 Mbarara-Isingiro-24Hr'!K20,'27.10 Mbarara-Isingiro'!K20,'28.10 Mbarara-Isingiro-24Hr'!K20,'29.10 Mbarara-Isingiro'!K20,'30.10 Mbarara-Isingiro'!K20,'31.10 Mbarara-Isingiro'!K20)</f>
        <v>0.2857142857142857</v>
      </c>
      <c r="L20" s="49">
        <f>AVERAGE('25.10 Mbarara-Isingiro'!L20,'26.10 Mbarara-Isingiro-24Hr'!L20,'27.10 Mbarara-Isingiro'!L20,'28.10 Mbarara-Isingiro-24Hr'!L20,'29.10 Mbarara-Isingiro'!L20,'30.10 Mbarara-Isingiro'!L20,'31.10 Mbarara-Isingiro'!L20)</f>
        <v>0.5714285714285714</v>
      </c>
      <c r="M20" s="49">
        <f>AVERAGE('25.10 Mbarara-Isingiro'!M20,'26.10 Mbarara-Isingiro-24Hr'!M20,'27.10 Mbarara-Isingiro'!M20,'28.10 Mbarara-Isingiro-24Hr'!M20,'29.10 Mbarara-Isingiro'!M20,'30.10 Mbarara-Isingiro'!M20,'31.10 Mbarara-Isingiro'!M20)</f>
        <v>38.142857142857146</v>
      </c>
      <c r="N20" s="49">
        <f>AVERAGE('25.10 Mbarara-Isingiro'!N20,'26.10 Mbarara-Isingiro-24Hr'!N20,'27.10 Mbarara-Isingiro'!N20,'28.10 Mbarara-Isingiro-24Hr'!N20,'29.10 Mbarara-Isingiro'!N20,'30.10 Mbarara-Isingiro'!N20,'31.10 Mbarara-Isingiro'!N20)</f>
        <v>0</v>
      </c>
      <c r="O20" s="15">
        <f t="shared" si="0"/>
        <v>20.285714285714288</v>
      </c>
      <c r="P20" s="15">
        <f t="shared" si="1"/>
        <v>58.428571428571431</v>
      </c>
      <c r="R20" s="1" t="s">
        <v>16</v>
      </c>
      <c r="S20" s="17">
        <f t="shared" ref="S20:AF20" si="12">SUM(C50:C53)</f>
        <v>47.142857142857146</v>
      </c>
      <c r="T20" s="17">
        <f t="shared" si="12"/>
        <v>7.5714285714285712</v>
      </c>
      <c r="U20" s="17">
        <f t="shared" si="12"/>
        <v>7.4285714285714288</v>
      </c>
      <c r="V20" s="17">
        <f t="shared" si="12"/>
        <v>16.142857142857142</v>
      </c>
      <c r="W20" s="17">
        <f t="shared" si="12"/>
        <v>0.14285714285714285</v>
      </c>
      <c r="X20" s="17">
        <f t="shared" si="12"/>
        <v>0</v>
      </c>
      <c r="Y20" s="17">
        <f t="shared" si="12"/>
        <v>7.2857142857142865</v>
      </c>
      <c r="Z20" s="17">
        <f t="shared" si="12"/>
        <v>4.5714285714285712</v>
      </c>
      <c r="AA20" s="17">
        <f t="shared" si="12"/>
        <v>0.2857142857142857</v>
      </c>
      <c r="AB20" s="17">
        <f t="shared" si="12"/>
        <v>0</v>
      </c>
      <c r="AC20" s="17">
        <f t="shared" si="12"/>
        <v>175.71428571428572</v>
      </c>
      <c r="AD20" s="17">
        <f t="shared" si="12"/>
        <v>0</v>
      </c>
      <c r="AE20" s="31">
        <f t="shared" si="12"/>
        <v>90.571428571428569</v>
      </c>
      <c r="AF20" s="31">
        <f t="shared" si="12"/>
        <v>266.28571428571433</v>
      </c>
    </row>
    <row r="21" spans="2:32" ht="23.1" customHeight="1" x14ac:dyDescent="0.25">
      <c r="B21" s="23" t="s">
        <v>48</v>
      </c>
      <c r="C21" s="49">
        <f>AVERAGE('25.10 Mbarara-Isingiro'!C21,'26.10 Mbarara-Isingiro-24Hr'!C21,'27.10 Mbarara-Isingiro'!C21,'28.10 Mbarara-Isingiro-24Hr'!C21,'29.10 Mbarara-Isingiro'!C21,'30.10 Mbarara-Isingiro'!C21,'31.10 Mbarara-Isingiro'!C21)</f>
        <v>10.428571428571429</v>
      </c>
      <c r="D21" s="49">
        <f>AVERAGE('25.10 Mbarara-Isingiro'!D21,'26.10 Mbarara-Isingiro-24Hr'!D21,'27.10 Mbarara-Isingiro'!D21,'28.10 Mbarara-Isingiro-24Hr'!D21,'29.10 Mbarara-Isingiro'!D21,'30.10 Mbarara-Isingiro'!D21,'31.10 Mbarara-Isingiro'!D21)</f>
        <v>1.4285714285714286</v>
      </c>
      <c r="E21" s="49">
        <f>AVERAGE('25.10 Mbarara-Isingiro'!E21,'26.10 Mbarara-Isingiro-24Hr'!E21,'27.10 Mbarara-Isingiro'!E21,'28.10 Mbarara-Isingiro-24Hr'!E21,'29.10 Mbarara-Isingiro'!E21,'30.10 Mbarara-Isingiro'!E21,'31.10 Mbarara-Isingiro'!E21)</f>
        <v>3.5714285714285716</v>
      </c>
      <c r="F21" s="49">
        <f>AVERAGE('25.10 Mbarara-Isingiro'!F21,'26.10 Mbarara-Isingiro-24Hr'!F21,'27.10 Mbarara-Isingiro'!F21,'28.10 Mbarara-Isingiro-24Hr'!F21,'29.10 Mbarara-Isingiro'!F21,'30.10 Mbarara-Isingiro'!F21,'31.10 Mbarara-Isingiro'!F21)</f>
        <v>3.4285714285714284</v>
      </c>
      <c r="G21" s="49">
        <f>AVERAGE('25.10 Mbarara-Isingiro'!G21,'26.10 Mbarara-Isingiro-24Hr'!G21,'27.10 Mbarara-Isingiro'!G21,'28.10 Mbarara-Isingiro-24Hr'!G21,'29.10 Mbarara-Isingiro'!G21,'30.10 Mbarara-Isingiro'!G21,'31.10 Mbarara-Isingiro'!G21)</f>
        <v>0</v>
      </c>
      <c r="H21" s="49">
        <f>AVERAGE('25.10 Mbarara-Isingiro'!H21,'26.10 Mbarara-Isingiro-24Hr'!H21,'27.10 Mbarara-Isingiro'!H21,'28.10 Mbarara-Isingiro-24Hr'!H21,'29.10 Mbarara-Isingiro'!H21,'30.10 Mbarara-Isingiro'!H21,'31.10 Mbarara-Isingiro'!H21)</f>
        <v>0</v>
      </c>
      <c r="I21" s="49">
        <f>AVERAGE('25.10 Mbarara-Isingiro'!I21,'26.10 Mbarara-Isingiro-24Hr'!I21,'27.10 Mbarara-Isingiro'!I21,'28.10 Mbarara-Isingiro-24Hr'!I21,'29.10 Mbarara-Isingiro'!I21,'30.10 Mbarara-Isingiro'!I21,'31.10 Mbarara-Isingiro'!I21)</f>
        <v>2</v>
      </c>
      <c r="J21" s="49">
        <f>AVERAGE('25.10 Mbarara-Isingiro'!J21,'26.10 Mbarara-Isingiro-24Hr'!J21,'27.10 Mbarara-Isingiro'!J21,'28.10 Mbarara-Isingiro-24Hr'!J21,'29.10 Mbarara-Isingiro'!J21,'30.10 Mbarara-Isingiro'!J21,'31.10 Mbarara-Isingiro'!J21)</f>
        <v>1.8571428571428572</v>
      </c>
      <c r="K21" s="49">
        <f>AVERAGE('25.10 Mbarara-Isingiro'!K21,'26.10 Mbarara-Isingiro-24Hr'!K21,'27.10 Mbarara-Isingiro'!K21,'28.10 Mbarara-Isingiro-24Hr'!K21,'29.10 Mbarara-Isingiro'!K21,'30.10 Mbarara-Isingiro'!K21,'31.10 Mbarara-Isingiro'!K21)</f>
        <v>0.42857142857142855</v>
      </c>
      <c r="L21" s="49">
        <f>AVERAGE('25.10 Mbarara-Isingiro'!L21,'26.10 Mbarara-Isingiro-24Hr'!L21,'27.10 Mbarara-Isingiro'!L21,'28.10 Mbarara-Isingiro-24Hr'!L21,'29.10 Mbarara-Isingiro'!L21,'30.10 Mbarara-Isingiro'!L21,'31.10 Mbarara-Isingiro'!L21)</f>
        <v>0</v>
      </c>
      <c r="M21" s="49">
        <f>AVERAGE('25.10 Mbarara-Isingiro'!M21,'26.10 Mbarara-Isingiro-24Hr'!M21,'27.10 Mbarara-Isingiro'!M21,'28.10 Mbarara-Isingiro-24Hr'!M21,'29.10 Mbarara-Isingiro'!M21,'30.10 Mbarara-Isingiro'!M21,'31.10 Mbarara-Isingiro'!M21)</f>
        <v>32.142857142857146</v>
      </c>
      <c r="N21" s="49">
        <f>AVERAGE('25.10 Mbarara-Isingiro'!N21,'26.10 Mbarara-Isingiro-24Hr'!N21,'27.10 Mbarara-Isingiro'!N21,'28.10 Mbarara-Isingiro-24Hr'!N21,'29.10 Mbarara-Isingiro'!N21,'30.10 Mbarara-Isingiro'!N21,'31.10 Mbarara-Isingiro'!N21)</f>
        <v>0</v>
      </c>
      <c r="O21" s="15">
        <f t="shared" si="0"/>
        <v>23.142857142857142</v>
      </c>
      <c r="P21" s="15">
        <f t="shared" si="1"/>
        <v>55.285714285714292</v>
      </c>
      <c r="R21" s="36" t="s">
        <v>20</v>
      </c>
      <c r="S21" s="34">
        <f t="shared" ref="S21:AF21" si="13">SUM(C54:C57)</f>
        <v>57.714285714285708</v>
      </c>
      <c r="T21" s="17">
        <f t="shared" si="13"/>
        <v>7.1428571428571423</v>
      </c>
      <c r="U21" s="17">
        <f t="shared" si="13"/>
        <v>10.142857142857142</v>
      </c>
      <c r="V21" s="17">
        <f t="shared" si="13"/>
        <v>15.857142857142858</v>
      </c>
      <c r="W21" s="17">
        <f t="shared" si="13"/>
        <v>0.2857142857142857</v>
      </c>
      <c r="X21" s="17">
        <f t="shared" si="13"/>
        <v>0</v>
      </c>
      <c r="Y21" s="17">
        <f t="shared" si="13"/>
        <v>8.7142857142857135</v>
      </c>
      <c r="Z21" s="17">
        <f t="shared" si="13"/>
        <v>5.1428571428571423</v>
      </c>
      <c r="AA21" s="17">
        <f t="shared" si="13"/>
        <v>0</v>
      </c>
      <c r="AB21" s="17">
        <f t="shared" si="13"/>
        <v>0</v>
      </c>
      <c r="AC21" s="17">
        <f t="shared" si="13"/>
        <v>196.85714285714283</v>
      </c>
      <c r="AD21" s="17">
        <f t="shared" si="13"/>
        <v>0</v>
      </c>
      <c r="AE21" s="31">
        <f t="shared" si="13"/>
        <v>105</v>
      </c>
      <c r="AF21" s="31">
        <f t="shared" si="13"/>
        <v>301.85714285714283</v>
      </c>
    </row>
    <row r="22" spans="2:32" ht="23.1" customHeight="1" x14ac:dyDescent="0.25">
      <c r="B22" s="23" t="s">
        <v>49</v>
      </c>
      <c r="C22" s="49">
        <f>AVERAGE('25.10 Mbarara-Isingiro'!C22,'26.10 Mbarara-Isingiro-24Hr'!C22,'27.10 Mbarara-Isingiro'!C22,'28.10 Mbarara-Isingiro-24Hr'!C22,'29.10 Mbarara-Isingiro'!C22,'30.10 Mbarara-Isingiro'!C22,'31.10 Mbarara-Isingiro'!C22)</f>
        <v>9.1428571428571423</v>
      </c>
      <c r="D22" s="49">
        <f>AVERAGE('25.10 Mbarara-Isingiro'!D22,'26.10 Mbarara-Isingiro-24Hr'!D22,'27.10 Mbarara-Isingiro'!D22,'28.10 Mbarara-Isingiro-24Hr'!D22,'29.10 Mbarara-Isingiro'!D22,'30.10 Mbarara-Isingiro'!D22,'31.10 Mbarara-Isingiro'!D22)</f>
        <v>1.5714285714285714</v>
      </c>
      <c r="E22" s="49">
        <f>AVERAGE('25.10 Mbarara-Isingiro'!E22,'26.10 Mbarara-Isingiro-24Hr'!E22,'27.10 Mbarara-Isingiro'!E22,'28.10 Mbarara-Isingiro-24Hr'!E22,'29.10 Mbarara-Isingiro'!E22,'30.10 Mbarara-Isingiro'!E22,'31.10 Mbarara-Isingiro'!E22)</f>
        <v>2.1428571428571428</v>
      </c>
      <c r="F22" s="49">
        <f>AVERAGE('25.10 Mbarara-Isingiro'!F22,'26.10 Mbarara-Isingiro-24Hr'!F22,'27.10 Mbarara-Isingiro'!F22,'28.10 Mbarara-Isingiro-24Hr'!F22,'29.10 Mbarara-Isingiro'!F22,'30.10 Mbarara-Isingiro'!F22,'31.10 Mbarara-Isingiro'!F22)</f>
        <v>2.4285714285714284</v>
      </c>
      <c r="G22" s="49">
        <f>AVERAGE('25.10 Mbarara-Isingiro'!G22,'26.10 Mbarara-Isingiro-24Hr'!G22,'27.10 Mbarara-Isingiro'!G22,'28.10 Mbarara-Isingiro-24Hr'!G22,'29.10 Mbarara-Isingiro'!G22,'30.10 Mbarara-Isingiro'!G22,'31.10 Mbarara-Isingiro'!G22)</f>
        <v>0</v>
      </c>
      <c r="H22" s="49">
        <f>AVERAGE('25.10 Mbarara-Isingiro'!H22,'26.10 Mbarara-Isingiro-24Hr'!H22,'27.10 Mbarara-Isingiro'!H22,'28.10 Mbarara-Isingiro-24Hr'!H22,'29.10 Mbarara-Isingiro'!H22,'30.10 Mbarara-Isingiro'!H22,'31.10 Mbarara-Isingiro'!H22)</f>
        <v>0</v>
      </c>
      <c r="I22" s="49">
        <f>AVERAGE('25.10 Mbarara-Isingiro'!I22,'26.10 Mbarara-Isingiro-24Hr'!I22,'27.10 Mbarara-Isingiro'!I22,'28.10 Mbarara-Isingiro-24Hr'!I22,'29.10 Mbarara-Isingiro'!I22,'30.10 Mbarara-Isingiro'!I22,'31.10 Mbarara-Isingiro'!I22)</f>
        <v>2.8571428571428572</v>
      </c>
      <c r="J22" s="49">
        <f>AVERAGE('25.10 Mbarara-Isingiro'!J22,'26.10 Mbarara-Isingiro-24Hr'!J22,'27.10 Mbarara-Isingiro'!J22,'28.10 Mbarara-Isingiro-24Hr'!J22,'29.10 Mbarara-Isingiro'!J22,'30.10 Mbarara-Isingiro'!J22,'31.10 Mbarara-Isingiro'!J22)</f>
        <v>1.4285714285714286</v>
      </c>
      <c r="K22" s="49">
        <f>AVERAGE('25.10 Mbarara-Isingiro'!K22,'26.10 Mbarara-Isingiro-24Hr'!K22,'27.10 Mbarara-Isingiro'!K22,'28.10 Mbarara-Isingiro-24Hr'!K22,'29.10 Mbarara-Isingiro'!K22,'30.10 Mbarara-Isingiro'!K22,'31.10 Mbarara-Isingiro'!K22)</f>
        <v>0.14285714285714285</v>
      </c>
      <c r="L22" s="49">
        <f>AVERAGE('25.10 Mbarara-Isingiro'!L22,'26.10 Mbarara-Isingiro-24Hr'!L22,'27.10 Mbarara-Isingiro'!L22,'28.10 Mbarara-Isingiro-24Hr'!L22,'29.10 Mbarara-Isingiro'!L22,'30.10 Mbarara-Isingiro'!L22,'31.10 Mbarara-Isingiro'!L22)</f>
        <v>0.14285714285714285</v>
      </c>
      <c r="M22" s="49">
        <f>AVERAGE('25.10 Mbarara-Isingiro'!M22,'26.10 Mbarara-Isingiro-24Hr'!M22,'27.10 Mbarara-Isingiro'!M22,'28.10 Mbarara-Isingiro-24Hr'!M22,'29.10 Mbarara-Isingiro'!M22,'30.10 Mbarara-Isingiro'!M22,'31.10 Mbarara-Isingiro'!M22)</f>
        <v>34.285714285714285</v>
      </c>
      <c r="N22" s="49">
        <f>AVERAGE('25.10 Mbarara-Isingiro'!N22,'26.10 Mbarara-Isingiro-24Hr'!N22,'27.10 Mbarara-Isingiro'!N22,'28.10 Mbarara-Isingiro-24Hr'!N22,'29.10 Mbarara-Isingiro'!N22,'30.10 Mbarara-Isingiro'!N22,'31.10 Mbarara-Isingiro'!N22)</f>
        <v>0</v>
      </c>
      <c r="O22" s="15">
        <f t="shared" si="0"/>
        <v>19.857142857142854</v>
      </c>
      <c r="P22" s="15">
        <f t="shared" si="1"/>
        <v>54.142857142857139</v>
      </c>
      <c r="R22" s="1" t="s">
        <v>146</v>
      </c>
      <c r="S22" s="34">
        <f>SUM(C58:C61)</f>
        <v>52</v>
      </c>
      <c r="T22" s="34">
        <f t="shared" ref="T22:AF22" si="14">SUM(D58:D61)</f>
        <v>7</v>
      </c>
      <c r="U22" s="34">
        <f t="shared" si="14"/>
        <v>4.5</v>
      </c>
      <c r="V22" s="34">
        <f t="shared" si="14"/>
        <v>11.5</v>
      </c>
      <c r="W22" s="34">
        <f t="shared" si="14"/>
        <v>0</v>
      </c>
      <c r="X22" s="34">
        <f t="shared" si="14"/>
        <v>0</v>
      </c>
      <c r="Y22" s="34">
        <f t="shared" si="14"/>
        <v>7.5</v>
      </c>
      <c r="Z22" s="34">
        <f t="shared" si="14"/>
        <v>2.5</v>
      </c>
      <c r="AA22" s="34">
        <f t="shared" si="14"/>
        <v>0.5</v>
      </c>
      <c r="AB22" s="34">
        <f t="shared" si="14"/>
        <v>0.5</v>
      </c>
      <c r="AC22" s="34">
        <f t="shared" si="14"/>
        <v>166</v>
      </c>
      <c r="AD22" s="34">
        <f t="shared" si="14"/>
        <v>0</v>
      </c>
      <c r="AE22" s="31">
        <f t="shared" si="14"/>
        <v>86</v>
      </c>
      <c r="AF22" s="31">
        <f t="shared" si="14"/>
        <v>252</v>
      </c>
    </row>
    <row r="23" spans="2:32" ht="23.1" customHeight="1" x14ac:dyDescent="0.25">
      <c r="B23" s="23" t="s">
        <v>50</v>
      </c>
      <c r="C23" s="49">
        <f>AVERAGE('25.10 Mbarara-Isingiro'!C23,'26.10 Mbarara-Isingiro-24Hr'!C23,'27.10 Mbarara-Isingiro'!C23,'28.10 Mbarara-Isingiro-24Hr'!C23,'29.10 Mbarara-Isingiro'!C23,'30.10 Mbarara-Isingiro'!C23,'31.10 Mbarara-Isingiro'!C23)</f>
        <v>10.857142857142858</v>
      </c>
      <c r="D23" s="49">
        <f>AVERAGE('25.10 Mbarara-Isingiro'!D23,'26.10 Mbarara-Isingiro-24Hr'!D23,'27.10 Mbarara-Isingiro'!D23,'28.10 Mbarara-Isingiro-24Hr'!D23,'29.10 Mbarara-Isingiro'!D23,'30.10 Mbarara-Isingiro'!D23,'31.10 Mbarara-Isingiro'!D23)</f>
        <v>1.8571428571428572</v>
      </c>
      <c r="E23" s="49">
        <f>AVERAGE('25.10 Mbarara-Isingiro'!E23,'26.10 Mbarara-Isingiro-24Hr'!E23,'27.10 Mbarara-Isingiro'!E23,'28.10 Mbarara-Isingiro-24Hr'!E23,'29.10 Mbarara-Isingiro'!E23,'30.10 Mbarara-Isingiro'!E23,'31.10 Mbarara-Isingiro'!E23)</f>
        <v>2.8571428571428572</v>
      </c>
      <c r="F23" s="49">
        <f>AVERAGE('25.10 Mbarara-Isingiro'!F23,'26.10 Mbarara-Isingiro-24Hr'!F23,'27.10 Mbarara-Isingiro'!F23,'28.10 Mbarara-Isingiro-24Hr'!F23,'29.10 Mbarara-Isingiro'!F23,'30.10 Mbarara-Isingiro'!F23,'31.10 Mbarara-Isingiro'!F23)</f>
        <v>3.1428571428571428</v>
      </c>
      <c r="G23" s="49">
        <f>AVERAGE('25.10 Mbarara-Isingiro'!G23,'26.10 Mbarara-Isingiro-24Hr'!G23,'27.10 Mbarara-Isingiro'!G23,'28.10 Mbarara-Isingiro-24Hr'!G23,'29.10 Mbarara-Isingiro'!G23,'30.10 Mbarara-Isingiro'!G23,'31.10 Mbarara-Isingiro'!G23)</f>
        <v>0.2857142857142857</v>
      </c>
      <c r="H23" s="49">
        <f>AVERAGE('25.10 Mbarara-Isingiro'!H23,'26.10 Mbarara-Isingiro-24Hr'!H23,'27.10 Mbarara-Isingiro'!H23,'28.10 Mbarara-Isingiro-24Hr'!H23,'29.10 Mbarara-Isingiro'!H23,'30.10 Mbarara-Isingiro'!H23,'31.10 Mbarara-Isingiro'!H23)</f>
        <v>0.14285714285714285</v>
      </c>
      <c r="I23" s="49">
        <f>AVERAGE('25.10 Mbarara-Isingiro'!I23,'26.10 Mbarara-Isingiro-24Hr'!I23,'27.10 Mbarara-Isingiro'!I23,'28.10 Mbarara-Isingiro-24Hr'!I23,'29.10 Mbarara-Isingiro'!I23,'30.10 Mbarara-Isingiro'!I23,'31.10 Mbarara-Isingiro'!I23)</f>
        <v>2.2857142857142856</v>
      </c>
      <c r="J23" s="49">
        <f>AVERAGE('25.10 Mbarara-Isingiro'!J23,'26.10 Mbarara-Isingiro-24Hr'!J23,'27.10 Mbarara-Isingiro'!J23,'28.10 Mbarara-Isingiro-24Hr'!J23,'29.10 Mbarara-Isingiro'!J23,'30.10 Mbarara-Isingiro'!J23,'31.10 Mbarara-Isingiro'!J23)</f>
        <v>2.7142857142857144</v>
      </c>
      <c r="K23" s="49">
        <f>AVERAGE('25.10 Mbarara-Isingiro'!K23,'26.10 Mbarara-Isingiro-24Hr'!K23,'27.10 Mbarara-Isingiro'!K23,'28.10 Mbarara-Isingiro-24Hr'!K23,'29.10 Mbarara-Isingiro'!K23,'30.10 Mbarara-Isingiro'!K23,'31.10 Mbarara-Isingiro'!K23)</f>
        <v>0</v>
      </c>
      <c r="L23" s="49">
        <f>AVERAGE('25.10 Mbarara-Isingiro'!L23,'26.10 Mbarara-Isingiro-24Hr'!L23,'27.10 Mbarara-Isingiro'!L23,'28.10 Mbarara-Isingiro-24Hr'!L23,'29.10 Mbarara-Isingiro'!L23,'30.10 Mbarara-Isingiro'!L23,'31.10 Mbarara-Isingiro'!L23)</f>
        <v>0</v>
      </c>
      <c r="M23" s="49">
        <f>AVERAGE('25.10 Mbarara-Isingiro'!M23,'26.10 Mbarara-Isingiro-24Hr'!M23,'27.10 Mbarara-Isingiro'!M23,'28.10 Mbarara-Isingiro-24Hr'!M23,'29.10 Mbarara-Isingiro'!M23,'30.10 Mbarara-Isingiro'!M23,'31.10 Mbarara-Isingiro'!M23)</f>
        <v>38.857142857142854</v>
      </c>
      <c r="N23" s="49">
        <f>AVERAGE('25.10 Mbarara-Isingiro'!N23,'26.10 Mbarara-Isingiro-24Hr'!N23,'27.10 Mbarara-Isingiro'!N23,'28.10 Mbarara-Isingiro-24Hr'!N23,'29.10 Mbarara-Isingiro'!N23,'30.10 Mbarara-Isingiro'!N23,'31.10 Mbarara-Isingiro'!N23)</f>
        <v>0</v>
      </c>
      <c r="O23" s="15">
        <f t="shared" si="0"/>
        <v>24.142857142857142</v>
      </c>
      <c r="P23" s="15">
        <f t="shared" si="1"/>
        <v>63</v>
      </c>
      <c r="R23" s="1" t="s">
        <v>147</v>
      </c>
      <c r="S23" s="34">
        <f>SUM(C62:C65)</f>
        <v>35.5</v>
      </c>
      <c r="T23" s="34">
        <f t="shared" ref="T23:AF23" si="15">SUM(D62:D65)</f>
        <v>5.5</v>
      </c>
      <c r="U23" s="34">
        <f t="shared" si="15"/>
        <v>4.5</v>
      </c>
      <c r="V23" s="34">
        <f t="shared" si="15"/>
        <v>10.5</v>
      </c>
      <c r="W23" s="34">
        <f t="shared" si="15"/>
        <v>0.5</v>
      </c>
      <c r="X23" s="34">
        <f t="shared" si="15"/>
        <v>0</v>
      </c>
      <c r="Y23" s="34">
        <f t="shared" si="15"/>
        <v>7.5</v>
      </c>
      <c r="Z23" s="34">
        <f t="shared" si="15"/>
        <v>2</v>
      </c>
      <c r="AA23" s="34">
        <f t="shared" si="15"/>
        <v>0</v>
      </c>
      <c r="AB23" s="34">
        <f t="shared" si="15"/>
        <v>0</v>
      </c>
      <c r="AC23" s="34">
        <f t="shared" si="15"/>
        <v>126.5</v>
      </c>
      <c r="AD23" s="34">
        <f t="shared" si="15"/>
        <v>0</v>
      </c>
      <c r="AE23" s="31">
        <f t="shared" si="15"/>
        <v>66</v>
      </c>
      <c r="AF23" s="31">
        <f t="shared" si="15"/>
        <v>192.5</v>
      </c>
    </row>
    <row r="24" spans="2:32" ht="23.1" customHeight="1" x14ac:dyDescent="0.25">
      <c r="B24" s="23" t="s">
        <v>51</v>
      </c>
      <c r="C24" s="49">
        <f>AVERAGE('25.10 Mbarara-Isingiro'!C24,'26.10 Mbarara-Isingiro-24Hr'!C24,'27.10 Mbarara-Isingiro'!C24,'28.10 Mbarara-Isingiro-24Hr'!C24,'29.10 Mbarara-Isingiro'!C24,'30.10 Mbarara-Isingiro'!C24,'31.10 Mbarara-Isingiro'!C24)</f>
        <v>8.5714285714285712</v>
      </c>
      <c r="D24" s="49">
        <f>AVERAGE('25.10 Mbarara-Isingiro'!D24,'26.10 Mbarara-Isingiro-24Hr'!D24,'27.10 Mbarara-Isingiro'!D24,'28.10 Mbarara-Isingiro-24Hr'!D24,'29.10 Mbarara-Isingiro'!D24,'30.10 Mbarara-Isingiro'!D24,'31.10 Mbarara-Isingiro'!D24)</f>
        <v>2</v>
      </c>
      <c r="E24" s="49">
        <f>AVERAGE('25.10 Mbarara-Isingiro'!E24,'26.10 Mbarara-Isingiro-24Hr'!E24,'27.10 Mbarara-Isingiro'!E24,'28.10 Mbarara-Isingiro-24Hr'!E24,'29.10 Mbarara-Isingiro'!E24,'30.10 Mbarara-Isingiro'!E24,'31.10 Mbarara-Isingiro'!E24)</f>
        <v>1.5714285714285714</v>
      </c>
      <c r="F24" s="49">
        <f>AVERAGE('25.10 Mbarara-Isingiro'!F24,'26.10 Mbarara-Isingiro-24Hr'!F24,'27.10 Mbarara-Isingiro'!F24,'28.10 Mbarara-Isingiro-24Hr'!F24,'29.10 Mbarara-Isingiro'!F24,'30.10 Mbarara-Isingiro'!F24,'31.10 Mbarara-Isingiro'!F24)</f>
        <v>2.2857142857142856</v>
      </c>
      <c r="G24" s="49">
        <f>AVERAGE('25.10 Mbarara-Isingiro'!G24,'26.10 Mbarara-Isingiro-24Hr'!G24,'27.10 Mbarara-Isingiro'!G24,'28.10 Mbarara-Isingiro-24Hr'!G24,'29.10 Mbarara-Isingiro'!G24,'30.10 Mbarara-Isingiro'!G24,'31.10 Mbarara-Isingiro'!G24)</f>
        <v>0</v>
      </c>
      <c r="H24" s="49">
        <f>AVERAGE('25.10 Mbarara-Isingiro'!H24,'26.10 Mbarara-Isingiro-24Hr'!H24,'27.10 Mbarara-Isingiro'!H24,'28.10 Mbarara-Isingiro-24Hr'!H24,'29.10 Mbarara-Isingiro'!H24,'30.10 Mbarara-Isingiro'!H24,'31.10 Mbarara-Isingiro'!H24)</f>
        <v>0</v>
      </c>
      <c r="I24" s="49">
        <f>AVERAGE('25.10 Mbarara-Isingiro'!I24,'26.10 Mbarara-Isingiro-24Hr'!I24,'27.10 Mbarara-Isingiro'!I24,'28.10 Mbarara-Isingiro-24Hr'!I24,'29.10 Mbarara-Isingiro'!I24,'30.10 Mbarara-Isingiro'!I24,'31.10 Mbarara-Isingiro'!I24)</f>
        <v>2.4285714285714284</v>
      </c>
      <c r="J24" s="49">
        <f>AVERAGE('25.10 Mbarara-Isingiro'!J24,'26.10 Mbarara-Isingiro-24Hr'!J24,'27.10 Mbarara-Isingiro'!J24,'28.10 Mbarara-Isingiro-24Hr'!J24,'29.10 Mbarara-Isingiro'!J24,'30.10 Mbarara-Isingiro'!J24,'31.10 Mbarara-Isingiro'!J24)</f>
        <v>1.8571428571428572</v>
      </c>
      <c r="K24" s="49">
        <f>AVERAGE('25.10 Mbarara-Isingiro'!K24,'26.10 Mbarara-Isingiro-24Hr'!K24,'27.10 Mbarara-Isingiro'!K24,'28.10 Mbarara-Isingiro-24Hr'!K24,'29.10 Mbarara-Isingiro'!K24,'30.10 Mbarara-Isingiro'!K24,'31.10 Mbarara-Isingiro'!K24)</f>
        <v>1</v>
      </c>
      <c r="L24" s="49">
        <f>AVERAGE('25.10 Mbarara-Isingiro'!L24,'26.10 Mbarara-Isingiro-24Hr'!L24,'27.10 Mbarara-Isingiro'!L24,'28.10 Mbarara-Isingiro-24Hr'!L24,'29.10 Mbarara-Isingiro'!L24,'30.10 Mbarara-Isingiro'!L24,'31.10 Mbarara-Isingiro'!L24)</f>
        <v>0</v>
      </c>
      <c r="M24" s="49">
        <f>AVERAGE('25.10 Mbarara-Isingiro'!M24,'26.10 Mbarara-Isingiro-24Hr'!M24,'27.10 Mbarara-Isingiro'!M24,'28.10 Mbarara-Isingiro-24Hr'!M24,'29.10 Mbarara-Isingiro'!M24,'30.10 Mbarara-Isingiro'!M24,'31.10 Mbarara-Isingiro'!M24)</f>
        <v>39.714285714285715</v>
      </c>
      <c r="N24" s="49">
        <f>AVERAGE('25.10 Mbarara-Isingiro'!N24,'26.10 Mbarara-Isingiro-24Hr'!N24,'27.10 Mbarara-Isingiro'!N24,'28.10 Mbarara-Isingiro-24Hr'!N24,'29.10 Mbarara-Isingiro'!N24,'30.10 Mbarara-Isingiro'!N24,'31.10 Mbarara-Isingiro'!N24)</f>
        <v>0</v>
      </c>
      <c r="O24" s="15">
        <f t="shared" si="0"/>
        <v>19.714285714285712</v>
      </c>
      <c r="P24" s="15">
        <f t="shared" si="1"/>
        <v>59.428571428571431</v>
      </c>
      <c r="R24" s="1" t="s">
        <v>148</v>
      </c>
      <c r="S24" s="34">
        <f>SUM(C66:C69)</f>
        <v>24.5</v>
      </c>
      <c r="T24" s="34">
        <f t="shared" ref="T24:AF24" si="16">SUM(D66:D69)</f>
        <v>1.5</v>
      </c>
      <c r="U24" s="34">
        <f t="shared" si="16"/>
        <v>1</v>
      </c>
      <c r="V24" s="34">
        <f t="shared" si="16"/>
        <v>2.5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2.5</v>
      </c>
      <c r="AA24" s="34">
        <f t="shared" si="16"/>
        <v>0.5</v>
      </c>
      <c r="AB24" s="34">
        <f t="shared" si="16"/>
        <v>0</v>
      </c>
      <c r="AC24" s="34">
        <f t="shared" si="16"/>
        <v>76</v>
      </c>
      <c r="AD24" s="34">
        <f t="shared" si="16"/>
        <v>0</v>
      </c>
      <c r="AE24" s="31">
        <f t="shared" si="16"/>
        <v>36.5</v>
      </c>
      <c r="AF24" s="31">
        <f t="shared" si="16"/>
        <v>112.5</v>
      </c>
    </row>
    <row r="25" spans="2:32" ht="23.1" customHeight="1" x14ac:dyDescent="0.25">
      <c r="B25" s="23" t="s">
        <v>52</v>
      </c>
      <c r="C25" s="49">
        <f>AVERAGE('25.10 Mbarara-Isingiro'!C25,'26.10 Mbarara-Isingiro-24Hr'!C25,'27.10 Mbarara-Isingiro'!C25,'28.10 Mbarara-Isingiro-24Hr'!C25,'29.10 Mbarara-Isingiro'!C25,'30.10 Mbarara-Isingiro'!C25,'31.10 Mbarara-Isingiro'!C25)</f>
        <v>7.1428571428571432</v>
      </c>
      <c r="D25" s="49">
        <f>AVERAGE('25.10 Mbarara-Isingiro'!D25,'26.10 Mbarara-Isingiro-24Hr'!D25,'27.10 Mbarara-Isingiro'!D25,'28.10 Mbarara-Isingiro-24Hr'!D25,'29.10 Mbarara-Isingiro'!D25,'30.10 Mbarara-Isingiro'!D25,'31.10 Mbarara-Isingiro'!D25)</f>
        <v>1.5714285714285714</v>
      </c>
      <c r="E25" s="49">
        <f>AVERAGE('25.10 Mbarara-Isingiro'!E25,'26.10 Mbarara-Isingiro-24Hr'!E25,'27.10 Mbarara-Isingiro'!E25,'28.10 Mbarara-Isingiro-24Hr'!E25,'29.10 Mbarara-Isingiro'!E25,'30.10 Mbarara-Isingiro'!E25,'31.10 Mbarara-Isingiro'!E25)</f>
        <v>1.1428571428571428</v>
      </c>
      <c r="F25" s="49">
        <f>AVERAGE('25.10 Mbarara-Isingiro'!F25,'26.10 Mbarara-Isingiro-24Hr'!F25,'27.10 Mbarara-Isingiro'!F25,'28.10 Mbarara-Isingiro-24Hr'!F25,'29.10 Mbarara-Isingiro'!F25,'30.10 Mbarara-Isingiro'!F25,'31.10 Mbarara-Isingiro'!F25)</f>
        <v>3.2857142857142856</v>
      </c>
      <c r="G25" s="49">
        <f>AVERAGE('25.10 Mbarara-Isingiro'!G25,'26.10 Mbarara-Isingiro-24Hr'!G25,'27.10 Mbarara-Isingiro'!G25,'28.10 Mbarara-Isingiro-24Hr'!G25,'29.10 Mbarara-Isingiro'!G25,'30.10 Mbarara-Isingiro'!G25,'31.10 Mbarara-Isingiro'!G25)</f>
        <v>0</v>
      </c>
      <c r="H25" s="49">
        <f>AVERAGE('25.10 Mbarara-Isingiro'!H25,'26.10 Mbarara-Isingiro-24Hr'!H25,'27.10 Mbarara-Isingiro'!H25,'28.10 Mbarara-Isingiro-24Hr'!H25,'29.10 Mbarara-Isingiro'!H25,'30.10 Mbarara-Isingiro'!H25,'31.10 Mbarara-Isingiro'!H25)</f>
        <v>0</v>
      </c>
      <c r="I25" s="49">
        <f>AVERAGE('25.10 Mbarara-Isingiro'!I25,'26.10 Mbarara-Isingiro-24Hr'!I25,'27.10 Mbarara-Isingiro'!I25,'28.10 Mbarara-Isingiro-24Hr'!I25,'29.10 Mbarara-Isingiro'!I25,'30.10 Mbarara-Isingiro'!I25,'31.10 Mbarara-Isingiro'!I25)</f>
        <v>1.8571428571428572</v>
      </c>
      <c r="J25" s="49">
        <f>AVERAGE('25.10 Mbarara-Isingiro'!J25,'26.10 Mbarara-Isingiro-24Hr'!J25,'27.10 Mbarara-Isingiro'!J25,'28.10 Mbarara-Isingiro-24Hr'!J25,'29.10 Mbarara-Isingiro'!J25,'30.10 Mbarara-Isingiro'!J25,'31.10 Mbarara-Isingiro'!J25)</f>
        <v>1.2857142857142858</v>
      </c>
      <c r="K25" s="49">
        <f>AVERAGE('25.10 Mbarara-Isingiro'!K25,'26.10 Mbarara-Isingiro-24Hr'!K25,'27.10 Mbarara-Isingiro'!K25,'28.10 Mbarara-Isingiro-24Hr'!K25,'29.10 Mbarara-Isingiro'!K25,'30.10 Mbarara-Isingiro'!K25,'31.10 Mbarara-Isingiro'!K25)</f>
        <v>0</v>
      </c>
      <c r="L25" s="49">
        <f>AVERAGE('25.10 Mbarara-Isingiro'!L25,'26.10 Mbarara-Isingiro-24Hr'!L25,'27.10 Mbarara-Isingiro'!L25,'28.10 Mbarara-Isingiro-24Hr'!L25,'29.10 Mbarara-Isingiro'!L25,'30.10 Mbarara-Isingiro'!L25,'31.10 Mbarara-Isingiro'!L25)</f>
        <v>0</v>
      </c>
      <c r="M25" s="49">
        <f>AVERAGE('25.10 Mbarara-Isingiro'!M25,'26.10 Mbarara-Isingiro-24Hr'!M25,'27.10 Mbarara-Isingiro'!M25,'28.10 Mbarara-Isingiro-24Hr'!M25,'29.10 Mbarara-Isingiro'!M25,'30.10 Mbarara-Isingiro'!M25,'31.10 Mbarara-Isingiro'!M25)</f>
        <v>33.428571428571431</v>
      </c>
      <c r="N25" s="49">
        <f>AVERAGE('25.10 Mbarara-Isingiro'!N25,'26.10 Mbarara-Isingiro-24Hr'!N25,'27.10 Mbarara-Isingiro'!N25,'28.10 Mbarara-Isingiro-24Hr'!N25,'29.10 Mbarara-Isingiro'!N25,'30.10 Mbarara-Isingiro'!N25,'31.10 Mbarara-Isingiro'!N25)</f>
        <v>0</v>
      </c>
      <c r="O25" s="15">
        <f t="shared" si="0"/>
        <v>16.285714285714285</v>
      </c>
      <c r="P25" s="15">
        <f t="shared" si="1"/>
        <v>49.714285714285715</v>
      </c>
      <c r="R25" s="1" t="s">
        <v>149</v>
      </c>
      <c r="S25" s="34">
        <f>SUM(C70:C73)</f>
        <v>19.5</v>
      </c>
      <c r="T25" s="34">
        <f t="shared" ref="T25:AF25" si="17">SUM(D70:D73)</f>
        <v>1.5</v>
      </c>
      <c r="U25" s="34">
        <f t="shared" si="17"/>
        <v>4.5</v>
      </c>
      <c r="V25" s="34">
        <f t="shared" si="17"/>
        <v>3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62</v>
      </c>
      <c r="AD25" s="34">
        <f t="shared" si="17"/>
        <v>0</v>
      </c>
      <c r="AE25" s="31">
        <f t="shared" si="17"/>
        <v>32.5</v>
      </c>
      <c r="AF25" s="31">
        <f t="shared" si="17"/>
        <v>94.5</v>
      </c>
    </row>
    <row r="26" spans="2:32" ht="23.1" customHeight="1" x14ac:dyDescent="0.25">
      <c r="B26" s="23" t="s">
        <v>53</v>
      </c>
      <c r="C26" s="49">
        <f>AVERAGE('25.10 Mbarara-Isingiro'!C26,'26.10 Mbarara-Isingiro-24Hr'!C26,'27.10 Mbarara-Isingiro'!C26,'28.10 Mbarara-Isingiro-24Hr'!C26,'29.10 Mbarara-Isingiro'!C26,'30.10 Mbarara-Isingiro'!C26,'31.10 Mbarara-Isingiro'!C26)</f>
        <v>11.714285714285714</v>
      </c>
      <c r="D26" s="49">
        <f>AVERAGE('25.10 Mbarara-Isingiro'!D26,'26.10 Mbarara-Isingiro-24Hr'!D26,'27.10 Mbarara-Isingiro'!D26,'28.10 Mbarara-Isingiro-24Hr'!D26,'29.10 Mbarara-Isingiro'!D26,'30.10 Mbarara-Isingiro'!D26,'31.10 Mbarara-Isingiro'!D26)</f>
        <v>2.1428571428571428</v>
      </c>
      <c r="E26" s="49">
        <f>AVERAGE('25.10 Mbarara-Isingiro'!E26,'26.10 Mbarara-Isingiro-24Hr'!E26,'27.10 Mbarara-Isingiro'!E26,'28.10 Mbarara-Isingiro-24Hr'!E26,'29.10 Mbarara-Isingiro'!E26,'30.10 Mbarara-Isingiro'!E26,'31.10 Mbarara-Isingiro'!E26)</f>
        <v>2.2857142857142856</v>
      </c>
      <c r="F26" s="49">
        <f>AVERAGE('25.10 Mbarara-Isingiro'!F26,'26.10 Mbarara-Isingiro-24Hr'!F26,'27.10 Mbarara-Isingiro'!F26,'28.10 Mbarara-Isingiro-24Hr'!F26,'29.10 Mbarara-Isingiro'!F26,'30.10 Mbarara-Isingiro'!F26,'31.10 Mbarara-Isingiro'!F26)</f>
        <v>3.4285714285714284</v>
      </c>
      <c r="G26" s="49">
        <f>AVERAGE('25.10 Mbarara-Isingiro'!G26,'26.10 Mbarara-Isingiro-24Hr'!G26,'27.10 Mbarara-Isingiro'!G26,'28.10 Mbarara-Isingiro-24Hr'!G26,'29.10 Mbarara-Isingiro'!G26,'30.10 Mbarara-Isingiro'!G26,'31.10 Mbarara-Isingiro'!G26)</f>
        <v>0</v>
      </c>
      <c r="H26" s="49">
        <f>AVERAGE('25.10 Mbarara-Isingiro'!H26,'26.10 Mbarara-Isingiro-24Hr'!H26,'27.10 Mbarara-Isingiro'!H26,'28.10 Mbarara-Isingiro-24Hr'!H26,'29.10 Mbarara-Isingiro'!H26,'30.10 Mbarara-Isingiro'!H26,'31.10 Mbarara-Isingiro'!H26)</f>
        <v>0.14285714285714285</v>
      </c>
      <c r="I26" s="49">
        <f>AVERAGE('25.10 Mbarara-Isingiro'!I26,'26.10 Mbarara-Isingiro-24Hr'!I26,'27.10 Mbarara-Isingiro'!I26,'28.10 Mbarara-Isingiro-24Hr'!I26,'29.10 Mbarara-Isingiro'!I26,'30.10 Mbarara-Isingiro'!I26,'31.10 Mbarara-Isingiro'!I26)</f>
        <v>1.7142857142857142</v>
      </c>
      <c r="J26" s="49">
        <f>AVERAGE('25.10 Mbarara-Isingiro'!J26,'26.10 Mbarara-Isingiro-24Hr'!J26,'27.10 Mbarara-Isingiro'!J26,'28.10 Mbarara-Isingiro-24Hr'!J26,'29.10 Mbarara-Isingiro'!J26,'30.10 Mbarara-Isingiro'!J26,'31.10 Mbarara-Isingiro'!J26)</f>
        <v>2.5714285714285716</v>
      </c>
      <c r="K26" s="49">
        <f>AVERAGE('25.10 Mbarara-Isingiro'!K26,'26.10 Mbarara-Isingiro-24Hr'!K26,'27.10 Mbarara-Isingiro'!K26,'28.10 Mbarara-Isingiro-24Hr'!K26,'29.10 Mbarara-Isingiro'!K26,'30.10 Mbarara-Isingiro'!K26,'31.10 Mbarara-Isingiro'!K26)</f>
        <v>0.2857142857142857</v>
      </c>
      <c r="L26" s="49">
        <f>AVERAGE('25.10 Mbarara-Isingiro'!L26,'26.10 Mbarara-Isingiro-24Hr'!L26,'27.10 Mbarara-Isingiro'!L26,'28.10 Mbarara-Isingiro-24Hr'!L26,'29.10 Mbarara-Isingiro'!L26,'30.10 Mbarara-Isingiro'!L26,'31.10 Mbarara-Isingiro'!L26)</f>
        <v>0</v>
      </c>
      <c r="M26" s="49">
        <f>AVERAGE('25.10 Mbarara-Isingiro'!M26,'26.10 Mbarara-Isingiro-24Hr'!M26,'27.10 Mbarara-Isingiro'!M26,'28.10 Mbarara-Isingiro-24Hr'!M26,'29.10 Mbarara-Isingiro'!M26,'30.10 Mbarara-Isingiro'!M26,'31.10 Mbarara-Isingiro'!M26)</f>
        <v>40.857142857142854</v>
      </c>
      <c r="N26" s="49">
        <f>AVERAGE('25.10 Mbarara-Isingiro'!N26,'26.10 Mbarara-Isingiro-24Hr'!N26,'27.10 Mbarara-Isingiro'!N26,'28.10 Mbarara-Isingiro-24Hr'!N26,'29.10 Mbarara-Isingiro'!N26,'30.10 Mbarara-Isingiro'!N26,'31.10 Mbarara-Isingiro'!N26)</f>
        <v>0</v>
      </c>
      <c r="O26" s="15">
        <f t="shared" si="0"/>
        <v>24.285714285714285</v>
      </c>
      <c r="P26" s="15">
        <f t="shared" si="1"/>
        <v>65.142857142857139</v>
      </c>
      <c r="R26" s="1" t="s">
        <v>150</v>
      </c>
      <c r="S26" s="34">
        <f>SUM(C74:C77)</f>
        <v>13</v>
      </c>
      <c r="T26" s="34">
        <f t="shared" ref="T26:AF26" si="18">SUM(D74:D77)</f>
        <v>3</v>
      </c>
      <c r="U26" s="34">
        <f t="shared" si="18"/>
        <v>0.5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1.5</v>
      </c>
      <c r="AA26" s="34">
        <f t="shared" si="18"/>
        <v>0</v>
      </c>
      <c r="AB26" s="34">
        <f t="shared" si="18"/>
        <v>0</v>
      </c>
      <c r="AC26" s="34">
        <f t="shared" si="18"/>
        <v>24</v>
      </c>
      <c r="AD26" s="34">
        <f t="shared" si="18"/>
        <v>0</v>
      </c>
      <c r="AE26" s="31">
        <f t="shared" si="18"/>
        <v>22</v>
      </c>
      <c r="AF26" s="31">
        <f t="shared" si="18"/>
        <v>46</v>
      </c>
    </row>
    <row r="27" spans="2:32" ht="23.1" customHeight="1" x14ac:dyDescent="0.25">
      <c r="B27" s="23" t="s">
        <v>54</v>
      </c>
      <c r="C27" s="49">
        <f>AVERAGE('25.10 Mbarara-Isingiro'!C27,'26.10 Mbarara-Isingiro-24Hr'!C27,'27.10 Mbarara-Isingiro'!C27,'28.10 Mbarara-Isingiro-24Hr'!C27,'29.10 Mbarara-Isingiro'!C27,'30.10 Mbarara-Isingiro'!C27,'31.10 Mbarara-Isingiro'!C27)</f>
        <v>9.8571428571428577</v>
      </c>
      <c r="D27" s="49">
        <f>AVERAGE('25.10 Mbarara-Isingiro'!D27,'26.10 Mbarara-Isingiro-24Hr'!D27,'27.10 Mbarara-Isingiro'!D27,'28.10 Mbarara-Isingiro-24Hr'!D27,'29.10 Mbarara-Isingiro'!D27,'30.10 Mbarara-Isingiro'!D27,'31.10 Mbarara-Isingiro'!D27)</f>
        <v>1.5714285714285714</v>
      </c>
      <c r="E27" s="49">
        <f>AVERAGE('25.10 Mbarara-Isingiro'!E27,'26.10 Mbarara-Isingiro-24Hr'!E27,'27.10 Mbarara-Isingiro'!E27,'28.10 Mbarara-Isingiro-24Hr'!E27,'29.10 Mbarara-Isingiro'!E27,'30.10 Mbarara-Isingiro'!E27,'31.10 Mbarara-Isingiro'!E27)</f>
        <v>1.1428571428571428</v>
      </c>
      <c r="F27" s="49">
        <f>AVERAGE('25.10 Mbarara-Isingiro'!F27,'26.10 Mbarara-Isingiro-24Hr'!F27,'27.10 Mbarara-Isingiro'!F27,'28.10 Mbarara-Isingiro-24Hr'!F27,'29.10 Mbarara-Isingiro'!F27,'30.10 Mbarara-Isingiro'!F27,'31.10 Mbarara-Isingiro'!F27)</f>
        <v>1.5714285714285714</v>
      </c>
      <c r="G27" s="49">
        <f>AVERAGE('25.10 Mbarara-Isingiro'!G27,'26.10 Mbarara-Isingiro-24Hr'!G27,'27.10 Mbarara-Isingiro'!G27,'28.10 Mbarara-Isingiro-24Hr'!G27,'29.10 Mbarara-Isingiro'!G27,'30.10 Mbarara-Isingiro'!G27,'31.10 Mbarara-Isingiro'!G27)</f>
        <v>0</v>
      </c>
      <c r="H27" s="49">
        <f>AVERAGE('25.10 Mbarara-Isingiro'!H27,'26.10 Mbarara-Isingiro-24Hr'!H27,'27.10 Mbarara-Isingiro'!H27,'28.10 Mbarara-Isingiro-24Hr'!H27,'29.10 Mbarara-Isingiro'!H27,'30.10 Mbarara-Isingiro'!H27,'31.10 Mbarara-Isingiro'!H27)</f>
        <v>0</v>
      </c>
      <c r="I27" s="49">
        <f>AVERAGE('25.10 Mbarara-Isingiro'!I27,'26.10 Mbarara-Isingiro-24Hr'!I27,'27.10 Mbarara-Isingiro'!I27,'28.10 Mbarara-Isingiro-24Hr'!I27,'29.10 Mbarara-Isingiro'!I27,'30.10 Mbarara-Isingiro'!I27,'31.10 Mbarara-Isingiro'!I27)</f>
        <v>2.5714285714285716</v>
      </c>
      <c r="J27" s="49">
        <f>AVERAGE('25.10 Mbarara-Isingiro'!J27,'26.10 Mbarara-Isingiro-24Hr'!J27,'27.10 Mbarara-Isingiro'!J27,'28.10 Mbarara-Isingiro-24Hr'!J27,'29.10 Mbarara-Isingiro'!J27,'30.10 Mbarara-Isingiro'!J27,'31.10 Mbarara-Isingiro'!J27)</f>
        <v>1.4285714285714286</v>
      </c>
      <c r="K27" s="49">
        <f>AVERAGE('25.10 Mbarara-Isingiro'!K27,'26.10 Mbarara-Isingiro-24Hr'!K27,'27.10 Mbarara-Isingiro'!K27,'28.10 Mbarara-Isingiro-24Hr'!K27,'29.10 Mbarara-Isingiro'!K27,'30.10 Mbarara-Isingiro'!K27,'31.10 Mbarara-Isingiro'!K27)</f>
        <v>0</v>
      </c>
      <c r="L27" s="49">
        <f>AVERAGE('25.10 Mbarara-Isingiro'!L27,'26.10 Mbarara-Isingiro-24Hr'!L27,'27.10 Mbarara-Isingiro'!L27,'28.10 Mbarara-Isingiro-24Hr'!L27,'29.10 Mbarara-Isingiro'!L27,'30.10 Mbarara-Isingiro'!L27,'31.10 Mbarara-Isingiro'!L27)</f>
        <v>0</v>
      </c>
      <c r="M27" s="49">
        <f>AVERAGE('25.10 Mbarara-Isingiro'!M27,'26.10 Mbarara-Isingiro-24Hr'!M27,'27.10 Mbarara-Isingiro'!M27,'28.10 Mbarara-Isingiro-24Hr'!M27,'29.10 Mbarara-Isingiro'!M27,'30.10 Mbarara-Isingiro'!M27,'31.10 Mbarara-Isingiro'!M27)</f>
        <v>31.571428571428573</v>
      </c>
      <c r="N27" s="49">
        <f>AVERAGE('25.10 Mbarara-Isingiro'!N27,'26.10 Mbarara-Isingiro-24Hr'!N27,'27.10 Mbarara-Isingiro'!N27,'28.10 Mbarara-Isingiro-24Hr'!N27,'29.10 Mbarara-Isingiro'!N27,'30.10 Mbarara-Isingiro'!N27,'31.10 Mbarara-Isingiro'!N27)</f>
        <v>0</v>
      </c>
      <c r="O27" s="15">
        <f t="shared" si="0"/>
        <v>18.142857142857142</v>
      </c>
      <c r="P27" s="15">
        <f t="shared" si="1"/>
        <v>49.714285714285715</v>
      </c>
      <c r="R27" s="1" t="s">
        <v>151</v>
      </c>
      <c r="S27" s="34">
        <f>SUM(C78:C81)</f>
        <v>6</v>
      </c>
      <c r="T27" s="34">
        <f t="shared" ref="T27:AF27" si="19">SUM(D78:D81)</f>
        <v>0.5</v>
      </c>
      <c r="U27" s="34">
        <f t="shared" si="19"/>
        <v>0.5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2.5</v>
      </c>
      <c r="AA27" s="34">
        <f t="shared" si="19"/>
        <v>0</v>
      </c>
      <c r="AB27" s="34">
        <f t="shared" si="19"/>
        <v>0</v>
      </c>
      <c r="AC27" s="34">
        <f t="shared" si="19"/>
        <v>10</v>
      </c>
      <c r="AD27" s="34">
        <f t="shared" si="19"/>
        <v>0</v>
      </c>
      <c r="AE27" s="31">
        <f t="shared" si="19"/>
        <v>12.5</v>
      </c>
      <c r="AF27" s="31">
        <f t="shared" si="19"/>
        <v>22.5</v>
      </c>
    </row>
    <row r="28" spans="2:32" ht="23.1" customHeight="1" x14ac:dyDescent="0.25">
      <c r="B28" s="23" t="s">
        <v>55</v>
      </c>
      <c r="C28" s="49">
        <f>AVERAGE('25.10 Mbarara-Isingiro'!C28,'26.10 Mbarara-Isingiro-24Hr'!C28,'27.10 Mbarara-Isingiro'!C28,'28.10 Mbarara-Isingiro-24Hr'!C28,'29.10 Mbarara-Isingiro'!C28,'30.10 Mbarara-Isingiro'!C28,'31.10 Mbarara-Isingiro'!C28)</f>
        <v>8.4285714285714288</v>
      </c>
      <c r="D28" s="49">
        <f>AVERAGE('25.10 Mbarara-Isingiro'!D28,'26.10 Mbarara-Isingiro-24Hr'!D28,'27.10 Mbarara-Isingiro'!D28,'28.10 Mbarara-Isingiro-24Hr'!D28,'29.10 Mbarara-Isingiro'!D28,'30.10 Mbarara-Isingiro'!D28,'31.10 Mbarara-Isingiro'!D28)</f>
        <v>1.7142857142857142</v>
      </c>
      <c r="E28" s="49">
        <f>AVERAGE('25.10 Mbarara-Isingiro'!E28,'26.10 Mbarara-Isingiro-24Hr'!E28,'27.10 Mbarara-Isingiro'!E28,'28.10 Mbarara-Isingiro-24Hr'!E28,'29.10 Mbarara-Isingiro'!E28,'30.10 Mbarara-Isingiro'!E28,'31.10 Mbarara-Isingiro'!E28)</f>
        <v>3.2857142857142856</v>
      </c>
      <c r="F28" s="49">
        <f>AVERAGE('25.10 Mbarara-Isingiro'!F28,'26.10 Mbarara-Isingiro-24Hr'!F28,'27.10 Mbarara-Isingiro'!F28,'28.10 Mbarara-Isingiro-24Hr'!F28,'29.10 Mbarara-Isingiro'!F28,'30.10 Mbarara-Isingiro'!F28,'31.10 Mbarara-Isingiro'!F28)</f>
        <v>2.5714285714285716</v>
      </c>
      <c r="G28" s="49">
        <f>AVERAGE('25.10 Mbarara-Isingiro'!G28,'26.10 Mbarara-Isingiro-24Hr'!G28,'27.10 Mbarara-Isingiro'!G28,'28.10 Mbarara-Isingiro-24Hr'!G28,'29.10 Mbarara-Isingiro'!G28,'30.10 Mbarara-Isingiro'!G28,'31.10 Mbarara-Isingiro'!G28)</f>
        <v>0.14285714285714285</v>
      </c>
      <c r="H28" s="49">
        <f>AVERAGE('25.10 Mbarara-Isingiro'!H28,'26.10 Mbarara-Isingiro-24Hr'!H28,'27.10 Mbarara-Isingiro'!H28,'28.10 Mbarara-Isingiro-24Hr'!H28,'29.10 Mbarara-Isingiro'!H28,'30.10 Mbarara-Isingiro'!H28,'31.10 Mbarara-Isingiro'!H28)</f>
        <v>0</v>
      </c>
      <c r="I28" s="49">
        <f>AVERAGE('25.10 Mbarara-Isingiro'!I28,'26.10 Mbarara-Isingiro-24Hr'!I28,'27.10 Mbarara-Isingiro'!I28,'28.10 Mbarara-Isingiro-24Hr'!I28,'29.10 Mbarara-Isingiro'!I28,'30.10 Mbarara-Isingiro'!I28,'31.10 Mbarara-Isingiro'!I28)</f>
        <v>1</v>
      </c>
      <c r="J28" s="49">
        <f>AVERAGE('25.10 Mbarara-Isingiro'!J28,'26.10 Mbarara-Isingiro-24Hr'!J28,'27.10 Mbarara-Isingiro'!J28,'28.10 Mbarara-Isingiro-24Hr'!J28,'29.10 Mbarara-Isingiro'!J28,'30.10 Mbarara-Isingiro'!J28,'31.10 Mbarara-Isingiro'!J28)</f>
        <v>1.2857142857142858</v>
      </c>
      <c r="K28" s="49">
        <f>AVERAGE('25.10 Mbarara-Isingiro'!K28,'26.10 Mbarara-Isingiro-24Hr'!K28,'27.10 Mbarara-Isingiro'!K28,'28.10 Mbarara-Isingiro-24Hr'!K28,'29.10 Mbarara-Isingiro'!K28,'30.10 Mbarara-Isingiro'!K28,'31.10 Mbarara-Isingiro'!K28)</f>
        <v>0</v>
      </c>
      <c r="L28" s="49">
        <f>AVERAGE('25.10 Mbarara-Isingiro'!L28,'26.10 Mbarara-Isingiro-24Hr'!L28,'27.10 Mbarara-Isingiro'!L28,'28.10 Mbarara-Isingiro-24Hr'!L28,'29.10 Mbarara-Isingiro'!L28,'30.10 Mbarara-Isingiro'!L28,'31.10 Mbarara-Isingiro'!L28)</f>
        <v>0</v>
      </c>
      <c r="M28" s="49">
        <f>AVERAGE('25.10 Mbarara-Isingiro'!M28,'26.10 Mbarara-Isingiro-24Hr'!M28,'27.10 Mbarara-Isingiro'!M28,'28.10 Mbarara-Isingiro-24Hr'!M28,'29.10 Mbarara-Isingiro'!M28,'30.10 Mbarara-Isingiro'!M28,'31.10 Mbarara-Isingiro'!M28)</f>
        <v>31.714285714285715</v>
      </c>
      <c r="N28" s="49">
        <f>AVERAGE('25.10 Mbarara-Isingiro'!N28,'26.10 Mbarara-Isingiro-24Hr'!N28,'27.10 Mbarara-Isingiro'!N28,'28.10 Mbarara-Isingiro-24Hr'!N28,'29.10 Mbarara-Isingiro'!N28,'30.10 Mbarara-Isingiro'!N28,'31.10 Mbarara-Isingiro'!N28)</f>
        <v>0</v>
      </c>
      <c r="O28" s="15">
        <f t="shared" si="0"/>
        <v>18.428571428571427</v>
      </c>
      <c r="P28" s="15">
        <f t="shared" si="1"/>
        <v>50.142857142857139</v>
      </c>
      <c r="R28" s="1" t="s">
        <v>152</v>
      </c>
      <c r="S28" s="34">
        <f>SUM(C82:C85)</f>
        <v>4.5</v>
      </c>
      <c r="T28" s="34">
        <f t="shared" ref="T28:AF28" si="20">SUM(D82:D85)</f>
        <v>0.5</v>
      </c>
      <c r="U28" s="34">
        <f t="shared" si="20"/>
        <v>0</v>
      </c>
      <c r="V28" s="34">
        <f t="shared" si="20"/>
        <v>1.5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15.5</v>
      </c>
      <c r="AD28" s="34">
        <f t="shared" si="20"/>
        <v>0</v>
      </c>
      <c r="AE28" s="31">
        <f t="shared" si="20"/>
        <v>9.5</v>
      </c>
      <c r="AF28" s="31">
        <f t="shared" si="20"/>
        <v>25</v>
      </c>
    </row>
    <row r="29" spans="2:32" ht="23.1" customHeight="1" x14ac:dyDescent="0.25">
      <c r="B29" s="23" t="s">
        <v>56</v>
      </c>
      <c r="C29" s="49">
        <f>AVERAGE('25.10 Mbarara-Isingiro'!C29,'26.10 Mbarara-Isingiro-24Hr'!C29,'27.10 Mbarara-Isingiro'!C29,'28.10 Mbarara-Isingiro-24Hr'!C29,'29.10 Mbarara-Isingiro'!C29,'30.10 Mbarara-Isingiro'!C29,'31.10 Mbarara-Isingiro'!C29)</f>
        <v>11</v>
      </c>
      <c r="D29" s="49">
        <f>AVERAGE('25.10 Mbarara-Isingiro'!D29,'26.10 Mbarara-Isingiro-24Hr'!D29,'27.10 Mbarara-Isingiro'!D29,'28.10 Mbarara-Isingiro-24Hr'!D29,'29.10 Mbarara-Isingiro'!D29,'30.10 Mbarara-Isingiro'!D29,'31.10 Mbarara-Isingiro'!D29)</f>
        <v>1.2857142857142858</v>
      </c>
      <c r="E29" s="49">
        <f>AVERAGE('25.10 Mbarara-Isingiro'!E29,'26.10 Mbarara-Isingiro-24Hr'!E29,'27.10 Mbarara-Isingiro'!E29,'28.10 Mbarara-Isingiro-24Hr'!E29,'29.10 Mbarara-Isingiro'!E29,'30.10 Mbarara-Isingiro'!E29,'31.10 Mbarara-Isingiro'!E29)</f>
        <v>2</v>
      </c>
      <c r="F29" s="49">
        <f>AVERAGE('25.10 Mbarara-Isingiro'!F29,'26.10 Mbarara-Isingiro-24Hr'!F29,'27.10 Mbarara-Isingiro'!F29,'28.10 Mbarara-Isingiro-24Hr'!F29,'29.10 Mbarara-Isingiro'!F29,'30.10 Mbarara-Isingiro'!F29,'31.10 Mbarara-Isingiro'!F29)</f>
        <v>2.2857142857142856</v>
      </c>
      <c r="G29" s="49">
        <f>AVERAGE('25.10 Mbarara-Isingiro'!G29,'26.10 Mbarara-Isingiro-24Hr'!G29,'27.10 Mbarara-Isingiro'!G29,'28.10 Mbarara-Isingiro-24Hr'!G29,'29.10 Mbarara-Isingiro'!G29,'30.10 Mbarara-Isingiro'!G29,'31.10 Mbarara-Isingiro'!G29)</f>
        <v>0</v>
      </c>
      <c r="H29" s="49">
        <f>AVERAGE('25.10 Mbarara-Isingiro'!H29,'26.10 Mbarara-Isingiro-24Hr'!H29,'27.10 Mbarara-Isingiro'!H29,'28.10 Mbarara-Isingiro-24Hr'!H29,'29.10 Mbarara-Isingiro'!H29,'30.10 Mbarara-Isingiro'!H29,'31.10 Mbarara-Isingiro'!H29)</f>
        <v>0</v>
      </c>
      <c r="I29" s="49">
        <f>AVERAGE('25.10 Mbarara-Isingiro'!I29,'26.10 Mbarara-Isingiro-24Hr'!I29,'27.10 Mbarara-Isingiro'!I29,'28.10 Mbarara-Isingiro-24Hr'!I29,'29.10 Mbarara-Isingiro'!I29,'30.10 Mbarara-Isingiro'!I29,'31.10 Mbarara-Isingiro'!I29)</f>
        <v>2.1428571428571428</v>
      </c>
      <c r="J29" s="49">
        <f>AVERAGE('25.10 Mbarara-Isingiro'!J29,'26.10 Mbarara-Isingiro-24Hr'!J29,'27.10 Mbarara-Isingiro'!J29,'28.10 Mbarara-Isingiro-24Hr'!J29,'29.10 Mbarara-Isingiro'!J29,'30.10 Mbarara-Isingiro'!J29,'31.10 Mbarara-Isingiro'!J29)</f>
        <v>1</v>
      </c>
      <c r="K29" s="49">
        <f>AVERAGE('25.10 Mbarara-Isingiro'!K29,'26.10 Mbarara-Isingiro-24Hr'!K29,'27.10 Mbarara-Isingiro'!K29,'28.10 Mbarara-Isingiro-24Hr'!K29,'29.10 Mbarara-Isingiro'!K29,'30.10 Mbarara-Isingiro'!K29,'31.10 Mbarara-Isingiro'!K29)</f>
        <v>0</v>
      </c>
      <c r="L29" s="49">
        <f>AVERAGE('25.10 Mbarara-Isingiro'!L29,'26.10 Mbarara-Isingiro-24Hr'!L29,'27.10 Mbarara-Isingiro'!L29,'28.10 Mbarara-Isingiro-24Hr'!L29,'29.10 Mbarara-Isingiro'!L29,'30.10 Mbarara-Isingiro'!L29,'31.10 Mbarara-Isingiro'!L29)</f>
        <v>0.14285714285714285</v>
      </c>
      <c r="M29" s="49">
        <f>AVERAGE('25.10 Mbarara-Isingiro'!M29,'26.10 Mbarara-Isingiro-24Hr'!M29,'27.10 Mbarara-Isingiro'!M29,'28.10 Mbarara-Isingiro-24Hr'!M29,'29.10 Mbarara-Isingiro'!M29,'30.10 Mbarara-Isingiro'!M29,'31.10 Mbarara-Isingiro'!M29)</f>
        <v>29.285714285714285</v>
      </c>
      <c r="N29" s="49">
        <f>AVERAGE('25.10 Mbarara-Isingiro'!N29,'26.10 Mbarara-Isingiro-24Hr'!N29,'27.10 Mbarara-Isingiro'!N29,'28.10 Mbarara-Isingiro-24Hr'!N29,'29.10 Mbarara-Isingiro'!N29,'30.10 Mbarara-Isingiro'!N29,'31.10 Mbarara-Isingiro'!N29)</f>
        <v>0</v>
      </c>
      <c r="O29" s="15">
        <f t="shared" si="0"/>
        <v>19.857142857142858</v>
      </c>
      <c r="P29" s="15">
        <f t="shared" si="1"/>
        <v>49.142857142857139</v>
      </c>
      <c r="R29" s="1" t="s">
        <v>153</v>
      </c>
      <c r="S29" s="34">
        <f>SUM(C86:C89)</f>
        <v>2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1</v>
      </c>
      <c r="AA29" s="34">
        <f t="shared" si="21"/>
        <v>0</v>
      </c>
      <c r="AB29" s="34">
        <f t="shared" si="21"/>
        <v>0</v>
      </c>
      <c r="AC29" s="34">
        <f t="shared" si="21"/>
        <v>7.5</v>
      </c>
      <c r="AD29" s="34">
        <f t="shared" si="21"/>
        <v>0</v>
      </c>
      <c r="AE29" s="31">
        <f t="shared" si="21"/>
        <v>4</v>
      </c>
      <c r="AF29" s="31">
        <f t="shared" si="21"/>
        <v>11.5</v>
      </c>
    </row>
    <row r="30" spans="2:32" ht="23.1" customHeight="1" x14ac:dyDescent="0.25">
      <c r="B30" s="23" t="s">
        <v>57</v>
      </c>
      <c r="C30" s="49">
        <f>AVERAGE('25.10 Mbarara-Isingiro'!C30,'26.10 Mbarara-Isingiro-24Hr'!C30,'27.10 Mbarara-Isingiro'!C30,'28.10 Mbarara-Isingiro-24Hr'!C30,'29.10 Mbarara-Isingiro'!C30,'30.10 Mbarara-Isingiro'!C30,'31.10 Mbarara-Isingiro'!C30)</f>
        <v>6.8571428571428568</v>
      </c>
      <c r="D30" s="49">
        <f>AVERAGE('25.10 Mbarara-Isingiro'!D30,'26.10 Mbarara-Isingiro-24Hr'!D30,'27.10 Mbarara-Isingiro'!D30,'28.10 Mbarara-Isingiro-24Hr'!D30,'29.10 Mbarara-Isingiro'!D30,'30.10 Mbarara-Isingiro'!D30,'31.10 Mbarara-Isingiro'!D30)</f>
        <v>1</v>
      </c>
      <c r="E30" s="49">
        <f>AVERAGE('25.10 Mbarara-Isingiro'!E30,'26.10 Mbarara-Isingiro-24Hr'!E30,'27.10 Mbarara-Isingiro'!E30,'28.10 Mbarara-Isingiro-24Hr'!E30,'29.10 Mbarara-Isingiro'!E30,'30.10 Mbarara-Isingiro'!E30,'31.10 Mbarara-Isingiro'!E30)</f>
        <v>2</v>
      </c>
      <c r="F30" s="49">
        <f>AVERAGE('25.10 Mbarara-Isingiro'!F30,'26.10 Mbarara-Isingiro-24Hr'!F30,'27.10 Mbarara-Isingiro'!F30,'28.10 Mbarara-Isingiro-24Hr'!F30,'29.10 Mbarara-Isingiro'!F30,'30.10 Mbarara-Isingiro'!F30,'31.10 Mbarara-Isingiro'!F30)</f>
        <v>3.2857142857142856</v>
      </c>
      <c r="G30" s="49">
        <f>AVERAGE('25.10 Mbarara-Isingiro'!G30,'26.10 Mbarara-Isingiro-24Hr'!G30,'27.10 Mbarara-Isingiro'!G30,'28.10 Mbarara-Isingiro-24Hr'!G30,'29.10 Mbarara-Isingiro'!G30,'30.10 Mbarara-Isingiro'!G30,'31.10 Mbarara-Isingiro'!G30)</f>
        <v>0</v>
      </c>
      <c r="H30" s="49">
        <f>AVERAGE('25.10 Mbarara-Isingiro'!H30,'26.10 Mbarara-Isingiro-24Hr'!H30,'27.10 Mbarara-Isingiro'!H30,'28.10 Mbarara-Isingiro-24Hr'!H30,'29.10 Mbarara-Isingiro'!H30,'30.10 Mbarara-Isingiro'!H30,'31.10 Mbarara-Isingiro'!H30)</f>
        <v>0</v>
      </c>
      <c r="I30" s="49">
        <f>AVERAGE('25.10 Mbarara-Isingiro'!I30,'26.10 Mbarara-Isingiro-24Hr'!I30,'27.10 Mbarara-Isingiro'!I30,'28.10 Mbarara-Isingiro-24Hr'!I30,'29.10 Mbarara-Isingiro'!I30,'30.10 Mbarara-Isingiro'!I30,'31.10 Mbarara-Isingiro'!I30)</f>
        <v>1.2857142857142858</v>
      </c>
      <c r="J30" s="49">
        <f>AVERAGE('25.10 Mbarara-Isingiro'!J30,'26.10 Mbarara-Isingiro-24Hr'!J30,'27.10 Mbarara-Isingiro'!J30,'28.10 Mbarara-Isingiro-24Hr'!J30,'29.10 Mbarara-Isingiro'!J30,'30.10 Mbarara-Isingiro'!J30,'31.10 Mbarara-Isingiro'!J30)</f>
        <v>0.7142857142857143</v>
      </c>
      <c r="K30" s="49">
        <f>AVERAGE('25.10 Mbarara-Isingiro'!K30,'26.10 Mbarara-Isingiro-24Hr'!K30,'27.10 Mbarara-Isingiro'!K30,'28.10 Mbarara-Isingiro-24Hr'!K30,'29.10 Mbarara-Isingiro'!K30,'30.10 Mbarara-Isingiro'!K30,'31.10 Mbarara-Isingiro'!K30)</f>
        <v>0.42857142857142855</v>
      </c>
      <c r="L30" s="49">
        <f>AVERAGE('25.10 Mbarara-Isingiro'!L30,'26.10 Mbarara-Isingiro-24Hr'!L30,'27.10 Mbarara-Isingiro'!L30,'28.10 Mbarara-Isingiro-24Hr'!L30,'29.10 Mbarara-Isingiro'!L30,'30.10 Mbarara-Isingiro'!L30,'31.10 Mbarara-Isingiro'!L30)</f>
        <v>0</v>
      </c>
      <c r="M30" s="49">
        <f>AVERAGE('25.10 Mbarara-Isingiro'!M30,'26.10 Mbarara-Isingiro-24Hr'!M30,'27.10 Mbarara-Isingiro'!M30,'28.10 Mbarara-Isingiro-24Hr'!M30,'29.10 Mbarara-Isingiro'!M30,'30.10 Mbarara-Isingiro'!M30,'31.10 Mbarara-Isingiro'!M30)</f>
        <v>30.285714285714285</v>
      </c>
      <c r="N30" s="49">
        <f>AVERAGE('25.10 Mbarara-Isingiro'!N30,'26.10 Mbarara-Isingiro-24Hr'!N30,'27.10 Mbarara-Isingiro'!N30,'28.10 Mbarara-Isingiro-24Hr'!N30,'29.10 Mbarara-Isingiro'!N30,'30.10 Mbarara-Isingiro'!N30,'31.10 Mbarara-Isingiro'!N30)</f>
        <v>0</v>
      </c>
      <c r="O30" s="15">
        <f t="shared" si="0"/>
        <v>15.571428571428571</v>
      </c>
      <c r="P30" s="15">
        <f t="shared" si="1"/>
        <v>45.857142857142854</v>
      </c>
      <c r="R30" s="1" t="s">
        <v>154</v>
      </c>
      <c r="S30" s="34">
        <f>SUM(C90:C93)</f>
        <v>5</v>
      </c>
      <c r="T30" s="34">
        <f t="shared" ref="T30:AF30" si="22">SUM(D90:D93)</f>
        <v>1</v>
      </c>
      <c r="U30" s="34">
        <f t="shared" si="22"/>
        <v>0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0.5</v>
      </c>
      <c r="Z30" s="34">
        <f t="shared" si="22"/>
        <v>1.5</v>
      </c>
      <c r="AA30" s="34">
        <f t="shared" si="22"/>
        <v>0</v>
      </c>
      <c r="AB30" s="34">
        <f t="shared" si="22"/>
        <v>0.5</v>
      </c>
      <c r="AC30" s="34">
        <f t="shared" si="22"/>
        <v>5.5</v>
      </c>
      <c r="AD30" s="34">
        <f t="shared" si="22"/>
        <v>0</v>
      </c>
      <c r="AE30" s="31">
        <f t="shared" si="22"/>
        <v>9</v>
      </c>
      <c r="AF30" s="31">
        <f t="shared" si="22"/>
        <v>14.5</v>
      </c>
    </row>
    <row r="31" spans="2:32" ht="23.1" customHeight="1" x14ac:dyDescent="0.25">
      <c r="B31" s="24" t="s">
        <v>58</v>
      </c>
      <c r="C31" s="49">
        <f>AVERAGE('25.10 Mbarara-Isingiro'!C31,'26.10 Mbarara-Isingiro-24Hr'!C31,'27.10 Mbarara-Isingiro'!C31,'28.10 Mbarara-Isingiro-24Hr'!C31,'29.10 Mbarara-Isingiro'!C31,'30.10 Mbarara-Isingiro'!C31,'31.10 Mbarara-Isingiro'!C31)</f>
        <v>7.4285714285714288</v>
      </c>
      <c r="D31" s="49">
        <f>AVERAGE('25.10 Mbarara-Isingiro'!D31,'26.10 Mbarara-Isingiro-24Hr'!D31,'27.10 Mbarara-Isingiro'!D31,'28.10 Mbarara-Isingiro-24Hr'!D31,'29.10 Mbarara-Isingiro'!D31,'30.10 Mbarara-Isingiro'!D31,'31.10 Mbarara-Isingiro'!D31)</f>
        <v>1.7142857142857142</v>
      </c>
      <c r="E31" s="49">
        <f>AVERAGE('25.10 Mbarara-Isingiro'!E31,'26.10 Mbarara-Isingiro-24Hr'!E31,'27.10 Mbarara-Isingiro'!E31,'28.10 Mbarara-Isingiro-24Hr'!E31,'29.10 Mbarara-Isingiro'!E31,'30.10 Mbarara-Isingiro'!E31,'31.10 Mbarara-Isingiro'!E31)</f>
        <v>1.2857142857142858</v>
      </c>
      <c r="F31" s="49">
        <f>AVERAGE('25.10 Mbarara-Isingiro'!F31,'26.10 Mbarara-Isingiro-24Hr'!F31,'27.10 Mbarara-Isingiro'!F31,'28.10 Mbarara-Isingiro-24Hr'!F31,'29.10 Mbarara-Isingiro'!F31,'30.10 Mbarara-Isingiro'!F31,'31.10 Mbarara-Isingiro'!F31)</f>
        <v>2.7142857142857144</v>
      </c>
      <c r="G31" s="49">
        <f>AVERAGE('25.10 Mbarara-Isingiro'!G31,'26.10 Mbarara-Isingiro-24Hr'!G31,'27.10 Mbarara-Isingiro'!G31,'28.10 Mbarara-Isingiro-24Hr'!G31,'29.10 Mbarara-Isingiro'!G31,'30.10 Mbarara-Isingiro'!G31,'31.10 Mbarara-Isingiro'!G31)</f>
        <v>0</v>
      </c>
      <c r="H31" s="49">
        <f>AVERAGE('25.10 Mbarara-Isingiro'!H31,'26.10 Mbarara-Isingiro-24Hr'!H31,'27.10 Mbarara-Isingiro'!H31,'28.10 Mbarara-Isingiro-24Hr'!H31,'29.10 Mbarara-Isingiro'!H31,'30.10 Mbarara-Isingiro'!H31,'31.10 Mbarara-Isingiro'!H31)</f>
        <v>0</v>
      </c>
      <c r="I31" s="49">
        <f>AVERAGE('25.10 Mbarara-Isingiro'!I31,'26.10 Mbarara-Isingiro-24Hr'!I31,'27.10 Mbarara-Isingiro'!I31,'28.10 Mbarara-Isingiro-24Hr'!I31,'29.10 Mbarara-Isingiro'!I31,'30.10 Mbarara-Isingiro'!I31,'31.10 Mbarara-Isingiro'!I31)</f>
        <v>1.5714285714285714</v>
      </c>
      <c r="J31" s="49">
        <f>AVERAGE('25.10 Mbarara-Isingiro'!J31,'26.10 Mbarara-Isingiro-24Hr'!J31,'27.10 Mbarara-Isingiro'!J31,'28.10 Mbarara-Isingiro-24Hr'!J31,'29.10 Mbarara-Isingiro'!J31,'30.10 Mbarara-Isingiro'!J31,'31.10 Mbarara-Isingiro'!J31)</f>
        <v>1.7142857142857142</v>
      </c>
      <c r="K31" s="49">
        <f>AVERAGE('25.10 Mbarara-Isingiro'!K31,'26.10 Mbarara-Isingiro-24Hr'!K31,'27.10 Mbarara-Isingiro'!K31,'28.10 Mbarara-Isingiro-24Hr'!K31,'29.10 Mbarara-Isingiro'!K31,'30.10 Mbarara-Isingiro'!K31,'31.10 Mbarara-Isingiro'!K31)</f>
        <v>0</v>
      </c>
      <c r="L31" s="49">
        <f>AVERAGE('25.10 Mbarara-Isingiro'!L31,'26.10 Mbarara-Isingiro-24Hr'!L31,'27.10 Mbarara-Isingiro'!L31,'28.10 Mbarara-Isingiro-24Hr'!L31,'29.10 Mbarara-Isingiro'!L31,'30.10 Mbarara-Isingiro'!L31,'31.10 Mbarara-Isingiro'!L31)</f>
        <v>0</v>
      </c>
      <c r="M31" s="49">
        <f>AVERAGE('25.10 Mbarara-Isingiro'!M31,'26.10 Mbarara-Isingiro-24Hr'!M31,'27.10 Mbarara-Isingiro'!M31,'28.10 Mbarara-Isingiro-24Hr'!M31,'29.10 Mbarara-Isingiro'!M31,'30.10 Mbarara-Isingiro'!M31,'31.10 Mbarara-Isingiro'!M31)</f>
        <v>30.714285714285715</v>
      </c>
      <c r="N31" s="49">
        <f>AVERAGE('25.10 Mbarara-Isingiro'!N31,'26.10 Mbarara-Isingiro-24Hr'!N31,'27.10 Mbarara-Isingiro'!N31,'28.10 Mbarara-Isingiro-24Hr'!N31,'29.10 Mbarara-Isingiro'!N31,'30.10 Mbarara-Isingiro'!N31,'31.10 Mbarara-Isingiro'!N31)</f>
        <v>0</v>
      </c>
      <c r="O31" s="15">
        <f t="shared" si="0"/>
        <v>16.428571428571427</v>
      </c>
      <c r="P31" s="15">
        <f t="shared" si="1"/>
        <v>47.142857142857139</v>
      </c>
      <c r="R31" s="1" t="s">
        <v>155</v>
      </c>
      <c r="S31" s="34">
        <f>SUM(C94:C97)</f>
        <v>6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1.5</v>
      </c>
      <c r="Z31" s="34">
        <f t="shared" si="23"/>
        <v>0</v>
      </c>
      <c r="AA31" s="34">
        <f t="shared" si="23"/>
        <v>0</v>
      </c>
      <c r="AB31" s="34">
        <f t="shared" si="23"/>
        <v>0.5</v>
      </c>
      <c r="AC31" s="34">
        <f t="shared" si="23"/>
        <v>1.5</v>
      </c>
      <c r="AD31" s="34">
        <f t="shared" si="23"/>
        <v>0</v>
      </c>
      <c r="AE31" s="31">
        <f t="shared" si="23"/>
        <v>9.5</v>
      </c>
      <c r="AF31" s="31">
        <f t="shared" si="23"/>
        <v>11</v>
      </c>
    </row>
    <row r="32" spans="2:32" ht="23.1" customHeight="1" x14ac:dyDescent="0.25">
      <c r="B32" s="24" t="s">
        <v>59</v>
      </c>
      <c r="C32" s="49">
        <f>AVERAGE('25.10 Mbarara-Isingiro'!C32,'26.10 Mbarara-Isingiro-24Hr'!C32,'27.10 Mbarara-Isingiro'!C32,'28.10 Mbarara-Isingiro-24Hr'!C32,'29.10 Mbarara-Isingiro'!C32,'30.10 Mbarara-Isingiro'!C32,'31.10 Mbarara-Isingiro'!C32)</f>
        <v>9.5714285714285712</v>
      </c>
      <c r="D32" s="49">
        <f>AVERAGE('25.10 Mbarara-Isingiro'!D32,'26.10 Mbarara-Isingiro-24Hr'!D32,'27.10 Mbarara-Isingiro'!D32,'28.10 Mbarara-Isingiro-24Hr'!D32,'29.10 Mbarara-Isingiro'!D32,'30.10 Mbarara-Isingiro'!D32,'31.10 Mbarara-Isingiro'!D32)</f>
        <v>1.7142857142857142</v>
      </c>
      <c r="E32" s="49">
        <f>AVERAGE('25.10 Mbarara-Isingiro'!E32,'26.10 Mbarara-Isingiro-24Hr'!E32,'27.10 Mbarara-Isingiro'!E32,'28.10 Mbarara-Isingiro-24Hr'!E32,'29.10 Mbarara-Isingiro'!E32,'30.10 Mbarara-Isingiro'!E32,'31.10 Mbarara-Isingiro'!E32)</f>
        <v>0.8571428571428571</v>
      </c>
      <c r="F32" s="49">
        <f>AVERAGE('25.10 Mbarara-Isingiro'!F32,'26.10 Mbarara-Isingiro-24Hr'!F32,'27.10 Mbarara-Isingiro'!F32,'28.10 Mbarara-Isingiro-24Hr'!F32,'29.10 Mbarara-Isingiro'!F32,'30.10 Mbarara-Isingiro'!F32,'31.10 Mbarara-Isingiro'!F32)</f>
        <v>3.1428571428571428</v>
      </c>
      <c r="G32" s="49">
        <f>AVERAGE('25.10 Mbarara-Isingiro'!G32,'26.10 Mbarara-Isingiro-24Hr'!G32,'27.10 Mbarara-Isingiro'!G32,'28.10 Mbarara-Isingiro-24Hr'!G32,'29.10 Mbarara-Isingiro'!G32,'30.10 Mbarara-Isingiro'!G32,'31.10 Mbarara-Isingiro'!G32)</f>
        <v>0.14285714285714285</v>
      </c>
      <c r="H32" s="49">
        <f>AVERAGE('25.10 Mbarara-Isingiro'!H32,'26.10 Mbarara-Isingiro-24Hr'!H32,'27.10 Mbarara-Isingiro'!H32,'28.10 Mbarara-Isingiro-24Hr'!H32,'29.10 Mbarara-Isingiro'!H32,'30.10 Mbarara-Isingiro'!H32,'31.10 Mbarara-Isingiro'!H32)</f>
        <v>0</v>
      </c>
      <c r="I32" s="49">
        <f>AVERAGE('25.10 Mbarara-Isingiro'!I32,'26.10 Mbarara-Isingiro-24Hr'!I32,'27.10 Mbarara-Isingiro'!I32,'28.10 Mbarara-Isingiro-24Hr'!I32,'29.10 Mbarara-Isingiro'!I32,'30.10 Mbarara-Isingiro'!I32,'31.10 Mbarara-Isingiro'!I32)</f>
        <v>1.5714285714285714</v>
      </c>
      <c r="J32" s="49">
        <f>AVERAGE('25.10 Mbarara-Isingiro'!J32,'26.10 Mbarara-Isingiro-24Hr'!J32,'27.10 Mbarara-Isingiro'!J32,'28.10 Mbarara-Isingiro-24Hr'!J32,'29.10 Mbarara-Isingiro'!J32,'30.10 Mbarara-Isingiro'!J32,'31.10 Mbarara-Isingiro'!J32)</f>
        <v>1</v>
      </c>
      <c r="K32" s="49">
        <f>AVERAGE('25.10 Mbarara-Isingiro'!K32,'26.10 Mbarara-Isingiro-24Hr'!K32,'27.10 Mbarara-Isingiro'!K32,'28.10 Mbarara-Isingiro-24Hr'!K32,'29.10 Mbarara-Isingiro'!K32,'30.10 Mbarara-Isingiro'!K32,'31.10 Mbarara-Isingiro'!K32)</f>
        <v>0</v>
      </c>
      <c r="L32" s="49">
        <f>AVERAGE('25.10 Mbarara-Isingiro'!L32,'26.10 Mbarara-Isingiro-24Hr'!L32,'27.10 Mbarara-Isingiro'!L32,'28.10 Mbarara-Isingiro-24Hr'!L32,'29.10 Mbarara-Isingiro'!L32,'30.10 Mbarara-Isingiro'!L32,'31.10 Mbarara-Isingiro'!L32)</f>
        <v>0</v>
      </c>
      <c r="M32" s="49">
        <f>AVERAGE('25.10 Mbarara-Isingiro'!M32,'26.10 Mbarara-Isingiro-24Hr'!M32,'27.10 Mbarara-Isingiro'!M32,'28.10 Mbarara-Isingiro-24Hr'!M32,'29.10 Mbarara-Isingiro'!M32,'30.10 Mbarara-Isingiro'!M32,'31.10 Mbarara-Isingiro'!M32)</f>
        <v>36.285714285714285</v>
      </c>
      <c r="N32" s="49">
        <f>AVERAGE('25.10 Mbarara-Isingiro'!N32,'26.10 Mbarara-Isingiro-24Hr'!N32,'27.10 Mbarara-Isingiro'!N32,'28.10 Mbarara-Isingiro-24Hr'!N32,'29.10 Mbarara-Isingiro'!N32,'30.10 Mbarara-Isingiro'!N32,'31.10 Mbarara-Isingiro'!N32)</f>
        <v>0</v>
      </c>
      <c r="O32" s="15">
        <f t="shared" si="0"/>
        <v>18</v>
      </c>
      <c r="P32" s="15">
        <f t="shared" si="1"/>
        <v>54.285714285714285</v>
      </c>
      <c r="R32" s="1" t="s">
        <v>156</v>
      </c>
      <c r="S32" s="34">
        <f>SUM(C98:C101)</f>
        <v>4</v>
      </c>
      <c r="T32" s="34">
        <f t="shared" ref="T32:AF32" si="24">SUM(D98:D101)</f>
        <v>0.5</v>
      </c>
      <c r="U32" s="34">
        <f t="shared" si="24"/>
        <v>1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2.5</v>
      </c>
      <c r="AA32" s="34">
        <f t="shared" si="24"/>
        <v>0</v>
      </c>
      <c r="AB32" s="34">
        <f t="shared" si="24"/>
        <v>1</v>
      </c>
      <c r="AC32" s="34">
        <f t="shared" si="24"/>
        <v>4</v>
      </c>
      <c r="AD32" s="34">
        <f t="shared" si="24"/>
        <v>0</v>
      </c>
      <c r="AE32" s="31">
        <f t="shared" si="24"/>
        <v>11</v>
      </c>
      <c r="AF32" s="31">
        <f t="shared" si="24"/>
        <v>15</v>
      </c>
    </row>
    <row r="33" spans="2:32" ht="23.1" customHeight="1" x14ac:dyDescent="0.25">
      <c r="B33" s="23" t="s">
        <v>60</v>
      </c>
      <c r="C33" s="49">
        <f>AVERAGE('25.10 Mbarara-Isingiro'!C33,'26.10 Mbarara-Isingiro-24Hr'!C33,'27.10 Mbarara-Isingiro'!C33,'28.10 Mbarara-Isingiro-24Hr'!C33,'29.10 Mbarara-Isingiro'!C33,'30.10 Mbarara-Isingiro'!C33,'31.10 Mbarara-Isingiro'!C33)</f>
        <v>9.4285714285714288</v>
      </c>
      <c r="D33" s="49">
        <f>AVERAGE('25.10 Mbarara-Isingiro'!D33,'26.10 Mbarara-Isingiro-24Hr'!D33,'27.10 Mbarara-Isingiro'!D33,'28.10 Mbarara-Isingiro-24Hr'!D33,'29.10 Mbarara-Isingiro'!D33,'30.10 Mbarara-Isingiro'!D33,'31.10 Mbarara-Isingiro'!D33)</f>
        <v>1.5714285714285714</v>
      </c>
      <c r="E33" s="49">
        <f>AVERAGE('25.10 Mbarara-Isingiro'!E33,'26.10 Mbarara-Isingiro-24Hr'!E33,'27.10 Mbarara-Isingiro'!E33,'28.10 Mbarara-Isingiro-24Hr'!E33,'29.10 Mbarara-Isingiro'!E33,'30.10 Mbarara-Isingiro'!E33,'31.10 Mbarara-Isingiro'!E33)</f>
        <v>1.4285714285714286</v>
      </c>
      <c r="F33" s="49">
        <f>AVERAGE('25.10 Mbarara-Isingiro'!F33,'26.10 Mbarara-Isingiro-24Hr'!F33,'27.10 Mbarara-Isingiro'!F33,'28.10 Mbarara-Isingiro-24Hr'!F33,'29.10 Mbarara-Isingiro'!F33,'30.10 Mbarara-Isingiro'!F33,'31.10 Mbarara-Isingiro'!F33)</f>
        <v>4.2857142857142856</v>
      </c>
      <c r="G33" s="49">
        <f>AVERAGE('25.10 Mbarara-Isingiro'!G33,'26.10 Mbarara-Isingiro-24Hr'!G33,'27.10 Mbarara-Isingiro'!G33,'28.10 Mbarara-Isingiro-24Hr'!G33,'29.10 Mbarara-Isingiro'!G33,'30.10 Mbarara-Isingiro'!G33,'31.10 Mbarara-Isingiro'!G33)</f>
        <v>0</v>
      </c>
      <c r="H33" s="49">
        <f>AVERAGE('25.10 Mbarara-Isingiro'!H33,'26.10 Mbarara-Isingiro-24Hr'!H33,'27.10 Mbarara-Isingiro'!H33,'28.10 Mbarara-Isingiro-24Hr'!H33,'29.10 Mbarara-Isingiro'!H33,'30.10 Mbarara-Isingiro'!H33,'31.10 Mbarara-Isingiro'!H33)</f>
        <v>0</v>
      </c>
      <c r="I33" s="49">
        <f>AVERAGE('25.10 Mbarara-Isingiro'!I33,'26.10 Mbarara-Isingiro-24Hr'!I33,'27.10 Mbarara-Isingiro'!I33,'28.10 Mbarara-Isingiro-24Hr'!I33,'29.10 Mbarara-Isingiro'!I33,'30.10 Mbarara-Isingiro'!I33,'31.10 Mbarara-Isingiro'!I33)</f>
        <v>1.4285714285714286</v>
      </c>
      <c r="J33" s="49">
        <f>AVERAGE('25.10 Mbarara-Isingiro'!J33,'26.10 Mbarara-Isingiro-24Hr'!J33,'27.10 Mbarara-Isingiro'!J33,'28.10 Mbarara-Isingiro-24Hr'!J33,'29.10 Mbarara-Isingiro'!J33,'30.10 Mbarara-Isingiro'!J33,'31.10 Mbarara-Isingiro'!J33)</f>
        <v>1.5714285714285714</v>
      </c>
      <c r="K33" s="49">
        <f>AVERAGE('25.10 Mbarara-Isingiro'!K33,'26.10 Mbarara-Isingiro-24Hr'!K33,'27.10 Mbarara-Isingiro'!K33,'28.10 Mbarara-Isingiro-24Hr'!K33,'29.10 Mbarara-Isingiro'!K33,'30.10 Mbarara-Isingiro'!K33,'31.10 Mbarara-Isingiro'!K33)</f>
        <v>0.14285714285714285</v>
      </c>
      <c r="L33" s="49">
        <f>AVERAGE('25.10 Mbarara-Isingiro'!L33,'26.10 Mbarara-Isingiro-24Hr'!L33,'27.10 Mbarara-Isingiro'!L33,'28.10 Mbarara-Isingiro-24Hr'!L33,'29.10 Mbarara-Isingiro'!L33,'30.10 Mbarara-Isingiro'!L33,'31.10 Mbarara-Isingiro'!L33)</f>
        <v>0</v>
      </c>
      <c r="M33" s="49">
        <f>AVERAGE('25.10 Mbarara-Isingiro'!M33,'26.10 Mbarara-Isingiro-24Hr'!M33,'27.10 Mbarara-Isingiro'!M33,'28.10 Mbarara-Isingiro-24Hr'!M33,'29.10 Mbarara-Isingiro'!M33,'30.10 Mbarara-Isingiro'!M33,'31.10 Mbarara-Isingiro'!M33)</f>
        <v>35.571428571428569</v>
      </c>
      <c r="N33" s="49">
        <f>AVERAGE('25.10 Mbarara-Isingiro'!N33,'26.10 Mbarara-Isingiro-24Hr'!N33,'27.10 Mbarara-Isingiro'!N33,'28.10 Mbarara-Isingiro-24Hr'!N33,'29.10 Mbarara-Isingiro'!N33,'30.10 Mbarara-Isingiro'!N33,'31.10 Mbarara-Isingiro'!N33)</f>
        <v>0</v>
      </c>
      <c r="O33" s="15">
        <f t="shared" si="0"/>
        <v>19.857142857142858</v>
      </c>
      <c r="P33" s="15">
        <f t="shared" si="1"/>
        <v>55.428571428571431</v>
      </c>
      <c r="R33" s="1" t="s">
        <v>157</v>
      </c>
      <c r="S33" s="34">
        <f>SUM(C102:C105)</f>
        <v>14</v>
      </c>
      <c r="T33" s="34">
        <f t="shared" ref="T33:AF33" si="25">SUM(D102:D105)</f>
        <v>2</v>
      </c>
      <c r="U33" s="34">
        <f t="shared" si="25"/>
        <v>2.5</v>
      </c>
      <c r="V33" s="34">
        <f t="shared" si="25"/>
        <v>3.5</v>
      </c>
      <c r="W33" s="34">
        <f t="shared" si="25"/>
        <v>0.5</v>
      </c>
      <c r="X33" s="34">
        <f t="shared" si="25"/>
        <v>0</v>
      </c>
      <c r="Y33" s="34">
        <f t="shared" si="25"/>
        <v>2</v>
      </c>
      <c r="Z33" s="34">
        <f t="shared" si="25"/>
        <v>4.5</v>
      </c>
      <c r="AA33" s="34">
        <f t="shared" si="25"/>
        <v>0.5</v>
      </c>
      <c r="AB33" s="34">
        <f t="shared" si="25"/>
        <v>3</v>
      </c>
      <c r="AC33" s="34">
        <f t="shared" si="25"/>
        <v>34.5</v>
      </c>
      <c r="AD33" s="34">
        <f t="shared" si="25"/>
        <v>0</v>
      </c>
      <c r="AE33" s="31">
        <f t="shared" si="25"/>
        <v>32.5</v>
      </c>
      <c r="AF33" s="31">
        <f t="shared" si="25"/>
        <v>67</v>
      </c>
    </row>
    <row r="34" spans="2:32" ht="23.1" customHeight="1" x14ac:dyDescent="0.25">
      <c r="B34" s="24" t="s">
        <v>61</v>
      </c>
      <c r="C34" s="49">
        <f>AVERAGE('25.10 Mbarara-Isingiro'!C34,'26.10 Mbarara-Isingiro-24Hr'!C34,'27.10 Mbarara-Isingiro'!C34,'28.10 Mbarara-Isingiro-24Hr'!C34,'29.10 Mbarara-Isingiro'!C34,'30.10 Mbarara-Isingiro'!C34,'31.10 Mbarara-Isingiro'!C34)</f>
        <v>9.4285714285714288</v>
      </c>
      <c r="D34" s="49">
        <f>AVERAGE('25.10 Mbarara-Isingiro'!D34,'26.10 Mbarara-Isingiro-24Hr'!D34,'27.10 Mbarara-Isingiro'!D34,'28.10 Mbarara-Isingiro-24Hr'!D34,'29.10 Mbarara-Isingiro'!D34,'30.10 Mbarara-Isingiro'!D34,'31.10 Mbarara-Isingiro'!D34)</f>
        <v>1.1428571428571428</v>
      </c>
      <c r="E34" s="49">
        <f>AVERAGE('25.10 Mbarara-Isingiro'!E34,'26.10 Mbarara-Isingiro-24Hr'!E34,'27.10 Mbarara-Isingiro'!E34,'28.10 Mbarara-Isingiro-24Hr'!E34,'29.10 Mbarara-Isingiro'!E34,'30.10 Mbarara-Isingiro'!E34,'31.10 Mbarara-Isingiro'!E34)</f>
        <v>3.1428571428571428</v>
      </c>
      <c r="F34" s="49">
        <f>AVERAGE('25.10 Mbarara-Isingiro'!F34,'26.10 Mbarara-Isingiro-24Hr'!F34,'27.10 Mbarara-Isingiro'!F34,'28.10 Mbarara-Isingiro-24Hr'!F34,'29.10 Mbarara-Isingiro'!F34,'30.10 Mbarara-Isingiro'!F34,'31.10 Mbarara-Isingiro'!F34)</f>
        <v>2.8571428571428572</v>
      </c>
      <c r="G34" s="49">
        <f>AVERAGE('25.10 Mbarara-Isingiro'!G34,'26.10 Mbarara-Isingiro-24Hr'!G34,'27.10 Mbarara-Isingiro'!G34,'28.10 Mbarara-Isingiro-24Hr'!G34,'29.10 Mbarara-Isingiro'!G34,'30.10 Mbarara-Isingiro'!G34,'31.10 Mbarara-Isingiro'!G34)</f>
        <v>0.14285714285714285</v>
      </c>
      <c r="H34" s="49">
        <f>AVERAGE('25.10 Mbarara-Isingiro'!H34,'26.10 Mbarara-Isingiro-24Hr'!H34,'27.10 Mbarara-Isingiro'!H34,'28.10 Mbarara-Isingiro-24Hr'!H34,'29.10 Mbarara-Isingiro'!H34,'30.10 Mbarara-Isingiro'!H34,'31.10 Mbarara-Isingiro'!H34)</f>
        <v>0</v>
      </c>
      <c r="I34" s="49">
        <f>AVERAGE('25.10 Mbarara-Isingiro'!I34,'26.10 Mbarara-Isingiro-24Hr'!I34,'27.10 Mbarara-Isingiro'!I34,'28.10 Mbarara-Isingiro-24Hr'!I34,'29.10 Mbarara-Isingiro'!I34,'30.10 Mbarara-Isingiro'!I34,'31.10 Mbarara-Isingiro'!I34)</f>
        <v>2</v>
      </c>
      <c r="J34" s="49">
        <f>AVERAGE('25.10 Mbarara-Isingiro'!J34,'26.10 Mbarara-Isingiro-24Hr'!J34,'27.10 Mbarara-Isingiro'!J34,'28.10 Mbarara-Isingiro-24Hr'!J34,'29.10 Mbarara-Isingiro'!J34,'30.10 Mbarara-Isingiro'!J34,'31.10 Mbarara-Isingiro'!J34)</f>
        <v>1.4285714285714286</v>
      </c>
      <c r="K34" s="49">
        <f>AVERAGE('25.10 Mbarara-Isingiro'!K34,'26.10 Mbarara-Isingiro-24Hr'!K34,'27.10 Mbarara-Isingiro'!K34,'28.10 Mbarara-Isingiro-24Hr'!K34,'29.10 Mbarara-Isingiro'!K34,'30.10 Mbarara-Isingiro'!K34,'31.10 Mbarara-Isingiro'!K34)</f>
        <v>0.2857142857142857</v>
      </c>
      <c r="L34" s="49">
        <f>AVERAGE('25.10 Mbarara-Isingiro'!L34,'26.10 Mbarara-Isingiro-24Hr'!L34,'27.10 Mbarara-Isingiro'!L34,'28.10 Mbarara-Isingiro-24Hr'!L34,'29.10 Mbarara-Isingiro'!L34,'30.10 Mbarara-Isingiro'!L34,'31.10 Mbarara-Isingiro'!L34)</f>
        <v>0.14285714285714285</v>
      </c>
      <c r="M34" s="49">
        <f>AVERAGE('25.10 Mbarara-Isingiro'!M34,'26.10 Mbarara-Isingiro-24Hr'!M34,'27.10 Mbarara-Isingiro'!M34,'28.10 Mbarara-Isingiro-24Hr'!M34,'29.10 Mbarara-Isingiro'!M34,'30.10 Mbarara-Isingiro'!M34,'31.10 Mbarara-Isingiro'!M34)</f>
        <v>33.142857142857146</v>
      </c>
      <c r="N34" s="49">
        <f>AVERAGE('25.10 Mbarara-Isingiro'!N34,'26.10 Mbarara-Isingiro-24Hr'!N34,'27.10 Mbarara-Isingiro'!N34,'28.10 Mbarara-Isingiro-24Hr'!N34,'29.10 Mbarara-Isingiro'!N34,'30.10 Mbarara-Isingiro'!N34,'31.10 Mbarara-Isingiro'!N34)</f>
        <v>0</v>
      </c>
      <c r="O34" s="15">
        <f t="shared" si="0"/>
        <v>20.571428571428566</v>
      </c>
      <c r="P34" s="15">
        <f t="shared" si="1"/>
        <v>53.714285714285708</v>
      </c>
      <c r="R34" s="38" t="s">
        <v>90</v>
      </c>
      <c r="S34" s="39">
        <f t="shared" ref="S34:AF34" si="26">MAX(S10:S12)</f>
        <v>35.857142857142861</v>
      </c>
      <c r="T34" s="39">
        <f t="shared" si="26"/>
        <v>9.5714285714285712</v>
      </c>
      <c r="U34" s="39">
        <f t="shared" si="26"/>
        <v>11.428571428571429</v>
      </c>
      <c r="V34" s="39">
        <f t="shared" si="26"/>
        <v>8.5714285714285712</v>
      </c>
      <c r="W34" s="39">
        <f t="shared" si="26"/>
        <v>0.71428571428571419</v>
      </c>
      <c r="X34" s="39">
        <f t="shared" si="26"/>
        <v>0.42857142857142855</v>
      </c>
      <c r="Y34" s="39">
        <f t="shared" si="26"/>
        <v>8.1428571428571423</v>
      </c>
      <c r="Z34" s="39">
        <f t="shared" si="26"/>
        <v>7</v>
      </c>
      <c r="AA34" s="39">
        <f t="shared" si="26"/>
        <v>0.85714285714285698</v>
      </c>
      <c r="AB34" s="39">
        <f t="shared" si="26"/>
        <v>0.8571428571428571</v>
      </c>
      <c r="AC34" s="39">
        <f t="shared" si="26"/>
        <v>140.85714285714286</v>
      </c>
      <c r="AD34" s="39">
        <f t="shared" si="26"/>
        <v>0</v>
      </c>
      <c r="AE34" s="40">
        <f t="shared" si="26"/>
        <v>80.285714285714292</v>
      </c>
      <c r="AF34" s="40">
        <f t="shared" si="26"/>
        <v>221.14285714285717</v>
      </c>
    </row>
    <row r="35" spans="2:32" ht="23.1" customHeight="1" x14ac:dyDescent="0.25">
      <c r="B35" s="24" t="s">
        <v>62</v>
      </c>
      <c r="C35" s="49">
        <f>AVERAGE('25.10 Mbarara-Isingiro'!C35,'26.10 Mbarara-Isingiro-24Hr'!C35,'27.10 Mbarara-Isingiro'!C35,'28.10 Mbarara-Isingiro-24Hr'!C35,'29.10 Mbarara-Isingiro'!C35,'30.10 Mbarara-Isingiro'!C35,'31.10 Mbarara-Isingiro'!C35)</f>
        <v>8.5714285714285712</v>
      </c>
      <c r="D35" s="49">
        <f>AVERAGE('25.10 Mbarara-Isingiro'!D35,'26.10 Mbarara-Isingiro-24Hr'!D35,'27.10 Mbarara-Isingiro'!D35,'28.10 Mbarara-Isingiro-24Hr'!D35,'29.10 Mbarara-Isingiro'!D35,'30.10 Mbarara-Isingiro'!D35,'31.10 Mbarara-Isingiro'!D35)</f>
        <v>2</v>
      </c>
      <c r="E35" s="49">
        <f>AVERAGE('25.10 Mbarara-Isingiro'!E35,'26.10 Mbarara-Isingiro-24Hr'!E35,'27.10 Mbarara-Isingiro'!E35,'28.10 Mbarara-Isingiro-24Hr'!E35,'29.10 Mbarara-Isingiro'!E35,'30.10 Mbarara-Isingiro'!E35,'31.10 Mbarara-Isingiro'!E35)</f>
        <v>1.8571428571428572</v>
      </c>
      <c r="F35" s="49">
        <f>AVERAGE('25.10 Mbarara-Isingiro'!F35,'26.10 Mbarara-Isingiro-24Hr'!F35,'27.10 Mbarara-Isingiro'!F35,'28.10 Mbarara-Isingiro-24Hr'!F35,'29.10 Mbarara-Isingiro'!F35,'30.10 Mbarara-Isingiro'!F35,'31.10 Mbarara-Isingiro'!F35)</f>
        <v>4</v>
      </c>
      <c r="G35" s="49">
        <f>AVERAGE('25.10 Mbarara-Isingiro'!G35,'26.10 Mbarara-Isingiro-24Hr'!G35,'27.10 Mbarara-Isingiro'!G35,'28.10 Mbarara-Isingiro-24Hr'!G35,'29.10 Mbarara-Isingiro'!G35,'30.10 Mbarara-Isingiro'!G35,'31.10 Mbarara-Isingiro'!G35)</f>
        <v>0</v>
      </c>
      <c r="H35" s="49">
        <f>AVERAGE('25.10 Mbarara-Isingiro'!H35,'26.10 Mbarara-Isingiro-24Hr'!H35,'27.10 Mbarara-Isingiro'!H35,'28.10 Mbarara-Isingiro-24Hr'!H35,'29.10 Mbarara-Isingiro'!H35,'30.10 Mbarara-Isingiro'!H35,'31.10 Mbarara-Isingiro'!H35)</f>
        <v>0</v>
      </c>
      <c r="I35" s="49">
        <f>AVERAGE('25.10 Mbarara-Isingiro'!I35,'26.10 Mbarara-Isingiro-24Hr'!I35,'27.10 Mbarara-Isingiro'!I35,'28.10 Mbarara-Isingiro-24Hr'!I35,'29.10 Mbarara-Isingiro'!I35,'30.10 Mbarara-Isingiro'!I35,'31.10 Mbarara-Isingiro'!I35)</f>
        <v>2.1428571428571428</v>
      </c>
      <c r="J35" s="49">
        <f>AVERAGE('25.10 Mbarara-Isingiro'!J35,'26.10 Mbarara-Isingiro-24Hr'!J35,'27.10 Mbarara-Isingiro'!J35,'28.10 Mbarara-Isingiro-24Hr'!J35,'29.10 Mbarara-Isingiro'!J35,'30.10 Mbarara-Isingiro'!J35,'31.10 Mbarara-Isingiro'!J35)</f>
        <v>1.1428571428571428</v>
      </c>
      <c r="K35" s="49">
        <f>AVERAGE('25.10 Mbarara-Isingiro'!K35,'26.10 Mbarara-Isingiro-24Hr'!K35,'27.10 Mbarara-Isingiro'!K35,'28.10 Mbarara-Isingiro-24Hr'!K35,'29.10 Mbarara-Isingiro'!K35,'30.10 Mbarara-Isingiro'!K35,'31.10 Mbarara-Isingiro'!K35)</f>
        <v>0</v>
      </c>
      <c r="L35" s="49">
        <f>AVERAGE('25.10 Mbarara-Isingiro'!L35,'26.10 Mbarara-Isingiro-24Hr'!L35,'27.10 Mbarara-Isingiro'!L35,'28.10 Mbarara-Isingiro-24Hr'!L35,'29.10 Mbarara-Isingiro'!L35,'30.10 Mbarara-Isingiro'!L35,'31.10 Mbarara-Isingiro'!L35)</f>
        <v>0.14285714285714285</v>
      </c>
      <c r="M35" s="49">
        <f>AVERAGE('25.10 Mbarara-Isingiro'!M35,'26.10 Mbarara-Isingiro-24Hr'!M35,'27.10 Mbarara-Isingiro'!M35,'28.10 Mbarara-Isingiro-24Hr'!M35,'29.10 Mbarara-Isingiro'!M35,'30.10 Mbarara-Isingiro'!M35,'31.10 Mbarara-Isingiro'!M35)</f>
        <v>39</v>
      </c>
      <c r="N35" s="49">
        <f>AVERAGE('25.10 Mbarara-Isingiro'!N35,'26.10 Mbarara-Isingiro-24Hr'!N35,'27.10 Mbarara-Isingiro'!N35,'28.10 Mbarara-Isingiro-24Hr'!N35,'29.10 Mbarara-Isingiro'!N35,'30.10 Mbarara-Isingiro'!N35,'31.10 Mbarara-Isingiro'!N35)</f>
        <v>0</v>
      </c>
      <c r="O35" s="15">
        <f t="shared" si="0"/>
        <v>19.857142857142858</v>
      </c>
      <c r="P35" s="15">
        <f t="shared" si="1"/>
        <v>58.857142857142861</v>
      </c>
      <c r="R35" s="38" t="s">
        <v>91</v>
      </c>
      <c r="S35" s="39">
        <f t="shared" ref="S35:AF35" si="27">MAX(S13:S18)</f>
        <v>43.857142857142854</v>
      </c>
      <c r="T35" s="39">
        <f t="shared" si="27"/>
        <v>9</v>
      </c>
      <c r="U35" s="39">
        <f t="shared" si="27"/>
        <v>8.7142857142857135</v>
      </c>
      <c r="V35" s="39">
        <f t="shared" si="27"/>
        <v>13.714285714285714</v>
      </c>
      <c r="W35" s="39">
        <f t="shared" si="27"/>
        <v>0.2857142857142857</v>
      </c>
      <c r="X35" s="39">
        <f t="shared" si="27"/>
        <v>0.14285714285714285</v>
      </c>
      <c r="Y35" s="39">
        <f t="shared" si="27"/>
        <v>9.4285714285714288</v>
      </c>
      <c r="Z35" s="39">
        <f t="shared" si="27"/>
        <v>7.2857142857142856</v>
      </c>
      <c r="AA35" s="39">
        <f t="shared" si="27"/>
        <v>1.1428571428571428</v>
      </c>
      <c r="AB35" s="39">
        <f t="shared" si="27"/>
        <v>0.42857142857142855</v>
      </c>
      <c r="AC35" s="39">
        <f t="shared" si="27"/>
        <v>146.28571428571428</v>
      </c>
      <c r="AD35" s="39">
        <f t="shared" si="27"/>
        <v>0</v>
      </c>
      <c r="AE35" s="40">
        <f t="shared" si="27"/>
        <v>83.285714285714278</v>
      </c>
      <c r="AF35" s="40">
        <f t="shared" si="27"/>
        <v>227</v>
      </c>
    </row>
    <row r="36" spans="2:32" ht="23.1" customHeight="1" x14ac:dyDescent="0.25">
      <c r="B36" s="24" t="s">
        <v>63</v>
      </c>
      <c r="C36" s="49">
        <f>AVERAGE('25.10 Mbarara-Isingiro'!C36,'26.10 Mbarara-Isingiro-24Hr'!C36,'27.10 Mbarara-Isingiro'!C36,'28.10 Mbarara-Isingiro-24Hr'!C36,'29.10 Mbarara-Isingiro'!C36,'30.10 Mbarara-Isingiro'!C36,'31.10 Mbarara-Isingiro'!C36)</f>
        <v>9.5714285714285712</v>
      </c>
      <c r="D36" s="49">
        <f>AVERAGE('25.10 Mbarara-Isingiro'!D36,'26.10 Mbarara-Isingiro-24Hr'!D36,'27.10 Mbarara-Isingiro'!D36,'28.10 Mbarara-Isingiro-24Hr'!D36,'29.10 Mbarara-Isingiro'!D36,'30.10 Mbarara-Isingiro'!D36,'31.10 Mbarara-Isingiro'!D36)</f>
        <v>1.2857142857142858</v>
      </c>
      <c r="E36" s="49">
        <f>AVERAGE('25.10 Mbarara-Isingiro'!E36,'26.10 Mbarara-Isingiro-24Hr'!E36,'27.10 Mbarara-Isingiro'!E36,'28.10 Mbarara-Isingiro-24Hr'!E36,'29.10 Mbarara-Isingiro'!E36,'30.10 Mbarara-Isingiro'!E36,'31.10 Mbarara-Isingiro'!E36)</f>
        <v>2</v>
      </c>
      <c r="F36" s="49">
        <f>AVERAGE('25.10 Mbarara-Isingiro'!F36,'26.10 Mbarara-Isingiro-24Hr'!F36,'27.10 Mbarara-Isingiro'!F36,'28.10 Mbarara-Isingiro-24Hr'!F36,'29.10 Mbarara-Isingiro'!F36,'30.10 Mbarara-Isingiro'!F36,'31.10 Mbarara-Isingiro'!F36)</f>
        <v>3</v>
      </c>
      <c r="G36" s="49">
        <f>AVERAGE('25.10 Mbarara-Isingiro'!G36,'26.10 Mbarara-Isingiro-24Hr'!G36,'27.10 Mbarara-Isingiro'!G36,'28.10 Mbarara-Isingiro-24Hr'!G36,'29.10 Mbarara-Isingiro'!G36,'30.10 Mbarara-Isingiro'!G36,'31.10 Mbarara-Isingiro'!G36)</f>
        <v>0</v>
      </c>
      <c r="H36" s="49">
        <f>AVERAGE('25.10 Mbarara-Isingiro'!H36,'26.10 Mbarara-Isingiro-24Hr'!H36,'27.10 Mbarara-Isingiro'!H36,'28.10 Mbarara-Isingiro-24Hr'!H36,'29.10 Mbarara-Isingiro'!H36,'30.10 Mbarara-Isingiro'!H36,'31.10 Mbarara-Isingiro'!H36)</f>
        <v>0</v>
      </c>
      <c r="I36" s="49">
        <f>AVERAGE('25.10 Mbarara-Isingiro'!I36,'26.10 Mbarara-Isingiro-24Hr'!I36,'27.10 Mbarara-Isingiro'!I36,'28.10 Mbarara-Isingiro-24Hr'!I36,'29.10 Mbarara-Isingiro'!I36,'30.10 Mbarara-Isingiro'!I36,'31.10 Mbarara-Isingiro'!I36)</f>
        <v>1.2857142857142858</v>
      </c>
      <c r="J36" s="49">
        <f>AVERAGE('25.10 Mbarara-Isingiro'!J36,'26.10 Mbarara-Isingiro-24Hr'!J36,'27.10 Mbarara-Isingiro'!J36,'28.10 Mbarara-Isingiro-24Hr'!J36,'29.10 Mbarara-Isingiro'!J36,'30.10 Mbarara-Isingiro'!J36,'31.10 Mbarara-Isingiro'!J36)</f>
        <v>1.1428571428571428</v>
      </c>
      <c r="K36" s="49">
        <f>AVERAGE('25.10 Mbarara-Isingiro'!K36,'26.10 Mbarara-Isingiro-24Hr'!K36,'27.10 Mbarara-Isingiro'!K36,'28.10 Mbarara-Isingiro-24Hr'!K36,'29.10 Mbarara-Isingiro'!K36,'30.10 Mbarara-Isingiro'!K36,'31.10 Mbarara-Isingiro'!K36)</f>
        <v>0</v>
      </c>
      <c r="L36" s="49">
        <f>AVERAGE('25.10 Mbarara-Isingiro'!L36,'26.10 Mbarara-Isingiro-24Hr'!L36,'27.10 Mbarara-Isingiro'!L36,'28.10 Mbarara-Isingiro-24Hr'!L36,'29.10 Mbarara-Isingiro'!L36,'30.10 Mbarara-Isingiro'!L36,'31.10 Mbarara-Isingiro'!L36)</f>
        <v>0</v>
      </c>
      <c r="M36" s="49">
        <f>AVERAGE('25.10 Mbarara-Isingiro'!M36,'26.10 Mbarara-Isingiro-24Hr'!M36,'27.10 Mbarara-Isingiro'!M36,'28.10 Mbarara-Isingiro-24Hr'!M36,'29.10 Mbarara-Isingiro'!M36,'30.10 Mbarara-Isingiro'!M36,'31.10 Mbarara-Isingiro'!M36)</f>
        <v>34.428571428571431</v>
      </c>
      <c r="N36" s="49">
        <f>AVERAGE('25.10 Mbarara-Isingiro'!N36,'26.10 Mbarara-Isingiro-24Hr'!N36,'27.10 Mbarara-Isingiro'!N36,'28.10 Mbarara-Isingiro-24Hr'!N36,'29.10 Mbarara-Isingiro'!N36,'30.10 Mbarara-Isingiro'!N36,'31.10 Mbarara-Isingiro'!N36)</f>
        <v>0</v>
      </c>
      <c r="O36" s="15">
        <f t="shared" si="0"/>
        <v>18.285714285714285</v>
      </c>
      <c r="P36" s="15">
        <f t="shared" si="1"/>
        <v>52.714285714285715</v>
      </c>
      <c r="R36" s="38" t="s">
        <v>92</v>
      </c>
      <c r="S36" s="39">
        <f t="shared" ref="S36:AF36" si="28">MAX(S19:S21)</f>
        <v>57.714285714285708</v>
      </c>
      <c r="T36" s="39">
        <f t="shared" si="28"/>
        <v>7.5714285714285712</v>
      </c>
      <c r="U36" s="39">
        <f t="shared" si="28"/>
        <v>10.142857142857142</v>
      </c>
      <c r="V36" s="39">
        <f t="shared" si="28"/>
        <v>16.857142857142858</v>
      </c>
      <c r="W36" s="39">
        <f t="shared" si="28"/>
        <v>0.2857142857142857</v>
      </c>
      <c r="X36" s="39">
        <f t="shared" si="28"/>
        <v>0</v>
      </c>
      <c r="Y36" s="39">
        <f t="shared" si="28"/>
        <v>8.7142857142857135</v>
      </c>
      <c r="Z36" s="39">
        <f t="shared" si="28"/>
        <v>6.5714285714285712</v>
      </c>
      <c r="AA36" s="39">
        <f t="shared" si="28"/>
        <v>0.2857142857142857</v>
      </c>
      <c r="AB36" s="39">
        <f t="shared" si="28"/>
        <v>0.2857142857142857</v>
      </c>
      <c r="AC36" s="39">
        <f t="shared" si="28"/>
        <v>196.85714285714283</v>
      </c>
      <c r="AD36" s="39">
        <f t="shared" si="28"/>
        <v>0</v>
      </c>
      <c r="AE36" s="40">
        <f t="shared" si="28"/>
        <v>105</v>
      </c>
      <c r="AF36" s="40">
        <f t="shared" si="28"/>
        <v>301.85714285714283</v>
      </c>
    </row>
    <row r="37" spans="2:32" ht="23.1" customHeight="1" x14ac:dyDescent="0.25">
      <c r="B37" s="23" t="s">
        <v>64</v>
      </c>
      <c r="C37" s="49">
        <f>AVERAGE('25.10 Mbarara-Isingiro'!C37,'26.10 Mbarara-Isingiro-24Hr'!C37,'27.10 Mbarara-Isingiro'!C37,'28.10 Mbarara-Isingiro-24Hr'!C37,'29.10 Mbarara-Isingiro'!C37,'30.10 Mbarara-Isingiro'!C37,'31.10 Mbarara-Isingiro'!C37)</f>
        <v>12</v>
      </c>
      <c r="D37" s="49">
        <f>AVERAGE('25.10 Mbarara-Isingiro'!D37,'26.10 Mbarara-Isingiro-24Hr'!D37,'27.10 Mbarara-Isingiro'!D37,'28.10 Mbarara-Isingiro-24Hr'!D37,'29.10 Mbarara-Isingiro'!D37,'30.10 Mbarara-Isingiro'!D37,'31.10 Mbarara-Isingiro'!D37)</f>
        <v>2.5714285714285716</v>
      </c>
      <c r="E37" s="49">
        <f>AVERAGE('25.10 Mbarara-Isingiro'!E37,'26.10 Mbarara-Isingiro-24Hr'!E37,'27.10 Mbarara-Isingiro'!E37,'28.10 Mbarara-Isingiro-24Hr'!E37,'29.10 Mbarara-Isingiro'!E37,'30.10 Mbarara-Isingiro'!E37,'31.10 Mbarara-Isingiro'!E37)</f>
        <v>1.7142857142857142</v>
      </c>
      <c r="F37" s="49">
        <f>AVERAGE('25.10 Mbarara-Isingiro'!F37,'26.10 Mbarara-Isingiro-24Hr'!F37,'27.10 Mbarara-Isingiro'!F37,'28.10 Mbarara-Isingiro-24Hr'!F37,'29.10 Mbarara-Isingiro'!F37,'30.10 Mbarara-Isingiro'!F37,'31.10 Mbarara-Isingiro'!F37)</f>
        <v>3.5714285714285716</v>
      </c>
      <c r="G37" s="49">
        <f>AVERAGE('25.10 Mbarara-Isingiro'!G37,'26.10 Mbarara-Isingiro-24Hr'!G37,'27.10 Mbarara-Isingiro'!G37,'28.10 Mbarara-Isingiro-24Hr'!G37,'29.10 Mbarara-Isingiro'!G37,'30.10 Mbarara-Isingiro'!G37,'31.10 Mbarara-Isingiro'!G37)</f>
        <v>0</v>
      </c>
      <c r="H37" s="49">
        <f>AVERAGE('25.10 Mbarara-Isingiro'!H37,'26.10 Mbarara-Isingiro-24Hr'!H37,'27.10 Mbarara-Isingiro'!H37,'28.10 Mbarara-Isingiro-24Hr'!H37,'29.10 Mbarara-Isingiro'!H37,'30.10 Mbarara-Isingiro'!H37,'31.10 Mbarara-Isingiro'!H37)</f>
        <v>0</v>
      </c>
      <c r="I37" s="49">
        <f>AVERAGE('25.10 Mbarara-Isingiro'!I37,'26.10 Mbarara-Isingiro-24Hr'!I37,'27.10 Mbarara-Isingiro'!I37,'28.10 Mbarara-Isingiro-24Hr'!I37,'29.10 Mbarara-Isingiro'!I37,'30.10 Mbarara-Isingiro'!I37,'31.10 Mbarara-Isingiro'!I37)</f>
        <v>1</v>
      </c>
      <c r="J37" s="49">
        <f>AVERAGE('25.10 Mbarara-Isingiro'!J37,'26.10 Mbarara-Isingiro-24Hr'!J37,'27.10 Mbarara-Isingiro'!J37,'28.10 Mbarara-Isingiro-24Hr'!J37,'29.10 Mbarara-Isingiro'!J37,'30.10 Mbarara-Isingiro'!J37,'31.10 Mbarara-Isingiro'!J37)</f>
        <v>2.1428571428571428</v>
      </c>
      <c r="K37" s="49">
        <f>AVERAGE('25.10 Mbarara-Isingiro'!K37,'26.10 Mbarara-Isingiro-24Hr'!K37,'27.10 Mbarara-Isingiro'!K37,'28.10 Mbarara-Isingiro-24Hr'!K37,'29.10 Mbarara-Isingiro'!K37,'30.10 Mbarara-Isingiro'!K37,'31.10 Mbarara-Isingiro'!K37)</f>
        <v>0.14285714285714285</v>
      </c>
      <c r="L37" s="49">
        <f>AVERAGE('25.10 Mbarara-Isingiro'!L37,'26.10 Mbarara-Isingiro-24Hr'!L37,'27.10 Mbarara-Isingiro'!L37,'28.10 Mbarara-Isingiro-24Hr'!L37,'29.10 Mbarara-Isingiro'!L37,'30.10 Mbarara-Isingiro'!L37,'31.10 Mbarara-Isingiro'!L37)</f>
        <v>0.14285714285714285</v>
      </c>
      <c r="M37" s="49">
        <f>AVERAGE('25.10 Mbarara-Isingiro'!M37,'26.10 Mbarara-Isingiro-24Hr'!M37,'27.10 Mbarara-Isingiro'!M37,'28.10 Mbarara-Isingiro-24Hr'!M37,'29.10 Mbarara-Isingiro'!M37,'30.10 Mbarara-Isingiro'!M37,'31.10 Mbarara-Isingiro'!M37)</f>
        <v>38.428571428571431</v>
      </c>
      <c r="N37" s="49">
        <f>AVERAGE('25.10 Mbarara-Isingiro'!N37,'26.10 Mbarara-Isingiro-24Hr'!N37,'27.10 Mbarara-Isingiro'!N37,'28.10 Mbarara-Isingiro-24Hr'!N37,'29.10 Mbarara-Isingiro'!N37,'30.10 Mbarara-Isingiro'!N37,'31.10 Mbarara-Isingiro'!N37)</f>
        <v>0</v>
      </c>
      <c r="O37" s="15">
        <f t="shared" si="0"/>
        <v>23.285714285714285</v>
      </c>
      <c r="P37" s="15">
        <f t="shared" si="1"/>
        <v>61.714285714285715</v>
      </c>
      <c r="R37" s="37" t="s">
        <v>85</v>
      </c>
      <c r="S37" s="35">
        <f t="shared" ref="S37:AF37" si="29">SUM(S10:S12)</f>
        <v>101.71428571428572</v>
      </c>
      <c r="T37" s="16">
        <f t="shared" si="29"/>
        <v>23.857142857142854</v>
      </c>
      <c r="U37" s="16">
        <f t="shared" si="29"/>
        <v>29.571428571428569</v>
      </c>
      <c r="V37" s="16">
        <f t="shared" si="29"/>
        <v>24.857142857142854</v>
      </c>
      <c r="W37" s="16">
        <f t="shared" si="29"/>
        <v>0.85714285714285698</v>
      </c>
      <c r="X37" s="16">
        <f t="shared" si="29"/>
        <v>0.5714285714285714</v>
      </c>
      <c r="Y37" s="16">
        <f t="shared" si="29"/>
        <v>19.571428571428569</v>
      </c>
      <c r="Z37" s="16">
        <f t="shared" si="29"/>
        <v>20.571428571428573</v>
      </c>
      <c r="AA37" s="16">
        <f t="shared" si="29"/>
        <v>1.857142857142857</v>
      </c>
      <c r="AB37" s="16">
        <f t="shared" si="29"/>
        <v>1.5714285714285712</v>
      </c>
      <c r="AC37" s="16">
        <f t="shared" si="29"/>
        <v>390.71428571428567</v>
      </c>
      <c r="AD37" s="16">
        <f t="shared" si="29"/>
        <v>0</v>
      </c>
      <c r="AE37" s="32">
        <f t="shared" si="29"/>
        <v>225</v>
      </c>
      <c r="AF37" s="32">
        <f t="shared" si="29"/>
        <v>615.71428571428578</v>
      </c>
    </row>
    <row r="38" spans="2:32" ht="23.1" customHeight="1" x14ac:dyDescent="0.25">
      <c r="B38" s="24" t="s">
        <v>65</v>
      </c>
      <c r="C38" s="49">
        <f>AVERAGE('25.10 Mbarara-Isingiro'!C38,'26.10 Mbarara-Isingiro-24Hr'!C38,'27.10 Mbarara-Isingiro'!C38,'28.10 Mbarara-Isingiro-24Hr'!C38,'29.10 Mbarara-Isingiro'!C38,'30.10 Mbarara-Isingiro'!C38,'31.10 Mbarara-Isingiro'!C38)</f>
        <v>8.7142857142857135</v>
      </c>
      <c r="D38" s="49">
        <f>AVERAGE('25.10 Mbarara-Isingiro'!D38,'26.10 Mbarara-Isingiro-24Hr'!D38,'27.10 Mbarara-Isingiro'!D38,'28.10 Mbarara-Isingiro-24Hr'!D38,'29.10 Mbarara-Isingiro'!D38,'30.10 Mbarara-Isingiro'!D38,'31.10 Mbarara-Isingiro'!D38)</f>
        <v>3</v>
      </c>
      <c r="E38" s="49">
        <f>AVERAGE('25.10 Mbarara-Isingiro'!E38,'26.10 Mbarara-Isingiro-24Hr'!E38,'27.10 Mbarara-Isingiro'!E38,'28.10 Mbarara-Isingiro-24Hr'!E38,'29.10 Mbarara-Isingiro'!E38,'30.10 Mbarara-Isingiro'!E38,'31.10 Mbarara-Isingiro'!E38)</f>
        <v>1.2857142857142858</v>
      </c>
      <c r="F38" s="49">
        <f>AVERAGE('25.10 Mbarara-Isingiro'!F38,'26.10 Mbarara-Isingiro-24Hr'!F38,'27.10 Mbarara-Isingiro'!F38,'28.10 Mbarara-Isingiro-24Hr'!F38,'29.10 Mbarara-Isingiro'!F38,'30.10 Mbarara-Isingiro'!F38,'31.10 Mbarara-Isingiro'!F38)</f>
        <v>3.5714285714285716</v>
      </c>
      <c r="G38" s="49">
        <f>AVERAGE('25.10 Mbarara-Isingiro'!G38,'26.10 Mbarara-Isingiro-24Hr'!G38,'27.10 Mbarara-Isingiro'!G38,'28.10 Mbarara-Isingiro-24Hr'!G38,'29.10 Mbarara-Isingiro'!G38,'30.10 Mbarara-Isingiro'!G38,'31.10 Mbarara-Isingiro'!G38)</f>
        <v>0</v>
      </c>
      <c r="H38" s="49">
        <f>AVERAGE('25.10 Mbarara-Isingiro'!H38,'26.10 Mbarara-Isingiro-24Hr'!H38,'27.10 Mbarara-Isingiro'!H38,'28.10 Mbarara-Isingiro-24Hr'!H38,'29.10 Mbarara-Isingiro'!H38,'30.10 Mbarara-Isingiro'!H38,'31.10 Mbarara-Isingiro'!H38)</f>
        <v>0</v>
      </c>
      <c r="I38" s="49">
        <f>AVERAGE('25.10 Mbarara-Isingiro'!I38,'26.10 Mbarara-Isingiro-24Hr'!I38,'27.10 Mbarara-Isingiro'!I38,'28.10 Mbarara-Isingiro-24Hr'!I38,'29.10 Mbarara-Isingiro'!I38,'30.10 Mbarara-Isingiro'!I38,'31.10 Mbarara-Isingiro'!I38)</f>
        <v>1.4285714285714286</v>
      </c>
      <c r="J38" s="49">
        <f>AVERAGE('25.10 Mbarara-Isingiro'!J38,'26.10 Mbarara-Isingiro-24Hr'!J38,'27.10 Mbarara-Isingiro'!J38,'28.10 Mbarara-Isingiro-24Hr'!J38,'29.10 Mbarara-Isingiro'!J38,'30.10 Mbarara-Isingiro'!J38,'31.10 Mbarara-Isingiro'!J38)</f>
        <v>0.5714285714285714</v>
      </c>
      <c r="K38" s="49">
        <f>AVERAGE('25.10 Mbarara-Isingiro'!K38,'26.10 Mbarara-Isingiro-24Hr'!K38,'27.10 Mbarara-Isingiro'!K38,'28.10 Mbarara-Isingiro-24Hr'!K38,'29.10 Mbarara-Isingiro'!K38,'30.10 Mbarara-Isingiro'!K38,'31.10 Mbarara-Isingiro'!K38)</f>
        <v>0.14285714285714285</v>
      </c>
      <c r="L38" s="49">
        <f>AVERAGE('25.10 Mbarara-Isingiro'!L38,'26.10 Mbarara-Isingiro-24Hr'!L38,'27.10 Mbarara-Isingiro'!L38,'28.10 Mbarara-Isingiro-24Hr'!L38,'29.10 Mbarara-Isingiro'!L38,'30.10 Mbarara-Isingiro'!L38,'31.10 Mbarara-Isingiro'!L38)</f>
        <v>0.14285714285714285</v>
      </c>
      <c r="M38" s="49">
        <f>AVERAGE('25.10 Mbarara-Isingiro'!M38,'26.10 Mbarara-Isingiro-24Hr'!M38,'27.10 Mbarara-Isingiro'!M38,'28.10 Mbarara-Isingiro-24Hr'!M38,'29.10 Mbarara-Isingiro'!M38,'30.10 Mbarara-Isingiro'!M38,'31.10 Mbarara-Isingiro'!M38)</f>
        <v>29</v>
      </c>
      <c r="N38" s="49">
        <f>AVERAGE('25.10 Mbarara-Isingiro'!N38,'26.10 Mbarara-Isingiro-24Hr'!N38,'27.10 Mbarara-Isingiro'!N38,'28.10 Mbarara-Isingiro-24Hr'!N38,'29.10 Mbarara-Isingiro'!N38,'30.10 Mbarara-Isingiro'!N38,'31.10 Mbarara-Isingiro'!N38)</f>
        <v>0</v>
      </c>
      <c r="O38" s="15">
        <f t="shared" si="0"/>
        <v>18.857142857142858</v>
      </c>
      <c r="P38" s="15">
        <f t="shared" si="1"/>
        <v>47.857142857142861</v>
      </c>
      <c r="R38" s="28" t="s">
        <v>86</v>
      </c>
      <c r="S38" s="16">
        <f t="shared" ref="S38:AF38" si="30">SUM(S13:S18)</f>
        <v>236.71428571428569</v>
      </c>
      <c r="T38" s="16">
        <f t="shared" si="30"/>
        <v>41.714285714285715</v>
      </c>
      <c r="U38" s="16">
        <f t="shared" si="30"/>
        <v>44</v>
      </c>
      <c r="V38" s="16">
        <f t="shared" si="30"/>
        <v>74.285714285714292</v>
      </c>
      <c r="W38" s="16">
        <f t="shared" si="30"/>
        <v>0.85714285714285698</v>
      </c>
      <c r="X38" s="16">
        <f t="shared" si="30"/>
        <v>0.42857142857142855</v>
      </c>
      <c r="Y38" s="16">
        <f t="shared" si="30"/>
        <v>38.714285714285715</v>
      </c>
      <c r="Z38" s="16">
        <f t="shared" si="30"/>
        <v>35.857142857142854</v>
      </c>
      <c r="AA38" s="16">
        <f t="shared" si="30"/>
        <v>3.2857142857142856</v>
      </c>
      <c r="AB38" s="16">
        <f t="shared" si="30"/>
        <v>1.4285714285714284</v>
      </c>
      <c r="AC38" s="16">
        <f t="shared" si="30"/>
        <v>798.42857142857133</v>
      </c>
      <c r="AD38" s="16">
        <f t="shared" si="30"/>
        <v>0</v>
      </c>
      <c r="AE38" s="32">
        <f t="shared" si="30"/>
        <v>477.28571428571428</v>
      </c>
      <c r="AF38" s="32">
        <f t="shared" si="30"/>
        <v>1275.7142857142858</v>
      </c>
    </row>
    <row r="39" spans="2:32" ht="23.1" customHeight="1" x14ac:dyDescent="0.25">
      <c r="B39" s="24" t="s">
        <v>66</v>
      </c>
      <c r="C39" s="49">
        <f>AVERAGE('25.10 Mbarara-Isingiro'!C39,'26.10 Mbarara-Isingiro-24Hr'!C39,'27.10 Mbarara-Isingiro'!C39,'28.10 Mbarara-Isingiro-24Hr'!C39,'29.10 Mbarara-Isingiro'!C39,'30.10 Mbarara-Isingiro'!C39,'31.10 Mbarara-Isingiro'!C39)</f>
        <v>10.857142857142858</v>
      </c>
      <c r="D39" s="49">
        <f>AVERAGE('25.10 Mbarara-Isingiro'!D39,'26.10 Mbarara-Isingiro-24Hr'!D39,'27.10 Mbarara-Isingiro'!D39,'28.10 Mbarara-Isingiro-24Hr'!D39,'29.10 Mbarara-Isingiro'!D39,'30.10 Mbarara-Isingiro'!D39,'31.10 Mbarara-Isingiro'!D39)</f>
        <v>1.5714285714285714</v>
      </c>
      <c r="E39" s="49">
        <f>AVERAGE('25.10 Mbarara-Isingiro'!E39,'26.10 Mbarara-Isingiro-24Hr'!E39,'27.10 Mbarara-Isingiro'!E39,'28.10 Mbarara-Isingiro-24Hr'!E39,'29.10 Mbarara-Isingiro'!E39,'30.10 Mbarara-Isingiro'!E39,'31.10 Mbarara-Isingiro'!E39)</f>
        <v>2.8571428571428572</v>
      </c>
      <c r="F39" s="49">
        <f>AVERAGE('25.10 Mbarara-Isingiro'!F39,'26.10 Mbarara-Isingiro-24Hr'!F39,'27.10 Mbarara-Isingiro'!F39,'28.10 Mbarara-Isingiro-24Hr'!F39,'29.10 Mbarara-Isingiro'!F39,'30.10 Mbarara-Isingiro'!F39,'31.10 Mbarara-Isingiro'!F39)</f>
        <v>3.4285714285714284</v>
      </c>
      <c r="G39" s="49">
        <f>AVERAGE('25.10 Mbarara-Isingiro'!G39,'26.10 Mbarara-Isingiro-24Hr'!G39,'27.10 Mbarara-Isingiro'!G39,'28.10 Mbarara-Isingiro-24Hr'!G39,'29.10 Mbarara-Isingiro'!G39,'30.10 Mbarara-Isingiro'!G39,'31.10 Mbarara-Isingiro'!G39)</f>
        <v>0</v>
      </c>
      <c r="H39" s="49">
        <f>AVERAGE('25.10 Mbarara-Isingiro'!H39,'26.10 Mbarara-Isingiro-24Hr'!H39,'27.10 Mbarara-Isingiro'!H39,'28.10 Mbarara-Isingiro-24Hr'!H39,'29.10 Mbarara-Isingiro'!H39,'30.10 Mbarara-Isingiro'!H39,'31.10 Mbarara-Isingiro'!H39)</f>
        <v>0</v>
      </c>
      <c r="I39" s="49">
        <f>AVERAGE('25.10 Mbarara-Isingiro'!I39,'26.10 Mbarara-Isingiro-24Hr'!I39,'27.10 Mbarara-Isingiro'!I39,'28.10 Mbarara-Isingiro-24Hr'!I39,'29.10 Mbarara-Isingiro'!I39,'30.10 Mbarara-Isingiro'!I39,'31.10 Mbarara-Isingiro'!I39)</f>
        <v>1.7142857142857142</v>
      </c>
      <c r="J39" s="49">
        <f>AVERAGE('25.10 Mbarara-Isingiro'!J39,'26.10 Mbarara-Isingiro-24Hr'!J39,'27.10 Mbarara-Isingiro'!J39,'28.10 Mbarara-Isingiro-24Hr'!J39,'29.10 Mbarara-Isingiro'!J39,'30.10 Mbarara-Isingiro'!J39,'31.10 Mbarara-Isingiro'!J39)</f>
        <v>1.1428571428571428</v>
      </c>
      <c r="K39" s="49">
        <f>AVERAGE('25.10 Mbarara-Isingiro'!K39,'26.10 Mbarara-Isingiro-24Hr'!K39,'27.10 Mbarara-Isingiro'!K39,'28.10 Mbarara-Isingiro-24Hr'!K39,'29.10 Mbarara-Isingiro'!K39,'30.10 Mbarara-Isingiro'!K39,'31.10 Mbarara-Isingiro'!K39)</f>
        <v>0.14285714285714285</v>
      </c>
      <c r="L39" s="49">
        <f>AVERAGE('25.10 Mbarara-Isingiro'!L39,'26.10 Mbarara-Isingiro-24Hr'!L39,'27.10 Mbarara-Isingiro'!L39,'28.10 Mbarara-Isingiro-24Hr'!L39,'29.10 Mbarara-Isingiro'!L39,'30.10 Mbarara-Isingiro'!L39,'31.10 Mbarara-Isingiro'!L39)</f>
        <v>0</v>
      </c>
      <c r="M39" s="49">
        <f>AVERAGE('25.10 Mbarara-Isingiro'!M39,'26.10 Mbarara-Isingiro-24Hr'!M39,'27.10 Mbarara-Isingiro'!M39,'28.10 Mbarara-Isingiro-24Hr'!M39,'29.10 Mbarara-Isingiro'!M39,'30.10 Mbarara-Isingiro'!M39,'31.10 Mbarara-Isingiro'!M39)</f>
        <v>30.714285714285715</v>
      </c>
      <c r="N39" s="49">
        <f>AVERAGE('25.10 Mbarara-Isingiro'!N39,'26.10 Mbarara-Isingiro-24Hr'!N39,'27.10 Mbarara-Isingiro'!N39,'28.10 Mbarara-Isingiro-24Hr'!N39,'29.10 Mbarara-Isingiro'!N39,'30.10 Mbarara-Isingiro'!N39,'31.10 Mbarara-Isingiro'!N39)</f>
        <v>0</v>
      </c>
      <c r="O39" s="15">
        <f t="shared" si="0"/>
        <v>21.714285714285715</v>
      </c>
      <c r="P39" s="15">
        <f t="shared" si="1"/>
        <v>52.428571428571431</v>
      </c>
      <c r="R39" s="29" t="s">
        <v>87</v>
      </c>
      <c r="S39" s="16">
        <f t="shared" ref="S39:AF39" si="31">SUM(S19:S21)</f>
        <v>149.14285714285714</v>
      </c>
      <c r="T39" s="16">
        <f t="shared" si="31"/>
        <v>21.714285714285715</v>
      </c>
      <c r="U39" s="16">
        <f t="shared" si="31"/>
        <v>25.285714285714285</v>
      </c>
      <c r="V39" s="16">
        <f t="shared" si="31"/>
        <v>48.857142857142861</v>
      </c>
      <c r="W39" s="16">
        <f t="shared" si="31"/>
        <v>0.42857142857142855</v>
      </c>
      <c r="X39" s="16">
        <f t="shared" si="31"/>
        <v>0</v>
      </c>
      <c r="Y39" s="16">
        <f t="shared" si="31"/>
        <v>23.857142857142858</v>
      </c>
      <c r="Z39" s="16">
        <f t="shared" si="31"/>
        <v>16.285714285714285</v>
      </c>
      <c r="AA39" s="16">
        <f t="shared" si="31"/>
        <v>0.5714285714285714</v>
      </c>
      <c r="AB39" s="16">
        <f t="shared" si="31"/>
        <v>0.2857142857142857</v>
      </c>
      <c r="AC39" s="16">
        <f t="shared" si="31"/>
        <v>533.42857142857133</v>
      </c>
      <c r="AD39" s="16">
        <f t="shared" si="31"/>
        <v>0</v>
      </c>
      <c r="AE39" s="32">
        <f t="shared" si="31"/>
        <v>286.42857142857144</v>
      </c>
      <c r="AF39" s="32">
        <f t="shared" si="31"/>
        <v>819.85714285714289</v>
      </c>
    </row>
    <row r="40" spans="2:32" ht="23.1" customHeight="1" x14ac:dyDescent="0.25">
      <c r="B40" s="24" t="s">
        <v>67</v>
      </c>
      <c r="C40" s="49">
        <f>AVERAGE('25.10 Mbarara-Isingiro'!C40,'26.10 Mbarara-Isingiro-24Hr'!C40,'27.10 Mbarara-Isingiro'!C40,'28.10 Mbarara-Isingiro-24Hr'!C40,'29.10 Mbarara-Isingiro'!C40,'30.10 Mbarara-Isingiro'!C40,'31.10 Mbarara-Isingiro'!C40)</f>
        <v>10.857142857142858</v>
      </c>
      <c r="D40" s="49">
        <f>AVERAGE('25.10 Mbarara-Isingiro'!D40,'26.10 Mbarara-Isingiro-24Hr'!D40,'27.10 Mbarara-Isingiro'!D40,'28.10 Mbarara-Isingiro-24Hr'!D40,'29.10 Mbarara-Isingiro'!D40,'30.10 Mbarara-Isingiro'!D40,'31.10 Mbarara-Isingiro'!D40)</f>
        <v>2.2857142857142856</v>
      </c>
      <c r="E40" s="49">
        <f>AVERAGE('25.10 Mbarara-Isingiro'!E40,'26.10 Mbarara-Isingiro-24Hr'!E40,'27.10 Mbarara-Isingiro'!E40,'28.10 Mbarara-Isingiro-24Hr'!E40,'29.10 Mbarara-Isingiro'!E40,'30.10 Mbarara-Isingiro'!E40,'31.10 Mbarara-Isingiro'!E40)</f>
        <v>1.2857142857142858</v>
      </c>
      <c r="F40" s="49">
        <f>AVERAGE('25.10 Mbarara-Isingiro'!F40,'26.10 Mbarara-Isingiro-24Hr'!F40,'27.10 Mbarara-Isingiro'!F40,'28.10 Mbarara-Isingiro-24Hr'!F40,'29.10 Mbarara-Isingiro'!F40,'30.10 Mbarara-Isingiro'!F40,'31.10 Mbarara-Isingiro'!F40)</f>
        <v>3.1428571428571428</v>
      </c>
      <c r="G40" s="49">
        <f>AVERAGE('25.10 Mbarara-Isingiro'!G40,'26.10 Mbarara-Isingiro-24Hr'!G40,'27.10 Mbarara-Isingiro'!G40,'28.10 Mbarara-Isingiro-24Hr'!G40,'29.10 Mbarara-Isingiro'!G40,'30.10 Mbarara-Isingiro'!G40,'31.10 Mbarara-Isingiro'!G40)</f>
        <v>0</v>
      </c>
      <c r="H40" s="49">
        <f>AVERAGE('25.10 Mbarara-Isingiro'!H40,'26.10 Mbarara-Isingiro-24Hr'!H40,'27.10 Mbarara-Isingiro'!H40,'28.10 Mbarara-Isingiro-24Hr'!H40,'29.10 Mbarara-Isingiro'!H40,'30.10 Mbarara-Isingiro'!H40,'31.10 Mbarara-Isingiro'!H40)</f>
        <v>0</v>
      </c>
      <c r="I40" s="49">
        <f>AVERAGE('25.10 Mbarara-Isingiro'!I40,'26.10 Mbarara-Isingiro-24Hr'!I40,'27.10 Mbarara-Isingiro'!I40,'28.10 Mbarara-Isingiro-24Hr'!I40,'29.10 Mbarara-Isingiro'!I40,'30.10 Mbarara-Isingiro'!I40,'31.10 Mbarara-Isingiro'!I40)</f>
        <v>1</v>
      </c>
      <c r="J40" s="49">
        <f>AVERAGE('25.10 Mbarara-Isingiro'!J40,'26.10 Mbarara-Isingiro-24Hr'!J40,'27.10 Mbarara-Isingiro'!J40,'28.10 Mbarara-Isingiro-24Hr'!J40,'29.10 Mbarara-Isingiro'!J40,'30.10 Mbarara-Isingiro'!J40,'31.10 Mbarara-Isingiro'!J40)</f>
        <v>1.5714285714285714</v>
      </c>
      <c r="K40" s="49">
        <f>AVERAGE('25.10 Mbarara-Isingiro'!K40,'26.10 Mbarara-Isingiro-24Hr'!K40,'27.10 Mbarara-Isingiro'!K40,'28.10 Mbarara-Isingiro-24Hr'!K40,'29.10 Mbarara-Isingiro'!K40,'30.10 Mbarara-Isingiro'!K40,'31.10 Mbarara-Isingiro'!K40)</f>
        <v>0.2857142857142857</v>
      </c>
      <c r="L40" s="49">
        <f>AVERAGE('25.10 Mbarara-Isingiro'!L40,'26.10 Mbarara-Isingiro-24Hr'!L40,'27.10 Mbarara-Isingiro'!L40,'28.10 Mbarara-Isingiro-24Hr'!L40,'29.10 Mbarara-Isingiro'!L40,'30.10 Mbarara-Isingiro'!L40,'31.10 Mbarara-Isingiro'!L40)</f>
        <v>0.2857142857142857</v>
      </c>
      <c r="M40" s="49">
        <f>AVERAGE('25.10 Mbarara-Isingiro'!M40,'26.10 Mbarara-Isingiro-24Hr'!M40,'27.10 Mbarara-Isingiro'!M40,'28.10 Mbarara-Isingiro-24Hr'!M40,'29.10 Mbarara-Isingiro'!M40,'30.10 Mbarara-Isingiro'!M40,'31.10 Mbarara-Isingiro'!M40)</f>
        <v>31.571428571428573</v>
      </c>
      <c r="N40" s="49">
        <f>AVERAGE('25.10 Mbarara-Isingiro'!N40,'26.10 Mbarara-Isingiro-24Hr'!N40,'27.10 Mbarara-Isingiro'!N40,'28.10 Mbarara-Isingiro-24Hr'!N40,'29.10 Mbarara-Isingiro'!N40,'30.10 Mbarara-Isingiro'!N40,'31.10 Mbarara-Isingiro'!N40)</f>
        <v>0</v>
      </c>
      <c r="O40" s="15">
        <f t="shared" si="0"/>
        <v>20.714285714285715</v>
      </c>
      <c r="P40" s="15">
        <f t="shared" si="1"/>
        <v>52.285714285714292</v>
      </c>
      <c r="R40" s="5" t="s">
        <v>17</v>
      </c>
      <c r="S40" s="16">
        <f t="shared" ref="S40:AF40" si="32">SUM(S10:S21)</f>
        <v>487.57142857142856</v>
      </c>
      <c r="T40" s="16">
        <f t="shared" si="32"/>
        <v>87.285714285714278</v>
      </c>
      <c r="U40" s="16">
        <f t="shared" si="32"/>
        <v>98.857142857142847</v>
      </c>
      <c r="V40" s="16">
        <f t="shared" si="32"/>
        <v>148</v>
      </c>
      <c r="W40" s="16">
        <f t="shared" si="32"/>
        <v>2.1428571428571423</v>
      </c>
      <c r="X40" s="16">
        <f t="shared" si="32"/>
        <v>0.99999999999999978</v>
      </c>
      <c r="Y40" s="16">
        <f t="shared" si="32"/>
        <v>82.142857142857153</v>
      </c>
      <c r="Z40" s="16">
        <f t="shared" si="32"/>
        <v>72.714285714285708</v>
      </c>
      <c r="AA40" s="16">
        <f t="shared" si="32"/>
        <v>5.7142857142857135</v>
      </c>
      <c r="AB40" s="16">
        <f t="shared" si="32"/>
        <v>3.2857142857142847</v>
      </c>
      <c r="AC40" s="16">
        <f t="shared" si="32"/>
        <v>1722.5714285714287</v>
      </c>
      <c r="AD40" s="16">
        <f t="shared" si="32"/>
        <v>0</v>
      </c>
      <c r="AE40" s="32">
        <f t="shared" si="32"/>
        <v>988.71428571428578</v>
      </c>
      <c r="AF40" s="32">
        <f t="shared" si="32"/>
        <v>2711.2857142857142</v>
      </c>
    </row>
    <row r="41" spans="2:32" ht="23.1" customHeight="1" x14ac:dyDescent="0.25">
      <c r="B41" s="23" t="s">
        <v>68</v>
      </c>
      <c r="C41" s="49">
        <f>AVERAGE('25.10 Mbarara-Isingiro'!C41,'26.10 Mbarara-Isingiro-24Hr'!C41,'27.10 Mbarara-Isingiro'!C41,'28.10 Mbarara-Isingiro-24Hr'!C41,'29.10 Mbarara-Isingiro'!C41,'30.10 Mbarara-Isingiro'!C41,'31.10 Mbarara-Isingiro'!C41)</f>
        <v>13.428571428571429</v>
      </c>
      <c r="D41" s="49">
        <f>AVERAGE('25.10 Mbarara-Isingiro'!D41,'26.10 Mbarara-Isingiro-24Hr'!D41,'27.10 Mbarara-Isingiro'!D41,'28.10 Mbarara-Isingiro-24Hr'!D41,'29.10 Mbarara-Isingiro'!D41,'30.10 Mbarara-Isingiro'!D41,'31.10 Mbarara-Isingiro'!D41)</f>
        <v>2.1428571428571428</v>
      </c>
      <c r="E41" s="49">
        <f>AVERAGE('25.10 Mbarara-Isingiro'!E41,'26.10 Mbarara-Isingiro-24Hr'!E41,'27.10 Mbarara-Isingiro'!E41,'28.10 Mbarara-Isingiro-24Hr'!E41,'29.10 Mbarara-Isingiro'!E41,'30.10 Mbarara-Isingiro'!E41,'31.10 Mbarara-Isingiro'!E41)</f>
        <v>1.4285714285714286</v>
      </c>
      <c r="F41" s="49">
        <f>AVERAGE('25.10 Mbarara-Isingiro'!F41,'26.10 Mbarara-Isingiro-24Hr'!F41,'27.10 Mbarara-Isingiro'!F41,'28.10 Mbarara-Isingiro-24Hr'!F41,'29.10 Mbarara-Isingiro'!F41,'30.10 Mbarara-Isingiro'!F41,'31.10 Mbarara-Isingiro'!F41)</f>
        <v>2.5714285714285716</v>
      </c>
      <c r="G41" s="49">
        <f>AVERAGE('25.10 Mbarara-Isingiro'!G41,'26.10 Mbarara-Isingiro-24Hr'!G41,'27.10 Mbarara-Isingiro'!G41,'28.10 Mbarara-Isingiro-24Hr'!G41,'29.10 Mbarara-Isingiro'!G41,'30.10 Mbarara-Isingiro'!G41,'31.10 Mbarara-Isingiro'!G41)</f>
        <v>0</v>
      </c>
      <c r="H41" s="49">
        <f>AVERAGE('25.10 Mbarara-Isingiro'!H41,'26.10 Mbarara-Isingiro-24Hr'!H41,'27.10 Mbarara-Isingiro'!H41,'28.10 Mbarara-Isingiro-24Hr'!H41,'29.10 Mbarara-Isingiro'!H41,'30.10 Mbarara-Isingiro'!H41,'31.10 Mbarara-Isingiro'!H41)</f>
        <v>0.14285714285714285</v>
      </c>
      <c r="I41" s="49">
        <f>AVERAGE('25.10 Mbarara-Isingiro'!I41,'26.10 Mbarara-Isingiro-24Hr'!I41,'27.10 Mbarara-Isingiro'!I41,'28.10 Mbarara-Isingiro-24Hr'!I41,'29.10 Mbarara-Isingiro'!I41,'30.10 Mbarara-Isingiro'!I41,'31.10 Mbarara-Isingiro'!I41)</f>
        <v>1.1428571428571428</v>
      </c>
      <c r="J41" s="49">
        <f>AVERAGE('25.10 Mbarara-Isingiro'!J41,'26.10 Mbarara-Isingiro-24Hr'!J41,'27.10 Mbarara-Isingiro'!J41,'28.10 Mbarara-Isingiro-24Hr'!J41,'29.10 Mbarara-Isingiro'!J41,'30.10 Mbarara-Isingiro'!J41,'31.10 Mbarara-Isingiro'!J41)</f>
        <v>1.1428571428571428</v>
      </c>
      <c r="K41" s="49">
        <f>AVERAGE('25.10 Mbarara-Isingiro'!K41,'26.10 Mbarara-Isingiro-24Hr'!K41,'27.10 Mbarara-Isingiro'!K41,'28.10 Mbarara-Isingiro-24Hr'!K41,'29.10 Mbarara-Isingiro'!K41,'30.10 Mbarara-Isingiro'!K41,'31.10 Mbarara-Isingiro'!K41)</f>
        <v>0</v>
      </c>
      <c r="L41" s="49">
        <f>AVERAGE('25.10 Mbarara-Isingiro'!L41,'26.10 Mbarara-Isingiro-24Hr'!L41,'27.10 Mbarara-Isingiro'!L41,'28.10 Mbarara-Isingiro-24Hr'!L41,'29.10 Mbarara-Isingiro'!L41,'30.10 Mbarara-Isingiro'!L41,'31.10 Mbarara-Isingiro'!L41)</f>
        <v>0</v>
      </c>
      <c r="M41" s="49">
        <f>AVERAGE('25.10 Mbarara-Isingiro'!M41,'26.10 Mbarara-Isingiro-24Hr'!M41,'27.10 Mbarara-Isingiro'!M41,'28.10 Mbarara-Isingiro-24Hr'!M41,'29.10 Mbarara-Isingiro'!M41,'30.10 Mbarara-Isingiro'!M41,'31.10 Mbarara-Isingiro'!M41)</f>
        <v>28.428571428571427</v>
      </c>
      <c r="N41" s="49">
        <f>AVERAGE('25.10 Mbarara-Isingiro'!N41,'26.10 Mbarara-Isingiro-24Hr'!N41,'27.10 Mbarara-Isingiro'!N41,'28.10 Mbarara-Isingiro-24Hr'!N41,'29.10 Mbarara-Isingiro'!N41,'30.10 Mbarara-Isingiro'!N41,'31.10 Mbarara-Isingiro'!N41)</f>
        <v>0</v>
      </c>
      <c r="O41" s="15">
        <f t="shared" si="0"/>
        <v>22</v>
      </c>
      <c r="P41" s="15">
        <f t="shared" si="1"/>
        <v>50.428571428571431</v>
      </c>
      <c r="R41" s="5" t="s">
        <v>180</v>
      </c>
      <c r="S41" s="53">
        <f>SUM(S10:S33)</f>
        <v>673.57142857142856</v>
      </c>
      <c r="T41" s="53">
        <f t="shared" ref="T41:AD41" si="33">SUM(T10:T33)</f>
        <v>111.28571428571428</v>
      </c>
      <c r="U41" s="53">
        <f t="shared" si="33"/>
        <v>117.85714285714285</v>
      </c>
      <c r="V41" s="53">
        <f t="shared" si="33"/>
        <v>186.5</v>
      </c>
      <c r="W41" s="53">
        <f t="shared" si="33"/>
        <v>3.1428571428571423</v>
      </c>
      <c r="X41" s="53">
        <f t="shared" si="33"/>
        <v>0.99999999999999978</v>
      </c>
      <c r="Y41" s="53">
        <f t="shared" si="33"/>
        <v>115.14285714285715</v>
      </c>
      <c r="Z41" s="53">
        <f t="shared" si="33"/>
        <v>95.214285714285708</v>
      </c>
      <c r="AA41" s="53">
        <f t="shared" si="33"/>
        <v>7.2142857142857135</v>
      </c>
      <c r="AB41" s="53">
        <f t="shared" si="33"/>
        <v>8.7857142857142847</v>
      </c>
      <c r="AC41" s="53">
        <f t="shared" si="33"/>
        <v>2255.5714285714284</v>
      </c>
      <c r="AD41" s="53">
        <f t="shared" si="33"/>
        <v>0</v>
      </c>
      <c r="AE41" s="54">
        <f>SUM(AE10:AE33)</f>
        <v>1319.7142857142858</v>
      </c>
      <c r="AF41" s="54">
        <f>SUM(AF10:AF33)</f>
        <v>3575.2857142857142</v>
      </c>
    </row>
    <row r="42" spans="2:32" ht="23.1" customHeight="1" x14ac:dyDescent="0.25">
      <c r="B42" s="24" t="s">
        <v>69</v>
      </c>
      <c r="C42" s="49">
        <f>AVERAGE('25.10 Mbarara-Isingiro'!C42,'26.10 Mbarara-Isingiro-24Hr'!C42,'27.10 Mbarara-Isingiro'!C42,'28.10 Mbarara-Isingiro-24Hr'!C42,'29.10 Mbarara-Isingiro'!C42,'30.10 Mbarara-Isingiro'!C42,'31.10 Mbarara-Isingiro'!C42)</f>
        <v>9.1428571428571423</v>
      </c>
      <c r="D42" s="49">
        <f>AVERAGE('25.10 Mbarara-Isingiro'!D42,'26.10 Mbarara-Isingiro-24Hr'!D42,'27.10 Mbarara-Isingiro'!D42,'28.10 Mbarara-Isingiro-24Hr'!D42,'29.10 Mbarara-Isingiro'!D42,'30.10 Mbarara-Isingiro'!D42,'31.10 Mbarara-Isingiro'!D42)</f>
        <v>2.7142857142857144</v>
      </c>
      <c r="E42" s="49">
        <f>AVERAGE('25.10 Mbarara-Isingiro'!E42,'26.10 Mbarara-Isingiro-24Hr'!E42,'27.10 Mbarara-Isingiro'!E42,'28.10 Mbarara-Isingiro-24Hr'!E42,'29.10 Mbarara-Isingiro'!E42,'30.10 Mbarara-Isingiro'!E42,'31.10 Mbarara-Isingiro'!E42)</f>
        <v>1.5714285714285714</v>
      </c>
      <c r="F42" s="49">
        <f>AVERAGE('25.10 Mbarara-Isingiro'!F42,'26.10 Mbarara-Isingiro-24Hr'!F42,'27.10 Mbarara-Isingiro'!F42,'28.10 Mbarara-Isingiro-24Hr'!F42,'29.10 Mbarara-Isingiro'!F42,'30.10 Mbarara-Isingiro'!F42,'31.10 Mbarara-Isingiro'!F42)</f>
        <v>3.5714285714285716</v>
      </c>
      <c r="G42" s="49">
        <f>AVERAGE('25.10 Mbarara-Isingiro'!G42,'26.10 Mbarara-Isingiro-24Hr'!G42,'27.10 Mbarara-Isingiro'!G42,'28.10 Mbarara-Isingiro-24Hr'!G42,'29.10 Mbarara-Isingiro'!G42,'30.10 Mbarara-Isingiro'!G42,'31.10 Mbarara-Isingiro'!G42)</f>
        <v>0</v>
      </c>
      <c r="H42" s="49">
        <f>AVERAGE('25.10 Mbarara-Isingiro'!H42,'26.10 Mbarara-Isingiro-24Hr'!H42,'27.10 Mbarara-Isingiro'!H42,'28.10 Mbarara-Isingiro-24Hr'!H42,'29.10 Mbarara-Isingiro'!H42,'30.10 Mbarara-Isingiro'!H42,'31.10 Mbarara-Isingiro'!H42)</f>
        <v>0</v>
      </c>
      <c r="I42" s="49">
        <f>AVERAGE('25.10 Mbarara-Isingiro'!I42,'26.10 Mbarara-Isingiro-24Hr'!I42,'27.10 Mbarara-Isingiro'!I42,'28.10 Mbarara-Isingiro-24Hr'!I42,'29.10 Mbarara-Isingiro'!I42,'30.10 Mbarara-Isingiro'!I42,'31.10 Mbarara-Isingiro'!I42)</f>
        <v>1.1428571428571428</v>
      </c>
      <c r="J42" s="49">
        <f>AVERAGE('25.10 Mbarara-Isingiro'!J42,'26.10 Mbarara-Isingiro-24Hr'!J42,'27.10 Mbarara-Isingiro'!J42,'28.10 Mbarara-Isingiro-24Hr'!J42,'29.10 Mbarara-Isingiro'!J42,'30.10 Mbarara-Isingiro'!J42,'31.10 Mbarara-Isingiro'!J42)</f>
        <v>2.2857142857142856</v>
      </c>
      <c r="K42" s="49">
        <f>AVERAGE('25.10 Mbarara-Isingiro'!K42,'26.10 Mbarara-Isingiro-24Hr'!K42,'27.10 Mbarara-Isingiro'!K42,'28.10 Mbarara-Isingiro-24Hr'!K42,'29.10 Mbarara-Isingiro'!K42,'30.10 Mbarara-Isingiro'!K42,'31.10 Mbarara-Isingiro'!K42)</f>
        <v>0</v>
      </c>
      <c r="L42" s="49">
        <f>AVERAGE('25.10 Mbarara-Isingiro'!L42,'26.10 Mbarara-Isingiro-24Hr'!L42,'27.10 Mbarara-Isingiro'!L42,'28.10 Mbarara-Isingiro-24Hr'!L42,'29.10 Mbarara-Isingiro'!L42,'30.10 Mbarara-Isingiro'!L42,'31.10 Mbarara-Isingiro'!L42)</f>
        <v>0</v>
      </c>
      <c r="M42" s="49">
        <f>AVERAGE('25.10 Mbarara-Isingiro'!M42,'26.10 Mbarara-Isingiro-24Hr'!M42,'27.10 Mbarara-Isingiro'!M42,'28.10 Mbarara-Isingiro-24Hr'!M42,'29.10 Mbarara-Isingiro'!M42,'30.10 Mbarara-Isingiro'!M42,'31.10 Mbarara-Isingiro'!M42)</f>
        <v>28.857142857142858</v>
      </c>
      <c r="N42" s="49">
        <f>AVERAGE('25.10 Mbarara-Isingiro'!N42,'26.10 Mbarara-Isingiro-24Hr'!N42,'27.10 Mbarara-Isingiro'!N42,'28.10 Mbarara-Isingiro-24Hr'!N42,'29.10 Mbarara-Isingiro'!N42,'30.10 Mbarara-Isingiro'!N42,'31.10 Mbarara-Isingiro'!N42)</f>
        <v>0</v>
      </c>
      <c r="O42" s="15">
        <f t="shared" si="0"/>
        <v>20.428571428571427</v>
      </c>
      <c r="P42" s="15">
        <f t="shared" si="1"/>
        <v>49.285714285714285</v>
      </c>
      <c r="R42" s="5" t="s">
        <v>160</v>
      </c>
      <c r="S42" s="48">
        <f>S41/S40</f>
        <v>1.3814825666569002</v>
      </c>
      <c r="T42" s="48">
        <f t="shared" ref="T42:AF42" si="34">T41/T40</f>
        <v>1.2749590834697218</v>
      </c>
      <c r="U42" s="48">
        <f t="shared" si="34"/>
        <v>1.1921965317919074</v>
      </c>
      <c r="V42" s="48">
        <f t="shared" si="34"/>
        <v>1.2601351351351351</v>
      </c>
      <c r="W42" s="48">
        <f t="shared" si="34"/>
        <v>1.4666666666666668</v>
      </c>
      <c r="X42" s="48">
        <f t="shared" si="34"/>
        <v>1</v>
      </c>
      <c r="Y42" s="48">
        <f t="shared" si="34"/>
        <v>1.4017391304347826</v>
      </c>
      <c r="Z42" s="48">
        <f t="shared" si="34"/>
        <v>1.3094302554027506</v>
      </c>
      <c r="AA42" s="48">
        <f t="shared" si="34"/>
        <v>1.2625</v>
      </c>
      <c r="AB42" s="48">
        <f t="shared" si="34"/>
        <v>2.6739130434782612</v>
      </c>
      <c r="AC42" s="48">
        <f t="shared" si="34"/>
        <v>1.3094211311992037</v>
      </c>
      <c r="AD42" s="48" t="e">
        <f t="shared" si="34"/>
        <v>#DIV/0!</v>
      </c>
      <c r="AE42" s="52">
        <f t="shared" si="34"/>
        <v>1.3347782112411501</v>
      </c>
      <c r="AF42" s="52">
        <f t="shared" si="34"/>
        <v>1.3186680014753149</v>
      </c>
    </row>
    <row r="43" spans="2:32" ht="23.1" customHeight="1" x14ac:dyDescent="0.25">
      <c r="B43" s="23" t="s">
        <v>70</v>
      </c>
      <c r="C43" s="49">
        <f>AVERAGE('25.10 Mbarara-Isingiro'!C43,'26.10 Mbarara-Isingiro-24Hr'!C43,'27.10 Mbarara-Isingiro'!C43,'28.10 Mbarara-Isingiro-24Hr'!C43,'29.10 Mbarara-Isingiro'!C43,'30.10 Mbarara-Isingiro'!C43,'31.10 Mbarara-Isingiro'!C43)</f>
        <v>12</v>
      </c>
      <c r="D43" s="49">
        <f>AVERAGE('25.10 Mbarara-Isingiro'!D43,'26.10 Mbarara-Isingiro-24Hr'!D43,'27.10 Mbarara-Isingiro'!D43,'28.10 Mbarara-Isingiro-24Hr'!D43,'29.10 Mbarara-Isingiro'!D43,'30.10 Mbarara-Isingiro'!D43,'31.10 Mbarara-Isingiro'!D43)</f>
        <v>0.5714285714285714</v>
      </c>
      <c r="E43" s="49">
        <f>AVERAGE('25.10 Mbarara-Isingiro'!E43,'26.10 Mbarara-Isingiro-24Hr'!E43,'27.10 Mbarara-Isingiro'!E43,'28.10 Mbarara-Isingiro-24Hr'!E43,'29.10 Mbarara-Isingiro'!E43,'30.10 Mbarara-Isingiro'!E43,'31.10 Mbarara-Isingiro'!E43)</f>
        <v>1.8571428571428572</v>
      </c>
      <c r="F43" s="49">
        <f>AVERAGE('25.10 Mbarara-Isingiro'!F43,'26.10 Mbarara-Isingiro-24Hr'!F43,'27.10 Mbarara-Isingiro'!F43,'28.10 Mbarara-Isingiro-24Hr'!F43,'29.10 Mbarara-Isingiro'!F43,'30.10 Mbarara-Isingiro'!F43,'31.10 Mbarara-Isingiro'!F43)</f>
        <v>2.4285714285714284</v>
      </c>
      <c r="G43" s="49">
        <f>AVERAGE('25.10 Mbarara-Isingiro'!G43,'26.10 Mbarara-Isingiro-24Hr'!G43,'27.10 Mbarara-Isingiro'!G43,'28.10 Mbarara-Isingiro-24Hr'!G43,'29.10 Mbarara-Isingiro'!G43,'30.10 Mbarara-Isingiro'!G43,'31.10 Mbarara-Isingiro'!G43)</f>
        <v>0</v>
      </c>
      <c r="H43" s="49">
        <f>AVERAGE('25.10 Mbarara-Isingiro'!H43,'26.10 Mbarara-Isingiro-24Hr'!H43,'27.10 Mbarara-Isingiro'!H43,'28.10 Mbarara-Isingiro-24Hr'!H43,'29.10 Mbarara-Isingiro'!H43,'30.10 Mbarara-Isingiro'!H43,'31.10 Mbarara-Isingiro'!H43)</f>
        <v>0</v>
      </c>
      <c r="I43" s="49">
        <f>AVERAGE('25.10 Mbarara-Isingiro'!I43,'26.10 Mbarara-Isingiro-24Hr'!I43,'27.10 Mbarara-Isingiro'!I43,'28.10 Mbarara-Isingiro-24Hr'!I43,'29.10 Mbarara-Isingiro'!I43,'30.10 Mbarara-Isingiro'!I43,'31.10 Mbarara-Isingiro'!I43)</f>
        <v>1.2857142857142858</v>
      </c>
      <c r="J43" s="49">
        <f>AVERAGE('25.10 Mbarara-Isingiro'!J43,'26.10 Mbarara-Isingiro-24Hr'!J43,'27.10 Mbarara-Isingiro'!J43,'28.10 Mbarara-Isingiro-24Hr'!J43,'29.10 Mbarara-Isingiro'!J43,'30.10 Mbarara-Isingiro'!J43,'31.10 Mbarara-Isingiro'!J43)</f>
        <v>1.1428571428571428</v>
      </c>
      <c r="K43" s="49">
        <f>AVERAGE('25.10 Mbarara-Isingiro'!K43,'26.10 Mbarara-Isingiro-24Hr'!K43,'27.10 Mbarara-Isingiro'!K43,'28.10 Mbarara-Isingiro-24Hr'!K43,'29.10 Mbarara-Isingiro'!K43,'30.10 Mbarara-Isingiro'!K43,'31.10 Mbarara-Isingiro'!K43)</f>
        <v>0.2857142857142857</v>
      </c>
      <c r="L43" s="49">
        <f>AVERAGE('25.10 Mbarara-Isingiro'!L43,'26.10 Mbarara-Isingiro-24Hr'!L43,'27.10 Mbarara-Isingiro'!L43,'28.10 Mbarara-Isingiro-24Hr'!L43,'29.10 Mbarara-Isingiro'!L43,'30.10 Mbarara-Isingiro'!L43,'31.10 Mbarara-Isingiro'!L43)</f>
        <v>0</v>
      </c>
      <c r="M43" s="49">
        <f>AVERAGE('25.10 Mbarara-Isingiro'!M43,'26.10 Mbarara-Isingiro-24Hr'!M43,'27.10 Mbarara-Isingiro'!M43,'28.10 Mbarara-Isingiro-24Hr'!M43,'29.10 Mbarara-Isingiro'!M43,'30.10 Mbarara-Isingiro'!M43,'31.10 Mbarara-Isingiro'!M43)</f>
        <v>28.857142857142858</v>
      </c>
      <c r="N43" s="49">
        <f>AVERAGE('25.10 Mbarara-Isingiro'!N43,'26.10 Mbarara-Isingiro-24Hr'!N43,'27.10 Mbarara-Isingiro'!N43,'28.10 Mbarara-Isingiro-24Hr'!N43,'29.10 Mbarara-Isingiro'!N43,'30.10 Mbarara-Isingiro'!N43,'31.10 Mbarara-Isingiro'!N43)</f>
        <v>0</v>
      </c>
      <c r="O43" s="15">
        <f t="shared" si="0"/>
        <v>19.571428571428569</v>
      </c>
      <c r="P43" s="15">
        <f t="shared" si="1"/>
        <v>48.428571428571431</v>
      </c>
    </row>
    <row r="44" spans="2:32" ht="23.1" customHeight="1" x14ac:dyDescent="0.25">
      <c r="B44" s="25" t="s">
        <v>71</v>
      </c>
      <c r="C44" s="49">
        <f>AVERAGE('25.10 Mbarara-Isingiro'!C44,'26.10 Mbarara-Isingiro-24Hr'!C44,'27.10 Mbarara-Isingiro'!C44,'28.10 Mbarara-Isingiro-24Hr'!C44,'29.10 Mbarara-Isingiro'!C44,'30.10 Mbarara-Isingiro'!C44,'31.10 Mbarara-Isingiro'!C44)</f>
        <v>8.7142857142857135</v>
      </c>
      <c r="D44" s="49">
        <f>AVERAGE('25.10 Mbarara-Isingiro'!D44,'26.10 Mbarara-Isingiro-24Hr'!D44,'27.10 Mbarara-Isingiro'!D44,'28.10 Mbarara-Isingiro-24Hr'!D44,'29.10 Mbarara-Isingiro'!D44,'30.10 Mbarara-Isingiro'!D44,'31.10 Mbarara-Isingiro'!D44)</f>
        <v>0.8571428571428571</v>
      </c>
      <c r="E44" s="49">
        <f>AVERAGE('25.10 Mbarara-Isingiro'!E44,'26.10 Mbarara-Isingiro-24Hr'!E44,'27.10 Mbarara-Isingiro'!E44,'28.10 Mbarara-Isingiro-24Hr'!E44,'29.10 Mbarara-Isingiro'!E44,'30.10 Mbarara-Isingiro'!E44,'31.10 Mbarara-Isingiro'!E44)</f>
        <v>1.5714285714285714</v>
      </c>
      <c r="F44" s="49">
        <f>AVERAGE('25.10 Mbarara-Isingiro'!F44,'26.10 Mbarara-Isingiro-24Hr'!F44,'27.10 Mbarara-Isingiro'!F44,'28.10 Mbarara-Isingiro-24Hr'!F44,'29.10 Mbarara-Isingiro'!F44,'30.10 Mbarara-Isingiro'!F44,'31.10 Mbarara-Isingiro'!F44)</f>
        <v>3.1428571428571428</v>
      </c>
      <c r="G44" s="49">
        <f>AVERAGE('25.10 Mbarara-Isingiro'!G44,'26.10 Mbarara-Isingiro-24Hr'!G44,'27.10 Mbarara-Isingiro'!G44,'28.10 Mbarara-Isingiro-24Hr'!G44,'29.10 Mbarara-Isingiro'!G44,'30.10 Mbarara-Isingiro'!G44,'31.10 Mbarara-Isingiro'!G44)</f>
        <v>0</v>
      </c>
      <c r="H44" s="49">
        <f>AVERAGE('25.10 Mbarara-Isingiro'!H44,'26.10 Mbarara-Isingiro-24Hr'!H44,'27.10 Mbarara-Isingiro'!H44,'28.10 Mbarara-Isingiro-24Hr'!H44,'29.10 Mbarara-Isingiro'!H44,'30.10 Mbarara-Isingiro'!H44,'31.10 Mbarara-Isingiro'!H44)</f>
        <v>0</v>
      </c>
      <c r="I44" s="49">
        <f>AVERAGE('25.10 Mbarara-Isingiro'!I44,'26.10 Mbarara-Isingiro-24Hr'!I44,'27.10 Mbarara-Isingiro'!I44,'28.10 Mbarara-Isingiro-24Hr'!I44,'29.10 Mbarara-Isingiro'!I44,'30.10 Mbarara-Isingiro'!I44,'31.10 Mbarara-Isingiro'!I44)</f>
        <v>1.4285714285714286</v>
      </c>
      <c r="J44" s="49">
        <f>AVERAGE('25.10 Mbarara-Isingiro'!J44,'26.10 Mbarara-Isingiro-24Hr'!J44,'27.10 Mbarara-Isingiro'!J44,'28.10 Mbarara-Isingiro-24Hr'!J44,'29.10 Mbarara-Isingiro'!J44,'30.10 Mbarara-Isingiro'!J44,'31.10 Mbarara-Isingiro'!J44)</f>
        <v>2</v>
      </c>
      <c r="K44" s="49">
        <f>AVERAGE('25.10 Mbarara-Isingiro'!K44,'26.10 Mbarara-Isingiro-24Hr'!K44,'27.10 Mbarara-Isingiro'!K44,'28.10 Mbarara-Isingiro-24Hr'!K44,'29.10 Mbarara-Isingiro'!K44,'30.10 Mbarara-Isingiro'!K44,'31.10 Mbarara-Isingiro'!K44)</f>
        <v>0</v>
      </c>
      <c r="L44" s="49">
        <f>AVERAGE('25.10 Mbarara-Isingiro'!L44,'26.10 Mbarara-Isingiro-24Hr'!L44,'27.10 Mbarara-Isingiro'!L44,'28.10 Mbarara-Isingiro-24Hr'!L44,'29.10 Mbarara-Isingiro'!L44,'30.10 Mbarara-Isingiro'!L44,'31.10 Mbarara-Isingiro'!L44)</f>
        <v>0.2857142857142857</v>
      </c>
      <c r="M44" s="49">
        <f>AVERAGE('25.10 Mbarara-Isingiro'!M44,'26.10 Mbarara-Isingiro-24Hr'!M44,'27.10 Mbarara-Isingiro'!M44,'28.10 Mbarara-Isingiro-24Hr'!M44,'29.10 Mbarara-Isingiro'!M44,'30.10 Mbarara-Isingiro'!M44,'31.10 Mbarara-Isingiro'!M44)</f>
        <v>26.714285714285715</v>
      </c>
      <c r="N44" s="49">
        <f>AVERAGE('25.10 Mbarara-Isingiro'!N44,'26.10 Mbarara-Isingiro-24Hr'!N44,'27.10 Mbarara-Isingiro'!N44,'28.10 Mbarara-Isingiro-24Hr'!N44,'29.10 Mbarara-Isingiro'!N44,'30.10 Mbarara-Isingiro'!N44,'31.10 Mbarara-Isingiro'!N44)</f>
        <v>0</v>
      </c>
      <c r="O44" s="15">
        <f t="shared" si="0"/>
        <v>18</v>
      </c>
      <c r="P44" s="15">
        <f t="shared" si="1"/>
        <v>44.714285714285715</v>
      </c>
    </row>
    <row r="45" spans="2:32" ht="23.1" customHeight="1" x14ac:dyDescent="0.25">
      <c r="B45" s="23" t="s">
        <v>72</v>
      </c>
      <c r="C45" s="49">
        <f>AVERAGE('25.10 Mbarara-Isingiro'!C45,'26.10 Mbarara-Isingiro-24Hr'!C45,'27.10 Mbarara-Isingiro'!C45,'28.10 Mbarara-Isingiro-24Hr'!C45,'29.10 Mbarara-Isingiro'!C45,'30.10 Mbarara-Isingiro'!C45,'31.10 Mbarara-Isingiro'!C45)</f>
        <v>13.428571428571429</v>
      </c>
      <c r="D45" s="49">
        <f>AVERAGE('25.10 Mbarara-Isingiro'!D45,'26.10 Mbarara-Isingiro-24Hr'!D45,'27.10 Mbarara-Isingiro'!D45,'28.10 Mbarara-Isingiro-24Hr'!D45,'29.10 Mbarara-Isingiro'!D45,'30.10 Mbarara-Isingiro'!D45,'31.10 Mbarara-Isingiro'!D45)</f>
        <v>1.8571428571428572</v>
      </c>
      <c r="E45" s="49">
        <f>AVERAGE('25.10 Mbarara-Isingiro'!E45,'26.10 Mbarara-Isingiro-24Hr'!E45,'27.10 Mbarara-Isingiro'!E45,'28.10 Mbarara-Isingiro-24Hr'!E45,'29.10 Mbarara-Isingiro'!E45,'30.10 Mbarara-Isingiro'!E45,'31.10 Mbarara-Isingiro'!E45)</f>
        <v>1.4285714285714286</v>
      </c>
      <c r="F45" s="49">
        <f>AVERAGE('25.10 Mbarara-Isingiro'!F45,'26.10 Mbarara-Isingiro-24Hr'!F45,'27.10 Mbarara-Isingiro'!F45,'28.10 Mbarara-Isingiro-24Hr'!F45,'29.10 Mbarara-Isingiro'!F45,'30.10 Mbarara-Isingiro'!F45,'31.10 Mbarara-Isingiro'!F45)</f>
        <v>4.5714285714285712</v>
      </c>
      <c r="G45" s="49">
        <f>AVERAGE('25.10 Mbarara-Isingiro'!G45,'26.10 Mbarara-Isingiro-24Hr'!G45,'27.10 Mbarara-Isingiro'!G45,'28.10 Mbarara-Isingiro-24Hr'!G45,'29.10 Mbarara-Isingiro'!G45,'30.10 Mbarara-Isingiro'!G45,'31.10 Mbarara-Isingiro'!G45)</f>
        <v>0.14285714285714285</v>
      </c>
      <c r="H45" s="49">
        <f>AVERAGE('25.10 Mbarara-Isingiro'!H45,'26.10 Mbarara-Isingiro-24Hr'!H45,'27.10 Mbarara-Isingiro'!H45,'28.10 Mbarara-Isingiro-24Hr'!H45,'29.10 Mbarara-Isingiro'!H45,'30.10 Mbarara-Isingiro'!H45,'31.10 Mbarara-Isingiro'!H45)</f>
        <v>0</v>
      </c>
      <c r="I45" s="49">
        <f>AVERAGE('25.10 Mbarara-Isingiro'!I45,'26.10 Mbarara-Isingiro-24Hr'!I45,'27.10 Mbarara-Isingiro'!I45,'28.10 Mbarara-Isingiro-24Hr'!I45,'29.10 Mbarara-Isingiro'!I45,'30.10 Mbarara-Isingiro'!I45,'31.10 Mbarara-Isingiro'!I45)</f>
        <v>0.42857142857142855</v>
      </c>
      <c r="J45" s="49">
        <f>AVERAGE('25.10 Mbarara-Isingiro'!J45,'26.10 Mbarara-Isingiro-24Hr'!J45,'27.10 Mbarara-Isingiro'!J45,'28.10 Mbarara-Isingiro-24Hr'!J45,'29.10 Mbarara-Isingiro'!J45,'30.10 Mbarara-Isingiro'!J45,'31.10 Mbarara-Isingiro'!J45)</f>
        <v>1.5714285714285714</v>
      </c>
      <c r="K45" s="49">
        <f>AVERAGE('25.10 Mbarara-Isingiro'!K45,'26.10 Mbarara-Isingiro-24Hr'!K45,'27.10 Mbarara-Isingiro'!K45,'28.10 Mbarara-Isingiro-24Hr'!K45,'29.10 Mbarara-Isingiro'!K45,'30.10 Mbarara-Isingiro'!K45,'31.10 Mbarara-Isingiro'!K45)</f>
        <v>0</v>
      </c>
      <c r="L45" s="49">
        <f>AVERAGE('25.10 Mbarara-Isingiro'!L45,'26.10 Mbarara-Isingiro-24Hr'!L45,'27.10 Mbarara-Isingiro'!L45,'28.10 Mbarara-Isingiro-24Hr'!L45,'29.10 Mbarara-Isingiro'!L45,'30.10 Mbarara-Isingiro'!L45,'31.10 Mbarara-Isingiro'!L45)</f>
        <v>0</v>
      </c>
      <c r="M45" s="49">
        <f>AVERAGE('25.10 Mbarara-Isingiro'!M45,'26.10 Mbarara-Isingiro-24Hr'!M45,'27.10 Mbarara-Isingiro'!M45,'28.10 Mbarara-Isingiro-24Hr'!M45,'29.10 Mbarara-Isingiro'!M45,'30.10 Mbarara-Isingiro'!M45,'31.10 Mbarara-Isingiro'!M45)</f>
        <v>36.714285714285715</v>
      </c>
      <c r="N45" s="49">
        <f>AVERAGE('25.10 Mbarara-Isingiro'!N45,'26.10 Mbarara-Isingiro-24Hr'!N45,'27.10 Mbarara-Isingiro'!N45,'28.10 Mbarara-Isingiro-24Hr'!N45,'29.10 Mbarara-Isingiro'!N45,'30.10 Mbarara-Isingiro'!N45,'31.10 Mbarara-Isingiro'!N45)</f>
        <v>0</v>
      </c>
      <c r="O45" s="15">
        <f t="shared" si="0"/>
        <v>23.428571428571427</v>
      </c>
      <c r="P45" s="15">
        <f t="shared" si="1"/>
        <v>60.142857142857139</v>
      </c>
    </row>
    <row r="46" spans="2:32" ht="23.1" customHeight="1" x14ac:dyDescent="0.25">
      <c r="B46" s="24" t="s">
        <v>73</v>
      </c>
      <c r="C46" s="49">
        <f>AVERAGE('25.10 Mbarara-Isingiro'!C46,'26.10 Mbarara-Isingiro-24Hr'!C46,'27.10 Mbarara-Isingiro'!C46,'28.10 Mbarara-Isingiro-24Hr'!C46,'29.10 Mbarara-Isingiro'!C46,'30.10 Mbarara-Isingiro'!C46,'31.10 Mbarara-Isingiro'!C46)</f>
        <v>10.142857142857142</v>
      </c>
      <c r="D46" s="49">
        <f>AVERAGE('25.10 Mbarara-Isingiro'!D46,'26.10 Mbarara-Isingiro-24Hr'!D46,'27.10 Mbarara-Isingiro'!D46,'28.10 Mbarara-Isingiro-24Hr'!D46,'29.10 Mbarara-Isingiro'!D46,'30.10 Mbarara-Isingiro'!D46,'31.10 Mbarara-Isingiro'!D46)</f>
        <v>1.1428571428571428</v>
      </c>
      <c r="E46" s="49">
        <f>AVERAGE('25.10 Mbarara-Isingiro'!E46,'26.10 Mbarara-Isingiro-24Hr'!E46,'27.10 Mbarara-Isingiro'!E46,'28.10 Mbarara-Isingiro-24Hr'!E46,'29.10 Mbarara-Isingiro'!E46,'30.10 Mbarara-Isingiro'!E46,'31.10 Mbarara-Isingiro'!E46)</f>
        <v>2</v>
      </c>
      <c r="F46" s="49">
        <f>AVERAGE('25.10 Mbarara-Isingiro'!F46,'26.10 Mbarara-Isingiro-24Hr'!F46,'27.10 Mbarara-Isingiro'!F46,'28.10 Mbarara-Isingiro-24Hr'!F46,'29.10 Mbarara-Isingiro'!F46,'30.10 Mbarara-Isingiro'!F46,'31.10 Mbarara-Isingiro'!F46)</f>
        <v>4.7142857142857144</v>
      </c>
      <c r="G46" s="49">
        <f>AVERAGE('25.10 Mbarara-Isingiro'!G46,'26.10 Mbarara-Isingiro-24Hr'!G46,'27.10 Mbarara-Isingiro'!G46,'28.10 Mbarara-Isingiro-24Hr'!G46,'29.10 Mbarara-Isingiro'!G46,'30.10 Mbarara-Isingiro'!G46,'31.10 Mbarara-Isingiro'!G46)</f>
        <v>0</v>
      </c>
      <c r="H46" s="49">
        <f>AVERAGE('25.10 Mbarara-Isingiro'!H46,'26.10 Mbarara-Isingiro-24Hr'!H46,'27.10 Mbarara-Isingiro'!H46,'28.10 Mbarara-Isingiro-24Hr'!H46,'29.10 Mbarara-Isingiro'!H46,'30.10 Mbarara-Isingiro'!H46,'31.10 Mbarara-Isingiro'!H46)</f>
        <v>0</v>
      </c>
      <c r="I46" s="49">
        <f>AVERAGE('25.10 Mbarara-Isingiro'!I46,'26.10 Mbarara-Isingiro-24Hr'!I46,'27.10 Mbarara-Isingiro'!I46,'28.10 Mbarara-Isingiro-24Hr'!I46,'29.10 Mbarara-Isingiro'!I46,'30.10 Mbarara-Isingiro'!I46,'31.10 Mbarara-Isingiro'!I46)</f>
        <v>1.2857142857142858</v>
      </c>
      <c r="J46" s="49">
        <f>AVERAGE('25.10 Mbarara-Isingiro'!J46,'26.10 Mbarara-Isingiro-24Hr'!J46,'27.10 Mbarara-Isingiro'!J46,'28.10 Mbarara-Isingiro-24Hr'!J46,'29.10 Mbarara-Isingiro'!J46,'30.10 Mbarara-Isingiro'!J46,'31.10 Mbarara-Isingiro'!J46)</f>
        <v>1.5714285714285714</v>
      </c>
      <c r="K46" s="49">
        <f>AVERAGE('25.10 Mbarara-Isingiro'!K46,'26.10 Mbarara-Isingiro-24Hr'!K46,'27.10 Mbarara-Isingiro'!K46,'28.10 Mbarara-Isingiro-24Hr'!K46,'29.10 Mbarara-Isingiro'!K46,'30.10 Mbarara-Isingiro'!K46,'31.10 Mbarara-Isingiro'!K46)</f>
        <v>0.14285714285714285</v>
      </c>
      <c r="L46" s="49">
        <f>AVERAGE('25.10 Mbarara-Isingiro'!L46,'26.10 Mbarara-Isingiro-24Hr'!L46,'27.10 Mbarara-Isingiro'!L46,'28.10 Mbarara-Isingiro-24Hr'!L46,'29.10 Mbarara-Isingiro'!L46,'30.10 Mbarara-Isingiro'!L46,'31.10 Mbarara-Isingiro'!L46)</f>
        <v>0</v>
      </c>
      <c r="M46" s="49">
        <f>AVERAGE('25.10 Mbarara-Isingiro'!M46,'26.10 Mbarara-Isingiro-24Hr'!M46,'27.10 Mbarara-Isingiro'!M46,'28.10 Mbarara-Isingiro-24Hr'!M46,'29.10 Mbarara-Isingiro'!M46,'30.10 Mbarara-Isingiro'!M46,'31.10 Mbarara-Isingiro'!M46)</f>
        <v>39</v>
      </c>
      <c r="N46" s="49">
        <f>AVERAGE('25.10 Mbarara-Isingiro'!N46,'26.10 Mbarara-Isingiro-24Hr'!N46,'27.10 Mbarara-Isingiro'!N46,'28.10 Mbarara-Isingiro-24Hr'!N46,'29.10 Mbarara-Isingiro'!N46,'30.10 Mbarara-Isingiro'!N46,'31.10 Mbarara-Isingiro'!N46)</f>
        <v>0</v>
      </c>
      <c r="O46" s="15">
        <f t="shared" si="0"/>
        <v>21</v>
      </c>
      <c r="P46" s="15">
        <f t="shared" si="1"/>
        <v>60</v>
      </c>
      <c r="R46" s="8"/>
      <c r="T46"/>
    </row>
    <row r="47" spans="2:32" ht="23.1" customHeight="1" x14ac:dyDescent="0.25">
      <c r="B47" s="24" t="s">
        <v>74</v>
      </c>
      <c r="C47" s="49">
        <f>AVERAGE('25.10 Mbarara-Isingiro'!C47,'26.10 Mbarara-Isingiro-24Hr'!C47,'27.10 Mbarara-Isingiro'!C47,'28.10 Mbarara-Isingiro-24Hr'!C47,'29.10 Mbarara-Isingiro'!C47,'30.10 Mbarara-Isingiro'!C47,'31.10 Mbarara-Isingiro'!C47)</f>
        <v>9.8571428571428577</v>
      </c>
      <c r="D47" s="49">
        <f>AVERAGE('25.10 Mbarara-Isingiro'!D47,'26.10 Mbarara-Isingiro-24Hr'!D47,'27.10 Mbarara-Isingiro'!D47,'28.10 Mbarara-Isingiro-24Hr'!D47,'29.10 Mbarara-Isingiro'!D47,'30.10 Mbarara-Isingiro'!D47,'31.10 Mbarara-Isingiro'!D47)</f>
        <v>1.8571428571428572</v>
      </c>
      <c r="E47" s="49">
        <f>AVERAGE('25.10 Mbarara-Isingiro'!E47,'26.10 Mbarara-Isingiro-24Hr'!E47,'27.10 Mbarara-Isingiro'!E47,'28.10 Mbarara-Isingiro-24Hr'!E47,'29.10 Mbarara-Isingiro'!E47,'30.10 Mbarara-Isingiro'!E47,'31.10 Mbarara-Isingiro'!E47)</f>
        <v>1.7142857142857142</v>
      </c>
      <c r="F47" s="49">
        <f>AVERAGE('25.10 Mbarara-Isingiro'!F47,'26.10 Mbarara-Isingiro-24Hr'!F47,'27.10 Mbarara-Isingiro'!F47,'28.10 Mbarara-Isingiro-24Hr'!F47,'29.10 Mbarara-Isingiro'!F47,'30.10 Mbarara-Isingiro'!F47,'31.10 Mbarara-Isingiro'!F47)</f>
        <v>2.8571428571428572</v>
      </c>
      <c r="G47" s="49">
        <f>AVERAGE('25.10 Mbarara-Isingiro'!G47,'26.10 Mbarara-Isingiro-24Hr'!G47,'27.10 Mbarara-Isingiro'!G47,'28.10 Mbarara-Isingiro-24Hr'!G47,'29.10 Mbarara-Isingiro'!G47,'30.10 Mbarara-Isingiro'!G47,'31.10 Mbarara-Isingiro'!G47)</f>
        <v>0</v>
      </c>
      <c r="H47" s="49">
        <f>AVERAGE('25.10 Mbarara-Isingiro'!H47,'26.10 Mbarara-Isingiro-24Hr'!H47,'27.10 Mbarara-Isingiro'!H47,'28.10 Mbarara-Isingiro-24Hr'!H47,'29.10 Mbarara-Isingiro'!H47,'30.10 Mbarara-Isingiro'!H47,'31.10 Mbarara-Isingiro'!H47)</f>
        <v>0</v>
      </c>
      <c r="I47" s="49">
        <f>AVERAGE('25.10 Mbarara-Isingiro'!I47,'26.10 Mbarara-Isingiro-24Hr'!I47,'27.10 Mbarara-Isingiro'!I47,'28.10 Mbarara-Isingiro-24Hr'!I47,'29.10 Mbarara-Isingiro'!I47,'30.10 Mbarara-Isingiro'!I47,'31.10 Mbarara-Isingiro'!I47)</f>
        <v>2.8571428571428572</v>
      </c>
      <c r="J47" s="49">
        <f>AVERAGE('25.10 Mbarara-Isingiro'!J47,'26.10 Mbarara-Isingiro-24Hr'!J47,'27.10 Mbarara-Isingiro'!J47,'28.10 Mbarara-Isingiro-24Hr'!J47,'29.10 Mbarara-Isingiro'!J47,'30.10 Mbarara-Isingiro'!J47,'31.10 Mbarara-Isingiro'!J47)</f>
        <v>1.7142857142857142</v>
      </c>
      <c r="K47" s="49">
        <f>AVERAGE('25.10 Mbarara-Isingiro'!K47,'26.10 Mbarara-Isingiro-24Hr'!K47,'27.10 Mbarara-Isingiro'!K47,'28.10 Mbarara-Isingiro-24Hr'!K47,'29.10 Mbarara-Isingiro'!K47,'30.10 Mbarara-Isingiro'!K47,'31.10 Mbarara-Isingiro'!K47)</f>
        <v>0.14285714285714285</v>
      </c>
      <c r="L47" s="49">
        <f>AVERAGE('25.10 Mbarara-Isingiro'!L47,'26.10 Mbarara-Isingiro-24Hr'!L47,'27.10 Mbarara-Isingiro'!L47,'28.10 Mbarara-Isingiro-24Hr'!L47,'29.10 Mbarara-Isingiro'!L47,'30.10 Mbarara-Isingiro'!L47,'31.10 Mbarara-Isingiro'!L47)</f>
        <v>0.14285714285714285</v>
      </c>
      <c r="M47" s="49">
        <f>AVERAGE('25.10 Mbarara-Isingiro'!M47,'26.10 Mbarara-Isingiro-24Hr'!M47,'27.10 Mbarara-Isingiro'!M47,'28.10 Mbarara-Isingiro-24Hr'!M47,'29.10 Mbarara-Isingiro'!M47,'30.10 Mbarara-Isingiro'!M47,'31.10 Mbarara-Isingiro'!M47)</f>
        <v>38</v>
      </c>
      <c r="N47" s="49">
        <f>AVERAGE('25.10 Mbarara-Isingiro'!N47,'26.10 Mbarara-Isingiro-24Hr'!N47,'27.10 Mbarara-Isingiro'!N47,'28.10 Mbarara-Isingiro-24Hr'!N47,'29.10 Mbarara-Isingiro'!N47,'30.10 Mbarara-Isingiro'!N47,'31.10 Mbarara-Isingiro'!N47)</f>
        <v>0</v>
      </c>
      <c r="O47" s="15">
        <f t="shared" si="0"/>
        <v>21.142857142857142</v>
      </c>
      <c r="P47" s="15">
        <f t="shared" si="1"/>
        <v>59.142857142857139</v>
      </c>
      <c r="R47" s="8"/>
      <c r="T47"/>
    </row>
    <row r="48" spans="2:32" ht="23.1" customHeight="1" x14ac:dyDescent="0.25">
      <c r="B48" s="24" t="s">
        <v>75</v>
      </c>
      <c r="C48" s="49">
        <f>AVERAGE('25.10 Mbarara-Isingiro'!C48,'26.10 Mbarara-Isingiro-24Hr'!C48,'27.10 Mbarara-Isingiro'!C48,'28.10 Mbarara-Isingiro-24Hr'!C48,'29.10 Mbarara-Isingiro'!C48,'30.10 Mbarara-Isingiro'!C48,'31.10 Mbarara-Isingiro'!C48)</f>
        <v>11.571428571428571</v>
      </c>
      <c r="D48" s="49">
        <f>AVERAGE('25.10 Mbarara-Isingiro'!D48,'26.10 Mbarara-Isingiro-24Hr'!D48,'27.10 Mbarara-Isingiro'!D48,'28.10 Mbarara-Isingiro-24Hr'!D48,'29.10 Mbarara-Isingiro'!D48,'30.10 Mbarara-Isingiro'!D48,'31.10 Mbarara-Isingiro'!D48)</f>
        <v>2.2857142857142856</v>
      </c>
      <c r="E48" s="49">
        <f>AVERAGE('25.10 Mbarara-Isingiro'!E48,'26.10 Mbarara-Isingiro-24Hr'!E48,'27.10 Mbarara-Isingiro'!E48,'28.10 Mbarara-Isingiro-24Hr'!E48,'29.10 Mbarara-Isingiro'!E48,'30.10 Mbarara-Isingiro'!E48,'31.10 Mbarara-Isingiro'!E48)</f>
        <v>2</v>
      </c>
      <c r="F48" s="49">
        <f>AVERAGE('25.10 Mbarara-Isingiro'!F48,'26.10 Mbarara-Isingiro-24Hr'!F48,'27.10 Mbarara-Isingiro'!F48,'28.10 Mbarara-Isingiro-24Hr'!F48,'29.10 Mbarara-Isingiro'!F48,'30.10 Mbarara-Isingiro'!F48,'31.10 Mbarara-Isingiro'!F48)</f>
        <v>3.2857142857142856</v>
      </c>
      <c r="G48" s="49">
        <f>AVERAGE('25.10 Mbarara-Isingiro'!G48,'26.10 Mbarara-Isingiro-24Hr'!G48,'27.10 Mbarara-Isingiro'!G48,'28.10 Mbarara-Isingiro-24Hr'!G48,'29.10 Mbarara-Isingiro'!G48,'30.10 Mbarara-Isingiro'!G48,'31.10 Mbarara-Isingiro'!G48)</f>
        <v>0</v>
      </c>
      <c r="H48" s="49">
        <f>AVERAGE('25.10 Mbarara-Isingiro'!H48,'26.10 Mbarara-Isingiro-24Hr'!H48,'27.10 Mbarara-Isingiro'!H48,'28.10 Mbarara-Isingiro-24Hr'!H48,'29.10 Mbarara-Isingiro'!H48,'30.10 Mbarara-Isingiro'!H48,'31.10 Mbarara-Isingiro'!H48)</f>
        <v>0</v>
      </c>
      <c r="I48" s="49">
        <f>AVERAGE('25.10 Mbarara-Isingiro'!I48,'26.10 Mbarara-Isingiro-24Hr'!I48,'27.10 Mbarara-Isingiro'!I48,'28.10 Mbarara-Isingiro-24Hr'!I48,'29.10 Mbarara-Isingiro'!I48,'30.10 Mbarara-Isingiro'!I48,'31.10 Mbarara-Isingiro'!I48)</f>
        <v>2.2857142857142856</v>
      </c>
      <c r="J48" s="49">
        <f>AVERAGE('25.10 Mbarara-Isingiro'!J48,'26.10 Mbarara-Isingiro-24Hr'!J48,'27.10 Mbarara-Isingiro'!J48,'28.10 Mbarara-Isingiro-24Hr'!J48,'29.10 Mbarara-Isingiro'!J48,'30.10 Mbarara-Isingiro'!J48,'31.10 Mbarara-Isingiro'!J48)</f>
        <v>1.4285714285714286</v>
      </c>
      <c r="K48" s="49">
        <f>AVERAGE('25.10 Mbarara-Isingiro'!K48,'26.10 Mbarara-Isingiro-24Hr'!K48,'27.10 Mbarara-Isingiro'!K48,'28.10 Mbarara-Isingiro-24Hr'!K48,'29.10 Mbarara-Isingiro'!K48,'30.10 Mbarara-Isingiro'!K48,'31.10 Mbarara-Isingiro'!K48)</f>
        <v>0</v>
      </c>
      <c r="L48" s="49">
        <f>AVERAGE('25.10 Mbarara-Isingiro'!L48,'26.10 Mbarara-Isingiro-24Hr'!L48,'27.10 Mbarara-Isingiro'!L48,'28.10 Mbarara-Isingiro-24Hr'!L48,'29.10 Mbarara-Isingiro'!L48,'30.10 Mbarara-Isingiro'!L48,'31.10 Mbarara-Isingiro'!L48)</f>
        <v>0</v>
      </c>
      <c r="M48" s="49">
        <f>AVERAGE('25.10 Mbarara-Isingiro'!M48,'26.10 Mbarara-Isingiro-24Hr'!M48,'27.10 Mbarara-Isingiro'!M48,'28.10 Mbarara-Isingiro-24Hr'!M48,'29.10 Mbarara-Isingiro'!M48,'30.10 Mbarara-Isingiro'!M48,'31.10 Mbarara-Isingiro'!M48)</f>
        <v>43.571428571428569</v>
      </c>
      <c r="N48" s="49">
        <f>AVERAGE('25.10 Mbarara-Isingiro'!N48,'26.10 Mbarara-Isingiro-24Hr'!N48,'27.10 Mbarara-Isingiro'!N48,'28.10 Mbarara-Isingiro-24Hr'!N48,'29.10 Mbarara-Isingiro'!N48,'30.10 Mbarara-Isingiro'!N48,'31.10 Mbarara-Isingiro'!N48)</f>
        <v>0</v>
      </c>
      <c r="O48" s="15">
        <f t="shared" si="0"/>
        <v>22.857142857142854</v>
      </c>
      <c r="P48" s="15">
        <f t="shared" si="1"/>
        <v>66.428571428571416</v>
      </c>
      <c r="R48" s="8"/>
      <c r="T48"/>
    </row>
    <row r="49" spans="2:20" ht="23.1" customHeight="1" x14ac:dyDescent="0.25">
      <c r="B49" s="23" t="s">
        <v>76</v>
      </c>
      <c r="C49" s="49">
        <f>AVERAGE('25.10 Mbarara-Isingiro'!C49,'26.10 Mbarara-Isingiro-24Hr'!C49,'27.10 Mbarara-Isingiro'!C49,'28.10 Mbarara-Isingiro-24Hr'!C49,'29.10 Mbarara-Isingiro'!C49,'30.10 Mbarara-Isingiro'!C49,'31.10 Mbarara-Isingiro'!C49)</f>
        <v>12.714285714285714</v>
      </c>
      <c r="D49" s="49">
        <f>AVERAGE('25.10 Mbarara-Isingiro'!D49,'26.10 Mbarara-Isingiro-24Hr'!D49,'27.10 Mbarara-Isingiro'!D49,'28.10 Mbarara-Isingiro-24Hr'!D49,'29.10 Mbarara-Isingiro'!D49,'30.10 Mbarara-Isingiro'!D49,'31.10 Mbarara-Isingiro'!D49)</f>
        <v>1.7142857142857142</v>
      </c>
      <c r="E49" s="49">
        <f>AVERAGE('25.10 Mbarara-Isingiro'!E49,'26.10 Mbarara-Isingiro-24Hr'!E49,'27.10 Mbarara-Isingiro'!E49,'28.10 Mbarara-Isingiro-24Hr'!E49,'29.10 Mbarara-Isingiro'!E49,'30.10 Mbarara-Isingiro'!E49,'31.10 Mbarara-Isingiro'!E49)</f>
        <v>2</v>
      </c>
      <c r="F49" s="49">
        <f>AVERAGE('25.10 Mbarara-Isingiro'!F49,'26.10 Mbarara-Isingiro-24Hr'!F49,'27.10 Mbarara-Isingiro'!F49,'28.10 Mbarara-Isingiro-24Hr'!F49,'29.10 Mbarara-Isingiro'!F49,'30.10 Mbarara-Isingiro'!F49,'31.10 Mbarara-Isingiro'!F49)</f>
        <v>6</v>
      </c>
      <c r="G49" s="49">
        <f>AVERAGE('25.10 Mbarara-Isingiro'!G49,'26.10 Mbarara-Isingiro-24Hr'!G49,'27.10 Mbarara-Isingiro'!G49,'28.10 Mbarara-Isingiro-24Hr'!G49,'29.10 Mbarara-Isingiro'!G49,'30.10 Mbarara-Isingiro'!G49,'31.10 Mbarara-Isingiro'!G49)</f>
        <v>0</v>
      </c>
      <c r="H49" s="49">
        <f>AVERAGE('25.10 Mbarara-Isingiro'!H49,'26.10 Mbarara-Isingiro-24Hr'!H49,'27.10 Mbarara-Isingiro'!H49,'28.10 Mbarara-Isingiro-24Hr'!H49,'29.10 Mbarara-Isingiro'!H49,'30.10 Mbarara-Isingiro'!H49,'31.10 Mbarara-Isingiro'!H49)</f>
        <v>0</v>
      </c>
      <c r="I49" s="49">
        <f>AVERAGE('25.10 Mbarara-Isingiro'!I49,'26.10 Mbarara-Isingiro-24Hr'!I49,'27.10 Mbarara-Isingiro'!I49,'28.10 Mbarara-Isingiro-24Hr'!I49,'29.10 Mbarara-Isingiro'!I49,'30.10 Mbarara-Isingiro'!I49,'31.10 Mbarara-Isingiro'!I49)</f>
        <v>1.4285714285714286</v>
      </c>
      <c r="J49" s="49">
        <f>AVERAGE('25.10 Mbarara-Isingiro'!J49,'26.10 Mbarara-Isingiro-24Hr'!J49,'27.10 Mbarara-Isingiro'!J49,'28.10 Mbarara-Isingiro-24Hr'!J49,'29.10 Mbarara-Isingiro'!J49,'30.10 Mbarara-Isingiro'!J49,'31.10 Mbarara-Isingiro'!J49)</f>
        <v>1.8571428571428572</v>
      </c>
      <c r="K49" s="49">
        <f>AVERAGE('25.10 Mbarara-Isingiro'!K49,'26.10 Mbarara-Isingiro-24Hr'!K49,'27.10 Mbarara-Isingiro'!K49,'28.10 Mbarara-Isingiro-24Hr'!K49,'29.10 Mbarara-Isingiro'!K49,'30.10 Mbarara-Isingiro'!K49,'31.10 Mbarara-Isingiro'!K49)</f>
        <v>0</v>
      </c>
      <c r="L49" s="49">
        <f>AVERAGE('25.10 Mbarara-Isingiro'!L49,'26.10 Mbarara-Isingiro-24Hr'!L49,'27.10 Mbarara-Isingiro'!L49,'28.10 Mbarara-Isingiro-24Hr'!L49,'29.10 Mbarara-Isingiro'!L49,'30.10 Mbarara-Isingiro'!L49,'31.10 Mbarara-Isingiro'!L49)</f>
        <v>0.14285714285714285</v>
      </c>
      <c r="M49" s="49">
        <f>AVERAGE('25.10 Mbarara-Isingiro'!M49,'26.10 Mbarara-Isingiro-24Hr'!M49,'27.10 Mbarara-Isingiro'!M49,'28.10 Mbarara-Isingiro-24Hr'!M49,'29.10 Mbarara-Isingiro'!M49,'30.10 Mbarara-Isingiro'!M49,'31.10 Mbarara-Isingiro'!M49)</f>
        <v>40.285714285714285</v>
      </c>
      <c r="N49" s="49">
        <f>AVERAGE('25.10 Mbarara-Isingiro'!N49,'26.10 Mbarara-Isingiro-24Hr'!N49,'27.10 Mbarara-Isingiro'!N49,'28.10 Mbarara-Isingiro-24Hr'!N49,'29.10 Mbarara-Isingiro'!N49,'30.10 Mbarara-Isingiro'!N49,'31.10 Mbarara-Isingiro'!N49)</f>
        <v>0</v>
      </c>
      <c r="O49" s="15">
        <f t="shared" si="0"/>
        <v>25.857142857142854</v>
      </c>
      <c r="P49" s="15">
        <f t="shared" si="1"/>
        <v>66.142857142857139</v>
      </c>
      <c r="R49" s="8"/>
      <c r="T49"/>
    </row>
    <row r="50" spans="2:20" ht="23.1" customHeight="1" x14ac:dyDescent="0.25">
      <c r="B50" s="24" t="s">
        <v>77</v>
      </c>
      <c r="C50" s="49">
        <f>AVERAGE('25.10 Mbarara-Isingiro'!C50,'26.10 Mbarara-Isingiro-24Hr'!C50,'27.10 Mbarara-Isingiro'!C50,'28.10 Mbarara-Isingiro-24Hr'!C50,'29.10 Mbarara-Isingiro'!C50,'30.10 Mbarara-Isingiro'!C50,'31.10 Mbarara-Isingiro'!C50)</f>
        <v>10.571428571428571</v>
      </c>
      <c r="D50" s="49">
        <f>AVERAGE('25.10 Mbarara-Isingiro'!D50,'26.10 Mbarara-Isingiro-24Hr'!D50,'27.10 Mbarara-Isingiro'!D50,'28.10 Mbarara-Isingiro-24Hr'!D50,'29.10 Mbarara-Isingiro'!D50,'30.10 Mbarara-Isingiro'!D50,'31.10 Mbarara-Isingiro'!D50)</f>
        <v>2.1428571428571428</v>
      </c>
      <c r="E50" s="49">
        <f>AVERAGE('25.10 Mbarara-Isingiro'!E50,'26.10 Mbarara-Isingiro-24Hr'!E50,'27.10 Mbarara-Isingiro'!E50,'28.10 Mbarara-Isingiro-24Hr'!E50,'29.10 Mbarara-Isingiro'!E50,'30.10 Mbarara-Isingiro'!E50,'31.10 Mbarara-Isingiro'!E50)</f>
        <v>2</v>
      </c>
      <c r="F50" s="49">
        <f>AVERAGE('25.10 Mbarara-Isingiro'!F50,'26.10 Mbarara-Isingiro-24Hr'!F50,'27.10 Mbarara-Isingiro'!F50,'28.10 Mbarara-Isingiro-24Hr'!F50,'29.10 Mbarara-Isingiro'!F50,'30.10 Mbarara-Isingiro'!F50,'31.10 Mbarara-Isingiro'!F50)</f>
        <v>4</v>
      </c>
      <c r="G50" s="49">
        <f>AVERAGE('25.10 Mbarara-Isingiro'!G50,'26.10 Mbarara-Isingiro-24Hr'!G50,'27.10 Mbarara-Isingiro'!G50,'28.10 Mbarara-Isingiro-24Hr'!G50,'29.10 Mbarara-Isingiro'!G50,'30.10 Mbarara-Isingiro'!G50,'31.10 Mbarara-Isingiro'!G50)</f>
        <v>0</v>
      </c>
      <c r="H50" s="49">
        <f>AVERAGE('25.10 Mbarara-Isingiro'!H50,'26.10 Mbarara-Isingiro-24Hr'!H50,'27.10 Mbarara-Isingiro'!H50,'28.10 Mbarara-Isingiro-24Hr'!H50,'29.10 Mbarara-Isingiro'!H50,'30.10 Mbarara-Isingiro'!H50,'31.10 Mbarara-Isingiro'!H50)</f>
        <v>0</v>
      </c>
      <c r="I50" s="49">
        <f>AVERAGE('25.10 Mbarara-Isingiro'!I50,'26.10 Mbarara-Isingiro-24Hr'!I50,'27.10 Mbarara-Isingiro'!I50,'28.10 Mbarara-Isingiro-24Hr'!I50,'29.10 Mbarara-Isingiro'!I50,'30.10 Mbarara-Isingiro'!I50,'31.10 Mbarara-Isingiro'!I50)</f>
        <v>2</v>
      </c>
      <c r="J50" s="49">
        <f>AVERAGE('25.10 Mbarara-Isingiro'!J50,'26.10 Mbarara-Isingiro-24Hr'!J50,'27.10 Mbarara-Isingiro'!J50,'28.10 Mbarara-Isingiro-24Hr'!J50,'29.10 Mbarara-Isingiro'!J50,'30.10 Mbarara-Isingiro'!J50,'31.10 Mbarara-Isingiro'!J50)</f>
        <v>1.2857142857142858</v>
      </c>
      <c r="K50" s="49">
        <f>AVERAGE('25.10 Mbarara-Isingiro'!K50,'26.10 Mbarara-Isingiro-24Hr'!K50,'27.10 Mbarara-Isingiro'!K50,'28.10 Mbarara-Isingiro-24Hr'!K50,'29.10 Mbarara-Isingiro'!K50,'30.10 Mbarara-Isingiro'!K50,'31.10 Mbarara-Isingiro'!K50)</f>
        <v>0</v>
      </c>
      <c r="L50" s="49">
        <f>AVERAGE('25.10 Mbarara-Isingiro'!L50,'26.10 Mbarara-Isingiro-24Hr'!L50,'27.10 Mbarara-Isingiro'!L50,'28.10 Mbarara-Isingiro-24Hr'!L50,'29.10 Mbarara-Isingiro'!L50,'30.10 Mbarara-Isingiro'!L50,'31.10 Mbarara-Isingiro'!L50)</f>
        <v>0</v>
      </c>
      <c r="M50" s="49">
        <f>AVERAGE('25.10 Mbarara-Isingiro'!M50,'26.10 Mbarara-Isingiro-24Hr'!M50,'27.10 Mbarara-Isingiro'!M50,'28.10 Mbarara-Isingiro-24Hr'!M50,'29.10 Mbarara-Isingiro'!M50,'30.10 Mbarara-Isingiro'!M50,'31.10 Mbarara-Isingiro'!M50)</f>
        <v>41.428571428571431</v>
      </c>
      <c r="N50" s="49">
        <f>AVERAGE('25.10 Mbarara-Isingiro'!N50,'26.10 Mbarara-Isingiro-24Hr'!N50,'27.10 Mbarara-Isingiro'!N50,'28.10 Mbarara-Isingiro-24Hr'!N50,'29.10 Mbarara-Isingiro'!N50,'30.10 Mbarara-Isingiro'!N50,'31.10 Mbarara-Isingiro'!N50)</f>
        <v>0</v>
      </c>
      <c r="O50" s="15">
        <f t="shared" si="0"/>
        <v>22</v>
      </c>
      <c r="P50" s="15">
        <f t="shared" si="1"/>
        <v>63.428571428571431</v>
      </c>
      <c r="R50" s="8"/>
      <c r="T50"/>
    </row>
    <row r="51" spans="2:20" ht="23.1" customHeight="1" x14ac:dyDescent="0.25">
      <c r="B51" s="24" t="s">
        <v>78</v>
      </c>
      <c r="C51" s="49">
        <f>AVERAGE('25.10 Mbarara-Isingiro'!C51,'26.10 Mbarara-Isingiro-24Hr'!C51,'27.10 Mbarara-Isingiro'!C51,'28.10 Mbarara-Isingiro-24Hr'!C51,'29.10 Mbarara-Isingiro'!C51,'30.10 Mbarara-Isingiro'!C51,'31.10 Mbarara-Isingiro'!C51)</f>
        <v>11.857142857142858</v>
      </c>
      <c r="D51" s="49">
        <f>AVERAGE('25.10 Mbarara-Isingiro'!D51,'26.10 Mbarara-Isingiro-24Hr'!D51,'27.10 Mbarara-Isingiro'!D51,'28.10 Mbarara-Isingiro-24Hr'!D51,'29.10 Mbarara-Isingiro'!D51,'30.10 Mbarara-Isingiro'!D51,'31.10 Mbarara-Isingiro'!D51)</f>
        <v>1.7142857142857142</v>
      </c>
      <c r="E51" s="49">
        <f>AVERAGE('25.10 Mbarara-Isingiro'!E51,'26.10 Mbarara-Isingiro-24Hr'!E51,'27.10 Mbarara-Isingiro'!E51,'28.10 Mbarara-Isingiro-24Hr'!E51,'29.10 Mbarara-Isingiro'!E51,'30.10 Mbarara-Isingiro'!E51,'31.10 Mbarara-Isingiro'!E51)</f>
        <v>1.5714285714285714</v>
      </c>
      <c r="F51" s="49">
        <f>AVERAGE('25.10 Mbarara-Isingiro'!F51,'26.10 Mbarara-Isingiro-24Hr'!F51,'27.10 Mbarara-Isingiro'!F51,'28.10 Mbarara-Isingiro-24Hr'!F51,'29.10 Mbarara-Isingiro'!F51,'30.10 Mbarara-Isingiro'!F51,'31.10 Mbarara-Isingiro'!F51)</f>
        <v>3.2857142857142856</v>
      </c>
      <c r="G51" s="49">
        <f>AVERAGE('25.10 Mbarara-Isingiro'!G51,'26.10 Mbarara-Isingiro-24Hr'!G51,'27.10 Mbarara-Isingiro'!G51,'28.10 Mbarara-Isingiro-24Hr'!G51,'29.10 Mbarara-Isingiro'!G51,'30.10 Mbarara-Isingiro'!G51,'31.10 Mbarara-Isingiro'!G51)</f>
        <v>0.14285714285714285</v>
      </c>
      <c r="H51" s="49">
        <f>AVERAGE('25.10 Mbarara-Isingiro'!H51,'26.10 Mbarara-Isingiro-24Hr'!H51,'27.10 Mbarara-Isingiro'!H51,'28.10 Mbarara-Isingiro-24Hr'!H51,'29.10 Mbarara-Isingiro'!H51,'30.10 Mbarara-Isingiro'!H51,'31.10 Mbarara-Isingiro'!H51)</f>
        <v>0</v>
      </c>
      <c r="I51" s="49">
        <f>AVERAGE('25.10 Mbarara-Isingiro'!I51,'26.10 Mbarara-Isingiro-24Hr'!I51,'27.10 Mbarara-Isingiro'!I51,'28.10 Mbarara-Isingiro-24Hr'!I51,'29.10 Mbarara-Isingiro'!I51,'30.10 Mbarara-Isingiro'!I51,'31.10 Mbarara-Isingiro'!I51)</f>
        <v>1.8571428571428572</v>
      </c>
      <c r="J51" s="49">
        <f>AVERAGE('25.10 Mbarara-Isingiro'!J51,'26.10 Mbarara-Isingiro-24Hr'!J51,'27.10 Mbarara-Isingiro'!J51,'28.10 Mbarara-Isingiro-24Hr'!J51,'29.10 Mbarara-Isingiro'!J51,'30.10 Mbarara-Isingiro'!J51,'31.10 Mbarara-Isingiro'!J51)</f>
        <v>1.5714285714285714</v>
      </c>
      <c r="K51" s="49">
        <f>AVERAGE('25.10 Mbarara-Isingiro'!K51,'26.10 Mbarara-Isingiro-24Hr'!K51,'27.10 Mbarara-Isingiro'!K51,'28.10 Mbarara-Isingiro-24Hr'!K51,'29.10 Mbarara-Isingiro'!K51,'30.10 Mbarara-Isingiro'!K51,'31.10 Mbarara-Isingiro'!K51)</f>
        <v>0.14285714285714285</v>
      </c>
      <c r="L51" s="49">
        <f>AVERAGE('25.10 Mbarara-Isingiro'!L51,'26.10 Mbarara-Isingiro-24Hr'!L51,'27.10 Mbarara-Isingiro'!L51,'28.10 Mbarara-Isingiro-24Hr'!L51,'29.10 Mbarara-Isingiro'!L51,'30.10 Mbarara-Isingiro'!L51,'31.10 Mbarara-Isingiro'!L51)</f>
        <v>0</v>
      </c>
      <c r="M51" s="49">
        <f>AVERAGE('25.10 Mbarara-Isingiro'!M51,'26.10 Mbarara-Isingiro-24Hr'!M51,'27.10 Mbarara-Isingiro'!M51,'28.10 Mbarara-Isingiro-24Hr'!M51,'29.10 Mbarara-Isingiro'!M51,'30.10 Mbarara-Isingiro'!M51,'31.10 Mbarara-Isingiro'!M51)</f>
        <v>44.285714285714285</v>
      </c>
      <c r="N51" s="49">
        <f>AVERAGE('25.10 Mbarara-Isingiro'!N51,'26.10 Mbarara-Isingiro-24Hr'!N51,'27.10 Mbarara-Isingiro'!N51,'28.10 Mbarara-Isingiro-24Hr'!N51,'29.10 Mbarara-Isingiro'!N51,'30.10 Mbarara-Isingiro'!N51,'31.10 Mbarara-Isingiro'!N51)</f>
        <v>0</v>
      </c>
      <c r="O51" s="15">
        <f t="shared" si="0"/>
        <v>22.142857142857142</v>
      </c>
      <c r="P51" s="15">
        <f t="shared" si="1"/>
        <v>66.428571428571431</v>
      </c>
      <c r="R51" s="8"/>
      <c r="T51"/>
    </row>
    <row r="52" spans="2:20" ht="23.1" customHeight="1" x14ac:dyDescent="0.25">
      <c r="B52" s="24" t="s">
        <v>79</v>
      </c>
      <c r="C52" s="49">
        <f>AVERAGE('25.10 Mbarara-Isingiro'!C52,'26.10 Mbarara-Isingiro-24Hr'!C52,'27.10 Mbarara-Isingiro'!C52,'28.10 Mbarara-Isingiro-24Hr'!C52,'29.10 Mbarara-Isingiro'!C52,'30.10 Mbarara-Isingiro'!C52,'31.10 Mbarara-Isingiro'!C52)</f>
        <v>12.714285714285714</v>
      </c>
      <c r="D52" s="49">
        <f>AVERAGE('25.10 Mbarara-Isingiro'!D52,'26.10 Mbarara-Isingiro-24Hr'!D52,'27.10 Mbarara-Isingiro'!D52,'28.10 Mbarara-Isingiro-24Hr'!D52,'29.10 Mbarara-Isingiro'!D52,'30.10 Mbarara-Isingiro'!D52,'31.10 Mbarara-Isingiro'!D52)</f>
        <v>2.2857142857142856</v>
      </c>
      <c r="E52" s="49">
        <f>AVERAGE('25.10 Mbarara-Isingiro'!E52,'26.10 Mbarara-Isingiro-24Hr'!E52,'27.10 Mbarara-Isingiro'!E52,'28.10 Mbarara-Isingiro-24Hr'!E52,'29.10 Mbarara-Isingiro'!E52,'30.10 Mbarara-Isingiro'!E52,'31.10 Mbarara-Isingiro'!E52)</f>
        <v>1.8571428571428572</v>
      </c>
      <c r="F52" s="49">
        <f>AVERAGE('25.10 Mbarara-Isingiro'!F52,'26.10 Mbarara-Isingiro-24Hr'!F52,'27.10 Mbarara-Isingiro'!F52,'28.10 Mbarara-Isingiro-24Hr'!F52,'29.10 Mbarara-Isingiro'!F52,'30.10 Mbarara-Isingiro'!F52,'31.10 Mbarara-Isingiro'!F52)</f>
        <v>3.7142857142857144</v>
      </c>
      <c r="G52" s="49">
        <f>AVERAGE('25.10 Mbarara-Isingiro'!G52,'26.10 Mbarara-Isingiro-24Hr'!G52,'27.10 Mbarara-Isingiro'!G52,'28.10 Mbarara-Isingiro-24Hr'!G52,'29.10 Mbarara-Isingiro'!G52,'30.10 Mbarara-Isingiro'!G52,'31.10 Mbarara-Isingiro'!G52)</f>
        <v>0</v>
      </c>
      <c r="H52" s="49">
        <f>AVERAGE('25.10 Mbarara-Isingiro'!H52,'26.10 Mbarara-Isingiro-24Hr'!H52,'27.10 Mbarara-Isingiro'!H52,'28.10 Mbarara-Isingiro-24Hr'!H52,'29.10 Mbarara-Isingiro'!H52,'30.10 Mbarara-Isingiro'!H52,'31.10 Mbarara-Isingiro'!H52)</f>
        <v>0</v>
      </c>
      <c r="I52" s="49">
        <f>AVERAGE('25.10 Mbarara-Isingiro'!I52,'26.10 Mbarara-Isingiro-24Hr'!I52,'27.10 Mbarara-Isingiro'!I52,'28.10 Mbarara-Isingiro-24Hr'!I52,'29.10 Mbarara-Isingiro'!I52,'30.10 Mbarara-Isingiro'!I52,'31.10 Mbarara-Isingiro'!I52)</f>
        <v>1.5714285714285714</v>
      </c>
      <c r="J52" s="49">
        <f>AVERAGE('25.10 Mbarara-Isingiro'!J52,'26.10 Mbarara-Isingiro-24Hr'!J52,'27.10 Mbarara-Isingiro'!J52,'28.10 Mbarara-Isingiro-24Hr'!J52,'29.10 Mbarara-Isingiro'!J52,'30.10 Mbarara-Isingiro'!J52,'31.10 Mbarara-Isingiro'!J52)</f>
        <v>1</v>
      </c>
      <c r="K52" s="49">
        <f>AVERAGE('25.10 Mbarara-Isingiro'!K52,'26.10 Mbarara-Isingiro-24Hr'!K52,'27.10 Mbarara-Isingiro'!K52,'28.10 Mbarara-Isingiro-24Hr'!K52,'29.10 Mbarara-Isingiro'!K52,'30.10 Mbarara-Isingiro'!K52,'31.10 Mbarara-Isingiro'!K52)</f>
        <v>0</v>
      </c>
      <c r="L52" s="49">
        <f>AVERAGE('25.10 Mbarara-Isingiro'!L52,'26.10 Mbarara-Isingiro-24Hr'!L52,'27.10 Mbarara-Isingiro'!L52,'28.10 Mbarara-Isingiro-24Hr'!L52,'29.10 Mbarara-Isingiro'!L52,'30.10 Mbarara-Isingiro'!L52,'31.10 Mbarara-Isingiro'!L52)</f>
        <v>0</v>
      </c>
      <c r="M52" s="49">
        <f>AVERAGE('25.10 Mbarara-Isingiro'!M52,'26.10 Mbarara-Isingiro-24Hr'!M52,'27.10 Mbarara-Isingiro'!M52,'28.10 Mbarara-Isingiro-24Hr'!M52,'29.10 Mbarara-Isingiro'!M52,'30.10 Mbarara-Isingiro'!M52,'31.10 Mbarara-Isingiro'!M52)</f>
        <v>47.428571428571431</v>
      </c>
      <c r="N52" s="49">
        <f>AVERAGE('25.10 Mbarara-Isingiro'!N52,'26.10 Mbarara-Isingiro-24Hr'!N52,'27.10 Mbarara-Isingiro'!N52,'28.10 Mbarara-Isingiro-24Hr'!N52,'29.10 Mbarara-Isingiro'!N52,'30.10 Mbarara-Isingiro'!N52,'31.10 Mbarara-Isingiro'!N52)</f>
        <v>0</v>
      </c>
      <c r="O52" s="15">
        <f t="shared" si="0"/>
        <v>23.142857142857146</v>
      </c>
      <c r="P52" s="15">
        <f t="shared" si="1"/>
        <v>70.571428571428584</v>
      </c>
      <c r="R52" s="8"/>
      <c r="T52"/>
    </row>
    <row r="53" spans="2:20" ht="23.1" customHeight="1" x14ac:dyDescent="0.25">
      <c r="B53" s="23" t="s">
        <v>80</v>
      </c>
      <c r="C53" s="49">
        <f>AVERAGE('25.10 Mbarara-Isingiro'!C53,'26.10 Mbarara-Isingiro-24Hr'!C53,'27.10 Mbarara-Isingiro'!C53,'28.10 Mbarara-Isingiro-24Hr'!C53,'29.10 Mbarara-Isingiro'!C53,'30.10 Mbarara-Isingiro'!C53,'31.10 Mbarara-Isingiro'!C53)</f>
        <v>12</v>
      </c>
      <c r="D53" s="49">
        <f>AVERAGE('25.10 Mbarara-Isingiro'!D53,'26.10 Mbarara-Isingiro-24Hr'!D53,'27.10 Mbarara-Isingiro'!D53,'28.10 Mbarara-Isingiro-24Hr'!D53,'29.10 Mbarara-Isingiro'!D53,'30.10 Mbarara-Isingiro'!D53,'31.10 Mbarara-Isingiro'!D53)</f>
        <v>1.4285714285714286</v>
      </c>
      <c r="E53" s="49">
        <f>AVERAGE('25.10 Mbarara-Isingiro'!E53,'26.10 Mbarara-Isingiro-24Hr'!E53,'27.10 Mbarara-Isingiro'!E53,'28.10 Mbarara-Isingiro-24Hr'!E53,'29.10 Mbarara-Isingiro'!E53,'30.10 Mbarara-Isingiro'!E53,'31.10 Mbarara-Isingiro'!E53)</f>
        <v>2</v>
      </c>
      <c r="F53" s="49">
        <f>AVERAGE('25.10 Mbarara-Isingiro'!F53,'26.10 Mbarara-Isingiro-24Hr'!F53,'27.10 Mbarara-Isingiro'!F53,'28.10 Mbarara-Isingiro-24Hr'!F53,'29.10 Mbarara-Isingiro'!F53,'30.10 Mbarara-Isingiro'!F53,'31.10 Mbarara-Isingiro'!F53)</f>
        <v>5.1428571428571432</v>
      </c>
      <c r="G53" s="49">
        <f>AVERAGE('25.10 Mbarara-Isingiro'!G53,'26.10 Mbarara-Isingiro-24Hr'!G53,'27.10 Mbarara-Isingiro'!G53,'28.10 Mbarara-Isingiro-24Hr'!G53,'29.10 Mbarara-Isingiro'!G53,'30.10 Mbarara-Isingiro'!G53,'31.10 Mbarara-Isingiro'!G53)</f>
        <v>0</v>
      </c>
      <c r="H53" s="49">
        <f>AVERAGE('25.10 Mbarara-Isingiro'!H53,'26.10 Mbarara-Isingiro-24Hr'!H53,'27.10 Mbarara-Isingiro'!H53,'28.10 Mbarara-Isingiro-24Hr'!H53,'29.10 Mbarara-Isingiro'!H53,'30.10 Mbarara-Isingiro'!H53,'31.10 Mbarara-Isingiro'!H53)</f>
        <v>0</v>
      </c>
      <c r="I53" s="49">
        <f>AVERAGE('25.10 Mbarara-Isingiro'!I53,'26.10 Mbarara-Isingiro-24Hr'!I53,'27.10 Mbarara-Isingiro'!I53,'28.10 Mbarara-Isingiro-24Hr'!I53,'29.10 Mbarara-Isingiro'!I53,'30.10 Mbarara-Isingiro'!I53,'31.10 Mbarara-Isingiro'!I53)</f>
        <v>1.8571428571428572</v>
      </c>
      <c r="J53" s="49">
        <f>AVERAGE('25.10 Mbarara-Isingiro'!J53,'26.10 Mbarara-Isingiro-24Hr'!J53,'27.10 Mbarara-Isingiro'!J53,'28.10 Mbarara-Isingiro-24Hr'!J53,'29.10 Mbarara-Isingiro'!J53,'30.10 Mbarara-Isingiro'!J53,'31.10 Mbarara-Isingiro'!J53)</f>
        <v>0.7142857142857143</v>
      </c>
      <c r="K53" s="49">
        <f>AVERAGE('25.10 Mbarara-Isingiro'!K53,'26.10 Mbarara-Isingiro-24Hr'!K53,'27.10 Mbarara-Isingiro'!K53,'28.10 Mbarara-Isingiro-24Hr'!K53,'29.10 Mbarara-Isingiro'!K53,'30.10 Mbarara-Isingiro'!K53,'31.10 Mbarara-Isingiro'!K53)</f>
        <v>0.14285714285714285</v>
      </c>
      <c r="L53" s="49">
        <f>AVERAGE('25.10 Mbarara-Isingiro'!L53,'26.10 Mbarara-Isingiro-24Hr'!L53,'27.10 Mbarara-Isingiro'!L53,'28.10 Mbarara-Isingiro-24Hr'!L53,'29.10 Mbarara-Isingiro'!L53,'30.10 Mbarara-Isingiro'!L53,'31.10 Mbarara-Isingiro'!L53)</f>
        <v>0</v>
      </c>
      <c r="M53" s="49">
        <f>AVERAGE('25.10 Mbarara-Isingiro'!M53,'26.10 Mbarara-Isingiro-24Hr'!M53,'27.10 Mbarara-Isingiro'!M53,'28.10 Mbarara-Isingiro-24Hr'!M53,'29.10 Mbarara-Isingiro'!M53,'30.10 Mbarara-Isingiro'!M53,'31.10 Mbarara-Isingiro'!M53)</f>
        <v>42.571428571428569</v>
      </c>
      <c r="N53" s="49">
        <f>AVERAGE('25.10 Mbarara-Isingiro'!N53,'26.10 Mbarara-Isingiro-24Hr'!N53,'27.10 Mbarara-Isingiro'!N53,'28.10 Mbarara-Isingiro-24Hr'!N53,'29.10 Mbarara-Isingiro'!N53,'30.10 Mbarara-Isingiro'!N53,'31.10 Mbarara-Isingiro'!N53)</f>
        <v>0</v>
      </c>
      <c r="O53" s="15">
        <f t="shared" si="0"/>
        <v>23.285714285714288</v>
      </c>
      <c r="P53" s="15">
        <f t="shared" si="1"/>
        <v>65.857142857142861</v>
      </c>
      <c r="R53" s="8"/>
      <c r="T53"/>
    </row>
    <row r="54" spans="2:20" ht="23.1" customHeight="1" x14ac:dyDescent="0.25">
      <c r="B54" s="23" t="s">
        <v>81</v>
      </c>
      <c r="C54" s="49">
        <f>AVERAGE('25.10 Mbarara-Isingiro'!C54,'26.10 Mbarara-Isingiro-24Hr'!C54,'27.10 Mbarara-Isingiro'!C54,'28.10 Mbarara-Isingiro-24Hr'!C54,'29.10 Mbarara-Isingiro'!C54,'30.10 Mbarara-Isingiro'!C54,'31.10 Mbarara-Isingiro'!C54)</f>
        <v>13.857142857142858</v>
      </c>
      <c r="D54" s="49">
        <f>AVERAGE('25.10 Mbarara-Isingiro'!D54,'26.10 Mbarara-Isingiro-24Hr'!D54,'27.10 Mbarara-Isingiro'!D54,'28.10 Mbarara-Isingiro-24Hr'!D54,'29.10 Mbarara-Isingiro'!D54,'30.10 Mbarara-Isingiro'!D54,'31.10 Mbarara-Isingiro'!D54)</f>
        <v>2</v>
      </c>
      <c r="E54" s="49">
        <f>AVERAGE('25.10 Mbarara-Isingiro'!E54,'26.10 Mbarara-Isingiro-24Hr'!E54,'27.10 Mbarara-Isingiro'!E54,'28.10 Mbarara-Isingiro-24Hr'!E54,'29.10 Mbarara-Isingiro'!E54,'30.10 Mbarara-Isingiro'!E54,'31.10 Mbarara-Isingiro'!E54)</f>
        <v>3</v>
      </c>
      <c r="F54" s="49">
        <f>AVERAGE('25.10 Mbarara-Isingiro'!F54,'26.10 Mbarara-Isingiro-24Hr'!F54,'27.10 Mbarara-Isingiro'!F54,'28.10 Mbarara-Isingiro-24Hr'!F54,'29.10 Mbarara-Isingiro'!F54,'30.10 Mbarara-Isingiro'!F54,'31.10 Mbarara-Isingiro'!F54)</f>
        <v>2.8571428571428572</v>
      </c>
      <c r="G54" s="49">
        <f>AVERAGE('25.10 Mbarara-Isingiro'!G54,'26.10 Mbarara-Isingiro-24Hr'!G54,'27.10 Mbarara-Isingiro'!G54,'28.10 Mbarara-Isingiro-24Hr'!G54,'29.10 Mbarara-Isingiro'!G54,'30.10 Mbarara-Isingiro'!G54,'31.10 Mbarara-Isingiro'!G54)</f>
        <v>0</v>
      </c>
      <c r="H54" s="49">
        <f>AVERAGE('25.10 Mbarara-Isingiro'!H54,'26.10 Mbarara-Isingiro-24Hr'!H54,'27.10 Mbarara-Isingiro'!H54,'28.10 Mbarara-Isingiro-24Hr'!H54,'29.10 Mbarara-Isingiro'!H54,'30.10 Mbarara-Isingiro'!H54,'31.10 Mbarara-Isingiro'!H54)</f>
        <v>0</v>
      </c>
      <c r="I54" s="49">
        <f>AVERAGE('25.10 Mbarara-Isingiro'!I54,'26.10 Mbarara-Isingiro-24Hr'!I54,'27.10 Mbarara-Isingiro'!I54,'28.10 Mbarara-Isingiro-24Hr'!I54,'29.10 Mbarara-Isingiro'!I54,'30.10 Mbarara-Isingiro'!I54,'31.10 Mbarara-Isingiro'!I54)</f>
        <v>1.2857142857142858</v>
      </c>
      <c r="J54" s="49">
        <f>AVERAGE('25.10 Mbarara-Isingiro'!J54,'26.10 Mbarara-Isingiro-24Hr'!J54,'27.10 Mbarara-Isingiro'!J54,'28.10 Mbarara-Isingiro-24Hr'!J54,'29.10 Mbarara-Isingiro'!J54,'30.10 Mbarara-Isingiro'!J54,'31.10 Mbarara-Isingiro'!J54)</f>
        <v>1.2857142857142858</v>
      </c>
      <c r="K54" s="49">
        <f>AVERAGE('25.10 Mbarara-Isingiro'!K54,'26.10 Mbarara-Isingiro-24Hr'!K54,'27.10 Mbarara-Isingiro'!K54,'28.10 Mbarara-Isingiro-24Hr'!K54,'29.10 Mbarara-Isingiro'!K54,'30.10 Mbarara-Isingiro'!K54,'31.10 Mbarara-Isingiro'!K54)</f>
        <v>0</v>
      </c>
      <c r="L54" s="49">
        <f>AVERAGE('25.10 Mbarara-Isingiro'!L54,'26.10 Mbarara-Isingiro-24Hr'!L54,'27.10 Mbarara-Isingiro'!L54,'28.10 Mbarara-Isingiro-24Hr'!L54,'29.10 Mbarara-Isingiro'!L54,'30.10 Mbarara-Isingiro'!L54,'31.10 Mbarara-Isingiro'!L54)</f>
        <v>0</v>
      </c>
      <c r="M54" s="49">
        <f>AVERAGE('25.10 Mbarara-Isingiro'!M54,'26.10 Mbarara-Isingiro-24Hr'!M54,'27.10 Mbarara-Isingiro'!M54,'28.10 Mbarara-Isingiro-24Hr'!M54,'29.10 Mbarara-Isingiro'!M54,'30.10 Mbarara-Isingiro'!M54,'31.10 Mbarara-Isingiro'!M54)</f>
        <v>49.857142857142854</v>
      </c>
      <c r="N54" s="49">
        <f>AVERAGE('25.10 Mbarara-Isingiro'!N54,'26.10 Mbarara-Isingiro-24Hr'!N54,'27.10 Mbarara-Isingiro'!N54,'28.10 Mbarara-Isingiro-24Hr'!N54,'29.10 Mbarara-Isingiro'!N54,'30.10 Mbarara-Isingiro'!N54,'31.10 Mbarara-Isingiro'!N54)</f>
        <v>0</v>
      </c>
      <c r="O54" s="15">
        <f t="shared" si="0"/>
        <v>24.285714285714285</v>
      </c>
      <c r="P54" s="15">
        <f t="shared" si="1"/>
        <v>74.142857142857139</v>
      </c>
      <c r="R54" s="8"/>
      <c r="T54"/>
    </row>
    <row r="55" spans="2:20" ht="23.1" customHeight="1" x14ac:dyDescent="0.25">
      <c r="B55" s="23" t="s">
        <v>82</v>
      </c>
      <c r="C55" s="49">
        <f>AVERAGE('25.10 Mbarara-Isingiro'!C55,'26.10 Mbarara-Isingiro-24Hr'!C55,'27.10 Mbarara-Isingiro'!C55,'28.10 Mbarara-Isingiro-24Hr'!C55,'29.10 Mbarara-Isingiro'!C55,'30.10 Mbarara-Isingiro'!C55,'31.10 Mbarara-Isingiro'!C55)</f>
        <v>13.142857142857142</v>
      </c>
      <c r="D55" s="49">
        <f>AVERAGE('25.10 Mbarara-Isingiro'!D55,'26.10 Mbarara-Isingiro-24Hr'!D55,'27.10 Mbarara-Isingiro'!D55,'28.10 Mbarara-Isingiro-24Hr'!D55,'29.10 Mbarara-Isingiro'!D55,'30.10 Mbarara-Isingiro'!D55,'31.10 Mbarara-Isingiro'!D55)</f>
        <v>1.2857142857142858</v>
      </c>
      <c r="E55" s="49">
        <f>AVERAGE('25.10 Mbarara-Isingiro'!E55,'26.10 Mbarara-Isingiro-24Hr'!E55,'27.10 Mbarara-Isingiro'!E55,'28.10 Mbarara-Isingiro-24Hr'!E55,'29.10 Mbarara-Isingiro'!E55,'30.10 Mbarara-Isingiro'!E55,'31.10 Mbarara-Isingiro'!E55)</f>
        <v>2.8571428571428572</v>
      </c>
      <c r="F55" s="49">
        <f>AVERAGE('25.10 Mbarara-Isingiro'!F55,'26.10 Mbarara-Isingiro-24Hr'!F55,'27.10 Mbarara-Isingiro'!F55,'28.10 Mbarara-Isingiro-24Hr'!F55,'29.10 Mbarara-Isingiro'!F55,'30.10 Mbarara-Isingiro'!F55,'31.10 Mbarara-Isingiro'!F55)</f>
        <v>4.7142857142857144</v>
      </c>
      <c r="G55" s="49">
        <f>AVERAGE('25.10 Mbarara-Isingiro'!G55,'26.10 Mbarara-Isingiro-24Hr'!G55,'27.10 Mbarara-Isingiro'!G55,'28.10 Mbarara-Isingiro-24Hr'!G55,'29.10 Mbarara-Isingiro'!G55,'30.10 Mbarara-Isingiro'!G55,'31.10 Mbarara-Isingiro'!G55)</f>
        <v>0.2857142857142857</v>
      </c>
      <c r="H55" s="49">
        <f>AVERAGE('25.10 Mbarara-Isingiro'!H55,'26.10 Mbarara-Isingiro-24Hr'!H55,'27.10 Mbarara-Isingiro'!H55,'28.10 Mbarara-Isingiro-24Hr'!H55,'29.10 Mbarara-Isingiro'!H55,'30.10 Mbarara-Isingiro'!H55,'31.10 Mbarara-Isingiro'!H55)</f>
        <v>0</v>
      </c>
      <c r="I55" s="49">
        <f>AVERAGE('25.10 Mbarara-Isingiro'!I55,'26.10 Mbarara-Isingiro-24Hr'!I55,'27.10 Mbarara-Isingiro'!I55,'28.10 Mbarara-Isingiro-24Hr'!I55,'29.10 Mbarara-Isingiro'!I55,'30.10 Mbarara-Isingiro'!I55,'31.10 Mbarara-Isingiro'!I55)</f>
        <v>2.7142857142857144</v>
      </c>
      <c r="J55" s="49">
        <f>AVERAGE('25.10 Mbarara-Isingiro'!J55,'26.10 Mbarara-Isingiro-24Hr'!J55,'27.10 Mbarara-Isingiro'!J55,'28.10 Mbarara-Isingiro-24Hr'!J55,'29.10 Mbarara-Isingiro'!J55,'30.10 Mbarara-Isingiro'!J55,'31.10 Mbarara-Isingiro'!J55)</f>
        <v>0.7142857142857143</v>
      </c>
      <c r="K55" s="49">
        <f>AVERAGE('25.10 Mbarara-Isingiro'!K55,'26.10 Mbarara-Isingiro-24Hr'!K55,'27.10 Mbarara-Isingiro'!K55,'28.10 Mbarara-Isingiro-24Hr'!K55,'29.10 Mbarara-Isingiro'!K55,'30.10 Mbarara-Isingiro'!K55,'31.10 Mbarara-Isingiro'!K55)</f>
        <v>0</v>
      </c>
      <c r="L55" s="49">
        <f>AVERAGE('25.10 Mbarara-Isingiro'!L55,'26.10 Mbarara-Isingiro-24Hr'!L55,'27.10 Mbarara-Isingiro'!L55,'28.10 Mbarara-Isingiro-24Hr'!L55,'29.10 Mbarara-Isingiro'!L55,'30.10 Mbarara-Isingiro'!L55,'31.10 Mbarara-Isingiro'!L55)</f>
        <v>0</v>
      </c>
      <c r="M55" s="49">
        <f>AVERAGE('25.10 Mbarara-Isingiro'!M55,'26.10 Mbarara-Isingiro-24Hr'!M55,'27.10 Mbarara-Isingiro'!M55,'28.10 Mbarara-Isingiro-24Hr'!M55,'29.10 Mbarara-Isingiro'!M55,'30.10 Mbarara-Isingiro'!M55,'31.10 Mbarara-Isingiro'!M55)</f>
        <v>48.714285714285715</v>
      </c>
      <c r="N55" s="49">
        <f>AVERAGE('25.10 Mbarara-Isingiro'!N55,'26.10 Mbarara-Isingiro-24Hr'!N55,'27.10 Mbarara-Isingiro'!N55,'28.10 Mbarara-Isingiro-24Hr'!N55,'29.10 Mbarara-Isingiro'!N55,'30.10 Mbarara-Isingiro'!N55,'31.10 Mbarara-Isingiro'!N55)</f>
        <v>0</v>
      </c>
      <c r="O55" s="15">
        <f t="shared" si="0"/>
        <v>25.714285714285715</v>
      </c>
      <c r="P55" s="15">
        <f t="shared" si="1"/>
        <v>74.428571428571431</v>
      </c>
      <c r="R55" s="8"/>
      <c r="T55"/>
    </row>
    <row r="56" spans="2:20" ht="23.1" customHeight="1" x14ac:dyDescent="0.25">
      <c r="B56" s="23" t="s">
        <v>83</v>
      </c>
      <c r="C56" s="49">
        <f>AVERAGE('25.10 Mbarara-Isingiro'!C56,'26.10 Mbarara-Isingiro-24Hr'!C56,'27.10 Mbarara-Isingiro'!C56,'28.10 Mbarara-Isingiro-24Hr'!C56,'29.10 Mbarara-Isingiro'!C56,'30.10 Mbarara-Isingiro'!C56,'31.10 Mbarara-Isingiro'!C56)</f>
        <v>13.571428571428571</v>
      </c>
      <c r="D56" s="49">
        <f>AVERAGE('25.10 Mbarara-Isingiro'!D56,'26.10 Mbarara-Isingiro-24Hr'!D56,'27.10 Mbarara-Isingiro'!D56,'28.10 Mbarara-Isingiro-24Hr'!D56,'29.10 Mbarara-Isingiro'!D56,'30.10 Mbarara-Isingiro'!D56,'31.10 Mbarara-Isingiro'!D56)</f>
        <v>1.7142857142857142</v>
      </c>
      <c r="E56" s="49">
        <f>AVERAGE('25.10 Mbarara-Isingiro'!E56,'26.10 Mbarara-Isingiro-24Hr'!E56,'27.10 Mbarara-Isingiro'!E56,'28.10 Mbarara-Isingiro-24Hr'!E56,'29.10 Mbarara-Isingiro'!E56,'30.10 Mbarara-Isingiro'!E56,'31.10 Mbarara-Isingiro'!E56)</f>
        <v>1.5714285714285714</v>
      </c>
      <c r="F56" s="49">
        <f>AVERAGE('25.10 Mbarara-Isingiro'!F56,'26.10 Mbarara-Isingiro-24Hr'!F56,'27.10 Mbarara-Isingiro'!F56,'28.10 Mbarara-Isingiro-24Hr'!F56,'29.10 Mbarara-Isingiro'!F56,'30.10 Mbarara-Isingiro'!F56,'31.10 Mbarara-Isingiro'!F56)</f>
        <v>4</v>
      </c>
      <c r="G56" s="49">
        <f>AVERAGE('25.10 Mbarara-Isingiro'!G56,'26.10 Mbarara-Isingiro-24Hr'!G56,'27.10 Mbarara-Isingiro'!G56,'28.10 Mbarara-Isingiro-24Hr'!G56,'29.10 Mbarara-Isingiro'!G56,'30.10 Mbarara-Isingiro'!G56,'31.10 Mbarara-Isingiro'!G56)</f>
        <v>0</v>
      </c>
      <c r="H56" s="49">
        <f>AVERAGE('25.10 Mbarara-Isingiro'!H56,'26.10 Mbarara-Isingiro-24Hr'!H56,'27.10 Mbarara-Isingiro'!H56,'28.10 Mbarara-Isingiro-24Hr'!H56,'29.10 Mbarara-Isingiro'!H56,'30.10 Mbarara-Isingiro'!H56,'31.10 Mbarara-Isingiro'!H56)</f>
        <v>0</v>
      </c>
      <c r="I56" s="49">
        <f>AVERAGE('25.10 Mbarara-Isingiro'!I56,'26.10 Mbarara-Isingiro-24Hr'!I56,'27.10 Mbarara-Isingiro'!I56,'28.10 Mbarara-Isingiro-24Hr'!I56,'29.10 Mbarara-Isingiro'!I56,'30.10 Mbarara-Isingiro'!I56,'31.10 Mbarara-Isingiro'!I56)</f>
        <v>1.5714285714285714</v>
      </c>
      <c r="J56" s="49">
        <f>AVERAGE('25.10 Mbarara-Isingiro'!J56,'26.10 Mbarara-Isingiro-24Hr'!J56,'27.10 Mbarara-Isingiro'!J56,'28.10 Mbarara-Isingiro-24Hr'!J56,'29.10 Mbarara-Isingiro'!J56,'30.10 Mbarara-Isingiro'!J56,'31.10 Mbarara-Isingiro'!J56)</f>
        <v>1.5714285714285714</v>
      </c>
      <c r="K56" s="49">
        <f>AVERAGE('25.10 Mbarara-Isingiro'!K56,'26.10 Mbarara-Isingiro-24Hr'!K56,'27.10 Mbarara-Isingiro'!K56,'28.10 Mbarara-Isingiro-24Hr'!K56,'29.10 Mbarara-Isingiro'!K56,'30.10 Mbarara-Isingiro'!K56,'31.10 Mbarara-Isingiro'!K56)</f>
        <v>0</v>
      </c>
      <c r="L56" s="49">
        <f>AVERAGE('25.10 Mbarara-Isingiro'!L56,'26.10 Mbarara-Isingiro-24Hr'!L56,'27.10 Mbarara-Isingiro'!L56,'28.10 Mbarara-Isingiro-24Hr'!L56,'29.10 Mbarara-Isingiro'!L56,'30.10 Mbarara-Isingiro'!L56,'31.10 Mbarara-Isingiro'!L56)</f>
        <v>0</v>
      </c>
      <c r="M56" s="49">
        <f>AVERAGE('25.10 Mbarara-Isingiro'!M56,'26.10 Mbarara-Isingiro-24Hr'!M56,'27.10 Mbarara-Isingiro'!M56,'28.10 Mbarara-Isingiro-24Hr'!M56,'29.10 Mbarara-Isingiro'!M56,'30.10 Mbarara-Isingiro'!M56,'31.10 Mbarara-Isingiro'!M56)</f>
        <v>47.714285714285715</v>
      </c>
      <c r="N56" s="49">
        <f>AVERAGE('25.10 Mbarara-Isingiro'!N56,'26.10 Mbarara-Isingiro-24Hr'!N56,'27.10 Mbarara-Isingiro'!N56,'28.10 Mbarara-Isingiro-24Hr'!N56,'29.10 Mbarara-Isingiro'!N56,'30.10 Mbarara-Isingiro'!N56,'31.10 Mbarara-Isingiro'!N56)</f>
        <v>0</v>
      </c>
      <c r="O56" s="15">
        <f t="shared" si="0"/>
        <v>24.000000000000004</v>
      </c>
      <c r="P56" s="15">
        <f t="shared" si="1"/>
        <v>71.714285714285722</v>
      </c>
      <c r="R56" s="8"/>
      <c r="T56"/>
    </row>
    <row r="57" spans="2:20" ht="23.1" customHeight="1" x14ac:dyDescent="0.25">
      <c r="B57" s="23" t="s">
        <v>84</v>
      </c>
      <c r="C57" s="49">
        <f>AVERAGE('25.10 Mbarara-Isingiro'!C57,'26.10 Mbarara-Isingiro-24Hr'!C57,'27.10 Mbarara-Isingiro'!C57,'28.10 Mbarara-Isingiro-24Hr'!C57,'29.10 Mbarara-Isingiro'!C57,'30.10 Mbarara-Isingiro'!C57,'31.10 Mbarara-Isingiro'!C57)</f>
        <v>17.142857142857142</v>
      </c>
      <c r="D57" s="49">
        <f>AVERAGE('25.10 Mbarara-Isingiro'!D57,'26.10 Mbarara-Isingiro-24Hr'!D57,'27.10 Mbarara-Isingiro'!D57,'28.10 Mbarara-Isingiro-24Hr'!D57,'29.10 Mbarara-Isingiro'!D57,'30.10 Mbarara-Isingiro'!D57,'31.10 Mbarara-Isingiro'!D57)</f>
        <v>2.1428571428571428</v>
      </c>
      <c r="E57" s="49">
        <f>AVERAGE('25.10 Mbarara-Isingiro'!E57,'26.10 Mbarara-Isingiro-24Hr'!E57,'27.10 Mbarara-Isingiro'!E57,'28.10 Mbarara-Isingiro-24Hr'!E57,'29.10 Mbarara-Isingiro'!E57,'30.10 Mbarara-Isingiro'!E57,'31.10 Mbarara-Isingiro'!E57)</f>
        <v>2.7142857142857144</v>
      </c>
      <c r="F57" s="49">
        <f>AVERAGE('25.10 Mbarara-Isingiro'!F57,'26.10 Mbarara-Isingiro-24Hr'!F57,'27.10 Mbarara-Isingiro'!F57,'28.10 Mbarara-Isingiro-24Hr'!F57,'29.10 Mbarara-Isingiro'!F57,'30.10 Mbarara-Isingiro'!F57,'31.10 Mbarara-Isingiro'!F57)</f>
        <v>4.2857142857142856</v>
      </c>
      <c r="G57" s="49">
        <f>AVERAGE('25.10 Mbarara-Isingiro'!G57,'26.10 Mbarara-Isingiro-24Hr'!G57,'27.10 Mbarara-Isingiro'!G57,'28.10 Mbarara-Isingiro-24Hr'!G57,'29.10 Mbarara-Isingiro'!G57,'30.10 Mbarara-Isingiro'!G57,'31.10 Mbarara-Isingiro'!G57)</f>
        <v>0</v>
      </c>
      <c r="H57" s="49">
        <f>AVERAGE('25.10 Mbarara-Isingiro'!H57,'26.10 Mbarara-Isingiro-24Hr'!H57,'27.10 Mbarara-Isingiro'!H57,'28.10 Mbarara-Isingiro-24Hr'!H57,'29.10 Mbarara-Isingiro'!H57,'30.10 Mbarara-Isingiro'!H57,'31.10 Mbarara-Isingiro'!H57)</f>
        <v>0</v>
      </c>
      <c r="I57" s="49">
        <f>AVERAGE('25.10 Mbarara-Isingiro'!I57,'26.10 Mbarara-Isingiro-24Hr'!I57,'27.10 Mbarara-Isingiro'!I57,'28.10 Mbarara-Isingiro-24Hr'!I57,'29.10 Mbarara-Isingiro'!I57,'30.10 Mbarara-Isingiro'!I57,'31.10 Mbarara-Isingiro'!I57)</f>
        <v>3.1428571428571428</v>
      </c>
      <c r="J57" s="49">
        <f>AVERAGE('25.10 Mbarara-Isingiro'!J57,'26.10 Mbarara-Isingiro-24Hr'!J57,'27.10 Mbarara-Isingiro'!J57,'28.10 Mbarara-Isingiro-24Hr'!J57,'29.10 Mbarara-Isingiro'!J57,'30.10 Mbarara-Isingiro'!J57,'31.10 Mbarara-Isingiro'!J57)</f>
        <v>1.5714285714285714</v>
      </c>
      <c r="K57" s="49">
        <f>AVERAGE('25.10 Mbarara-Isingiro'!K57,'26.10 Mbarara-Isingiro-24Hr'!K57,'27.10 Mbarara-Isingiro'!K57,'28.10 Mbarara-Isingiro-24Hr'!K57,'29.10 Mbarara-Isingiro'!K57,'30.10 Mbarara-Isingiro'!K57,'31.10 Mbarara-Isingiro'!K57)</f>
        <v>0</v>
      </c>
      <c r="L57" s="49">
        <f>AVERAGE('25.10 Mbarara-Isingiro'!L57,'26.10 Mbarara-Isingiro-24Hr'!L57,'27.10 Mbarara-Isingiro'!L57,'28.10 Mbarara-Isingiro-24Hr'!L57,'29.10 Mbarara-Isingiro'!L57,'30.10 Mbarara-Isingiro'!L57,'31.10 Mbarara-Isingiro'!L57)</f>
        <v>0</v>
      </c>
      <c r="M57" s="49">
        <f>AVERAGE('25.10 Mbarara-Isingiro'!M57,'26.10 Mbarara-Isingiro-24Hr'!M57,'27.10 Mbarara-Isingiro'!M57,'28.10 Mbarara-Isingiro-24Hr'!M57,'29.10 Mbarara-Isingiro'!M57,'30.10 Mbarara-Isingiro'!M57,'31.10 Mbarara-Isingiro'!M57)</f>
        <v>50.571428571428569</v>
      </c>
      <c r="N57" s="49">
        <f>AVERAGE('25.10 Mbarara-Isingiro'!N57,'26.10 Mbarara-Isingiro-24Hr'!N57,'27.10 Mbarara-Isingiro'!N57,'28.10 Mbarara-Isingiro-24Hr'!N57,'29.10 Mbarara-Isingiro'!N57,'30.10 Mbarara-Isingiro'!N57,'31.10 Mbarara-Isingiro'!N57)</f>
        <v>0</v>
      </c>
      <c r="O57" s="15">
        <f t="shared" si="0"/>
        <v>31</v>
      </c>
      <c r="P57" s="15">
        <f t="shared" si="1"/>
        <v>81.571428571428569</v>
      </c>
      <c r="R57" s="8"/>
      <c r="T57"/>
    </row>
    <row r="58" spans="2:20" ht="23.1" customHeight="1" x14ac:dyDescent="0.25">
      <c r="B58" s="23" t="s">
        <v>99</v>
      </c>
      <c r="C58" s="49">
        <f>AVERAGE('26.10 Mbarara-Isingiro-24Hr'!C58,'28.10 Mbarara-Isingiro-24Hr'!C58)</f>
        <v>13.5</v>
      </c>
      <c r="D58" s="49">
        <f>AVERAGE('26.10 Mbarara-Isingiro-24Hr'!D58,'28.10 Mbarara-Isingiro-24Hr'!D58)</f>
        <v>1</v>
      </c>
      <c r="E58" s="49">
        <f>AVERAGE('26.10 Mbarara-Isingiro-24Hr'!E58,'28.10 Mbarara-Isingiro-24Hr'!E58)</f>
        <v>2</v>
      </c>
      <c r="F58" s="49">
        <f>AVERAGE('26.10 Mbarara-Isingiro-24Hr'!F58,'28.10 Mbarara-Isingiro-24Hr'!F58)</f>
        <v>3.5</v>
      </c>
      <c r="G58" s="49">
        <f>AVERAGE('26.10 Mbarara-Isingiro-24Hr'!G58,'28.10 Mbarara-Isingiro-24Hr'!G58)</f>
        <v>0</v>
      </c>
      <c r="H58" s="49">
        <f>AVERAGE('26.10 Mbarara-Isingiro-24Hr'!H58,'28.10 Mbarara-Isingiro-24Hr'!H58)</f>
        <v>0</v>
      </c>
      <c r="I58" s="49">
        <f>AVERAGE('26.10 Mbarara-Isingiro-24Hr'!I58,'28.10 Mbarara-Isingiro-24Hr'!I58)</f>
        <v>2.5</v>
      </c>
      <c r="J58" s="49">
        <f>AVERAGE('26.10 Mbarara-Isingiro-24Hr'!J58,'28.10 Mbarara-Isingiro-24Hr'!J58)</f>
        <v>0</v>
      </c>
      <c r="K58" s="49">
        <f>AVERAGE('26.10 Mbarara-Isingiro-24Hr'!K58,'28.10 Mbarara-Isingiro-24Hr'!K58)</f>
        <v>0</v>
      </c>
      <c r="L58" s="49">
        <f>AVERAGE('26.10 Mbarara-Isingiro-24Hr'!L58,'28.10 Mbarara-Isingiro-24Hr'!L58)</f>
        <v>0</v>
      </c>
      <c r="M58" s="49">
        <f>AVERAGE('26.10 Mbarara-Isingiro-24Hr'!M58,'28.10 Mbarara-Isingiro-24Hr'!M58)</f>
        <v>38.5</v>
      </c>
      <c r="N58" s="49">
        <f>AVERAGE('26.10 Mbarara-Isingiro-24Hr'!N58,'28.10 Mbarara-Isingiro-24Hr'!N58)</f>
        <v>0</v>
      </c>
      <c r="O58" s="15">
        <f t="shared" si="0"/>
        <v>22.5</v>
      </c>
      <c r="P58" s="15">
        <f t="shared" si="1"/>
        <v>61</v>
      </c>
      <c r="R58" s="8"/>
      <c r="T58"/>
    </row>
    <row r="59" spans="2:20" ht="23.1" customHeight="1" x14ac:dyDescent="0.25">
      <c r="B59" s="23" t="s">
        <v>100</v>
      </c>
      <c r="C59" s="49">
        <f>AVERAGE('26.10 Mbarara-Isingiro-24Hr'!C59,'28.10 Mbarara-Isingiro-24Hr'!C59)</f>
        <v>8.5</v>
      </c>
      <c r="D59" s="49">
        <f>AVERAGE('26.10 Mbarara-Isingiro-24Hr'!D59,'28.10 Mbarara-Isingiro-24Hr'!D59)</f>
        <v>0.5</v>
      </c>
      <c r="E59" s="49">
        <f>AVERAGE('26.10 Mbarara-Isingiro-24Hr'!E59,'28.10 Mbarara-Isingiro-24Hr'!E59)</f>
        <v>1</v>
      </c>
      <c r="F59" s="49">
        <f>AVERAGE('26.10 Mbarara-Isingiro-24Hr'!F59,'28.10 Mbarara-Isingiro-24Hr'!F59)</f>
        <v>2.5</v>
      </c>
      <c r="G59" s="49">
        <f>AVERAGE('26.10 Mbarara-Isingiro-24Hr'!G59,'28.10 Mbarara-Isingiro-24Hr'!G59)</f>
        <v>0</v>
      </c>
      <c r="H59" s="49">
        <f>AVERAGE('26.10 Mbarara-Isingiro-24Hr'!H59,'28.10 Mbarara-Isingiro-24Hr'!H59)</f>
        <v>0</v>
      </c>
      <c r="I59" s="49">
        <f>AVERAGE('26.10 Mbarara-Isingiro-24Hr'!I59,'28.10 Mbarara-Isingiro-24Hr'!I59)</f>
        <v>0.5</v>
      </c>
      <c r="J59" s="49">
        <f>AVERAGE('26.10 Mbarara-Isingiro-24Hr'!J59,'28.10 Mbarara-Isingiro-24Hr'!J59)</f>
        <v>0.5</v>
      </c>
      <c r="K59" s="49">
        <f>AVERAGE('26.10 Mbarara-Isingiro-24Hr'!K59,'28.10 Mbarara-Isingiro-24Hr'!K59)</f>
        <v>0</v>
      </c>
      <c r="L59" s="49">
        <f>AVERAGE('26.10 Mbarara-Isingiro-24Hr'!L59,'28.10 Mbarara-Isingiro-24Hr'!L59)</f>
        <v>0</v>
      </c>
      <c r="M59" s="49">
        <f>AVERAGE('26.10 Mbarara-Isingiro-24Hr'!M59,'28.10 Mbarara-Isingiro-24Hr'!M59)</f>
        <v>45.5</v>
      </c>
      <c r="N59" s="49">
        <f>AVERAGE('26.10 Mbarara-Isingiro-24Hr'!N59,'28.10 Mbarara-Isingiro-24Hr'!N59)</f>
        <v>0</v>
      </c>
      <c r="O59" s="15">
        <f t="shared" si="0"/>
        <v>13.5</v>
      </c>
      <c r="P59" s="15">
        <f t="shared" si="1"/>
        <v>59</v>
      </c>
      <c r="R59" s="8"/>
      <c r="T59"/>
    </row>
    <row r="60" spans="2:20" ht="23.1" customHeight="1" x14ac:dyDescent="0.25">
      <c r="B60" s="23" t="s">
        <v>101</v>
      </c>
      <c r="C60" s="49">
        <f>AVERAGE('26.10 Mbarara-Isingiro-24Hr'!C60,'28.10 Mbarara-Isingiro-24Hr'!C60)</f>
        <v>19.5</v>
      </c>
      <c r="D60" s="49">
        <f>AVERAGE('26.10 Mbarara-Isingiro-24Hr'!D60,'28.10 Mbarara-Isingiro-24Hr'!D60)</f>
        <v>4.5</v>
      </c>
      <c r="E60" s="49">
        <f>AVERAGE('26.10 Mbarara-Isingiro-24Hr'!E60,'28.10 Mbarara-Isingiro-24Hr'!E60)</f>
        <v>0.5</v>
      </c>
      <c r="F60" s="49">
        <f>AVERAGE('26.10 Mbarara-Isingiro-24Hr'!F60,'28.10 Mbarara-Isingiro-24Hr'!F60)</f>
        <v>3</v>
      </c>
      <c r="G60" s="49">
        <f>AVERAGE('26.10 Mbarara-Isingiro-24Hr'!G60,'28.10 Mbarara-Isingiro-24Hr'!G60)</f>
        <v>0</v>
      </c>
      <c r="H60" s="49">
        <f>AVERAGE('26.10 Mbarara-Isingiro-24Hr'!H60,'28.10 Mbarara-Isingiro-24Hr'!H60)</f>
        <v>0</v>
      </c>
      <c r="I60" s="49">
        <f>AVERAGE('26.10 Mbarara-Isingiro-24Hr'!I60,'28.10 Mbarara-Isingiro-24Hr'!I60)</f>
        <v>2.5</v>
      </c>
      <c r="J60" s="49">
        <f>AVERAGE('26.10 Mbarara-Isingiro-24Hr'!J60,'28.10 Mbarara-Isingiro-24Hr'!J60)</f>
        <v>0.5</v>
      </c>
      <c r="K60" s="49">
        <f>AVERAGE('26.10 Mbarara-Isingiro-24Hr'!K60,'28.10 Mbarara-Isingiro-24Hr'!K60)</f>
        <v>0</v>
      </c>
      <c r="L60" s="49">
        <f>AVERAGE('26.10 Mbarara-Isingiro-24Hr'!L60,'28.10 Mbarara-Isingiro-24Hr'!L60)</f>
        <v>0.5</v>
      </c>
      <c r="M60" s="49">
        <f>AVERAGE('26.10 Mbarara-Isingiro-24Hr'!M60,'28.10 Mbarara-Isingiro-24Hr'!M60)</f>
        <v>37.5</v>
      </c>
      <c r="N60" s="49">
        <f>AVERAGE('26.10 Mbarara-Isingiro-24Hr'!N60,'28.10 Mbarara-Isingiro-24Hr'!N60)</f>
        <v>0</v>
      </c>
      <c r="O60" s="15">
        <f t="shared" si="0"/>
        <v>31</v>
      </c>
      <c r="P60" s="15">
        <f t="shared" si="1"/>
        <v>68.5</v>
      </c>
      <c r="R60" s="8"/>
      <c r="T60"/>
    </row>
    <row r="61" spans="2:20" ht="23.1" customHeight="1" x14ac:dyDescent="0.25">
      <c r="B61" s="23" t="s">
        <v>102</v>
      </c>
      <c r="C61" s="49">
        <f>AVERAGE('26.10 Mbarara-Isingiro-24Hr'!C61,'28.10 Mbarara-Isingiro-24Hr'!C61)</f>
        <v>10.5</v>
      </c>
      <c r="D61" s="49">
        <f>AVERAGE('26.10 Mbarara-Isingiro-24Hr'!D61,'28.10 Mbarara-Isingiro-24Hr'!D61)</f>
        <v>1</v>
      </c>
      <c r="E61" s="49">
        <f>AVERAGE('26.10 Mbarara-Isingiro-24Hr'!E61,'28.10 Mbarara-Isingiro-24Hr'!E61)</f>
        <v>1</v>
      </c>
      <c r="F61" s="49">
        <f>AVERAGE('26.10 Mbarara-Isingiro-24Hr'!F61,'28.10 Mbarara-Isingiro-24Hr'!F61)</f>
        <v>2.5</v>
      </c>
      <c r="G61" s="49">
        <f>AVERAGE('26.10 Mbarara-Isingiro-24Hr'!G61,'28.10 Mbarara-Isingiro-24Hr'!G61)</f>
        <v>0</v>
      </c>
      <c r="H61" s="49">
        <f>AVERAGE('26.10 Mbarara-Isingiro-24Hr'!H61,'28.10 Mbarara-Isingiro-24Hr'!H61)</f>
        <v>0</v>
      </c>
      <c r="I61" s="49">
        <f>AVERAGE('26.10 Mbarara-Isingiro-24Hr'!I61,'28.10 Mbarara-Isingiro-24Hr'!I61)</f>
        <v>2</v>
      </c>
      <c r="J61" s="49">
        <f>AVERAGE('26.10 Mbarara-Isingiro-24Hr'!J61,'28.10 Mbarara-Isingiro-24Hr'!J61)</f>
        <v>1.5</v>
      </c>
      <c r="K61" s="49">
        <f>AVERAGE('26.10 Mbarara-Isingiro-24Hr'!K61,'28.10 Mbarara-Isingiro-24Hr'!K61)</f>
        <v>0.5</v>
      </c>
      <c r="L61" s="49">
        <f>AVERAGE('26.10 Mbarara-Isingiro-24Hr'!L61,'28.10 Mbarara-Isingiro-24Hr'!L61)</f>
        <v>0</v>
      </c>
      <c r="M61" s="49">
        <f>AVERAGE('26.10 Mbarara-Isingiro-24Hr'!M61,'28.10 Mbarara-Isingiro-24Hr'!M61)</f>
        <v>44.5</v>
      </c>
      <c r="N61" s="49">
        <f>AVERAGE('26.10 Mbarara-Isingiro-24Hr'!N61,'28.10 Mbarara-Isingiro-24Hr'!N61)</f>
        <v>0</v>
      </c>
      <c r="O61" s="15">
        <f t="shared" si="0"/>
        <v>19</v>
      </c>
      <c r="P61" s="15">
        <f t="shared" si="1"/>
        <v>63.5</v>
      </c>
      <c r="R61" s="8"/>
      <c r="T61"/>
    </row>
    <row r="62" spans="2:20" ht="23.1" customHeight="1" x14ac:dyDescent="0.25">
      <c r="B62" s="23" t="s">
        <v>107</v>
      </c>
      <c r="C62" s="49">
        <f>AVERAGE('26.10 Mbarara-Isingiro-24Hr'!C62,'28.10 Mbarara-Isingiro-24Hr'!C62)</f>
        <v>14.5</v>
      </c>
      <c r="D62" s="49">
        <f>AVERAGE('26.10 Mbarara-Isingiro-24Hr'!D62,'28.10 Mbarara-Isingiro-24Hr'!D62)</f>
        <v>2.5</v>
      </c>
      <c r="E62" s="49">
        <f>AVERAGE('26.10 Mbarara-Isingiro-24Hr'!E62,'28.10 Mbarara-Isingiro-24Hr'!E62)</f>
        <v>2</v>
      </c>
      <c r="F62" s="49">
        <f>AVERAGE('26.10 Mbarara-Isingiro-24Hr'!F62,'28.10 Mbarara-Isingiro-24Hr'!F62)</f>
        <v>3.5</v>
      </c>
      <c r="G62" s="49">
        <f>AVERAGE('26.10 Mbarara-Isingiro-24Hr'!G62,'28.10 Mbarara-Isingiro-24Hr'!G62)</f>
        <v>0</v>
      </c>
      <c r="H62" s="49">
        <f>AVERAGE('26.10 Mbarara-Isingiro-24Hr'!H62,'28.10 Mbarara-Isingiro-24Hr'!H62)</f>
        <v>0</v>
      </c>
      <c r="I62" s="49">
        <f>AVERAGE('26.10 Mbarara-Isingiro-24Hr'!I62,'28.10 Mbarara-Isingiro-24Hr'!I62)</f>
        <v>3</v>
      </c>
      <c r="J62" s="49">
        <f>AVERAGE('26.10 Mbarara-Isingiro-24Hr'!J62,'28.10 Mbarara-Isingiro-24Hr'!J62)</f>
        <v>1</v>
      </c>
      <c r="K62" s="49">
        <f>AVERAGE('26.10 Mbarara-Isingiro-24Hr'!K62,'28.10 Mbarara-Isingiro-24Hr'!K62)</f>
        <v>0</v>
      </c>
      <c r="L62" s="49">
        <f>AVERAGE('26.10 Mbarara-Isingiro-24Hr'!L62,'28.10 Mbarara-Isingiro-24Hr'!L62)</f>
        <v>0</v>
      </c>
      <c r="M62" s="49">
        <f>AVERAGE('26.10 Mbarara-Isingiro-24Hr'!M62,'28.10 Mbarara-Isingiro-24Hr'!M62)</f>
        <v>47</v>
      </c>
      <c r="N62" s="49">
        <f>AVERAGE('26.10 Mbarara-Isingiro-24Hr'!N62,'28.10 Mbarara-Isingiro-24Hr'!N62)</f>
        <v>0</v>
      </c>
      <c r="O62" s="15">
        <f t="shared" si="0"/>
        <v>26.5</v>
      </c>
      <c r="P62" s="15">
        <f t="shared" si="1"/>
        <v>73.5</v>
      </c>
      <c r="R62" s="8"/>
      <c r="T62"/>
    </row>
    <row r="63" spans="2:20" ht="23.1" customHeight="1" x14ac:dyDescent="0.25">
      <c r="B63" s="23" t="s">
        <v>108</v>
      </c>
      <c r="C63" s="49">
        <f>AVERAGE('26.10 Mbarara-Isingiro-24Hr'!C63,'28.10 Mbarara-Isingiro-24Hr'!C63)</f>
        <v>5.5</v>
      </c>
      <c r="D63" s="49">
        <f>AVERAGE('26.10 Mbarara-Isingiro-24Hr'!D63,'28.10 Mbarara-Isingiro-24Hr'!D63)</f>
        <v>1.5</v>
      </c>
      <c r="E63" s="49">
        <f>AVERAGE('26.10 Mbarara-Isingiro-24Hr'!E63,'28.10 Mbarara-Isingiro-24Hr'!E63)</f>
        <v>0.5</v>
      </c>
      <c r="F63" s="49">
        <f>AVERAGE('26.10 Mbarara-Isingiro-24Hr'!F63,'28.10 Mbarara-Isingiro-24Hr'!F63)</f>
        <v>2.5</v>
      </c>
      <c r="G63" s="49">
        <f>AVERAGE('26.10 Mbarara-Isingiro-24Hr'!G63,'28.10 Mbarara-Isingiro-24Hr'!G63)</f>
        <v>0</v>
      </c>
      <c r="H63" s="49">
        <f>AVERAGE('26.10 Mbarara-Isingiro-24Hr'!H63,'28.10 Mbarara-Isingiro-24Hr'!H63)</f>
        <v>0</v>
      </c>
      <c r="I63" s="49">
        <f>AVERAGE('26.10 Mbarara-Isingiro-24Hr'!I63,'28.10 Mbarara-Isingiro-24Hr'!I63)</f>
        <v>0.5</v>
      </c>
      <c r="J63" s="49">
        <f>AVERAGE('26.10 Mbarara-Isingiro-24Hr'!J63,'28.10 Mbarara-Isingiro-24Hr'!J63)</f>
        <v>0.5</v>
      </c>
      <c r="K63" s="49">
        <f>AVERAGE('26.10 Mbarara-Isingiro-24Hr'!K63,'28.10 Mbarara-Isingiro-24Hr'!K63)</f>
        <v>0</v>
      </c>
      <c r="L63" s="49">
        <f>AVERAGE('26.10 Mbarara-Isingiro-24Hr'!L63,'28.10 Mbarara-Isingiro-24Hr'!L63)</f>
        <v>0</v>
      </c>
      <c r="M63" s="49">
        <f>AVERAGE('26.10 Mbarara-Isingiro-24Hr'!M63,'28.10 Mbarara-Isingiro-24Hr'!M63)</f>
        <v>18</v>
      </c>
      <c r="N63" s="49">
        <f>AVERAGE('26.10 Mbarara-Isingiro-24Hr'!N63,'28.10 Mbarara-Isingiro-24Hr'!N63)</f>
        <v>0</v>
      </c>
      <c r="O63" s="15">
        <f t="shared" si="0"/>
        <v>11</v>
      </c>
      <c r="P63" s="15">
        <f t="shared" si="1"/>
        <v>29</v>
      </c>
      <c r="R63" s="8"/>
      <c r="T63"/>
    </row>
    <row r="64" spans="2:20" ht="23.1" customHeight="1" x14ac:dyDescent="0.25">
      <c r="B64" s="23" t="s">
        <v>109</v>
      </c>
      <c r="C64" s="49">
        <f>AVERAGE('26.10 Mbarara-Isingiro-24Hr'!C64,'28.10 Mbarara-Isingiro-24Hr'!C64)</f>
        <v>5.5</v>
      </c>
      <c r="D64" s="49">
        <f>AVERAGE('26.10 Mbarara-Isingiro-24Hr'!D64,'28.10 Mbarara-Isingiro-24Hr'!D64)</f>
        <v>0.5</v>
      </c>
      <c r="E64" s="49">
        <f>AVERAGE('26.10 Mbarara-Isingiro-24Hr'!E64,'28.10 Mbarara-Isingiro-24Hr'!E64)</f>
        <v>0.5</v>
      </c>
      <c r="F64" s="49">
        <f>AVERAGE('26.10 Mbarara-Isingiro-24Hr'!F64,'28.10 Mbarara-Isingiro-24Hr'!F64)</f>
        <v>3</v>
      </c>
      <c r="G64" s="49">
        <f>AVERAGE('26.10 Mbarara-Isingiro-24Hr'!G64,'28.10 Mbarara-Isingiro-24Hr'!G64)</f>
        <v>0</v>
      </c>
      <c r="H64" s="49">
        <f>AVERAGE('26.10 Mbarara-Isingiro-24Hr'!H64,'28.10 Mbarara-Isingiro-24Hr'!H64)</f>
        <v>0</v>
      </c>
      <c r="I64" s="49">
        <f>AVERAGE('26.10 Mbarara-Isingiro-24Hr'!I64,'28.10 Mbarara-Isingiro-24Hr'!I64)</f>
        <v>2</v>
      </c>
      <c r="J64" s="49">
        <f>AVERAGE('26.10 Mbarara-Isingiro-24Hr'!J64,'28.10 Mbarara-Isingiro-24Hr'!J64)</f>
        <v>0</v>
      </c>
      <c r="K64" s="49">
        <f>AVERAGE('26.10 Mbarara-Isingiro-24Hr'!K64,'28.10 Mbarara-Isingiro-24Hr'!K64)</f>
        <v>0</v>
      </c>
      <c r="L64" s="49">
        <f>AVERAGE('26.10 Mbarara-Isingiro-24Hr'!L64,'28.10 Mbarara-Isingiro-24Hr'!L64)</f>
        <v>0</v>
      </c>
      <c r="M64" s="49">
        <f>AVERAGE('26.10 Mbarara-Isingiro-24Hr'!M64,'28.10 Mbarara-Isingiro-24Hr'!M64)</f>
        <v>25.5</v>
      </c>
      <c r="N64" s="49">
        <f>AVERAGE('26.10 Mbarara-Isingiro-24Hr'!N64,'28.10 Mbarara-Isingiro-24Hr'!N64)</f>
        <v>0</v>
      </c>
      <c r="O64" s="15">
        <f t="shared" si="0"/>
        <v>11.5</v>
      </c>
      <c r="P64" s="15">
        <f t="shared" si="1"/>
        <v>37</v>
      </c>
      <c r="R64" s="8"/>
      <c r="T64"/>
    </row>
    <row r="65" spans="2:20" ht="23.1" customHeight="1" x14ac:dyDescent="0.25">
      <c r="B65" s="23" t="s">
        <v>158</v>
      </c>
      <c r="C65" s="49">
        <f>AVERAGE('26.10 Mbarara-Isingiro-24Hr'!C65,'28.10 Mbarara-Isingiro-24Hr'!C65)</f>
        <v>10</v>
      </c>
      <c r="D65" s="49">
        <f>AVERAGE('26.10 Mbarara-Isingiro-24Hr'!D65,'28.10 Mbarara-Isingiro-24Hr'!D65)</f>
        <v>1</v>
      </c>
      <c r="E65" s="49">
        <f>AVERAGE('26.10 Mbarara-Isingiro-24Hr'!E65,'28.10 Mbarara-Isingiro-24Hr'!E65)</f>
        <v>1.5</v>
      </c>
      <c r="F65" s="49">
        <f>AVERAGE('26.10 Mbarara-Isingiro-24Hr'!F65,'28.10 Mbarara-Isingiro-24Hr'!F65)</f>
        <v>1.5</v>
      </c>
      <c r="G65" s="49">
        <f>AVERAGE('26.10 Mbarara-Isingiro-24Hr'!G65,'28.10 Mbarara-Isingiro-24Hr'!G65)</f>
        <v>0.5</v>
      </c>
      <c r="H65" s="49">
        <f>AVERAGE('26.10 Mbarara-Isingiro-24Hr'!H65,'28.10 Mbarara-Isingiro-24Hr'!H65)</f>
        <v>0</v>
      </c>
      <c r="I65" s="49">
        <f>AVERAGE('26.10 Mbarara-Isingiro-24Hr'!I65,'28.10 Mbarara-Isingiro-24Hr'!I65)</f>
        <v>2</v>
      </c>
      <c r="J65" s="49">
        <f>AVERAGE('26.10 Mbarara-Isingiro-24Hr'!J65,'28.10 Mbarara-Isingiro-24Hr'!J65)</f>
        <v>0.5</v>
      </c>
      <c r="K65" s="49">
        <f>AVERAGE('26.10 Mbarara-Isingiro-24Hr'!K65,'28.10 Mbarara-Isingiro-24Hr'!K65)</f>
        <v>0</v>
      </c>
      <c r="L65" s="49">
        <f>AVERAGE('26.10 Mbarara-Isingiro-24Hr'!L65,'28.10 Mbarara-Isingiro-24Hr'!L65)</f>
        <v>0</v>
      </c>
      <c r="M65" s="49">
        <f>AVERAGE('26.10 Mbarara-Isingiro-24Hr'!M65,'28.10 Mbarara-Isingiro-24Hr'!M65)</f>
        <v>36</v>
      </c>
      <c r="N65" s="49">
        <f>AVERAGE('26.10 Mbarara-Isingiro-24Hr'!N65,'28.10 Mbarara-Isingiro-24Hr'!N65)</f>
        <v>0</v>
      </c>
      <c r="O65" s="15">
        <f t="shared" si="0"/>
        <v>17</v>
      </c>
      <c r="P65" s="15">
        <f t="shared" si="1"/>
        <v>53</v>
      </c>
      <c r="R65" s="8"/>
      <c r="T65"/>
    </row>
    <row r="66" spans="2:20" ht="23.1" customHeight="1" x14ac:dyDescent="0.25">
      <c r="B66" s="23" t="s">
        <v>103</v>
      </c>
      <c r="C66" s="49">
        <f>AVERAGE('26.10 Mbarara-Isingiro-24Hr'!C66,'28.10 Mbarara-Isingiro-24Hr'!C66)</f>
        <v>5.5</v>
      </c>
      <c r="D66" s="49">
        <f>AVERAGE('26.10 Mbarara-Isingiro-24Hr'!D66,'28.10 Mbarara-Isingiro-24Hr'!D66)</f>
        <v>0.5</v>
      </c>
      <c r="E66" s="49">
        <f>AVERAGE('26.10 Mbarara-Isingiro-24Hr'!E66,'28.10 Mbarara-Isingiro-24Hr'!E66)</f>
        <v>0</v>
      </c>
      <c r="F66" s="49">
        <f>AVERAGE('26.10 Mbarara-Isingiro-24Hr'!F66,'28.10 Mbarara-Isingiro-24Hr'!F66)</f>
        <v>1</v>
      </c>
      <c r="G66" s="49">
        <f>AVERAGE('26.10 Mbarara-Isingiro-24Hr'!G66,'28.10 Mbarara-Isingiro-24Hr'!G66)</f>
        <v>0</v>
      </c>
      <c r="H66" s="49">
        <f>AVERAGE('26.10 Mbarara-Isingiro-24Hr'!H66,'28.10 Mbarara-Isingiro-24Hr'!H66)</f>
        <v>0</v>
      </c>
      <c r="I66" s="49">
        <f>AVERAGE('26.10 Mbarara-Isingiro-24Hr'!I66,'28.10 Mbarara-Isingiro-24Hr'!I66)</f>
        <v>2</v>
      </c>
      <c r="J66" s="49">
        <f>AVERAGE('26.10 Mbarara-Isingiro-24Hr'!J66,'28.10 Mbarara-Isingiro-24Hr'!J66)</f>
        <v>0</v>
      </c>
      <c r="K66" s="49">
        <f>AVERAGE('26.10 Mbarara-Isingiro-24Hr'!K66,'28.10 Mbarara-Isingiro-24Hr'!K66)</f>
        <v>0</v>
      </c>
      <c r="L66" s="49">
        <f>AVERAGE('26.10 Mbarara-Isingiro-24Hr'!L66,'28.10 Mbarara-Isingiro-24Hr'!L66)</f>
        <v>0</v>
      </c>
      <c r="M66" s="49">
        <f>AVERAGE('26.10 Mbarara-Isingiro-24Hr'!M66,'28.10 Mbarara-Isingiro-24Hr'!M66)</f>
        <v>18</v>
      </c>
      <c r="N66" s="49">
        <f>AVERAGE('26.10 Mbarara-Isingiro-24Hr'!N66,'28.10 Mbarara-Isingiro-24Hr'!N66)</f>
        <v>0</v>
      </c>
      <c r="O66" s="15">
        <f t="shared" si="0"/>
        <v>9</v>
      </c>
      <c r="P66" s="15">
        <f t="shared" si="1"/>
        <v>27</v>
      </c>
      <c r="R66" s="8"/>
      <c r="T66"/>
    </row>
    <row r="67" spans="2:20" ht="23.1" customHeight="1" x14ac:dyDescent="0.25">
      <c r="B67" s="23" t="s">
        <v>104</v>
      </c>
      <c r="C67" s="49">
        <f>AVERAGE('26.10 Mbarara-Isingiro-24Hr'!C67,'28.10 Mbarara-Isingiro-24Hr'!C67)</f>
        <v>7</v>
      </c>
      <c r="D67" s="49">
        <f>AVERAGE('26.10 Mbarara-Isingiro-24Hr'!D67,'28.10 Mbarara-Isingiro-24Hr'!D67)</f>
        <v>0.5</v>
      </c>
      <c r="E67" s="49">
        <f>AVERAGE('26.10 Mbarara-Isingiro-24Hr'!E67,'28.10 Mbarara-Isingiro-24Hr'!E67)</f>
        <v>0</v>
      </c>
      <c r="F67" s="49">
        <f>AVERAGE('26.10 Mbarara-Isingiro-24Hr'!F67,'28.10 Mbarara-Isingiro-24Hr'!F67)</f>
        <v>1</v>
      </c>
      <c r="G67" s="49">
        <f>AVERAGE('26.10 Mbarara-Isingiro-24Hr'!G67,'28.10 Mbarara-Isingiro-24Hr'!G67)</f>
        <v>0</v>
      </c>
      <c r="H67" s="49">
        <f>AVERAGE('26.10 Mbarara-Isingiro-24Hr'!H67,'28.10 Mbarara-Isingiro-24Hr'!H67)</f>
        <v>0</v>
      </c>
      <c r="I67" s="49">
        <f>AVERAGE('26.10 Mbarara-Isingiro-24Hr'!I67,'28.10 Mbarara-Isingiro-24Hr'!I67)</f>
        <v>1</v>
      </c>
      <c r="J67" s="49">
        <f>AVERAGE('26.10 Mbarara-Isingiro-24Hr'!J67,'28.10 Mbarara-Isingiro-24Hr'!J67)</f>
        <v>1</v>
      </c>
      <c r="K67" s="49">
        <f>AVERAGE('26.10 Mbarara-Isingiro-24Hr'!K67,'28.10 Mbarara-Isingiro-24Hr'!K67)</f>
        <v>0</v>
      </c>
      <c r="L67" s="49">
        <f>AVERAGE('26.10 Mbarara-Isingiro-24Hr'!L67,'28.10 Mbarara-Isingiro-24Hr'!L67)</f>
        <v>0</v>
      </c>
      <c r="M67" s="49">
        <f>AVERAGE('26.10 Mbarara-Isingiro-24Hr'!M67,'28.10 Mbarara-Isingiro-24Hr'!M67)</f>
        <v>25.5</v>
      </c>
      <c r="N67" s="49">
        <f>AVERAGE('26.10 Mbarara-Isingiro-24Hr'!N67,'28.10 Mbarara-Isingiro-24Hr'!N67)</f>
        <v>0</v>
      </c>
      <c r="O67" s="15">
        <f t="shared" si="0"/>
        <v>10.5</v>
      </c>
      <c r="P67" s="15">
        <f t="shared" si="1"/>
        <v>36</v>
      </c>
      <c r="R67" s="8"/>
      <c r="T67"/>
    </row>
    <row r="68" spans="2:20" ht="23.1" customHeight="1" x14ac:dyDescent="0.25">
      <c r="B68" s="23" t="s">
        <v>105</v>
      </c>
      <c r="C68" s="49">
        <f>AVERAGE('26.10 Mbarara-Isingiro-24Hr'!C68,'28.10 Mbarara-Isingiro-24Hr'!C68)</f>
        <v>7</v>
      </c>
      <c r="D68" s="49">
        <f>AVERAGE('26.10 Mbarara-Isingiro-24Hr'!D68,'28.10 Mbarara-Isingiro-24Hr'!D68)</f>
        <v>0</v>
      </c>
      <c r="E68" s="49">
        <f>AVERAGE('26.10 Mbarara-Isingiro-24Hr'!E68,'28.10 Mbarara-Isingiro-24Hr'!E68)</f>
        <v>0.5</v>
      </c>
      <c r="F68" s="49">
        <f>AVERAGE('26.10 Mbarara-Isingiro-24Hr'!F68,'28.10 Mbarara-Isingiro-24Hr'!F68)</f>
        <v>0.5</v>
      </c>
      <c r="G68" s="49">
        <f>AVERAGE('26.10 Mbarara-Isingiro-24Hr'!G68,'28.10 Mbarara-Isingiro-24Hr'!G68)</f>
        <v>0</v>
      </c>
      <c r="H68" s="49">
        <f>AVERAGE('26.10 Mbarara-Isingiro-24Hr'!H68,'28.10 Mbarara-Isingiro-24Hr'!H68)</f>
        <v>0</v>
      </c>
      <c r="I68" s="49">
        <f>AVERAGE('26.10 Mbarara-Isingiro-24Hr'!I68,'28.10 Mbarara-Isingiro-24Hr'!I68)</f>
        <v>0.5</v>
      </c>
      <c r="J68" s="49">
        <f>AVERAGE('26.10 Mbarara-Isingiro-24Hr'!J68,'28.10 Mbarara-Isingiro-24Hr'!J68)</f>
        <v>1</v>
      </c>
      <c r="K68" s="49">
        <f>AVERAGE('26.10 Mbarara-Isingiro-24Hr'!K68,'28.10 Mbarara-Isingiro-24Hr'!K68)</f>
        <v>0</v>
      </c>
      <c r="L68" s="49">
        <f>AVERAGE('26.10 Mbarara-Isingiro-24Hr'!L68,'28.10 Mbarara-Isingiro-24Hr'!L68)</f>
        <v>0</v>
      </c>
      <c r="M68" s="49">
        <f>AVERAGE('26.10 Mbarara-Isingiro-24Hr'!M68,'28.10 Mbarara-Isingiro-24Hr'!M68)</f>
        <v>19</v>
      </c>
      <c r="N68" s="49">
        <f>AVERAGE('26.10 Mbarara-Isingiro-24Hr'!N68,'28.10 Mbarara-Isingiro-24Hr'!N68)</f>
        <v>0</v>
      </c>
      <c r="O68" s="15">
        <f t="shared" si="0"/>
        <v>9.5</v>
      </c>
      <c r="P68" s="15">
        <f t="shared" si="1"/>
        <v>28.5</v>
      </c>
      <c r="R68" s="8"/>
      <c r="T68"/>
    </row>
    <row r="69" spans="2:20" ht="23.1" customHeight="1" x14ac:dyDescent="0.25">
      <c r="B69" s="23" t="s">
        <v>106</v>
      </c>
      <c r="C69" s="49">
        <f>AVERAGE('26.10 Mbarara-Isingiro-24Hr'!C69,'28.10 Mbarara-Isingiro-24Hr'!C69)</f>
        <v>5</v>
      </c>
      <c r="D69" s="49">
        <f>AVERAGE('26.10 Mbarara-Isingiro-24Hr'!D69,'28.10 Mbarara-Isingiro-24Hr'!D69)</f>
        <v>0.5</v>
      </c>
      <c r="E69" s="49">
        <f>AVERAGE('26.10 Mbarara-Isingiro-24Hr'!E69,'28.10 Mbarara-Isingiro-24Hr'!E69)</f>
        <v>0.5</v>
      </c>
      <c r="F69" s="49">
        <f>AVERAGE('26.10 Mbarara-Isingiro-24Hr'!F69,'28.10 Mbarara-Isingiro-24Hr'!F69)</f>
        <v>0</v>
      </c>
      <c r="G69" s="49">
        <f>AVERAGE('26.10 Mbarara-Isingiro-24Hr'!G69,'28.10 Mbarara-Isingiro-24Hr'!G69)</f>
        <v>0</v>
      </c>
      <c r="H69" s="49">
        <f>AVERAGE('26.10 Mbarara-Isingiro-24Hr'!H69,'28.10 Mbarara-Isingiro-24Hr'!H69)</f>
        <v>0</v>
      </c>
      <c r="I69" s="49">
        <f>AVERAGE('26.10 Mbarara-Isingiro-24Hr'!I69,'28.10 Mbarara-Isingiro-24Hr'!I69)</f>
        <v>0.5</v>
      </c>
      <c r="J69" s="49">
        <f>AVERAGE('26.10 Mbarara-Isingiro-24Hr'!J69,'28.10 Mbarara-Isingiro-24Hr'!J69)</f>
        <v>0.5</v>
      </c>
      <c r="K69" s="49">
        <f>AVERAGE('26.10 Mbarara-Isingiro-24Hr'!K69,'28.10 Mbarara-Isingiro-24Hr'!K69)</f>
        <v>0.5</v>
      </c>
      <c r="L69" s="49">
        <f>AVERAGE('26.10 Mbarara-Isingiro-24Hr'!L69,'28.10 Mbarara-Isingiro-24Hr'!L69)</f>
        <v>0</v>
      </c>
      <c r="M69" s="49">
        <f>AVERAGE('26.10 Mbarara-Isingiro-24Hr'!M69,'28.10 Mbarara-Isingiro-24Hr'!M69)</f>
        <v>13.5</v>
      </c>
      <c r="N69" s="49">
        <f>AVERAGE('26.10 Mbarara-Isingiro-24Hr'!N69,'28.10 Mbarara-Isingiro-24Hr'!N69)</f>
        <v>0</v>
      </c>
      <c r="O69" s="15">
        <f t="shared" si="0"/>
        <v>7.5</v>
      </c>
      <c r="P69" s="15">
        <f t="shared" si="1"/>
        <v>21</v>
      </c>
      <c r="R69" s="8"/>
      <c r="T69"/>
    </row>
    <row r="70" spans="2:20" ht="23.1" customHeight="1" x14ac:dyDescent="0.25">
      <c r="B70" s="23" t="s">
        <v>110</v>
      </c>
      <c r="C70" s="49">
        <f>AVERAGE('26.10 Mbarara-Isingiro-24Hr'!C70,'28.10 Mbarara-Isingiro-24Hr'!C70)</f>
        <v>4</v>
      </c>
      <c r="D70" s="49">
        <f>AVERAGE('26.10 Mbarara-Isingiro-24Hr'!D70,'28.10 Mbarara-Isingiro-24Hr'!D70)</f>
        <v>0.5</v>
      </c>
      <c r="E70" s="49">
        <f>AVERAGE('26.10 Mbarara-Isingiro-24Hr'!E70,'28.10 Mbarara-Isingiro-24Hr'!E70)</f>
        <v>1.5</v>
      </c>
      <c r="F70" s="49">
        <f>AVERAGE('26.10 Mbarara-Isingiro-24Hr'!F70,'28.10 Mbarara-Isingiro-24Hr'!F70)</f>
        <v>1</v>
      </c>
      <c r="G70" s="49">
        <f>AVERAGE('26.10 Mbarara-Isingiro-24Hr'!G70,'28.10 Mbarara-Isingiro-24Hr'!G70)</f>
        <v>0</v>
      </c>
      <c r="H70" s="49">
        <f>AVERAGE('26.10 Mbarara-Isingiro-24Hr'!H70,'28.10 Mbarara-Isingiro-24Hr'!H70)</f>
        <v>0</v>
      </c>
      <c r="I70" s="49">
        <f>AVERAGE('26.10 Mbarara-Isingiro-24Hr'!I70,'28.10 Mbarara-Isingiro-24Hr'!I70)</f>
        <v>1</v>
      </c>
      <c r="J70" s="49">
        <f>AVERAGE('26.10 Mbarara-Isingiro-24Hr'!J70,'28.10 Mbarara-Isingiro-24Hr'!J70)</f>
        <v>0.5</v>
      </c>
      <c r="K70" s="49">
        <f>AVERAGE('26.10 Mbarara-Isingiro-24Hr'!K70,'28.10 Mbarara-Isingiro-24Hr'!K70)</f>
        <v>0</v>
      </c>
      <c r="L70" s="49">
        <f>AVERAGE('26.10 Mbarara-Isingiro-24Hr'!L70,'28.10 Mbarara-Isingiro-24Hr'!L70)</f>
        <v>0</v>
      </c>
      <c r="M70" s="49">
        <f>AVERAGE('26.10 Mbarara-Isingiro-24Hr'!M70,'28.10 Mbarara-Isingiro-24Hr'!M70)</f>
        <v>24</v>
      </c>
      <c r="N70" s="49">
        <f>AVERAGE('26.10 Mbarara-Isingiro-24Hr'!N70,'28.10 Mbarara-Isingiro-24Hr'!N70)</f>
        <v>0</v>
      </c>
      <c r="O70" s="15">
        <f t="shared" si="0"/>
        <v>8.5</v>
      </c>
      <c r="P70" s="15">
        <f t="shared" si="1"/>
        <v>32.5</v>
      </c>
      <c r="R70" s="8"/>
      <c r="T70"/>
    </row>
    <row r="71" spans="2:20" ht="23.1" customHeight="1" x14ac:dyDescent="0.25">
      <c r="B71" s="23" t="s">
        <v>111</v>
      </c>
      <c r="C71" s="49">
        <f>AVERAGE('26.10 Mbarara-Isingiro-24Hr'!C71,'28.10 Mbarara-Isingiro-24Hr'!C71)</f>
        <v>7</v>
      </c>
      <c r="D71" s="49">
        <f>AVERAGE('26.10 Mbarara-Isingiro-24Hr'!D71,'28.10 Mbarara-Isingiro-24Hr'!D71)</f>
        <v>1</v>
      </c>
      <c r="E71" s="49">
        <f>AVERAGE('26.10 Mbarara-Isingiro-24Hr'!E71,'28.10 Mbarara-Isingiro-24Hr'!E71)</f>
        <v>1.5</v>
      </c>
      <c r="F71" s="49">
        <f>AVERAGE('26.10 Mbarara-Isingiro-24Hr'!F71,'28.10 Mbarara-Isingiro-24Hr'!F71)</f>
        <v>0.5</v>
      </c>
      <c r="G71" s="49">
        <f>AVERAGE('26.10 Mbarara-Isingiro-24Hr'!G71,'28.10 Mbarara-Isingiro-24Hr'!G71)</f>
        <v>0</v>
      </c>
      <c r="H71" s="49">
        <f>AVERAGE('26.10 Mbarara-Isingiro-24Hr'!H71,'28.10 Mbarara-Isingiro-24Hr'!H71)</f>
        <v>0</v>
      </c>
      <c r="I71" s="49">
        <f>AVERAGE('26.10 Mbarara-Isingiro-24Hr'!I71,'28.10 Mbarara-Isingiro-24Hr'!I71)</f>
        <v>1</v>
      </c>
      <c r="J71" s="49">
        <f>AVERAGE('26.10 Mbarara-Isingiro-24Hr'!J71,'28.10 Mbarara-Isingiro-24Hr'!J71)</f>
        <v>0.5</v>
      </c>
      <c r="K71" s="49">
        <f>AVERAGE('26.10 Mbarara-Isingiro-24Hr'!K71,'28.10 Mbarara-Isingiro-24Hr'!K71)</f>
        <v>0</v>
      </c>
      <c r="L71" s="49">
        <f>AVERAGE('26.10 Mbarara-Isingiro-24Hr'!L71,'28.10 Mbarara-Isingiro-24Hr'!L71)</f>
        <v>0</v>
      </c>
      <c r="M71" s="49">
        <f>AVERAGE('26.10 Mbarara-Isingiro-24Hr'!M71,'28.10 Mbarara-Isingiro-24Hr'!M71)</f>
        <v>13</v>
      </c>
      <c r="N71" s="49">
        <f>AVERAGE('26.10 Mbarara-Isingiro-24Hr'!N71,'28.10 Mbarara-Isingiro-24Hr'!N71)</f>
        <v>0</v>
      </c>
      <c r="O71" s="15">
        <f t="shared" si="0"/>
        <v>11.5</v>
      </c>
      <c r="P71" s="15">
        <f t="shared" si="1"/>
        <v>24.5</v>
      </c>
      <c r="R71" s="8"/>
      <c r="T71"/>
    </row>
    <row r="72" spans="2:20" ht="23.1" customHeight="1" x14ac:dyDescent="0.25">
      <c r="B72" s="23" t="s">
        <v>112</v>
      </c>
      <c r="C72" s="49">
        <f>AVERAGE('26.10 Mbarara-Isingiro-24Hr'!C72,'28.10 Mbarara-Isingiro-24Hr'!C72)</f>
        <v>5.5</v>
      </c>
      <c r="D72" s="49">
        <f>AVERAGE('26.10 Mbarara-Isingiro-24Hr'!D72,'28.10 Mbarara-Isingiro-24Hr'!D72)</f>
        <v>0</v>
      </c>
      <c r="E72" s="49">
        <f>AVERAGE('26.10 Mbarara-Isingiro-24Hr'!E72,'28.10 Mbarara-Isingiro-24Hr'!E72)</f>
        <v>1.5</v>
      </c>
      <c r="F72" s="49">
        <f>AVERAGE('26.10 Mbarara-Isingiro-24Hr'!F72,'28.10 Mbarara-Isingiro-24Hr'!F72)</f>
        <v>0.5</v>
      </c>
      <c r="G72" s="49">
        <f>AVERAGE('26.10 Mbarara-Isingiro-24Hr'!G72,'28.10 Mbarara-Isingiro-24Hr'!G72)</f>
        <v>0</v>
      </c>
      <c r="H72" s="49">
        <f>AVERAGE('26.10 Mbarara-Isingiro-24Hr'!H72,'28.10 Mbarara-Isingiro-24Hr'!H72)</f>
        <v>0</v>
      </c>
      <c r="I72" s="49">
        <f>AVERAGE('26.10 Mbarara-Isingiro-24Hr'!I72,'28.10 Mbarara-Isingiro-24Hr'!I72)</f>
        <v>0.5</v>
      </c>
      <c r="J72" s="49">
        <f>AVERAGE('26.10 Mbarara-Isingiro-24Hr'!J72,'28.10 Mbarara-Isingiro-24Hr'!J72)</f>
        <v>0</v>
      </c>
      <c r="K72" s="49">
        <f>AVERAGE('26.10 Mbarara-Isingiro-24Hr'!K72,'28.10 Mbarara-Isingiro-24Hr'!K72)</f>
        <v>0</v>
      </c>
      <c r="L72" s="49">
        <f>AVERAGE('26.10 Mbarara-Isingiro-24Hr'!L72,'28.10 Mbarara-Isingiro-24Hr'!L72)</f>
        <v>0</v>
      </c>
      <c r="M72" s="49">
        <f>AVERAGE('26.10 Mbarara-Isingiro-24Hr'!M72,'28.10 Mbarara-Isingiro-24Hr'!M72)</f>
        <v>15</v>
      </c>
      <c r="N72" s="49">
        <f>AVERAGE('26.10 Mbarara-Isingiro-24Hr'!N72,'28.10 Mbarara-Isingiro-24Hr'!N72)</f>
        <v>0</v>
      </c>
      <c r="O72" s="15">
        <f t="shared" si="0"/>
        <v>8</v>
      </c>
      <c r="P72" s="15">
        <f t="shared" si="1"/>
        <v>23</v>
      </c>
      <c r="R72" s="8"/>
      <c r="T72"/>
    </row>
    <row r="73" spans="2:20" ht="23.1" customHeight="1" x14ac:dyDescent="0.25">
      <c r="B73" s="23" t="s">
        <v>113</v>
      </c>
      <c r="C73" s="49">
        <f>AVERAGE('26.10 Mbarara-Isingiro-24Hr'!C73,'28.10 Mbarara-Isingiro-24Hr'!C73)</f>
        <v>3</v>
      </c>
      <c r="D73" s="49">
        <f>AVERAGE('26.10 Mbarara-Isingiro-24Hr'!D73,'28.10 Mbarara-Isingiro-24Hr'!D73)</f>
        <v>0</v>
      </c>
      <c r="E73" s="49">
        <f>AVERAGE('26.10 Mbarara-Isingiro-24Hr'!E73,'28.10 Mbarara-Isingiro-24Hr'!E73)</f>
        <v>0</v>
      </c>
      <c r="F73" s="49">
        <f>AVERAGE('26.10 Mbarara-Isingiro-24Hr'!F73,'28.10 Mbarara-Isingiro-24Hr'!F73)</f>
        <v>1</v>
      </c>
      <c r="G73" s="49">
        <f>AVERAGE('26.10 Mbarara-Isingiro-24Hr'!G73,'28.10 Mbarara-Isingiro-24Hr'!G73)</f>
        <v>0</v>
      </c>
      <c r="H73" s="49">
        <f>AVERAGE('26.10 Mbarara-Isingiro-24Hr'!H73,'28.10 Mbarara-Isingiro-24Hr'!H73)</f>
        <v>0</v>
      </c>
      <c r="I73" s="49">
        <f>AVERAGE('26.10 Mbarara-Isingiro-24Hr'!I73,'28.10 Mbarara-Isingiro-24Hr'!I73)</f>
        <v>0.5</v>
      </c>
      <c r="J73" s="49">
        <f>AVERAGE('26.10 Mbarara-Isingiro-24Hr'!J73,'28.10 Mbarara-Isingiro-24Hr'!J73)</f>
        <v>0</v>
      </c>
      <c r="K73" s="49">
        <f>AVERAGE('26.10 Mbarara-Isingiro-24Hr'!K73,'28.10 Mbarara-Isingiro-24Hr'!K73)</f>
        <v>0</v>
      </c>
      <c r="L73" s="49">
        <f>AVERAGE('26.10 Mbarara-Isingiro-24Hr'!L73,'28.10 Mbarara-Isingiro-24Hr'!L73)</f>
        <v>0</v>
      </c>
      <c r="M73" s="49">
        <f>AVERAGE('26.10 Mbarara-Isingiro-24Hr'!M73,'28.10 Mbarara-Isingiro-24Hr'!M73)</f>
        <v>10</v>
      </c>
      <c r="N73" s="49">
        <f>AVERAGE('26.10 Mbarara-Isingiro-24Hr'!N73,'28.10 Mbarara-Isingiro-24Hr'!N73)</f>
        <v>0</v>
      </c>
      <c r="O73" s="15">
        <f t="shared" si="0"/>
        <v>4.5</v>
      </c>
      <c r="P73" s="15">
        <f t="shared" si="1"/>
        <v>14.5</v>
      </c>
      <c r="R73" s="8"/>
      <c r="T73"/>
    </row>
    <row r="74" spans="2:20" ht="23.1" customHeight="1" x14ac:dyDescent="0.25">
      <c r="B74" s="23" t="s">
        <v>114</v>
      </c>
      <c r="C74" s="49">
        <f>AVERAGE('26.10 Mbarara-Isingiro-24Hr'!C74,'28.10 Mbarara-Isingiro-24Hr'!C74)</f>
        <v>5.5</v>
      </c>
      <c r="D74" s="49">
        <f>AVERAGE('26.10 Mbarara-Isingiro-24Hr'!D74,'28.10 Mbarara-Isingiro-24Hr'!D74)</f>
        <v>0.5</v>
      </c>
      <c r="E74" s="49">
        <f>AVERAGE('26.10 Mbarara-Isingiro-24Hr'!E74,'28.10 Mbarara-Isingiro-24Hr'!E74)</f>
        <v>0.5</v>
      </c>
      <c r="F74" s="49">
        <f>AVERAGE('26.10 Mbarara-Isingiro-24Hr'!F74,'28.10 Mbarara-Isingiro-24Hr'!F74)</f>
        <v>0.5</v>
      </c>
      <c r="G74" s="49">
        <f>AVERAGE('26.10 Mbarara-Isingiro-24Hr'!G74,'28.10 Mbarara-Isingiro-24Hr'!G74)</f>
        <v>0</v>
      </c>
      <c r="H74" s="49">
        <f>AVERAGE('26.10 Mbarara-Isingiro-24Hr'!H74,'28.10 Mbarara-Isingiro-24Hr'!H74)</f>
        <v>0</v>
      </c>
      <c r="I74" s="49">
        <f>AVERAGE('26.10 Mbarara-Isingiro-24Hr'!I74,'28.10 Mbarara-Isingiro-24Hr'!I74)</f>
        <v>1.5</v>
      </c>
      <c r="J74" s="49">
        <f>AVERAGE('26.10 Mbarara-Isingiro-24Hr'!J74,'28.10 Mbarara-Isingiro-24Hr'!J74)</f>
        <v>0</v>
      </c>
      <c r="K74" s="49">
        <f>AVERAGE('26.10 Mbarara-Isingiro-24Hr'!K74,'28.10 Mbarara-Isingiro-24Hr'!K74)</f>
        <v>0</v>
      </c>
      <c r="L74" s="49">
        <f>AVERAGE('26.10 Mbarara-Isingiro-24Hr'!L74,'28.10 Mbarara-Isingiro-24Hr'!L74)</f>
        <v>0</v>
      </c>
      <c r="M74" s="49">
        <f>AVERAGE('26.10 Mbarara-Isingiro-24Hr'!M74,'28.10 Mbarara-Isingiro-24Hr'!M74)</f>
        <v>4.5</v>
      </c>
      <c r="N74" s="49">
        <f>AVERAGE('26.10 Mbarara-Isingiro-24Hr'!N74,'28.10 Mbarara-Isingiro-24Hr'!N74)</f>
        <v>0</v>
      </c>
      <c r="O74" s="15">
        <f t="shared" ref="O74:O105" si="35">SUM(C74:L74,N74)</f>
        <v>8.5</v>
      </c>
      <c r="P74" s="15">
        <f t="shared" ref="P74:P105" si="36">SUM(C74:N74)</f>
        <v>13</v>
      </c>
      <c r="R74" s="8"/>
      <c r="T74"/>
    </row>
    <row r="75" spans="2:20" ht="23.1" customHeight="1" x14ac:dyDescent="0.25">
      <c r="B75" s="23" t="s">
        <v>115</v>
      </c>
      <c r="C75" s="49">
        <f>AVERAGE('26.10 Mbarara-Isingiro-24Hr'!C75,'28.10 Mbarara-Isingiro-24Hr'!C75)</f>
        <v>4</v>
      </c>
      <c r="D75" s="49">
        <f>AVERAGE('26.10 Mbarara-Isingiro-24Hr'!D75,'28.10 Mbarara-Isingiro-24Hr'!D75)</f>
        <v>1</v>
      </c>
      <c r="E75" s="49">
        <f>AVERAGE('26.10 Mbarara-Isingiro-24Hr'!E75,'28.10 Mbarara-Isingiro-24Hr'!E75)</f>
        <v>0</v>
      </c>
      <c r="F75" s="49">
        <f>AVERAGE('26.10 Mbarara-Isingiro-24Hr'!F75,'28.10 Mbarara-Isingiro-24Hr'!F75)</f>
        <v>0.5</v>
      </c>
      <c r="G75" s="49">
        <f>AVERAGE('26.10 Mbarara-Isingiro-24Hr'!G75,'28.10 Mbarara-Isingiro-24Hr'!G75)</f>
        <v>0</v>
      </c>
      <c r="H75" s="49">
        <f>AVERAGE('26.10 Mbarara-Isingiro-24Hr'!H75,'28.10 Mbarara-Isingiro-24Hr'!H75)</f>
        <v>0</v>
      </c>
      <c r="I75" s="49">
        <f>AVERAGE('26.10 Mbarara-Isingiro-24Hr'!I75,'28.10 Mbarara-Isingiro-24Hr'!I75)</f>
        <v>0.5</v>
      </c>
      <c r="J75" s="49">
        <f>AVERAGE('26.10 Mbarara-Isingiro-24Hr'!J75,'28.10 Mbarara-Isingiro-24Hr'!J75)</f>
        <v>0.5</v>
      </c>
      <c r="K75" s="49">
        <f>AVERAGE('26.10 Mbarara-Isingiro-24Hr'!K75,'28.10 Mbarara-Isingiro-24Hr'!K75)</f>
        <v>0</v>
      </c>
      <c r="L75" s="49">
        <f>AVERAGE('26.10 Mbarara-Isingiro-24Hr'!L75,'28.10 Mbarara-Isingiro-24Hr'!L75)</f>
        <v>0</v>
      </c>
      <c r="M75" s="49">
        <f>AVERAGE('26.10 Mbarara-Isingiro-24Hr'!M75,'28.10 Mbarara-Isingiro-24Hr'!M75)</f>
        <v>6</v>
      </c>
      <c r="N75" s="49">
        <f>AVERAGE('26.10 Mbarara-Isingiro-24Hr'!N75,'28.10 Mbarara-Isingiro-24Hr'!N75)</f>
        <v>0</v>
      </c>
      <c r="O75" s="15">
        <f t="shared" si="35"/>
        <v>6.5</v>
      </c>
      <c r="P75" s="15">
        <f t="shared" si="36"/>
        <v>12.5</v>
      </c>
      <c r="R75" s="8"/>
      <c r="T75"/>
    </row>
    <row r="76" spans="2:20" ht="23.1" customHeight="1" x14ac:dyDescent="0.25">
      <c r="B76" s="23" t="s">
        <v>116</v>
      </c>
      <c r="C76" s="49">
        <f>AVERAGE('26.10 Mbarara-Isingiro-24Hr'!C76,'28.10 Mbarara-Isingiro-24Hr'!C76)</f>
        <v>2.5</v>
      </c>
      <c r="D76" s="49">
        <f>AVERAGE('26.10 Mbarara-Isingiro-24Hr'!D76,'28.10 Mbarara-Isingiro-24Hr'!D76)</f>
        <v>1</v>
      </c>
      <c r="E76" s="49">
        <f>AVERAGE('26.10 Mbarara-Isingiro-24Hr'!E76,'28.10 Mbarara-Isingiro-24Hr'!E76)</f>
        <v>0</v>
      </c>
      <c r="F76" s="49">
        <f>AVERAGE('26.10 Mbarara-Isingiro-24Hr'!F76,'28.10 Mbarara-Isingiro-24Hr'!F76)</f>
        <v>0</v>
      </c>
      <c r="G76" s="49">
        <f>AVERAGE('26.10 Mbarara-Isingiro-24Hr'!G76,'28.10 Mbarara-Isingiro-24Hr'!G76)</f>
        <v>0</v>
      </c>
      <c r="H76" s="49">
        <f>AVERAGE('26.10 Mbarara-Isingiro-24Hr'!H76,'28.10 Mbarara-Isingiro-24Hr'!H76)</f>
        <v>0</v>
      </c>
      <c r="I76" s="49">
        <f>AVERAGE('26.10 Mbarara-Isingiro-24Hr'!I76,'28.10 Mbarara-Isingiro-24Hr'!I76)</f>
        <v>0</v>
      </c>
      <c r="J76" s="49">
        <f>AVERAGE('26.10 Mbarara-Isingiro-24Hr'!J76,'28.10 Mbarara-Isingiro-24Hr'!J76)</f>
        <v>0.5</v>
      </c>
      <c r="K76" s="49">
        <f>AVERAGE('26.10 Mbarara-Isingiro-24Hr'!K76,'28.10 Mbarara-Isingiro-24Hr'!K76)</f>
        <v>0</v>
      </c>
      <c r="L76" s="49">
        <f>AVERAGE('26.10 Mbarara-Isingiro-24Hr'!L76,'28.10 Mbarara-Isingiro-24Hr'!L76)</f>
        <v>0</v>
      </c>
      <c r="M76" s="49">
        <f>AVERAGE('26.10 Mbarara-Isingiro-24Hr'!M76,'28.10 Mbarara-Isingiro-24Hr'!M76)</f>
        <v>6.5</v>
      </c>
      <c r="N76" s="49">
        <f>AVERAGE('26.10 Mbarara-Isingiro-24Hr'!N76,'28.10 Mbarara-Isingiro-24Hr'!N76)</f>
        <v>0</v>
      </c>
      <c r="O76" s="15">
        <f t="shared" si="35"/>
        <v>4</v>
      </c>
      <c r="P76" s="15">
        <f t="shared" si="36"/>
        <v>10.5</v>
      </c>
      <c r="R76" s="8"/>
      <c r="T76"/>
    </row>
    <row r="77" spans="2:20" ht="23.1" customHeight="1" x14ac:dyDescent="0.25">
      <c r="B77" s="23" t="s">
        <v>117</v>
      </c>
      <c r="C77" s="49">
        <f>AVERAGE('26.10 Mbarara-Isingiro-24Hr'!C77,'28.10 Mbarara-Isingiro-24Hr'!C77)</f>
        <v>1</v>
      </c>
      <c r="D77" s="49">
        <f>AVERAGE('26.10 Mbarara-Isingiro-24Hr'!D77,'28.10 Mbarara-Isingiro-24Hr'!D77)</f>
        <v>0.5</v>
      </c>
      <c r="E77" s="49">
        <f>AVERAGE('26.10 Mbarara-Isingiro-24Hr'!E77,'28.10 Mbarara-Isingiro-24Hr'!E77)</f>
        <v>0</v>
      </c>
      <c r="F77" s="49">
        <f>AVERAGE('26.10 Mbarara-Isingiro-24Hr'!F77,'28.10 Mbarara-Isingiro-24Hr'!F77)</f>
        <v>0</v>
      </c>
      <c r="G77" s="49">
        <f>AVERAGE('26.10 Mbarara-Isingiro-24Hr'!G77,'28.10 Mbarara-Isingiro-24Hr'!G77)</f>
        <v>0</v>
      </c>
      <c r="H77" s="49">
        <f>AVERAGE('26.10 Mbarara-Isingiro-24Hr'!H77,'28.10 Mbarara-Isingiro-24Hr'!H77)</f>
        <v>0</v>
      </c>
      <c r="I77" s="49">
        <f>AVERAGE('26.10 Mbarara-Isingiro-24Hr'!I77,'28.10 Mbarara-Isingiro-24Hr'!I77)</f>
        <v>1</v>
      </c>
      <c r="J77" s="49">
        <f>AVERAGE('26.10 Mbarara-Isingiro-24Hr'!J77,'28.10 Mbarara-Isingiro-24Hr'!J77)</f>
        <v>0.5</v>
      </c>
      <c r="K77" s="49">
        <f>AVERAGE('26.10 Mbarara-Isingiro-24Hr'!K77,'28.10 Mbarara-Isingiro-24Hr'!K77)</f>
        <v>0</v>
      </c>
      <c r="L77" s="49">
        <f>AVERAGE('26.10 Mbarara-Isingiro-24Hr'!L77,'28.10 Mbarara-Isingiro-24Hr'!L77)</f>
        <v>0</v>
      </c>
      <c r="M77" s="49">
        <f>AVERAGE('26.10 Mbarara-Isingiro-24Hr'!M77,'28.10 Mbarara-Isingiro-24Hr'!M77)</f>
        <v>7</v>
      </c>
      <c r="N77" s="49">
        <f>AVERAGE('26.10 Mbarara-Isingiro-24Hr'!N77,'28.10 Mbarara-Isingiro-24Hr'!N77)</f>
        <v>0</v>
      </c>
      <c r="O77" s="15">
        <f t="shared" si="35"/>
        <v>3</v>
      </c>
      <c r="P77" s="15">
        <f t="shared" si="36"/>
        <v>10</v>
      </c>
      <c r="R77" s="8"/>
      <c r="T77"/>
    </row>
    <row r="78" spans="2:20" ht="23.1" customHeight="1" x14ac:dyDescent="0.25">
      <c r="B78" s="24" t="s">
        <v>118</v>
      </c>
      <c r="C78" s="49">
        <f>AVERAGE('26.10 Mbarara-Isingiro-24Hr'!C78,'28.10 Mbarara-Isingiro-24Hr'!C78)</f>
        <v>1.5</v>
      </c>
      <c r="D78" s="49">
        <f>AVERAGE('26.10 Mbarara-Isingiro-24Hr'!D78,'28.10 Mbarara-Isingiro-24Hr'!D78)</f>
        <v>0</v>
      </c>
      <c r="E78" s="49">
        <f>AVERAGE('26.10 Mbarara-Isingiro-24Hr'!E78,'28.10 Mbarara-Isingiro-24Hr'!E78)</f>
        <v>0.5</v>
      </c>
      <c r="F78" s="49">
        <f>AVERAGE('26.10 Mbarara-Isingiro-24Hr'!F78,'28.10 Mbarara-Isingiro-24Hr'!F78)</f>
        <v>0.5</v>
      </c>
      <c r="G78" s="49">
        <f>AVERAGE('26.10 Mbarara-Isingiro-24Hr'!G78,'28.10 Mbarara-Isingiro-24Hr'!G78)</f>
        <v>0</v>
      </c>
      <c r="H78" s="49">
        <f>AVERAGE('26.10 Mbarara-Isingiro-24Hr'!H78,'28.10 Mbarara-Isingiro-24Hr'!H78)</f>
        <v>0</v>
      </c>
      <c r="I78" s="49">
        <f>AVERAGE('26.10 Mbarara-Isingiro-24Hr'!I78,'28.10 Mbarara-Isingiro-24Hr'!I78)</f>
        <v>0</v>
      </c>
      <c r="J78" s="49">
        <f>AVERAGE('26.10 Mbarara-Isingiro-24Hr'!J78,'28.10 Mbarara-Isingiro-24Hr'!J78)</f>
        <v>0.5</v>
      </c>
      <c r="K78" s="49">
        <f>AVERAGE('26.10 Mbarara-Isingiro-24Hr'!K78,'28.10 Mbarara-Isingiro-24Hr'!K78)</f>
        <v>0</v>
      </c>
      <c r="L78" s="49">
        <f>AVERAGE('26.10 Mbarara-Isingiro-24Hr'!L78,'28.10 Mbarara-Isingiro-24Hr'!L78)</f>
        <v>0</v>
      </c>
      <c r="M78" s="49">
        <f>AVERAGE('26.10 Mbarara-Isingiro-24Hr'!M78,'28.10 Mbarara-Isingiro-24Hr'!M78)</f>
        <v>4.5</v>
      </c>
      <c r="N78" s="49">
        <f>AVERAGE('26.10 Mbarara-Isingiro-24Hr'!N78,'28.10 Mbarara-Isingiro-24Hr'!N78)</f>
        <v>0</v>
      </c>
      <c r="O78" s="15">
        <f t="shared" si="35"/>
        <v>3</v>
      </c>
      <c r="P78" s="15">
        <f t="shared" si="36"/>
        <v>7.5</v>
      </c>
      <c r="R78" s="8"/>
      <c r="T78"/>
    </row>
    <row r="79" spans="2:20" ht="23.1" customHeight="1" x14ac:dyDescent="0.25">
      <c r="B79" s="23" t="s">
        <v>119</v>
      </c>
      <c r="C79" s="49">
        <f>AVERAGE('26.10 Mbarara-Isingiro-24Hr'!C79,'28.10 Mbarara-Isingiro-24Hr'!C79)</f>
        <v>2.5</v>
      </c>
      <c r="D79" s="49">
        <f>AVERAGE('26.10 Mbarara-Isingiro-24Hr'!D79,'28.10 Mbarara-Isingiro-24Hr'!D79)</f>
        <v>0</v>
      </c>
      <c r="E79" s="49">
        <f>AVERAGE('26.10 Mbarara-Isingiro-24Hr'!E79,'28.10 Mbarara-Isingiro-24Hr'!E79)</f>
        <v>0</v>
      </c>
      <c r="F79" s="49">
        <f>AVERAGE('26.10 Mbarara-Isingiro-24Hr'!F79,'28.10 Mbarara-Isingiro-24Hr'!F79)</f>
        <v>1.5</v>
      </c>
      <c r="G79" s="49">
        <f>AVERAGE('26.10 Mbarara-Isingiro-24Hr'!G79,'28.10 Mbarara-Isingiro-24Hr'!G79)</f>
        <v>0</v>
      </c>
      <c r="H79" s="49">
        <f>AVERAGE('26.10 Mbarara-Isingiro-24Hr'!H79,'28.10 Mbarara-Isingiro-24Hr'!H79)</f>
        <v>0</v>
      </c>
      <c r="I79" s="49">
        <f>AVERAGE('26.10 Mbarara-Isingiro-24Hr'!I79,'28.10 Mbarara-Isingiro-24Hr'!I79)</f>
        <v>0.5</v>
      </c>
      <c r="J79" s="49">
        <f>AVERAGE('26.10 Mbarara-Isingiro-24Hr'!J79,'28.10 Mbarara-Isingiro-24Hr'!J79)</f>
        <v>0.5</v>
      </c>
      <c r="K79" s="49">
        <f>AVERAGE('26.10 Mbarara-Isingiro-24Hr'!K79,'28.10 Mbarara-Isingiro-24Hr'!K79)</f>
        <v>0</v>
      </c>
      <c r="L79" s="49">
        <f>AVERAGE('26.10 Mbarara-Isingiro-24Hr'!L79,'28.10 Mbarara-Isingiro-24Hr'!L79)</f>
        <v>0</v>
      </c>
      <c r="M79" s="49">
        <f>AVERAGE('26.10 Mbarara-Isingiro-24Hr'!M79,'28.10 Mbarara-Isingiro-24Hr'!M79)</f>
        <v>2</v>
      </c>
      <c r="N79" s="49">
        <f>AVERAGE('26.10 Mbarara-Isingiro-24Hr'!N79,'28.10 Mbarara-Isingiro-24Hr'!N79)</f>
        <v>0</v>
      </c>
      <c r="O79" s="15">
        <f t="shared" si="35"/>
        <v>5</v>
      </c>
      <c r="P79" s="15">
        <f t="shared" si="36"/>
        <v>7</v>
      </c>
      <c r="R79" s="8"/>
      <c r="T79"/>
    </row>
    <row r="80" spans="2:20" ht="23.1" customHeight="1" x14ac:dyDescent="0.25">
      <c r="B80" s="25" t="s">
        <v>120</v>
      </c>
      <c r="C80" s="49">
        <f>AVERAGE('26.10 Mbarara-Isingiro-24Hr'!C80,'28.10 Mbarara-Isingiro-24Hr'!C80)</f>
        <v>0.5</v>
      </c>
      <c r="D80" s="49">
        <f>AVERAGE('26.10 Mbarara-Isingiro-24Hr'!D80,'28.10 Mbarara-Isingiro-24Hr'!D80)</f>
        <v>0.5</v>
      </c>
      <c r="E80" s="49">
        <f>AVERAGE('26.10 Mbarara-Isingiro-24Hr'!E80,'28.10 Mbarara-Isingiro-24Hr'!E80)</f>
        <v>0</v>
      </c>
      <c r="F80" s="49">
        <f>AVERAGE('26.10 Mbarara-Isingiro-24Hr'!F80,'28.10 Mbarara-Isingiro-24Hr'!F80)</f>
        <v>0</v>
      </c>
      <c r="G80" s="49">
        <f>AVERAGE('26.10 Mbarara-Isingiro-24Hr'!G80,'28.10 Mbarara-Isingiro-24Hr'!G80)</f>
        <v>0</v>
      </c>
      <c r="H80" s="49">
        <f>AVERAGE('26.10 Mbarara-Isingiro-24Hr'!H80,'28.10 Mbarara-Isingiro-24Hr'!H80)</f>
        <v>0</v>
      </c>
      <c r="I80" s="49">
        <f>AVERAGE('26.10 Mbarara-Isingiro-24Hr'!I80,'28.10 Mbarara-Isingiro-24Hr'!I80)</f>
        <v>0</v>
      </c>
      <c r="J80" s="49">
        <f>AVERAGE('26.10 Mbarara-Isingiro-24Hr'!J80,'28.10 Mbarara-Isingiro-24Hr'!J80)</f>
        <v>1.5</v>
      </c>
      <c r="K80" s="49">
        <f>AVERAGE('26.10 Mbarara-Isingiro-24Hr'!K80,'28.10 Mbarara-Isingiro-24Hr'!K80)</f>
        <v>0</v>
      </c>
      <c r="L80" s="49">
        <f>AVERAGE('26.10 Mbarara-Isingiro-24Hr'!L80,'28.10 Mbarara-Isingiro-24Hr'!L80)</f>
        <v>0</v>
      </c>
      <c r="M80" s="49">
        <f>AVERAGE('26.10 Mbarara-Isingiro-24Hr'!M80,'28.10 Mbarara-Isingiro-24Hr'!M80)</f>
        <v>2</v>
      </c>
      <c r="N80" s="49">
        <f>AVERAGE('26.10 Mbarara-Isingiro-24Hr'!N80,'28.10 Mbarara-Isingiro-24Hr'!N80)</f>
        <v>0</v>
      </c>
      <c r="O80" s="15">
        <f t="shared" si="35"/>
        <v>2.5</v>
      </c>
      <c r="P80" s="15">
        <f t="shared" si="36"/>
        <v>4.5</v>
      </c>
      <c r="R80" s="8"/>
      <c r="T80"/>
    </row>
    <row r="81" spans="2:20" ht="23.1" customHeight="1" x14ac:dyDescent="0.25">
      <c r="B81" s="23" t="s">
        <v>121</v>
      </c>
      <c r="C81" s="49">
        <f>AVERAGE('26.10 Mbarara-Isingiro-24Hr'!C81,'28.10 Mbarara-Isingiro-24Hr'!C81)</f>
        <v>1.5</v>
      </c>
      <c r="D81" s="49">
        <f>AVERAGE('26.10 Mbarara-Isingiro-24Hr'!D81,'28.10 Mbarara-Isingiro-24Hr'!D81)</f>
        <v>0</v>
      </c>
      <c r="E81" s="49">
        <f>AVERAGE('26.10 Mbarara-Isingiro-24Hr'!E81,'28.10 Mbarara-Isingiro-24Hr'!E81)</f>
        <v>0</v>
      </c>
      <c r="F81" s="49">
        <f>AVERAGE('26.10 Mbarara-Isingiro-24Hr'!F81,'28.10 Mbarara-Isingiro-24Hr'!F81)</f>
        <v>0</v>
      </c>
      <c r="G81" s="49">
        <f>AVERAGE('26.10 Mbarara-Isingiro-24Hr'!G81,'28.10 Mbarara-Isingiro-24Hr'!G81)</f>
        <v>0</v>
      </c>
      <c r="H81" s="49">
        <f>AVERAGE('26.10 Mbarara-Isingiro-24Hr'!H81,'28.10 Mbarara-Isingiro-24Hr'!H81)</f>
        <v>0</v>
      </c>
      <c r="I81" s="49">
        <f>AVERAGE('26.10 Mbarara-Isingiro-24Hr'!I81,'28.10 Mbarara-Isingiro-24Hr'!I81)</f>
        <v>0.5</v>
      </c>
      <c r="J81" s="49">
        <f>AVERAGE('26.10 Mbarara-Isingiro-24Hr'!J81,'28.10 Mbarara-Isingiro-24Hr'!J81)</f>
        <v>0</v>
      </c>
      <c r="K81" s="49">
        <f>AVERAGE('26.10 Mbarara-Isingiro-24Hr'!K81,'28.10 Mbarara-Isingiro-24Hr'!K81)</f>
        <v>0</v>
      </c>
      <c r="L81" s="49">
        <f>AVERAGE('26.10 Mbarara-Isingiro-24Hr'!L81,'28.10 Mbarara-Isingiro-24Hr'!L81)</f>
        <v>0</v>
      </c>
      <c r="M81" s="49">
        <f>AVERAGE('26.10 Mbarara-Isingiro-24Hr'!M81,'28.10 Mbarara-Isingiro-24Hr'!M81)</f>
        <v>1.5</v>
      </c>
      <c r="N81" s="49">
        <f>AVERAGE('26.10 Mbarara-Isingiro-24Hr'!N81,'28.10 Mbarara-Isingiro-24Hr'!N81)</f>
        <v>0</v>
      </c>
      <c r="O81" s="15">
        <f t="shared" si="35"/>
        <v>2</v>
      </c>
      <c r="P81" s="15">
        <f t="shared" si="36"/>
        <v>3.5</v>
      </c>
      <c r="R81" s="8"/>
      <c r="T81"/>
    </row>
    <row r="82" spans="2:20" ht="23.1" customHeight="1" x14ac:dyDescent="0.25">
      <c r="B82" s="24" t="s">
        <v>122</v>
      </c>
      <c r="C82" s="49">
        <f>AVERAGE('26.10 Mbarara-Isingiro-24Hr'!C82,'28.10 Mbarara-Isingiro-24Hr'!C82)</f>
        <v>1.5</v>
      </c>
      <c r="D82" s="49">
        <f>AVERAGE('26.10 Mbarara-Isingiro-24Hr'!D82,'28.10 Mbarara-Isingiro-24Hr'!D82)</f>
        <v>0</v>
      </c>
      <c r="E82" s="49">
        <f>AVERAGE('26.10 Mbarara-Isingiro-24Hr'!E82,'28.10 Mbarara-Isingiro-24Hr'!E82)</f>
        <v>0</v>
      </c>
      <c r="F82" s="49">
        <f>AVERAGE('26.10 Mbarara-Isingiro-24Hr'!F82,'28.10 Mbarara-Isingiro-24Hr'!F82)</f>
        <v>0</v>
      </c>
      <c r="G82" s="49">
        <f>AVERAGE('26.10 Mbarara-Isingiro-24Hr'!G82,'28.10 Mbarara-Isingiro-24Hr'!G82)</f>
        <v>0</v>
      </c>
      <c r="H82" s="49">
        <f>AVERAGE('26.10 Mbarara-Isingiro-24Hr'!H82,'28.10 Mbarara-Isingiro-24Hr'!H82)</f>
        <v>0</v>
      </c>
      <c r="I82" s="49">
        <f>AVERAGE('26.10 Mbarara-Isingiro-24Hr'!I82,'28.10 Mbarara-Isingiro-24Hr'!I82)</f>
        <v>1.5</v>
      </c>
      <c r="J82" s="49">
        <f>AVERAGE('26.10 Mbarara-Isingiro-24Hr'!J82,'28.10 Mbarara-Isingiro-24Hr'!J82)</f>
        <v>0.5</v>
      </c>
      <c r="K82" s="49">
        <f>AVERAGE('26.10 Mbarara-Isingiro-24Hr'!K82,'28.10 Mbarara-Isingiro-24Hr'!K82)</f>
        <v>0</v>
      </c>
      <c r="L82" s="49">
        <f>AVERAGE('26.10 Mbarara-Isingiro-24Hr'!L82,'28.10 Mbarara-Isingiro-24Hr'!L82)</f>
        <v>0</v>
      </c>
      <c r="M82" s="49">
        <f>AVERAGE('26.10 Mbarara-Isingiro-24Hr'!M82,'28.10 Mbarara-Isingiro-24Hr'!M82)</f>
        <v>6.5</v>
      </c>
      <c r="N82" s="49">
        <f>AVERAGE('26.10 Mbarara-Isingiro-24Hr'!N82,'28.10 Mbarara-Isingiro-24Hr'!N82)</f>
        <v>0</v>
      </c>
      <c r="O82" s="15">
        <f t="shared" si="35"/>
        <v>3.5</v>
      </c>
      <c r="P82" s="15">
        <f t="shared" si="36"/>
        <v>10</v>
      </c>
      <c r="R82" s="8"/>
      <c r="T82"/>
    </row>
    <row r="83" spans="2:20" ht="23.1" customHeight="1" x14ac:dyDescent="0.25">
      <c r="B83" s="23" t="s">
        <v>123</v>
      </c>
      <c r="C83" s="49">
        <f>AVERAGE('26.10 Mbarara-Isingiro-24Hr'!C83,'28.10 Mbarara-Isingiro-24Hr'!C83)</f>
        <v>1</v>
      </c>
      <c r="D83" s="49">
        <f>AVERAGE('26.10 Mbarara-Isingiro-24Hr'!D83,'28.10 Mbarara-Isingiro-24Hr'!D83)</f>
        <v>0</v>
      </c>
      <c r="E83" s="49">
        <f>AVERAGE('26.10 Mbarara-Isingiro-24Hr'!E83,'28.10 Mbarara-Isingiro-24Hr'!E83)</f>
        <v>0</v>
      </c>
      <c r="F83" s="49">
        <f>AVERAGE('26.10 Mbarara-Isingiro-24Hr'!F83,'28.10 Mbarara-Isingiro-24Hr'!F83)</f>
        <v>0.5</v>
      </c>
      <c r="G83" s="49">
        <f>AVERAGE('26.10 Mbarara-Isingiro-24Hr'!G83,'28.10 Mbarara-Isingiro-24Hr'!G83)</f>
        <v>0</v>
      </c>
      <c r="H83" s="49">
        <f>AVERAGE('26.10 Mbarara-Isingiro-24Hr'!H83,'28.10 Mbarara-Isingiro-24Hr'!H83)</f>
        <v>0</v>
      </c>
      <c r="I83" s="49">
        <f>AVERAGE('26.10 Mbarara-Isingiro-24Hr'!I83,'28.10 Mbarara-Isingiro-24Hr'!I83)</f>
        <v>0.5</v>
      </c>
      <c r="J83" s="49">
        <f>AVERAGE('26.10 Mbarara-Isingiro-24Hr'!J83,'28.10 Mbarara-Isingiro-24Hr'!J83)</f>
        <v>0</v>
      </c>
      <c r="K83" s="49">
        <f>AVERAGE('26.10 Mbarara-Isingiro-24Hr'!K83,'28.10 Mbarara-Isingiro-24Hr'!K83)</f>
        <v>0</v>
      </c>
      <c r="L83" s="49">
        <f>AVERAGE('26.10 Mbarara-Isingiro-24Hr'!L83,'28.10 Mbarara-Isingiro-24Hr'!L83)</f>
        <v>0</v>
      </c>
      <c r="M83" s="49">
        <f>AVERAGE('26.10 Mbarara-Isingiro-24Hr'!M83,'28.10 Mbarara-Isingiro-24Hr'!M83)</f>
        <v>3.5</v>
      </c>
      <c r="N83" s="49">
        <f>AVERAGE('26.10 Mbarara-Isingiro-24Hr'!N83,'28.10 Mbarara-Isingiro-24Hr'!N83)</f>
        <v>0</v>
      </c>
      <c r="O83" s="15">
        <f t="shared" si="35"/>
        <v>2</v>
      </c>
      <c r="P83" s="15">
        <f t="shared" si="36"/>
        <v>5.5</v>
      </c>
      <c r="R83" s="8"/>
      <c r="T83"/>
    </row>
    <row r="84" spans="2:20" ht="23.1" customHeight="1" x14ac:dyDescent="0.25">
      <c r="B84" s="25" t="s">
        <v>124</v>
      </c>
      <c r="C84" s="49">
        <f>AVERAGE('26.10 Mbarara-Isingiro-24Hr'!C84,'28.10 Mbarara-Isingiro-24Hr'!C84)</f>
        <v>0.5</v>
      </c>
      <c r="D84" s="49">
        <f>AVERAGE('26.10 Mbarara-Isingiro-24Hr'!D84,'28.10 Mbarara-Isingiro-24Hr'!D84)</f>
        <v>0.5</v>
      </c>
      <c r="E84" s="49">
        <f>AVERAGE('26.10 Mbarara-Isingiro-24Hr'!E84,'28.10 Mbarara-Isingiro-24Hr'!E84)</f>
        <v>0</v>
      </c>
      <c r="F84" s="49">
        <f>AVERAGE('26.10 Mbarara-Isingiro-24Hr'!F84,'28.10 Mbarara-Isingiro-24Hr'!F84)</f>
        <v>0.5</v>
      </c>
      <c r="G84" s="49">
        <f>AVERAGE('26.10 Mbarara-Isingiro-24Hr'!G84,'28.10 Mbarara-Isingiro-24Hr'!G84)</f>
        <v>0</v>
      </c>
      <c r="H84" s="49">
        <f>AVERAGE('26.10 Mbarara-Isingiro-24Hr'!H84,'28.10 Mbarara-Isingiro-24Hr'!H84)</f>
        <v>0</v>
      </c>
      <c r="I84" s="49">
        <f>AVERAGE('26.10 Mbarara-Isingiro-24Hr'!I84,'28.10 Mbarara-Isingiro-24Hr'!I84)</f>
        <v>0</v>
      </c>
      <c r="J84" s="49">
        <f>AVERAGE('26.10 Mbarara-Isingiro-24Hr'!J84,'28.10 Mbarara-Isingiro-24Hr'!J84)</f>
        <v>0</v>
      </c>
      <c r="K84" s="49">
        <f>AVERAGE('26.10 Mbarara-Isingiro-24Hr'!K84,'28.10 Mbarara-Isingiro-24Hr'!K84)</f>
        <v>0</v>
      </c>
      <c r="L84" s="49">
        <f>AVERAGE('26.10 Mbarara-Isingiro-24Hr'!L84,'28.10 Mbarara-Isingiro-24Hr'!L84)</f>
        <v>0</v>
      </c>
      <c r="M84" s="49">
        <f>AVERAGE('26.10 Mbarara-Isingiro-24Hr'!M84,'28.10 Mbarara-Isingiro-24Hr'!M84)</f>
        <v>2</v>
      </c>
      <c r="N84" s="49">
        <f>AVERAGE('26.10 Mbarara-Isingiro-24Hr'!N84,'28.10 Mbarara-Isingiro-24Hr'!N84)</f>
        <v>0</v>
      </c>
      <c r="O84" s="15">
        <f t="shared" si="35"/>
        <v>1.5</v>
      </c>
      <c r="P84" s="15">
        <f t="shared" si="36"/>
        <v>3.5</v>
      </c>
      <c r="R84" s="8"/>
      <c r="T84"/>
    </row>
    <row r="85" spans="2:20" ht="23.1" customHeight="1" x14ac:dyDescent="0.25">
      <c r="B85" s="23" t="s">
        <v>125</v>
      </c>
      <c r="C85" s="49">
        <f>AVERAGE('26.10 Mbarara-Isingiro-24Hr'!C85,'28.10 Mbarara-Isingiro-24Hr'!C85)</f>
        <v>1.5</v>
      </c>
      <c r="D85" s="49">
        <f>AVERAGE('26.10 Mbarara-Isingiro-24Hr'!D85,'28.10 Mbarara-Isingiro-24Hr'!D85)</f>
        <v>0</v>
      </c>
      <c r="E85" s="49">
        <f>AVERAGE('26.10 Mbarara-Isingiro-24Hr'!E85,'28.10 Mbarara-Isingiro-24Hr'!E85)</f>
        <v>0</v>
      </c>
      <c r="F85" s="49">
        <f>AVERAGE('26.10 Mbarara-Isingiro-24Hr'!F85,'28.10 Mbarara-Isingiro-24Hr'!F85)</f>
        <v>0.5</v>
      </c>
      <c r="G85" s="49">
        <f>AVERAGE('26.10 Mbarara-Isingiro-24Hr'!G85,'28.10 Mbarara-Isingiro-24Hr'!G85)</f>
        <v>0</v>
      </c>
      <c r="H85" s="49">
        <f>AVERAGE('26.10 Mbarara-Isingiro-24Hr'!H85,'28.10 Mbarara-Isingiro-24Hr'!H85)</f>
        <v>0</v>
      </c>
      <c r="I85" s="49">
        <f>AVERAGE('26.10 Mbarara-Isingiro-24Hr'!I85,'28.10 Mbarara-Isingiro-24Hr'!I85)</f>
        <v>0</v>
      </c>
      <c r="J85" s="49">
        <f>AVERAGE('26.10 Mbarara-Isingiro-24Hr'!J85,'28.10 Mbarara-Isingiro-24Hr'!J85)</f>
        <v>0.5</v>
      </c>
      <c r="K85" s="49">
        <f>AVERAGE('26.10 Mbarara-Isingiro-24Hr'!K85,'28.10 Mbarara-Isingiro-24Hr'!K85)</f>
        <v>0</v>
      </c>
      <c r="L85" s="49">
        <f>AVERAGE('26.10 Mbarara-Isingiro-24Hr'!L85,'28.10 Mbarara-Isingiro-24Hr'!L85)</f>
        <v>0</v>
      </c>
      <c r="M85" s="49">
        <f>AVERAGE('26.10 Mbarara-Isingiro-24Hr'!M85,'28.10 Mbarara-Isingiro-24Hr'!M85)</f>
        <v>3.5</v>
      </c>
      <c r="N85" s="49">
        <f>AVERAGE('26.10 Mbarara-Isingiro-24Hr'!N85,'28.10 Mbarara-Isingiro-24Hr'!N85)</f>
        <v>0</v>
      </c>
      <c r="O85" s="15">
        <f t="shared" si="35"/>
        <v>2.5</v>
      </c>
      <c r="P85" s="15">
        <f t="shared" si="36"/>
        <v>6</v>
      </c>
      <c r="R85" s="8"/>
      <c r="T85"/>
    </row>
    <row r="86" spans="2:20" ht="23.1" customHeight="1" x14ac:dyDescent="0.25">
      <c r="B86" s="24" t="s">
        <v>126</v>
      </c>
      <c r="C86" s="49">
        <f>AVERAGE('26.10 Mbarara-Isingiro-24Hr'!C86,'28.10 Mbarara-Isingiro-24Hr'!C86)</f>
        <v>0.5</v>
      </c>
      <c r="D86" s="49">
        <f>AVERAGE('26.10 Mbarara-Isingiro-24Hr'!D86,'28.10 Mbarara-Isingiro-24Hr'!D86)</f>
        <v>0</v>
      </c>
      <c r="E86" s="49">
        <f>AVERAGE('26.10 Mbarara-Isingiro-24Hr'!E86,'28.10 Mbarara-Isingiro-24Hr'!E86)</f>
        <v>0</v>
      </c>
      <c r="F86" s="49">
        <f>AVERAGE('26.10 Mbarara-Isingiro-24Hr'!F86,'28.10 Mbarara-Isingiro-24Hr'!F86)</f>
        <v>0</v>
      </c>
      <c r="G86" s="49">
        <f>AVERAGE('26.10 Mbarara-Isingiro-24Hr'!G86,'28.10 Mbarara-Isingiro-24Hr'!G86)</f>
        <v>0</v>
      </c>
      <c r="H86" s="49">
        <f>AVERAGE('26.10 Mbarara-Isingiro-24Hr'!H86,'28.10 Mbarara-Isingiro-24Hr'!H86)</f>
        <v>0</v>
      </c>
      <c r="I86" s="49">
        <f>AVERAGE('26.10 Mbarara-Isingiro-24Hr'!I86,'28.10 Mbarara-Isingiro-24Hr'!I86)</f>
        <v>0</v>
      </c>
      <c r="J86" s="49">
        <f>AVERAGE('26.10 Mbarara-Isingiro-24Hr'!J86,'28.10 Mbarara-Isingiro-24Hr'!J86)</f>
        <v>0</v>
      </c>
      <c r="K86" s="49">
        <f>AVERAGE('26.10 Mbarara-Isingiro-24Hr'!K86,'28.10 Mbarara-Isingiro-24Hr'!K86)</f>
        <v>0</v>
      </c>
      <c r="L86" s="49">
        <f>AVERAGE('26.10 Mbarara-Isingiro-24Hr'!L86,'28.10 Mbarara-Isingiro-24Hr'!L86)</f>
        <v>0</v>
      </c>
      <c r="M86" s="49">
        <f>AVERAGE('26.10 Mbarara-Isingiro-24Hr'!M86,'28.10 Mbarara-Isingiro-24Hr'!M86)</f>
        <v>1</v>
      </c>
      <c r="N86" s="49">
        <f>AVERAGE('26.10 Mbarara-Isingiro-24Hr'!N86,'28.10 Mbarara-Isingiro-24Hr'!N86)</f>
        <v>0</v>
      </c>
      <c r="O86" s="15">
        <f t="shared" si="35"/>
        <v>0.5</v>
      </c>
      <c r="P86" s="15">
        <f t="shared" si="36"/>
        <v>1.5</v>
      </c>
      <c r="R86" s="8"/>
      <c r="T86"/>
    </row>
    <row r="87" spans="2:20" ht="23.1" customHeight="1" x14ac:dyDescent="0.25">
      <c r="B87" s="23" t="s">
        <v>127</v>
      </c>
      <c r="C87" s="49">
        <f>AVERAGE('26.10 Mbarara-Isingiro-24Hr'!C87,'28.10 Mbarara-Isingiro-24Hr'!C87)</f>
        <v>0</v>
      </c>
      <c r="D87" s="49">
        <f>AVERAGE('26.10 Mbarara-Isingiro-24Hr'!D87,'28.10 Mbarara-Isingiro-24Hr'!D87)</f>
        <v>0</v>
      </c>
      <c r="E87" s="49">
        <f>AVERAGE('26.10 Mbarara-Isingiro-24Hr'!E87,'28.10 Mbarara-Isingiro-24Hr'!E87)</f>
        <v>0</v>
      </c>
      <c r="F87" s="49">
        <f>AVERAGE('26.10 Mbarara-Isingiro-24Hr'!F87,'28.10 Mbarara-Isingiro-24Hr'!F87)</f>
        <v>0</v>
      </c>
      <c r="G87" s="49">
        <f>AVERAGE('26.10 Mbarara-Isingiro-24Hr'!G87,'28.10 Mbarara-Isingiro-24Hr'!G87)</f>
        <v>0</v>
      </c>
      <c r="H87" s="49">
        <f>AVERAGE('26.10 Mbarara-Isingiro-24Hr'!H87,'28.10 Mbarara-Isingiro-24Hr'!H87)</f>
        <v>0</v>
      </c>
      <c r="I87" s="49">
        <f>AVERAGE('26.10 Mbarara-Isingiro-24Hr'!I87,'28.10 Mbarara-Isingiro-24Hr'!I87)</f>
        <v>0</v>
      </c>
      <c r="J87" s="49">
        <f>AVERAGE('26.10 Mbarara-Isingiro-24Hr'!J87,'28.10 Mbarara-Isingiro-24Hr'!J87)</f>
        <v>0.5</v>
      </c>
      <c r="K87" s="49">
        <f>AVERAGE('26.10 Mbarara-Isingiro-24Hr'!K87,'28.10 Mbarara-Isingiro-24Hr'!K87)</f>
        <v>0</v>
      </c>
      <c r="L87" s="49">
        <f>AVERAGE('26.10 Mbarara-Isingiro-24Hr'!L87,'28.10 Mbarara-Isingiro-24Hr'!L87)</f>
        <v>0</v>
      </c>
      <c r="M87" s="49">
        <f>AVERAGE('26.10 Mbarara-Isingiro-24Hr'!M87,'28.10 Mbarara-Isingiro-24Hr'!M87)</f>
        <v>3</v>
      </c>
      <c r="N87" s="49">
        <f>AVERAGE('26.10 Mbarara-Isingiro-24Hr'!N87,'28.10 Mbarara-Isingiro-24Hr'!N87)</f>
        <v>0</v>
      </c>
      <c r="O87" s="15">
        <f t="shared" si="35"/>
        <v>0.5</v>
      </c>
      <c r="P87" s="15">
        <f t="shared" si="36"/>
        <v>3.5</v>
      </c>
      <c r="R87" s="8"/>
      <c r="T87"/>
    </row>
    <row r="88" spans="2:20" ht="23.1" customHeight="1" x14ac:dyDescent="0.25">
      <c r="B88" s="25" t="s">
        <v>128</v>
      </c>
      <c r="C88" s="49">
        <f>AVERAGE('26.10 Mbarara-Isingiro-24Hr'!C88,'28.10 Mbarara-Isingiro-24Hr'!C88)</f>
        <v>0.5</v>
      </c>
      <c r="D88" s="49">
        <f>AVERAGE('26.10 Mbarara-Isingiro-24Hr'!D88,'28.10 Mbarara-Isingiro-24Hr'!D88)</f>
        <v>0</v>
      </c>
      <c r="E88" s="49">
        <f>AVERAGE('26.10 Mbarara-Isingiro-24Hr'!E88,'28.10 Mbarara-Isingiro-24Hr'!E88)</f>
        <v>0</v>
      </c>
      <c r="F88" s="49">
        <f>AVERAGE('26.10 Mbarara-Isingiro-24Hr'!F88,'28.10 Mbarara-Isingiro-24Hr'!F88)</f>
        <v>0</v>
      </c>
      <c r="G88" s="49">
        <f>AVERAGE('26.10 Mbarara-Isingiro-24Hr'!G88,'28.10 Mbarara-Isingiro-24Hr'!G88)</f>
        <v>0</v>
      </c>
      <c r="H88" s="49">
        <f>AVERAGE('26.10 Mbarara-Isingiro-24Hr'!H88,'28.10 Mbarara-Isingiro-24Hr'!H88)</f>
        <v>0</v>
      </c>
      <c r="I88" s="49">
        <f>AVERAGE('26.10 Mbarara-Isingiro-24Hr'!I88,'28.10 Mbarara-Isingiro-24Hr'!I88)</f>
        <v>0</v>
      </c>
      <c r="J88" s="49">
        <f>AVERAGE('26.10 Mbarara-Isingiro-24Hr'!J88,'28.10 Mbarara-Isingiro-24Hr'!J88)</f>
        <v>0</v>
      </c>
      <c r="K88" s="49">
        <f>AVERAGE('26.10 Mbarara-Isingiro-24Hr'!K88,'28.10 Mbarara-Isingiro-24Hr'!K88)</f>
        <v>0</v>
      </c>
      <c r="L88" s="49">
        <f>AVERAGE('26.10 Mbarara-Isingiro-24Hr'!L88,'28.10 Mbarara-Isingiro-24Hr'!L88)</f>
        <v>0</v>
      </c>
      <c r="M88" s="49">
        <f>AVERAGE('26.10 Mbarara-Isingiro-24Hr'!M88,'28.10 Mbarara-Isingiro-24Hr'!M88)</f>
        <v>1.5</v>
      </c>
      <c r="N88" s="49">
        <f>AVERAGE('26.10 Mbarara-Isingiro-24Hr'!N88,'28.10 Mbarara-Isingiro-24Hr'!N88)</f>
        <v>0</v>
      </c>
      <c r="O88" s="15">
        <f t="shared" si="35"/>
        <v>0.5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AVERAGE('26.10 Mbarara-Isingiro-24Hr'!C89,'28.10 Mbarara-Isingiro-24Hr'!C89)</f>
        <v>1</v>
      </c>
      <c r="D89" s="49">
        <f>AVERAGE('26.10 Mbarara-Isingiro-24Hr'!D89,'28.10 Mbarara-Isingiro-24Hr'!D89)</f>
        <v>0.5</v>
      </c>
      <c r="E89" s="49">
        <f>AVERAGE('26.10 Mbarara-Isingiro-24Hr'!E89,'28.10 Mbarara-Isingiro-24Hr'!E89)</f>
        <v>0</v>
      </c>
      <c r="F89" s="49">
        <f>AVERAGE('26.10 Mbarara-Isingiro-24Hr'!F89,'28.10 Mbarara-Isingiro-24Hr'!F89)</f>
        <v>0.5</v>
      </c>
      <c r="G89" s="49">
        <f>AVERAGE('26.10 Mbarara-Isingiro-24Hr'!G89,'28.10 Mbarara-Isingiro-24Hr'!G89)</f>
        <v>0</v>
      </c>
      <c r="H89" s="49">
        <f>AVERAGE('26.10 Mbarara-Isingiro-24Hr'!H89,'28.10 Mbarara-Isingiro-24Hr'!H89)</f>
        <v>0</v>
      </c>
      <c r="I89" s="49">
        <f>AVERAGE('26.10 Mbarara-Isingiro-24Hr'!I89,'28.10 Mbarara-Isingiro-24Hr'!I89)</f>
        <v>0</v>
      </c>
      <c r="J89" s="49">
        <f>AVERAGE('26.10 Mbarara-Isingiro-24Hr'!J89,'28.10 Mbarara-Isingiro-24Hr'!J89)</f>
        <v>0.5</v>
      </c>
      <c r="K89" s="49">
        <f>AVERAGE('26.10 Mbarara-Isingiro-24Hr'!K89,'28.10 Mbarara-Isingiro-24Hr'!K89)</f>
        <v>0</v>
      </c>
      <c r="L89" s="49">
        <f>AVERAGE('26.10 Mbarara-Isingiro-24Hr'!L89,'28.10 Mbarara-Isingiro-24Hr'!L89)</f>
        <v>0</v>
      </c>
      <c r="M89" s="49">
        <f>AVERAGE('26.10 Mbarara-Isingiro-24Hr'!M89,'28.10 Mbarara-Isingiro-24Hr'!M89)</f>
        <v>2</v>
      </c>
      <c r="N89" s="49">
        <f>AVERAGE('26.10 Mbarara-Isingiro-24Hr'!N89,'28.10 Mbarara-Isingiro-24Hr'!N89)</f>
        <v>0</v>
      </c>
      <c r="O89" s="15">
        <f t="shared" si="35"/>
        <v>2.5</v>
      </c>
      <c r="P89" s="15">
        <f t="shared" si="36"/>
        <v>4.5</v>
      </c>
      <c r="R89" s="8"/>
      <c r="T89"/>
    </row>
    <row r="90" spans="2:20" ht="23.1" customHeight="1" x14ac:dyDescent="0.25">
      <c r="B90" s="24" t="s">
        <v>130</v>
      </c>
      <c r="C90" s="49">
        <f>AVERAGE('26.10 Mbarara-Isingiro-24Hr'!C90,'28.10 Mbarara-Isingiro-24Hr'!C90)</f>
        <v>0.5</v>
      </c>
      <c r="D90" s="49">
        <f>AVERAGE('26.10 Mbarara-Isingiro-24Hr'!D90,'28.10 Mbarara-Isingiro-24Hr'!D90)</f>
        <v>0.5</v>
      </c>
      <c r="E90" s="49">
        <f>AVERAGE('26.10 Mbarara-Isingiro-24Hr'!E90,'28.10 Mbarara-Isingiro-24Hr'!E90)</f>
        <v>0</v>
      </c>
      <c r="F90" s="49">
        <f>AVERAGE('26.10 Mbarara-Isingiro-24Hr'!F90,'28.10 Mbarara-Isingiro-24Hr'!F90)</f>
        <v>0</v>
      </c>
      <c r="G90" s="49">
        <f>AVERAGE('26.10 Mbarara-Isingiro-24Hr'!G90,'28.10 Mbarara-Isingiro-24Hr'!G90)</f>
        <v>0</v>
      </c>
      <c r="H90" s="49">
        <f>AVERAGE('26.10 Mbarara-Isingiro-24Hr'!H90,'28.10 Mbarara-Isingiro-24Hr'!H90)</f>
        <v>0</v>
      </c>
      <c r="I90" s="49">
        <f>AVERAGE('26.10 Mbarara-Isingiro-24Hr'!I90,'28.10 Mbarara-Isingiro-24Hr'!I90)</f>
        <v>0</v>
      </c>
      <c r="J90" s="49">
        <f>AVERAGE('26.10 Mbarara-Isingiro-24Hr'!J90,'28.10 Mbarara-Isingiro-24Hr'!J90)</f>
        <v>0.5</v>
      </c>
      <c r="K90" s="49">
        <f>AVERAGE('26.10 Mbarara-Isingiro-24Hr'!K90,'28.10 Mbarara-Isingiro-24Hr'!K90)</f>
        <v>0</v>
      </c>
      <c r="L90" s="49">
        <f>AVERAGE('26.10 Mbarara-Isingiro-24Hr'!L90,'28.10 Mbarara-Isingiro-24Hr'!L90)</f>
        <v>0.5</v>
      </c>
      <c r="M90" s="49">
        <f>AVERAGE('26.10 Mbarara-Isingiro-24Hr'!M90,'28.10 Mbarara-Isingiro-24Hr'!M90)</f>
        <v>1</v>
      </c>
      <c r="N90" s="49">
        <f>AVERAGE('26.10 Mbarara-Isingiro-24Hr'!N90,'28.10 Mbarara-Isingiro-24Hr'!N90)</f>
        <v>0</v>
      </c>
      <c r="O90" s="15">
        <f t="shared" si="35"/>
        <v>2</v>
      </c>
      <c r="P90" s="15">
        <f t="shared" si="36"/>
        <v>3</v>
      </c>
      <c r="R90" s="8"/>
      <c r="T90"/>
    </row>
    <row r="91" spans="2:20" ht="23.1" customHeight="1" x14ac:dyDescent="0.25">
      <c r="B91" s="23" t="s">
        <v>131</v>
      </c>
      <c r="C91" s="49">
        <f>AVERAGE('26.10 Mbarara-Isingiro-24Hr'!C91,'28.10 Mbarara-Isingiro-24Hr'!C91)</f>
        <v>1</v>
      </c>
      <c r="D91" s="49">
        <f>AVERAGE('26.10 Mbarara-Isingiro-24Hr'!D91,'28.10 Mbarara-Isingiro-24Hr'!D91)</f>
        <v>0.5</v>
      </c>
      <c r="E91" s="49">
        <f>AVERAGE('26.10 Mbarara-Isingiro-24Hr'!E91,'28.10 Mbarara-Isingiro-24Hr'!E91)</f>
        <v>0</v>
      </c>
      <c r="F91" s="49">
        <f>AVERAGE('26.10 Mbarara-Isingiro-24Hr'!F91,'28.10 Mbarara-Isingiro-24Hr'!F91)</f>
        <v>0</v>
      </c>
      <c r="G91" s="49">
        <f>AVERAGE('26.10 Mbarara-Isingiro-24Hr'!G91,'28.10 Mbarara-Isingiro-24Hr'!G91)</f>
        <v>0</v>
      </c>
      <c r="H91" s="49">
        <f>AVERAGE('26.10 Mbarara-Isingiro-24Hr'!H91,'28.10 Mbarara-Isingiro-24Hr'!H91)</f>
        <v>0</v>
      </c>
      <c r="I91" s="49">
        <f>AVERAGE('26.10 Mbarara-Isingiro-24Hr'!I91,'28.10 Mbarara-Isingiro-24Hr'!I91)</f>
        <v>0</v>
      </c>
      <c r="J91" s="49">
        <f>AVERAGE('26.10 Mbarara-Isingiro-24Hr'!J91,'28.10 Mbarara-Isingiro-24Hr'!J91)</f>
        <v>0.5</v>
      </c>
      <c r="K91" s="49">
        <f>AVERAGE('26.10 Mbarara-Isingiro-24Hr'!K91,'28.10 Mbarara-Isingiro-24Hr'!K91)</f>
        <v>0</v>
      </c>
      <c r="L91" s="49">
        <f>AVERAGE('26.10 Mbarara-Isingiro-24Hr'!L91,'28.10 Mbarara-Isingiro-24Hr'!L91)</f>
        <v>0</v>
      </c>
      <c r="M91" s="49">
        <f>AVERAGE('26.10 Mbarara-Isingiro-24Hr'!M91,'28.10 Mbarara-Isingiro-24Hr'!M91)</f>
        <v>1.5</v>
      </c>
      <c r="N91" s="49">
        <f>AVERAGE('26.10 Mbarara-Isingiro-24Hr'!N91,'28.10 Mbarara-Isingiro-24Hr'!N91)</f>
        <v>0</v>
      </c>
      <c r="O91" s="15">
        <f t="shared" si="35"/>
        <v>2</v>
      </c>
      <c r="P91" s="15">
        <f t="shared" si="36"/>
        <v>3.5</v>
      </c>
      <c r="R91" s="8"/>
      <c r="T91"/>
    </row>
    <row r="92" spans="2:20" ht="23.1" customHeight="1" x14ac:dyDescent="0.25">
      <c r="B92" s="25" t="s">
        <v>132</v>
      </c>
      <c r="C92" s="49">
        <f>AVERAGE('26.10 Mbarara-Isingiro-24Hr'!C92,'28.10 Mbarara-Isingiro-24Hr'!C92)</f>
        <v>3</v>
      </c>
      <c r="D92" s="49">
        <f>AVERAGE('26.10 Mbarara-Isingiro-24Hr'!D92,'28.10 Mbarara-Isingiro-24Hr'!D92)</f>
        <v>0</v>
      </c>
      <c r="E92" s="49">
        <f>AVERAGE('26.10 Mbarara-Isingiro-24Hr'!E92,'28.10 Mbarara-Isingiro-24Hr'!E92)</f>
        <v>0</v>
      </c>
      <c r="F92" s="49">
        <f>AVERAGE('26.10 Mbarara-Isingiro-24Hr'!F92,'28.10 Mbarara-Isingiro-24Hr'!F92)</f>
        <v>0</v>
      </c>
      <c r="G92" s="49">
        <f>AVERAGE('26.10 Mbarara-Isingiro-24Hr'!G92,'28.10 Mbarara-Isingiro-24Hr'!G92)</f>
        <v>0</v>
      </c>
      <c r="H92" s="49">
        <f>AVERAGE('26.10 Mbarara-Isingiro-24Hr'!H92,'28.10 Mbarara-Isingiro-24Hr'!H92)</f>
        <v>0</v>
      </c>
      <c r="I92" s="49">
        <f>AVERAGE('26.10 Mbarara-Isingiro-24Hr'!I92,'28.10 Mbarara-Isingiro-24Hr'!I92)</f>
        <v>0.5</v>
      </c>
      <c r="J92" s="49">
        <f>AVERAGE('26.10 Mbarara-Isingiro-24Hr'!J92,'28.10 Mbarara-Isingiro-24Hr'!J92)</f>
        <v>0</v>
      </c>
      <c r="K92" s="49">
        <f>AVERAGE('26.10 Mbarara-Isingiro-24Hr'!K92,'28.10 Mbarara-Isingiro-24Hr'!K92)</f>
        <v>0</v>
      </c>
      <c r="L92" s="49">
        <f>AVERAGE('26.10 Mbarara-Isingiro-24Hr'!L92,'28.10 Mbarara-Isingiro-24Hr'!L92)</f>
        <v>0</v>
      </c>
      <c r="M92" s="49">
        <f>AVERAGE('26.10 Mbarara-Isingiro-24Hr'!M92,'28.10 Mbarara-Isingiro-24Hr'!M92)</f>
        <v>0.5</v>
      </c>
      <c r="N92" s="49">
        <f>AVERAGE('26.10 Mbarara-Isingiro-24Hr'!N92,'28.10 Mbarara-Isingiro-24Hr'!N92)</f>
        <v>0</v>
      </c>
      <c r="O92" s="15">
        <f t="shared" si="35"/>
        <v>3.5</v>
      </c>
      <c r="P92" s="15">
        <f t="shared" si="36"/>
        <v>4</v>
      </c>
      <c r="R92" s="8"/>
      <c r="T92"/>
    </row>
    <row r="93" spans="2:20" ht="23.1" customHeight="1" x14ac:dyDescent="0.25">
      <c r="B93" s="23" t="s">
        <v>133</v>
      </c>
      <c r="C93" s="49">
        <f>AVERAGE('26.10 Mbarara-Isingiro-24Hr'!C93,'28.10 Mbarara-Isingiro-24Hr'!C93)</f>
        <v>0.5</v>
      </c>
      <c r="D93" s="49">
        <f>AVERAGE('26.10 Mbarara-Isingiro-24Hr'!D93,'28.10 Mbarara-Isingiro-24Hr'!D93)</f>
        <v>0</v>
      </c>
      <c r="E93" s="49">
        <f>AVERAGE('26.10 Mbarara-Isingiro-24Hr'!E93,'28.10 Mbarara-Isingiro-24Hr'!E93)</f>
        <v>0</v>
      </c>
      <c r="F93" s="49">
        <f>AVERAGE('26.10 Mbarara-Isingiro-24Hr'!F93,'28.10 Mbarara-Isingiro-24Hr'!F93)</f>
        <v>0.5</v>
      </c>
      <c r="G93" s="49">
        <f>AVERAGE('26.10 Mbarara-Isingiro-24Hr'!G93,'28.10 Mbarara-Isingiro-24Hr'!G93)</f>
        <v>0</v>
      </c>
      <c r="H93" s="49">
        <f>AVERAGE('26.10 Mbarara-Isingiro-24Hr'!H93,'28.10 Mbarara-Isingiro-24Hr'!H93)</f>
        <v>0</v>
      </c>
      <c r="I93" s="49">
        <f>AVERAGE('26.10 Mbarara-Isingiro-24Hr'!I93,'28.10 Mbarara-Isingiro-24Hr'!I93)</f>
        <v>0</v>
      </c>
      <c r="J93" s="49">
        <f>AVERAGE('26.10 Mbarara-Isingiro-24Hr'!J93,'28.10 Mbarara-Isingiro-24Hr'!J93)</f>
        <v>0.5</v>
      </c>
      <c r="K93" s="49">
        <f>AVERAGE('26.10 Mbarara-Isingiro-24Hr'!K93,'28.10 Mbarara-Isingiro-24Hr'!K93)</f>
        <v>0</v>
      </c>
      <c r="L93" s="49">
        <f>AVERAGE('26.10 Mbarara-Isingiro-24Hr'!L93,'28.10 Mbarara-Isingiro-24Hr'!L93)</f>
        <v>0</v>
      </c>
      <c r="M93" s="49">
        <f>AVERAGE('26.10 Mbarara-Isingiro-24Hr'!M93,'28.10 Mbarara-Isingiro-24Hr'!M93)</f>
        <v>2.5</v>
      </c>
      <c r="N93" s="49">
        <f>AVERAGE('26.10 Mbarara-Isingiro-24Hr'!N93,'28.10 Mbarara-Isingiro-24Hr'!N93)</f>
        <v>0</v>
      </c>
      <c r="O93" s="15">
        <f t="shared" si="35"/>
        <v>1.5</v>
      </c>
      <c r="P93" s="15">
        <f t="shared" si="36"/>
        <v>4</v>
      </c>
      <c r="R93" s="8"/>
      <c r="T93"/>
    </row>
    <row r="94" spans="2:20" ht="23.1" customHeight="1" x14ac:dyDescent="0.25">
      <c r="B94" s="24" t="s">
        <v>134</v>
      </c>
      <c r="C94" s="49">
        <f>AVERAGE('26.10 Mbarara-Isingiro-24Hr'!C94,'28.10 Mbarara-Isingiro-24Hr'!C94)</f>
        <v>1.5</v>
      </c>
      <c r="D94" s="49">
        <f>AVERAGE('26.10 Mbarara-Isingiro-24Hr'!D94,'28.10 Mbarara-Isingiro-24Hr'!D94)</f>
        <v>0</v>
      </c>
      <c r="E94" s="49">
        <f>AVERAGE('26.10 Mbarara-Isingiro-24Hr'!E94,'28.10 Mbarara-Isingiro-24Hr'!E94)</f>
        <v>0</v>
      </c>
      <c r="F94" s="49">
        <f>AVERAGE('26.10 Mbarara-Isingiro-24Hr'!F94,'28.10 Mbarara-Isingiro-24Hr'!F94)</f>
        <v>0</v>
      </c>
      <c r="G94" s="49">
        <f>AVERAGE('26.10 Mbarara-Isingiro-24Hr'!G94,'28.10 Mbarara-Isingiro-24Hr'!G94)</f>
        <v>0</v>
      </c>
      <c r="H94" s="49">
        <f>AVERAGE('26.10 Mbarara-Isingiro-24Hr'!H94,'28.10 Mbarara-Isingiro-24Hr'!H94)</f>
        <v>0</v>
      </c>
      <c r="I94" s="49">
        <f>AVERAGE('26.10 Mbarara-Isingiro-24Hr'!I94,'28.10 Mbarara-Isingiro-24Hr'!I94)</f>
        <v>0</v>
      </c>
      <c r="J94" s="49">
        <f>AVERAGE('26.10 Mbarara-Isingiro-24Hr'!J94,'28.10 Mbarara-Isingiro-24Hr'!J94)</f>
        <v>0</v>
      </c>
      <c r="K94" s="49">
        <f>AVERAGE('26.10 Mbarara-Isingiro-24Hr'!K94,'28.10 Mbarara-Isingiro-24Hr'!K94)</f>
        <v>0</v>
      </c>
      <c r="L94" s="49">
        <f>AVERAGE('26.10 Mbarara-Isingiro-24Hr'!L94,'28.10 Mbarara-Isingiro-24Hr'!L94)</f>
        <v>0</v>
      </c>
      <c r="M94" s="49">
        <f>AVERAGE('26.10 Mbarara-Isingiro-24Hr'!M94,'28.10 Mbarara-Isingiro-24Hr'!M94)</f>
        <v>0.5</v>
      </c>
      <c r="N94" s="49">
        <f>AVERAGE('26.10 Mbarara-Isingiro-24Hr'!N94,'28.10 Mbarara-Isingiro-24Hr'!N94)</f>
        <v>0</v>
      </c>
      <c r="O94" s="15">
        <f t="shared" si="35"/>
        <v>1.5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AVERAGE('26.10 Mbarara-Isingiro-24Hr'!C95,'28.10 Mbarara-Isingiro-24Hr'!C95)</f>
        <v>2</v>
      </c>
      <c r="D95" s="49">
        <f>AVERAGE('26.10 Mbarara-Isingiro-24Hr'!D95,'28.10 Mbarara-Isingiro-24Hr'!D95)</f>
        <v>0</v>
      </c>
      <c r="E95" s="49">
        <f>AVERAGE('26.10 Mbarara-Isingiro-24Hr'!E95,'28.10 Mbarara-Isingiro-24Hr'!E95)</f>
        <v>0</v>
      </c>
      <c r="F95" s="49">
        <f>AVERAGE('26.10 Mbarara-Isingiro-24Hr'!F95,'28.10 Mbarara-Isingiro-24Hr'!F95)</f>
        <v>0.5</v>
      </c>
      <c r="G95" s="49">
        <f>AVERAGE('26.10 Mbarara-Isingiro-24Hr'!G95,'28.10 Mbarara-Isingiro-24Hr'!G95)</f>
        <v>0</v>
      </c>
      <c r="H95" s="49">
        <f>AVERAGE('26.10 Mbarara-Isingiro-24Hr'!H95,'28.10 Mbarara-Isingiro-24Hr'!H95)</f>
        <v>0</v>
      </c>
      <c r="I95" s="49">
        <f>AVERAGE('26.10 Mbarara-Isingiro-24Hr'!I95,'28.10 Mbarara-Isingiro-24Hr'!I95)</f>
        <v>1</v>
      </c>
      <c r="J95" s="49">
        <f>AVERAGE('26.10 Mbarara-Isingiro-24Hr'!J95,'28.10 Mbarara-Isingiro-24Hr'!J95)</f>
        <v>0</v>
      </c>
      <c r="K95" s="49">
        <f>AVERAGE('26.10 Mbarara-Isingiro-24Hr'!K95,'28.10 Mbarara-Isingiro-24Hr'!K95)</f>
        <v>0</v>
      </c>
      <c r="L95" s="49">
        <f>AVERAGE('26.10 Mbarara-Isingiro-24Hr'!L95,'28.10 Mbarara-Isingiro-24Hr'!L95)</f>
        <v>0</v>
      </c>
      <c r="M95" s="49">
        <f>AVERAGE('26.10 Mbarara-Isingiro-24Hr'!M95,'28.10 Mbarara-Isingiro-24Hr'!M95)</f>
        <v>0.5</v>
      </c>
      <c r="N95" s="49">
        <f>AVERAGE('26.10 Mbarara-Isingiro-24Hr'!N95,'28.10 Mbarara-Isingiro-24Hr'!N95)</f>
        <v>0</v>
      </c>
      <c r="O95" s="15">
        <f t="shared" si="35"/>
        <v>3.5</v>
      </c>
      <c r="P95" s="15">
        <f t="shared" si="36"/>
        <v>4</v>
      </c>
      <c r="R95" s="8"/>
      <c r="T95"/>
    </row>
    <row r="96" spans="2:20" ht="23.1" customHeight="1" x14ac:dyDescent="0.25">
      <c r="B96" s="25" t="s">
        <v>136</v>
      </c>
      <c r="C96" s="49">
        <f>AVERAGE('26.10 Mbarara-Isingiro-24Hr'!C96,'28.10 Mbarara-Isingiro-24Hr'!C96)</f>
        <v>1</v>
      </c>
      <c r="D96" s="49">
        <f>AVERAGE('26.10 Mbarara-Isingiro-24Hr'!D96,'28.10 Mbarara-Isingiro-24Hr'!D96)</f>
        <v>0.5</v>
      </c>
      <c r="E96" s="49">
        <f>AVERAGE('26.10 Mbarara-Isingiro-24Hr'!E96,'28.10 Mbarara-Isingiro-24Hr'!E96)</f>
        <v>0</v>
      </c>
      <c r="F96" s="49">
        <f>AVERAGE('26.10 Mbarara-Isingiro-24Hr'!F96,'28.10 Mbarara-Isingiro-24Hr'!F96)</f>
        <v>0</v>
      </c>
      <c r="G96" s="49">
        <f>AVERAGE('26.10 Mbarara-Isingiro-24Hr'!G96,'28.10 Mbarara-Isingiro-24Hr'!G96)</f>
        <v>0</v>
      </c>
      <c r="H96" s="49">
        <f>AVERAGE('26.10 Mbarara-Isingiro-24Hr'!H96,'28.10 Mbarara-Isingiro-24Hr'!H96)</f>
        <v>0</v>
      </c>
      <c r="I96" s="49">
        <f>AVERAGE('26.10 Mbarara-Isingiro-24Hr'!I96,'28.10 Mbarara-Isingiro-24Hr'!I96)</f>
        <v>0</v>
      </c>
      <c r="J96" s="49">
        <f>AVERAGE('26.10 Mbarara-Isingiro-24Hr'!J96,'28.10 Mbarara-Isingiro-24Hr'!J96)</f>
        <v>0</v>
      </c>
      <c r="K96" s="49">
        <f>AVERAGE('26.10 Mbarara-Isingiro-24Hr'!K96,'28.10 Mbarara-Isingiro-24Hr'!K96)</f>
        <v>0</v>
      </c>
      <c r="L96" s="49">
        <f>AVERAGE('26.10 Mbarara-Isingiro-24Hr'!L96,'28.10 Mbarara-Isingiro-24Hr'!L96)</f>
        <v>0.5</v>
      </c>
      <c r="M96" s="49">
        <f>AVERAGE('26.10 Mbarara-Isingiro-24Hr'!M96,'28.10 Mbarara-Isingiro-24Hr'!M96)</f>
        <v>0.5</v>
      </c>
      <c r="N96" s="49">
        <f>AVERAGE('26.10 Mbarara-Isingiro-24Hr'!N96,'28.10 Mbarara-Isingiro-24Hr'!N96)</f>
        <v>0</v>
      </c>
      <c r="O96" s="15">
        <f t="shared" si="35"/>
        <v>2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AVERAGE('26.10 Mbarara-Isingiro-24Hr'!C97,'28.10 Mbarara-Isingiro-24Hr'!C97)</f>
        <v>1.5</v>
      </c>
      <c r="D97" s="49">
        <f>AVERAGE('26.10 Mbarara-Isingiro-24Hr'!D97,'28.10 Mbarara-Isingiro-24Hr'!D97)</f>
        <v>0</v>
      </c>
      <c r="E97" s="49">
        <f>AVERAGE('26.10 Mbarara-Isingiro-24Hr'!E97,'28.10 Mbarara-Isingiro-24Hr'!E97)</f>
        <v>0</v>
      </c>
      <c r="F97" s="49">
        <f>AVERAGE('26.10 Mbarara-Isingiro-24Hr'!F97,'28.10 Mbarara-Isingiro-24Hr'!F97)</f>
        <v>0.5</v>
      </c>
      <c r="G97" s="49">
        <f>AVERAGE('26.10 Mbarara-Isingiro-24Hr'!G97,'28.10 Mbarara-Isingiro-24Hr'!G97)</f>
        <v>0</v>
      </c>
      <c r="H97" s="49">
        <f>AVERAGE('26.10 Mbarara-Isingiro-24Hr'!H97,'28.10 Mbarara-Isingiro-24Hr'!H97)</f>
        <v>0</v>
      </c>
      <c r="I97" s="49">
        <f>AVERAGE('26.10 Mbarara-Isingiro-24Hr'!I97,'28.10 Mbarara-Isingiro-24Hr'!I97)</f>
        <v>0.5</v>
      </c>
      <c r="J97" s="49">
        <f>AVERAGE('26.10 Mbarara-Isingiro-24Hr'!J97,'28.10 Mbarara-Isingiro-24Hr'!J97)</f>
        <v>0</v>
      </c>
      <c r="K97" s="49">
        <f>AVERAGE('26.10 Mbarara-Isingiro-24Hr'!K97,'28.10 Mbarara-Isingiro-24Hr'!K97)</f>
        <v>0</v>
      </c>
      <c r="L97" s="49">
        <f>AVERAGE('26.10 Mbarara-Isingiro-24Hr'!L97,'28.10 Mbarara-Isingiro-24Hr'!L97)</f>
        <v>0</v>
      </c>
      <c r="M97" s="49">
        <f>AVERAGE('26.10 Mbarara-Isingiro-24Hr'!M97,'28.10 Mbarara-Isingiro-24Hr'!M97)</f>
        <v>0</v>
      </c>
      <c r="N97" s="49">
        <f>AVERAGE('26.10 Mbarara-Isingiro-24Hr'!N97,'28.10 Mbarara-Isingiro-24Hr'!N97)</f>
        <v>0</v>
      </c>
      <c r="O97" s="15">
        <f t="shared" si="35"/>
        <v>2.5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AVERAGE('26.10 Mbarara-Isingiro-24Hr'!C98,'28.10 Mbarara-Isingiro-24Hr'!C98)</f>
        <v>0.5</v>
      </c>
      <c r="D98" s="49">
        <f>AVERAGE('26.10 Mbarara-Isingiro-24Hr'!D98,'28.10 Mbarara-Isingiro-24Hr'!D98)</f>
        <v>0</v>
      </c>
      <c r="E98" s="49">
        <f>AVERAGE('26.10 Mbarara-Isingiro-24Hr'!E98,'28.10 Mbarara-Isingiro-24Hr'!E98)</f>
        <v>0</v>
      </c>
      <c r="F98" s="49">
        <f>AVERAGE('26.10 Mbarara-Isingiro-24Hr'!F98,'28.10 Mbarara-Isingiro-24Hr'!F98)</f>
        <v>0.5</v>
      </c>
      <c r="G98" s="49">
        <f>AVERAGE('26.10 Mbarara-Isingiro-24Hr'!G98,'28.10 Mbarara-Isingiro-24Hr'!G98)</f>
        <v>0</v>
      </c>
      <c r="H98" s="49">
        <f>AVERAGE('26.10 Mbarara-Isingiro-24Hr'!H98,'28.10 Mbarara-Isingiro-24Hr'!H98)</f>
        <v>0</v>
      </c>
      <c r="I98" s="49">
        <f>AVERAGE('26.10 Mbarara-Isingiro-24Hr'!I98,'28.10 Mbarara-Isingiro-24Hr'!I98)</f>
        <v>0.5</v>
      </c>
      <c r="J98" s="49">
        <f>AVERAGE('26.10 Mbarara-Isingiro-24Hr'!J98,'28.10 Mbarara-Isingiro-24Hr'!J98)</f>
        <v>0.5</v>
      </c>
      <c r="K98" s="49">
        <f>AVERAGE('26.10 Mbarara-Isingiro-24Hr'!K98,'28.10 Mbarara-Isingiro-24Hr'!K98)</f>
        <v>0</v>
      </c>
      <c r="L98" s="49">
        <f>AVERAGE('26.10 Mbarara-Isingiro-24Hr'!L98,'28.10 Mbarara-Isingiro-24Hr'!L98)</f>
        <v>0</v>
      </c>
      <c r="M98" s="49">
        <f>AVERAGE('26.10 Mbarara-Isingiro-24Hr'!M98,'28.10 Mbarara-Isingiro-24Hr'!M98)</f>
        <v>1</v>
      </c>
      <c r="N98" s="49">
        <f>AVERAGE('26.10 Mbarara-Isingiro-24Hr'!N98,'28.10 Mbarara-Isingiro-24Hr'!N98)</f>
        <v>0</v>
      </c>
      <c r="O98" s="15">
        <f t="shared" si="35"/>
        <v>2</v>
      </c>
      <c r="P98" s="15">
        <f t="shared" si="36"/>
        <v>3</v>
      </c>
      <c r="R98" s="8"/>
      <c r="T98"/>
    </row>
    <row r="99" spans="2:20" ht="23.1" customHeight="1" x14ac:dyDescent="0.25">
      <c r="B99" s="23" t="s">
        <v>139</v>
      </c>
      <c r="C99" s="49">
        <f>AVERAGE('26.10 Mbarara-Isingiro-24Hr'!C99,'28.10 Mbarara-Isingiro-24Hr'!C99)</f>
        <v>0.5</v>
      </c>
      <c r="D99" s="49">
        <f>AVERAGE('26.10 Mbarara-Isingiro-24Hr'!D99,'28.10 Mbarara-Isingiro-24Hr'!D99)</f>
        <v>0</v>
      </c>
      <c r="E99" s="49">
        <f>AVERAGE('26.10 Mbarara-Isingiro-24Hr'!E99,'28.10 Mbarara-Isingiro-24Hr'!E99)</f>
        <v>0</v>
      </c>
      <c r="F99" s="49">
        <f>AVERAGE('26.10 Mbarara-Isingiro-24Hr'!F99,'28.10 Mbarara-Isingiro-24Hr'!F99)</f>
        <v>0</v>
      </c>
      <c r="G99" s="49">
        <f>AVERAGE('26.10 Mbarara-Isingiro-24Hr'!G99,'28.10 Mbarara-Isingiro-24Hr'!G99)</f>
        <v>0</v>
      </c>
      <c r="H99" s="49">
        <f>AVERAGE('26.10 Mbarara-Isingiro-24Hr'!H99,'28.10 Mbarara-Isingiro-24Hr'!H99)</f>
        <v>0</v>
      </c>
      <c r="I99" s="49">
        <f>AVERAGE('26.10 Mbarara-Isingiro-24Hr'!I99,'28.10 Mbarara-Isingiro-24Hr'!I99)</f>
        <v>0</v>
      </c>
      <c r="J99" s="49">
        <f>AVERAGE('26.10 Mbarara-Isingiro-24Hr'!J99,'28.10 Mbarara-Isingiro-24Hr'!J99)</f>
        <v>1.5</v>
      </c>
      <c r="K99" s="49">
        <f>AVERAGE('26.10 Mbarara-Isingiro-24Hr'!K99,'28.10 Mbarara-Isingiro-24Hr'!K99)</f>
        <v>0</v>
      </c>
      <c r="L99" s="49">
        <f>AVERAGE('26.10 Mbarara-Isingiro-24Hr'!L99,'28.10 Mbarara-Isingiro-24Hr'!L99)</f>
        <v>0.5</v>
      </c>
      <c r="M99" s="49">
        <f>AVERAGE('26.10 Mbarara-Isingiro-24Hr'!M99,'28.10 Mbarara-Isingiro-24Hr'!M99)</f>
        <v>1</v>
      </c>
      <c r="N99" s="49">
        <f>AVERAGE('26.10 Mbarara-Isingiro-24Hr'!N99,'28.10 Mbarara-Isingiro-24Hr'!N99)</f>
        <v>0</v>
      </c>
      <c r="O99" s="15">
        <f t="shared" si="35"/>
        <v>2.5</v>
      </c>
      <c r="P99" s="15">
        <f t="shared" si="36"/>
        <v>3.5</v>
      </c>
      <c r="R99" s="8"/>
      <c r="T99"/>
    </row>
    <row r="100" spans="2:20" ht="23.1" customHeight="1" x14ac:dyDescent="0.25">
      <c r="B100" s="25" t="s">
        <v>140</v>
      </c>
      <c r="C100" s="49">
        <f>AVERAGE('26.10 Mbarara-Isingiro-24Hr'!C100,'28.10 Mbarara-Isingiro-24Hr'!C100)</f>
        <v>1.5</v>
      </c>
      <c r="D100" s="49">
        <f>AVERAGE('26.10 Mbarara-Isingiro-24Hr'!D100,'28.10 Mbarara-Isingiro-24Hr'!D100)</f>
        <v>0.5</v>
      </c>
      <c r="E100" s="49">
        <f>AVERAGE('26.10 Mbarara-Isingiro-24Hr'!E100,'28.10 Mbarara-Isingiro-24Hr'!E100)</f>
        <v>0</v>
      </c>
      <c r="F100" s="49">
        <f>AVERAGE('26.10 Mbarara-Isingiro-24Hr'!F100,'28.10 Mbarara-Isingiro-24Hr'!F100)</f>
        <v>0</v>
      </c>
      <c r="G100" s="49">
        <f>AVERAGE('26.10 Mbarara-Isingiro-24Hr'!G100,'28.10 Mbarara-Isingiro-24Hr'!G100)</f>
        <v>0</v>
      </c>
      <c r="H100" s="49">
        <f>AVERAGE('26.10 Mbarara-Isingiro-24Hr'!H100,'28.10 Mbarara-Isingiro-24Hr'!H100)</f>
        <v>0</v>
      </c>
      <c r="I100" s="49">
        <f>AVERAGE('26.10 Mbarara-Isingiro-24Hr'!I100,'28.10 Mbarara-Isingiro-24Hr'!I100)</f>
        <v>0</v>
      </c>
      <c r="J100" s="49">
        <f>AVERAGE('26.10 Mbarara-Isingiro-24Hr'!J100,'28.10 Mbarara-Isingiro-24Hr'!J100)</f>
        <v>0.5</v>
      </c>
      <c r="K100" s="49">
        <f>AVERAGE('26.10 Mbarara-Isingiro-24Hr'!K100,'28.10 Mbarara-Isingiro-24Hr'!K100)</f>
        <v>0</v>
      </c>
      <c r="L100" s="49">
        <f>AVERAGE('26.10 Mbarara-Isingiro-24Hr'!L100,'28.10 Mbarara-Isingiro-24Hr'!L100)</f>
        <v>0.5</v>
      </c>
      <c r="M100" s="49">
        <f>AVERAGE('26.10 Mbarara-Isingiro-24Hr'!M100,'28.10 Mbarara-Isingiro-24Hr'!M100)</f>
        <v>2</v>
      </c>
      <c r="N100" s="49">
        <f>AVERAGE('26.10 Mbarara-Isingiro-24Hr'!N100,'28.10 Mbarara-Isingiro-24Hr'!N100)</f>
        <v>0</v>
      </c>
      <c r="O100" s="15">
        <f t="shared" si="35"/>
        <v>3</v>
      </c>
      <c r="P100" s="15">
        <f t="shared" si="36"/>
        <v>5</v>
      </c>
      <c r="R100" s="8"/>
      <c r="T100"/>
    </row>
    <row r="101" spans="2:20" ht="23.1" customHeight="1" x14ac:dyDescent="0.25">
      <c r="B101" s="23" t="s">
        <v>141</v>
      </c>
      <c r="C101" s="49">
        <f>AVERAGE('26.10 Mbarara-Isingiro-24Hr'!C101,'28.10 Mbarara-Isingiro-24Hr'!C101)</f>
        <v>1.5</v>
      </c>
      <c r="D101" s="49">
        <f>AVERAGE('26.10 Mbarara-Isingiro-24Hr'!D101,'28.10 Mbarara-Isingiro-24Hr'!D101)</f>
        <v>0</v>
      </c>
      <c r="E101" s="49">
        <f>AVERAGE('26.10 Mbarara-Isingiro-24Hr'!E101,'28.10 Mbarara-Isingiro-24Hr'!E101)</f>
        <v>1</v>
      </c>
      <c r="F101" s="49">
        <f>AVERAGE('26.10 Mbarara-Isingiro-24Hr'!F101,'28.10 Mbarara-Isingiro-24Hr'!F101)</f>
        <v>0.5</v>
      </c>
      <c r="G101" s="49">
        <f>AVERAGE('26.10 Mbarara-Isingiro-24Hr'!G101,'28.10 Mbarara-Isingiro-24Hr'!G101)</f>
        <v>0</v>
      </c>
      <c r="H101" s="49">
        <f>AVERAGE('26.10 Mbarara-Isingiro-24Hr'!H101,'28.10 Mbarara-Isingiro-24Hr'!H101)</f>
        <v>0</v>
      </c>
      <c r="I101" s="49">
        <f>AVERAGE('26.10 Mbarara-Isingiro-24Hr'!I101,'28.10 Mbarara-Isingiro-24Hr'!I101)</f>
        <v>0.5</v>
      </c>
      <c r="J101" s="49">
        <f>AVERAGE('26.10 Mbarara-Isingiro-24Hr'!J101,'28.10 Mbarara-Isingiro-24Hr'!J101)</f>
        <v>0</v>
      </c>
      <c r="K101" s="49">
        <f>AVERAGE('26.10 Mbarara-Isingiro-24Hr'!K101,'28.10 Mbarara-Isingiro-24Hr'!K101)</f>
        <v>0</v>
      </c>
      <c r="L101" s="49">
        <f>AVERAGE('26.10 Mbarara-Isingiro-24Hr'!L101,'28.10 Mbarara-Isingiro-24Hr'!L101)</f>
        <v>0</v>
      </c>
      <c r="M101" s="49">
        <f>AVERAGE('26.10 Mbarara-Isingiro-24Hr'!M101,'28.10 Mbarara-Isingiro-24Hr'!M101)</f>
        <v>0</v>
      </c>
      <c r="N101" s="49">
        <f>AVERAGE('26.10 Mbarara-Isingiro-24Hr'!N101,'28.10 Mbarara-Isingiro-24Hr'!N101)</f>
        <v>0</v>
      </c>
      <c r="O101" s="15">
        <f t="shared" si="35"/>
        <v>3.5</v>
      </c>
      <c r="P101" s="15">
        <f t="shared" si="36"/>
        <v>3.5</v>
      </c>
      <c r="R101" s="8"/>
      <c r="T101"/>
    </row>
    <row r="102" spans="2:20" ht="23.1" customHeight="1" x14ac:dyDescent="0.25">
      <c r="B102" s="24" t="s">
        <v>142</v>
      </c>
      <c r="C102" s="49">
        <f>AVERAGE('26.10 Mbarara-Isingiro-24Hr'!C102,'28.10 Mbarara-Isingiro-24Hr'!C102)</f>
        <v>2.5</v>
      </c>
      <c r="D102" s="49">
        <f>AVERAGE('26.10 Mbarara-Isingiro-24Hr'!D102,'28.10 Mbarara-Isingiro-24Hr'!D102)</f>
        <v>0.5</v>
      </c>
      <c r="E102" s="49">
        <f>AVERAGE('26.10 Mbarara-Isingiro-24Hr'!E102,'28.10 Mbarara-Isingiro-24Hr'!E102)</f>
        <v>0.5</v>
      </c>
      <c r="F102" s="49">
        <f>AVERAGE('26.10 Mbarara-Isingiro-24Hr'!F102,'28.10 Mbarara-Isingiro-24Hr'!F102)</f>
        <v>0</v>
      </c>
      <c r="G102" s="49">
        <f>AVERAGE('26.10 Mbarara-Isingiro-24Hr'!G102,'28.10 Mbarara-Isingiro-24Hr'!G102)</f>
        <v>0</v>
      </c>
      <c r="H102" s="49">
        <f>AVERAGE('26.10 Mbarara-Isingiro-24Hr'!H102,'28.10 Mbarara-Isingiro-24Hr'!H102)</f>
        <v>0</v>
      </c>
      <c r="I102" s="49">
        <f>AVERAGE('26.10 Mbarara-Isingiro-24Hr'!I102,'28.10 Mbarara-Isingiro-24Hr'!I102)</f>
        <v>0</v>
      </c>
      <c r="J102" s="49">
        <f>AVERAGE('26.10 Mbarara-Isingiro-24Hr'!J102,'28.10 Mbarara-Isingiro-24Hr'!J102)</f>
        <v>1.5</v>
      </c>
      <c r="K102" s="49">
        <f>AVERAGE('26.10 Mbarara-Isingiro-24Hr'!K102,'28.10 Mbarara-Isingiro-24Hr'!K102)</f>
        <v>0</v>
      </c>
      <c r="L102" s="49">
        <f>AVERAGE('26.10 Mbarara-Isingiro-24Hr'!L102,'28.10 Mbarara-Isingiro-24Hr'!L102)</f>
        <v>0</v>
      </c>
      <c r="M102" s="49">
        <f>AVERAGE('26.10 Mbarara-Isingiro-24Hr'!M102,'28.10 Mbarara-Isingiro-24Hr'!M102)</f>
        <v>4</v>
      </c>
      <c r="N102" s="49">
        <f>AVERAGE('26.10 Mbarara-Isingiro-24Hr'!N102,'28.10 Mbarara-Isingiro-24Hr'!N102)</f>
        <v>0</v>
      </c>
      <c r="O102" s="15">
        <f t="shared" si="35"/>
        <v>5</v>
      </c>
      <c r="P102" s="15">
        <f t="shared" si="36"/>
        <v>9</v>
      </c>
      <c r="R102" s="8"/>
      <c r="T102"/>
    </row>
    <row r="103" spans="2:20" ht="23.1" customHeight="1" x14ac:dyDescent="0.25">
      <c r="B103" s="23" t="s">
        <v>143</v>
      </c>
      <c r="C103" s="49">
        <f>AVERAGE('26.10 Mbarara-Isingiro-24Hr'!C103,'28.10 Mbarara-Isingiro-24Hr'!C103)</f>
        <v>4</v>
      </c>
      <c r="D103" s="49">
        <f>AVERAGE('26.10 Mbarara-Isingiro-24Hr'!D103,'28.10 Mbarara-Isingiro-24Hr'!D103)</f>
        <v>0</v>
      </c>
      <c r="E103" s="49">
        <f>AVERAGE('26.10 Mbarara-Isingiro-24Hr'!E103,'28.10 Mbarara-Isingiro-24Hr'!E103)</f>
        <v>0.5</v>
      </c>
      <c r="F103" s="49">
        <f>AVERAGE('26.10 Mbarara-Isingiro-24Hr'!F103,'28.10 Mbarara-Isingiro-24Hr'!F103)</f>
        <v>0.5</v>
      </c>
      <c r="G103" s="49">
        <f>AVERAGE('26.10 Mbarara-Isingiro-24Hr'!G103,'28.10 Mbarara-Isingiro-24Hr'!G103)</f>
        <v>0.5</v>
      </c>
      <c r="H103" s="49">
        <f>AVERAGE('26.10 Mbarara-Isingiro-24Hr'!H103,'28.10 Mbarara-Isingiro-24Hr'!H103)</f>
        <v>0</v>
      </c>
      <c r="I103" s="49">
        <f>AVERAGE('26.10 Mbarara-Isingiro-24Hr'!I103,'28.10 Mbarara-Isingiro-24Hr'!I103)</f>
        <v>0</v>
      </c>
      <c r="J103" s="49">
        <f>AVERAGE('26.10 Mbarara-Isingiro-24Hr'!J103,'28.10 Mbarara-Isingiro-24Hr'!J103)</f>
        <v>1</v>
      </c>
      <c r="K103" s="49">
        <f>AVERAGE('26.10 Mbarara-Isingiro-24Hr'!K103,'28.10 Mbarara-Isingiro-24Hr'!K103)</f>
        <v>0</v>
      </c>
      <c r="L103" s="49">
        <f>AVERAGE('26.10 Mbarara-Isingiro-24Hr'!L103,'28.10 Mbarara-Isingiro-24Hr'!L103)</f>
        <v>2.5</v>
      </c>
      <c r="M103" s="49">
        <f>AVERAGE('26.10 Mbarara-Isingiro-24Hr'!M103,'28.10 Mbarara-Isingiro-24Hr'!M103)</f>
        <v>8.5</v>
      </c>
      <c r="N103" s="49">
        <f>AVERAGE('26.10 Mbarara-Isingiro-24Hr'!N103,'28.10 Mbarara-Isingiro-24Hr'!N103)</f>
        <v>0</v>
      </c>
      <c r="O103" s="15">
        <f t="shared" si="35"/>
        <v>9</v>
      </c>
      <c r="P103" s="15">
        <f t="shared" si="36"/>
        <v>17.5</v>
      </c>
      <c r="R103" s="8"/>
      <c r="T103"/>
    </row>
    <row r="104" spans="2:20" ht="23.1" customHeight="1" x14ac:dyDescent="0.25">
      <c r="B104" s="25" t="s">
        <v>144</v>
      </c>
      <c r="C104" s="49">
        <f>AVERAGE('26.10 Mbarara-Isingiro-24Hr'!C104,'28.10 Mbarara-Isingiro-24Hr'!C104)</f>
        <v>4</v>
      </c>
      <c r="D104" s="49">
        <f>AVERAGE('26.10 Mbarara-Isingiro-24Hr'!D104,'28.10 Mbarara-Isingiro-24Hr'!D104)</f>
        <v>0.5</v>
      </c>
      <c r="E104" s="49">
        <f>AVERAGE('26.10 Mbarara-Isingiro-24Hr'!E104,'28.10 Mbarara-Isingiro-24Hr'!E104)</f>
        <v>1</v>
      </c>
      <c r="F104" s="49">
        <f>AVERAGE('26.10 Mbarara-Isingiro-24Hr'!F104,'28.10 Mbarara-Isingiro-24Hr'!F104)</f>
        <v>1.5</v>
      </c>
      <c r="G104" s="49">
        <f>AVERAGE('26.10 Mbarara-Isingiro-24Hr'!G104,'28.10 Mbarara-Isingiro-24Hr'!G104)</f>
        <v>0</v>
      </c>
      <c r="H104" s="49">
        <f>AVERAGE('26.10 Mbarara-Isingiro-24Hr'!H104,'28.10 Mbarara-Isingiro-24Hr'!H104)</f>
        <v>0</v>
      </c>
      <c r="I104" s="49">
        <f>AVERAGE('26.10 Mbarara-Isingiro-24Hr'!I104,'28.10 Mbarara-Isingiro-24Hr'!I104)</f>
        <v>1</v>
      </c>
      <c r="J104" s="49">
        <f>AVERAGE('26.10 Mbarara-Isingiro-24Hr'!J104,'28.10 Mbarara-Isingiro-24Hr'!J104)</f>
        <v>1</v>
      </c>
      <c r="K104" s="49">
        <f>AVERAGE('26.10 Mbarara-Isingiro-24Hr'!K104,'28.10 Mbarara-Isingiro-24Hr'!K104)</f>
        <v>0</v>
      </c>
      <c r="L104" s="49">
        <f>AVERAGE('26.10 Mbarara-Isingiro-24Hr'!L104,'28.10 Mbarara-Isingiro-24Hr'!L104)</f>
        <v>0</v>
      </c>
      <c r="M104" s="49">
        <f>AVERAGE('26.10 Mbarara-Isingiro-24Hr'!M104,'28.10 Mbarara-Isingiro-24Hr'!M104)</f>
        <v>8</v>
      </c>
      <c r="N104" s="49">
        <f>AVERAGE('26.10 Mbarara-Isingiro-24Hr'!N104,'28.10 Mbarara-Isingiro-24Hr'!N104)</f>
        <v>0</v>
      </c>
      <c r="O104" s="15">
        <f t="shared" si="35"/>
        <v>9</v>
      </c>
      <c r="P104" s="15">
        <f t="shared" si="36"/>
        <v>17</v>
      </c>
      <c r="R104" s="8"/>
      <c r="T104"/>
    </row>
    <row r="105" spans="2:20" ht="23.1" customHeight="1" x14ac:dyDescent="0.25">
      <c r="B105" s="23" t="s">
        <v>145</v>
      </c>
      <c r="C105" s="49">
        <f>AVERAGE('26.10 Mbarara-Isingiro-24Hr'!C105,'28.10 Mbarara-Isingiro-24Hr'!C105)</f>
        <v>3.5</v>
      </c>
      <c r="D105" s="49">
        <f>AVERAGE('26.10 Mbarara-Isingiro-24Hr'!D105,'28.10 Mbarara-Isingiro-24Hr'!D105)</f>
        <v>1</v>
      </c>
      <c r="E105" s="49">
        <f>AVERAGE('26.10 Mbarara-Isingiro-24Hr'!E105,'28.10 Mbarara-Isingiro-24Hr'!E105)</f>
        <v>0.5</v>
      </c>
      <c r="F105" s="49">
        <f>AVERAGE('26.10 Mbarara-Isingiro-24Hr'!F105,'28.10 Mbarara-Isingiro-24Hr'!F105)</f>
        <v>1.5</v>
      </c>
      <c r="G105" s="49">
        <f>AVERAGE('26.10 Mbarara-Isingiro-24Hr'!G105,'28.10 Mbarara-Isingiro-24Hr'!G105)</f>
        <v>0</v>
      </c>
      <c r="H105" s="49">
        <f>AVERAGE('26.10 Mbarara-Isingiro-24Hr'!H105,'28.10 Mbarara-Isingiro-24Hr'!H105)</f>
        <v>0</v>
      </c>
      <c r="I105" s="49">
        <f>AVERAGE('26.10 Mbarara-Isingiro-24Hr'!I105,'28.10 Mbarara-Isingiro-24Hr'!I105)</f>
        <v>1</v>
      </c>
      <c r="J105" s="49">
        <f>AVERAGE('26.10 Mbarara-Isingiro-24Hr'!J105,'28.10 Mbarara-Isingiro-24Hr'!J105)</f>
        <v>1</v>
      </c>
      <c r="K105" s="49">
        <f>AVERAGE('26.10 Mbarara-Isingiro-24Hr'!K105,'28.10 Mbarara-Isingiro-24Hr'!K105)</f>
        <v>0.5</v>
      </c>
      <c r="L105" s="49">
        <f>AVERAGE('26.10 Mbarara-Isingiro-24Hr'!L105,'28.10 Mbarara-Isingiro-24Hr'!L105)</f>
        <v>0.5</v>
      </c>
      <c r="M105" s="49">
        <f>AVERAGE('26.10 Mbarara-Isingiro-24Hr'!M105,'28.10 Mbarara-Isingiro-24Hr'!M105)</f>
        <v>14</v>
      </c>
      <c r="N105" s="49">
        <f>AVERAGE('26.10 Mbarara-Isingiro-24Hr'!N105,'28.10 Mbarara-Isingiro-24Hr'!N105)</f>
        <v>0</v>
      </c>
      <c r="O105" s="15">
        <f t="shared" si="35"/>
        <v>9.5</v>
      </c>
      <c r="P105" s="15">
        <f t="shared" si="36"/>
        <v>23.5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673.57142857142856</v>
      </c>
      <c r="D106" s="16">
        <f t="shared" ref="D106:P106" si="37">SUM(D10:D105)</f>
        <v>111.28571428571428</v>
      </c>
      <c r="E106" s="16">
        <f t="shared" si="37"/>
        <v>117.85714285714286</v>
      </c>
      <c r="F106" s="16">
        <f t="shared" si="37"/>
        <v>186.5</v>
      </c>
      <c r="G106" s="16">
        <f t="shared" si="37"/>
        <v>3.1428571428571423</v>
      </c>
      <c r="H106" s="16">
        <f t="shared" si="37"/>
        <v>0.99999999999999978</v>
      </c>
      <c r="I106" s="16">
        <f t="shared" si="37"/>
        <v>115.14285714285715</v>
      </c>
      <c r="J106" s="16">
        <f t="shared" si="37"/>
        <v>95.214285714285722</v>
      </c>
      <c r="K106" s="16">
        <f t="shared" si="37"/>
        <v>7.2142857142857162</v>
      </c>
      <c r="L106" s="16">
        <f t="shared" si="37"/>
        <v>8.7857142857142847</v>
      </c>
      <c r="M106" s="16">
        <f t="shared" si="37"/>
        <v>2255.5714285714289</v>
      </c>
      <c r="N106" s="16">
        <f t="shared" si="37"/>
        <v>0</v>
      </c>
      <c r="O106" s="16">
        <f t="shared" si="37"/>
        <v>1319.7142857142858</v>
      </c>
      <c r="P106" s="16">
        <f t="shared" si="37"/>
        <v>3575.2857142857142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0.18839653174571463</v>
      </c>
      <c r="D107" s="43">
        <f t="shared" si="38"/>
        <v>3.1126383505813718E-2</v>
      </c>
      <c r="E107" s="43">
        <f t="shared" si="38"/>
        <v>3.2964398449674352E-2</v>
      </c>
      <c r="F107" s="43">
        <f t="shared" si="38"/>
        <v>5.2163663243696812E-2</v>
      </c>
      <c r="G107" s="43">
        <f t="shared" si="38"/>
        <v>8.790506253246493E-4</v>
      </c>
      <c r="H107" s="43">
        <f t="shared" si="38"/>
        <v>2.7969792623966112E-4</v>
      </c>
      <c r="I107" s="43">
        <f t="shared" si="38"/>
        <v>3.2205218364166704E-2</v>
      </c>
      <c r="J107" s="43">
        <f t="shared" si="38"/>
        <v>2.6631238262676313E-2</v>
      </c>
      <c r="K107" s="43">
        <f t="shared" si="38"/>
        <v>2.0178207535861276E-3</v>
      </c>
      <c r="L107" s="43">
        <f t="shared" si="38"/>
        <v>2.4573460662484516E-3</v>
      </c>
      <c r="M107" s="43">
        <f t="shared" si="38"/>
        <v>0.6308786510568587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0.51039185970989387</v>
      </c>
      <c r="D108" s="44">
        <f t="shared" ref="D108:N108" si="39">D106/$O$106</f>
        <v>8.4325611604243331E-2</v>
      </c>
      <c r="E108" s="44">
        <f t="shared" si="39"/>
        <v>8.9305044381900844E-2</v>
      </c>
      <c r="F108" s="44">
        <f t="shared" si="39"/>
        <v>0.14131846720069277</v>
      </c>
      <c r="G108" s="44">
        <f t="shared" si="39"/>
        <v>2.3814678501840221E-3</v>
      </c>
      <c r="H108" s="44">
        <f t="shared" si="39"/>
        <v>7.5773977051309788E-4</v>
      </c>
      <c r="I108" s="44">
        <f t="shared" si="39"/>
        <v>8.7248322147651006E-2</v>
      </c>
      <c r="J108" s="44">
        <f t="shared" si="39"/>
        <v>7.2147651006711416E-2</v>
      </c>
      <c r="K108" s="44">
        <f t="shared" si="39"/>
        <v>5.4665512015587801E-3</v>
      </c>
      <c r="L108" s="44">
        <f t="shared" si="39"/>
        <v>6.6572851266507894E-3</v>
      </c>
      <c r="M108" s="44"/>
      <c r="N108" s="44">
        <f t="shared" si="39"/>
        <v>0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3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L46" zoomScale="60" workbookViewId="0">
      <selection activeCell="AC56" sqref="AC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8" t="s">
        <v>23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  <c r="AD1" s="58"/>
      <c r="AE1" s="58"/>
    </row>
    <row r="2" spans="2:32" ht="20.100000000000001" customHeight="1" x14ac:dyDescent="0.25">
      <c r="B2" s="59" t="s">
        <v>95</v>
      </c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  <c r="AD2" s="59"/>
      <c r="AE2" s="59"/>
    </row>
    <row r="3" spans="2:32" ht="20.100000000000001" customHeight="1" x14ac:dyDescent="0.25">
      <c r="B3" s="22" t="s">
        <v>96</v>
      </c>
      <c r="C3" s="65" t="str">
        <f>'31.10 Mbarara-Isingiro'!C3:G3</f>
        <v>MCC-C4-STN100A-MBARARA-ISINGIRO ROAD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'Avg Week Mbarara-Isingiro'!G5:H5</f>
        <v>KASENYI</v>
      </c>
      <c r="H5" s="62"/>
      <c r="I5" s="14"/>
      <c r="J5" s="2" t="s">
        <v>5</v>
      </c>
      <c r="K5" s="61" t="s">
        <v>179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6" t="s">
        <v>161</v>
      </c>
      <c r="E6" s="67"/>
      <c r="F6" s="2" t="s">
        <v>2</v>
      </c>
      <c r="G6" s="66" t="s">
        <v>161</v>
      </c>
      <c r="H6" s="67"/>
      <c r="J6" s="2" t="s">
        <v>21</v>
      </c>
      <c r="K6" s="61" t="str">
        <f>'Avg Week Mbarara-Isingiro'!K6:L6</f>
        <v>MIREMBE RUTH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7" t="s">
        <v>88</v>
      </c>
      <c r="S8" s="57"/>
      <c r="T8" s="57"/>
      <c r="U8" s="57"/>
      <c r="V8" s="57"/>
      <c r="W8" s="57"/>
      <c r="X8" s="57"/>
      <c r="Y8" s="57"/>
      <c r="Z8" s="57"/>
      <c r="AA8" s="57"/>
      <c r="AB8" s="57"/>
      <c r="AC8" s="57"/>
      <c r="AD8" s="57"/>
      <c r="AE8" s="57"/>
      <c r="AF8" s="57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Isingiro-Mbarara'!C10+'Avg Week Mbarara-Isingiro'!C10</f>
        <v>13</v>
      </c>
      <c r="D10" s="49">
        <f>'Avg Week Isingiro-Mbarara'!D10+'Avg Week Mbarara-Isingiro'!D10</f>
        <v>1.2857142857142856</v>
      </c>
      <c r="E10" s="49">
        <f>'Avg Week Isingiro-Mbarara'!E10+'Avg Week Mbarara-Isingiro'!E10</f>
        <v>2.5714285714285712</v>
      </c>
      <c r="F10" s="49">
        <f>'Avg Week Isingiro-Mbarara'!F10+'Avg Week Mbarara-Isingiro'!F10</f>
        <v>5.1428571428571423</v>
      </c>
      <c r="G10" s="49">
        <f>'Avg Week Isingiro-Mbarara'!G10+'Avg Week Mbarara-Isingiro'!G10</f>
        <v>0</v>
      </c>
      <c r="H10" s="49">
        <f>'Avg Week Isingiro-Mbarara'!H10+'Avg Week Mbarara-Isingiro'!H10</f>
        <v>0.14285714285714285</v>
      </c>
      <c r="I10" s="49">
        <f>'Avg Week Isingiro-Mbarara'!I10+'Avg Week Mbarara-Isingiro'!I10</f>
        <v>2.5714285714285712</v>
      </c>
      <c r="J10" s="49">
        <f>'Avg Week Isingiro-Mbarara'!J10+'Avg Week Mbarara-Isingiro'!J10</f>
        <v>1.8571428571428572</v>
      </c>
      <c r="K10" s="49">
        <f>'Avg Week Isingiro-Mbarara'!K10+'Avg Week Mbarara-Isingiro'!K10</f>
        <v>0</v>
      </c>
      <c r="L10" s="49">
        <f>'Avg Week Isingiro-Mbarara'!L10+'Avg Week Mbarara-Isingiro'!L10</f>
        <v>0.2857142857142857</v>
      </c>
      <c r="M10" s="49">
        <f>'Avg Week Isingiro-Mbarara'!M10+'Avg Week Mbarara-Isingiro'!M10</f>
        <v>49</v>
      </c>
      <c r="N10" s="49">
        <f>'Avg Week Isingiro-Mbarara'!N10+'Avg Week Mbarara-Isingiro'!N10</f>
        <v>0</v>
      </c>
      <c r="O10" s="15">
        <f t="shared" ref="O10:O73" si="0">SUM(C10:L10,N10)</f>
        <v>26.857142857142851</v>
      </c>
      <c r="P10" s="15">
        <f t="shared" ref="P10:P73" si="1">SUM(C10:N10)</f>
        <v>75.857142857142847</v>
      </c>
      <c r="R10" s="1" t="s">
        <v>6</v>
      </c>
      <c r="S10" s="17">
        <f t="shared" ref="S10:AF10" si="2">SUM(C10:C13)</f>
        <v>70.714285714285708</v>
      </c>
      <c r="T10" s="17">
        <f t="shared" si="2"/>
        <v>13.142857142857142</v>
      </c>
      <c r="U10" s="17">
        <f t="shared" si="2"/>
        <v>10.285714285714285</v>
      </c>
      <c r="V10" s="17">
        <f t="shared" si="2"/>
        <v>20.142857142857139</v>
      </c>
      <c r="W10" s="17">
        <f t="shared" si="2"/>
        <v>0.2857142857142857</v>
      </c>
      <c r="X10" s="17">
        <f t="shared" si="2"/>
        <v>0.5714285714285714</v>
      </c>
      <c r="Y10" s="17">
        <f t="shared" si="2"/>
        <v>9</v>
      </c>
      <c r="Z10" s="17">
        <f t="shared" si="2"/>
        <v>8.7142857142857153</v>
      </c>
      <c r="AA10" s="17">
        <f t="shared" si="2"/>
        <v>0.99999999999999989</v>
      </c>
      <c r="AB10" s="17">
        <f t="shared" si="2"/>
        <v>1</v>
      </c>
      <c r="AC10" s="17">
        <f t="shared" si="2"/>
        <v>271.28571428571422</v>
      </c>
      <c r="AD10" s="17">
        <f t="shared" si="2"/>
        <v>0</v>
      </c>
      <c r="AE10" s="31">
        <f t="shared" si="2"/>
        <v>134.85714285714283</v>
      </c>
      <c r="AF10" s="31">
        <f t="shared" si="2"/>
        <v>406.14285714285711</v>
      </c>
    </row>
    <row r="11" spans="2:32" s="6" customFormat="1" ht="23.1" customHeight="1" x14ac:dyDescent="0.25">
      <c r="B11" s="23" t="s">
        <v>38</v>
      </c>
      <c r="C11" s="49">
        <f>'Avg Week Isingiro-Mbarara'!C11+'Avg Week Mbarara-Isingiro'!C11</f>
        <v>16.142857142857142</v>
      </c>
      <c r="D11" s="49">
        <f>'Avg Week Isingiro-Mbarara'!D11+'Avg Week Mbarara-Isingiro'!D11</f>
        <v>1.4285714285714286</v>
      </c>
      <c r="E11" s="49">
        <f>'Avg Week Isingiro-Mbarara'!E11+'Avg Week Mbarara-Isingiro'!E11</f>
        <v>2</v>
      </c>
      <c r="F11" s="49">
        <f>'Avg Week Isingiro-Mbarara'!F11+'Avg Week Mbarara-Isingiro'!F11</f>
        <v>3.2857142857142856</v>
      </c>
      <c r="G11" s="49">
        <f>'Avg Week Isingiro-Mbarara'!G11+'Avg Week Mbarara-Isingiro'!G11</f>
        <v>0</v>
      </c>
      <c r="H11" s="49">
        <f>'Avg Week Isingiro-Mbarara'!H11+'Avg Week Mbarara-Isingiro'!H11</f>
        <v>0</v>
      </c>
      <c r="I11" s="49">
        <f>'Avg Week Isingiro-Mbarara'!I11+'Avg Week Mbarara-Isingiro'!I11</f>
        <v>2.4285714285714284</v>
      </c>
      <c r="J11" s="49">
        <f>'Avg Week Isingiro-Mbarara'!J11+'Avg Week Mbarara-Isingiro'!J11</f>
        <v>1.5714285714285714</v>
      </c>
      <c r="K11" s="49">
        <f>'Avg Week Isingiro-Mbarara'!K11+'Avg Week Mbarara-Isingiro'!K11</f>
        <v>0.2857142857142857</v>
      </c>
      <c r="L11" s="49">
        <f>'Avg Week Isingiro-Mbarara'!L11+'Avg Week Mbarara-Isingiro'!L11</f>
        <v>0</v>
      </c>
      <c r="M11" s="49">
        <f>'Avg Week Isingiro-Mbarara'!M11+'Avg Week Mbarara-Isingiro'!M11</f>
        <v>62.428571428571431</v>
      </c>
      <c r="N11" s="49">
        <f>'Avg Week Isingiro-Mbarara'!N11+'Avg Week Mbarara-Isingiro'!N11</f>
        <v>0</v>
      </c>
      <c r="O11" s="15">
        <f t="shared" si="0"/>
        <v>27.142857142857139</v>
      </c>
      <c r="P11" s="15">
        <f t="shared" si="1"/>
        <v>89.571428571428569</v>
      </c>
      <c r="R11" s="1" t="s">
        <v>7</v>
      </c>
      <c r="S11" s="17">
        <f t="shared" ref="S11:AF11" si="3">SUM(C14:C17)</f>
        <v>80.285714285714278</v>
      </c>
      <c r="T11" s="17">
        <f t="shared" si="3"/>
        <v>16.428571428571427</v>
      </c>
      <c r="U11" s="17">
        <f t="shared" si="3"/>
        <v>15.142857142857144</v>
      </c>
      <c r="V11" s="17">
        <f t="shared" si="3"/>
        <v>25</v>
      </c>
      <c r="W11" s="17">
        <f t="shared" si="3"/>
        <v>0.71428571428571419</v>
      </c>
      <c r="X11" s="17">
        <f t="shared" si="3"/>
        <v>0.14285714285714285</v>
      </c>
      <c r="Y11" s="17">
        <f t="shared" si="3"/>
        <v>13.571428571428573</v>
      </c>
      <c r="Z11" s="17">
        <f t="shared" si="3"/>
        <v>9.2857142857142847</v>
      </c>
      <c r="AA11" s="17">
        <f t="shared" si="3"/>
        <v>0.71428571428571419</v>
      </c>
      <c r="AB11" s="17">
        <f t="shared" si="3"/>
        <v>0</v>
      </c>
      <c r="AC11" s="17">
        <f t="shared" si="3"/>
        <v>321.28571428571433</v>
      </c>
      <c r="AD11" s="17">
        <f t="shared" si="3"/>
        <v>0</v>
      </c>
      <c r="AE11" s="31">
        <f t="shared" si="3"/>
        <v>161.28571428571428</v>
      </c>
      <c r="AF11" s="31">
        <f t="shared" si="3"/>
        <v>482.57142857142856</v>
      </c>
    </row>
    <row r="12" spans="2:32" ht="23.1" customHeight="1" x14ac:dyDescent="0.25">
      <c r="B12" s="23" t="s">
        <v>39</v>
      </c>
      <c r="C12" s="49">
        <f>'Avg Week Isingiro-Mbarara'!C12+'Avg Week Mbarara-Isingiro'!C12</f>
        <v>20</v>
      </c>
      <c r="D12" s="49">
        <f>'Avg Week Isingiro-Mbarara'!D12+'Avg Week Mbarara-Isingiro'!D12</f>
        <v>5</v>
      </c>
      <c r="E12" s="49">
        <f>'Avg Week Isingiro-Mbarara'!E12+'Avg Week Mbarara-Isingiro'!E12</f>
        <v>3</v>
      </c>
      <c r="F12" s="49">
        <f>'Avg Week Isingiro-Mbarara'!F12+'Avg Week Mbarara-Isingiro'!F12</f>
        <v>6.1428571428571423</v>
      </c>
      <c r="G12" s="49">
        <f>'Avg Week Isingiro-Mbarara'!G12+'Avg Week Mbarara-Isingiro'!G12</f>
        <v>0</v>
      </c>
      <c r="H12" s="49">
        <f>'Avg Week Isingiro-Mbarara'!H12+'Avg Week Mbarara-Isingiro'!H12</f>
        <v>0.14285714285714285</v>
      </c>
      <c r="I12" s="49">
        <f>'Avg Week Isingiro-Mbarara'!I12+'Avg Week Mbarara-Isingiro'!I12</f>
        <v>1.8571428571428572</v>
      </c>
      <c r="J12" s="49">
        <f>'Avg Week Isingiro-Mbarara'!J12+'Avg Week Mbarara-Isingiro'!J12</f>
        <v>3.5714285714285716</v>
      </c>
      <c r="K12" s="49">
        <f>'Avg Week Isingiro-Mbarara'!K12+'Avg Week Mbarara-Isingiro'!K12</f>
        <v>0.42857142857142855</v>
      </c>
      <c r="L12" s="49">
        <f>'Avg Week Isingiro-Mbarara'!L12+'Avg Week Mbarara-Isingiro'!L12</f>
        <v>0.14285714285714285</v>
      </c>
      <c r="M12" s="49">
        <f>'Avg Week Isingiro-Mbarara'!M12+'Avg Week Mbarara-Isingiro'!M12</f>
        <v>81.428571428571416</v>
      </c>
      <c r="N12" s="49">
        <f>'Avg Week Isingiro-Mbarara'!N12+'Avg Week Mbarara-Isingiro'!N12</f>
        <v>0</v>
      </c>
      <c r="O12" s="15">
        <f t="shared" si="0"/>
        <v>40.285714285714285</v>
      </c>
      <c r="P12" s="15">
        <f t="shared" si="1"/>
        <v>121.71428571428569</v>
      </c>
      <c r="R12" s="1" t="s">
        <v>8</v>
      </c>
      <c r="S12" s="17">
        <f t="shared" ref="S12:AF12" si="4">SUM(C18:C21)</f>
        <v>84.285714285714292</v>
      </c>
      <c r="T12" s="17">
        <f t="shared" si="4"/>
        <v>13.142857142857142</v>
      </c>
      <c r="U12" s="17">
        <f t="shared" si="4"/>
        <v>19.285714285714285</v>
      </c>
      <c r="V12" s="17">
        <f t="shared" si="4"/>
        <v>23.571428571428573</v>
      </c>
      <c r="W12" s="17">
        <f t="shared" si="4"/>
        <v>0</v>
      </c>
      <c r="X12" s="17">
        <f t="shared" si="4"/>
        <v>0.5714285714285714</v>
      </c>
      <c r="Y12" s="17">
        <f t="shared" si="4"/>
        <v>13.142857142857142</v>
      </c>
      <c r="Z12" s="17">
        <f t="shared" si="4"/>
        <v>9.2857142857142865</v>
      </c>
      <c r="AA12" s="17">
        <f t="shared" si="4"/>
        <v>1</v>
      </c>
      <c r="AB12" s="17">
        <f t="shared" si="4"/>
        <v>1.4285714285714284</v>
      </c>
      <c r="AC12" s="17">
        <f t="shared" si="4"/>
        <v>304.57142857142861</v>
      </c>
      <c r="AD12" s="17">
        <f t="shared" si="4"/>
        <v>0</v>
      </c>
      <c r="AE12" s="31">
        <f t="shared" si="4"/>
        <v>165.71428571428572</v>
      </c>
      <c r="AF12" s="31">
        <f t="shared" si="4"/>
        <v>470.28571428571433</v>
      </c>
    </row>
    <row r="13" spans="2:32" ht="23.1" customHeight="1" x14ac:dyDescent="0.25">
      <c r="B13" s="23" t="s">
        <v>40</v>
      </c>
      <c r="C13" s="49">
        <f>'Avg Week Isingiro-Mbarara'!C13+'Avg Week Mbarara-Isingiro'!C13</f>
        <v>21.571428571428569</v>
      </c>
      <c r="D13" s="49">
        <f>'Avg Week Isingiro-Mbarara'!D13+'Avg Week Mbarara-Isingiro'!D13</f>
        <v>5.4285714285714288</v>
      </c>
      <c r="E13" s="49">
        <f>'Avg Week Isingiro-Mbarara'!E13+'Avg Week Mbarara-Isingiro'!E13</f>
        <v>2.7142857142857144</v>
      </c>
      <c r="F13" s="49">
        <f>'Avg Week Isingiro-Mbarara'!F13+'Avg Week Mbarara-Isingiro'!F13</f>
        <v>5.5714285714285712</v>
      </c>
      <c r="G13" s="49">
        <f>'Avg Week Isingiro-Mbarara'!G13+'Avg Week Mbarara-Isingiro'!G13</f>
        <v>0.2857142857142857</v>
      </c>
      <c r="H13" s="49">
        <f>'Avg Week Isingiro-Mbarara'!H13+'Avg Week Mbarara-Isingiro'!H13</f>
        <v>0.2857142857142857</v>
      </c>
      <c r="I13" s="49">
        <f>'Avg Week Isingiro-Mbarara'!I13+'Avg Week Mbarara-Isingiro'!I13</f>
        <v>2.1428571428571428</v>
      </c>
      <c r="J13" s="49">
        <f>'Avg Week Isingiro-Mbarara'!J13+'Avg Week Mbarara-Isingiro'!J13</f>
        <v>1.7142857142857144</v>
      </c>
      <c r="K13" s="49">
        <f>'Avg Week Isingiro-Mbarara'!K13+'Avg Week Mbarara-Isingiro'!K13</f>
        <v>0.2857142857142857</v>
      </c>
      <c r="L13" s="49">
        <f>'Avg Week Isingiro-Mbarara'!L13+'Avg Week Mbarara-Isingiro'!L13</f>
        <v>0.5714285714285714</v>
      </c>
      <c r="M13" s="49">
        <f>'Avg Week Isingiro-Mbarara'!M13+'Avg Week Mbarara-Isingiro'!M13</f>
        <v>78.428571428571416</v>
      </c>
      <c r="N13" s="49">
        <f>'Avg Week Isingiro-Mbarara'!N13+'Avg Week Mbarara-Isingiro'!N13</f>
        <v>0</v>
      </c>
      <c r="O13" s="15">
        <f t="shared" si="0"/>
        <v>40.571428571428569</v>
      </c>
      <c r="P13" s="15">
        <f t="shared" si="1"/>
        <v>118.99999999999999</v>
      </c>
      <c r="R13" s="1" t="s">
        <v>9</v>
      </c>
      <c r="S13" s="17">
        <f t="shared" ref="S13:AF13" si="5">SUM(C22:C25)</f>
        <v>81.714285714285722</v>
      </c>
      <c r="T13" s="17">
        <f t="shared" si="5"/>
        <v>13.285714285714285</v>
      </c>
      <c r="U13" s="17">
        <f t="shared" si="5"/>
        <v>13.571428571428571</v>
      </c>
      <c r="V13" s="17">
        <f t="shared" si="5"/>
        <v>26.285714285714285</v>
      </c>
      <c r="W13" s="17">
        <f t="shared" si="5"/>
        <v>0.5714285714285714</v>
      </c>
      <c r="X13" s="17">
        <f t="shared" si="5"/>
        <v>0.14285714285714285</v>
      </c>
      <c r="Y13" s="17">
        <f t="shared" si="5"/>
        <v>16.285714285714285</v>
      </c>
      <c r="Z13" s="17">
        <f t="shared" si="5"/>
        <v>11.571428571428571</v>
      </c>
      <c r="AA13" s="17">
        <f t="shared" si="5"/>
        <v>1.5714285714285712</v>
      </c>
      <c r="AB13" s="17">
        <f t="shared" si="5"/>
        <v>0.2857142857142857</v>
      </c>
      <c r="AC13" s="17">
        <f t="shared" si="5"/>
        <v>308.42857142857144</v>
      </c>
      <c r="AD13" s="17">
        <f t="shared" si="5"/>
        <v>0.14285714285714285</v>
      </c>
      <c r="AE13" s="31">
        <f t="shared" si="5"/>
        <v>165.42857142857147</v>
      </c>
      <c r="AF13" s="31">
        <f t="shared" si="5"/>
        <v>473.85714285714289</v>
      </c>
    </row>
    <row r="14" spans="2:32" ht="23.1" customHeight="1" x14ac:dyDescent="0.25">
      <c r="B14" s="23" t="s">
        <v>41</v>
      </c>
      <c r="C14" s="49">
        <f>'Avg Week Isingiro-Mbarara'!C14+'Avg Week Mbarara-Isingiro'!C14</f>
        <v>23.428571428571431</v>
      </c>
      <c r="D14" s="49">
        <f>'Avg Week Isingiro-Mbarara'!D14+'Avg Week Mbarara-Isingiro'!D14</f>
        <v>3.1428571428571428</v>
      </c>
      <c r="E14" s="49">
        <f>'Avg Week Isingiro-Mbarara'!E14+'Avg Week Mbarara-Isingiro'!E14</f>
        <v>3</v>
      </c>
      <c r="F14" s="49">
        <f>'Avg Week Isingiro-Mbarara'!F14+'Avg Week Mbarara-Isingiro'!F14</f>
        <v>7.7142857142857135</v>
      </c>
      <c r="G14" s="49">
        <f>'Avg Week Isingiro-Mbarara'!G14+'Avg Week Mbarara-Isingiro'!G14</f>
        <v>0.5714285714285714</v>
      </c>
      <c r="H14" s="49">
        <f>'Avg Week Isingiro-Mbarara'!H14+'Avg Week Mbarara-Isingiro'!H14</f>
        <v>0</v>
      </c>
      <c r="I14" s="49">
        <f>'Avg Week Isingiro-Mbarara'!I14+'Avg Week Mbarara-Isingiro'!I14</f>
        <v>3.4285714285714284</v>
      </c>
      <c r="J14" s="49">
        <f>'Avg Week Isingiro-Mbarara'!J14+'Avg Week Mbarara-Isingiro'!J14</f>
        <v>2</v>
      </c>
      <c r="K14" s="49">
        <f>'Avg Week Isingiro-Mbarara'!K14+'Avg Week Mbarara-Isingiro'!K14</f>
        <v>0.14285714285714285</v>
      </c>
      <c r="L14" s="49">
        <f>'Avg Week Isingiro-Mbarara'!L14+'Avg Week Mbarara-Isingiro'!L14</f>
        <v>0</v>
      </c>
      <c r="M14" s="49">
        <f>'Avg Week Isingiro-Mbarara'!M14+'Avg Week Mbarara-Isingiro'!M14</f>
        <v>78.857142857142861</v>
      </c>
      <c r="N14" s="49">
        <f>'Avg Week Isingiro-Mbarara'!N14+'Avg Week Mbarara-Isingiro'!N14</f>
        <v>0</v>
      </c>
      <c r="O14" s="15">
        <f t="shared" si="0"/>
        <v>43.428571428571431</v>
      </c>
      <c r="P14" s="15">
        <f t="shared" si="1"/>
        <v>122.28571428571429</v>
      </c>
      <c r="R14" s="1" t="s">
        <v>10</v>
      </c>
      <c r="S14" s="17">
        <f t="shared" ref="S14:AF14" si="6">SUM(C26:C29)</f>
        <v>83.857142857142861</v>
      </c>
      <c r="T14" s="17">
        <f t="shared" si="6"/>
        <v>15.714285714285715</v>
      </c>
      <c r="U14" s="17">
        <f t="shared" si="6"/>
        <v>15.857142857142856</v>
      </c>
      <c r="V14" s="17">
        <f t="shared" si="6"/>
        <v>18.285714285714285</v>
      </c>
      <c r="W14" s="17">
        <f t="shared" si="6"/>
        <v>0.2857142857142857</v>
      </c>
      <c r="X14" s="17">
        <f t="shared" si="6"/>
        <v>0.14285714285714285</v>
      </c>
      <c r="Y14" s="17">
        <f t="shared" si="6"/>
        <v>13.142857142857142</v>
      </c>
      <c r="Z14" s="17">
        <f t="shared" si="6"/>
        <v>10.857142857142858</v>
      </c>
      <c r="AA14" s="17">
        <f t="shared" si="6"/>
        <v>0.71428571428571419</v>
      </c>
      <c r="AB14" s="17">
        <f t="shared" si="6"/>
        <v>1.7142857142857142</v>
      </c>
      <c r="AC14" s="17">
        <f t="shared" si="6"/>
        <v>274</v>
      </c>
      <c r="AD14" s="17">
        <f t="shared" si="6"/>
        <v>0.42857142857142855</v>
      </c>
      <c r="AE14" s="31">
        <f t="shared" si="6"/>
        <v>161</v>
      </c>
      <c r="AF14" s="31">
        <f t="shared" si="6"/>
        <v>435</v>
      </c>
    </row>
    <row r="15" spans="2:32" ht="23.1" customHeight="1" x14ac:dyDescent="0.25">
      <c r="B15" s="23" t="s">
        <v>42</v>
      </c>
      <c r="C15" s="49">
        <f>'Avg Week Isingiro-Mbarara'!C15+'Avg Week Mbarara-Isingiro'!C15</f>
        <v>18.285714285714285</v>
      </c>
      <c r="D15" s="49">
        <f>'Avg Week Isingiro-Mbarara'!D15+'Avg Week Mbarara-Isingiro'!D15</f>
        <v>5.1428571428571423</v>
      </c>
      <c r="E15" s="49">
        <f>'Avg Week Isingiro-Mbarara'!E15+'Avg Week Mbarara-Isingiro'!E15</f>
        <v>4.4285714285714288</v>
      </c>
      <c r="F15" s="49">
        <f>'Avg Week Isingiro-Mbarara'!F15+'Avg Week Mbarara-Isingiro'!F15</f>
        <v>5</v>
      </c>
      <c r="G15" s="49">
        <f>'Avg Week Isingiro-Mbarara'!G15+'Avg Week Mbarara-Isingiro'!G15</f>
        <v>0</v>
      </c>
      <c r="H15" s="49">
        <f>'Avg Week Isingiro-Mbarara'!H15+'Avg Week Mbarara-Isingiro'!H15</f>
        <v>0.14285714285714285</v>
      </c>
      <c r="I15" s="49">
        <f>'Avg Week Isingiro-Mbarara'!I15+'Avg Week Mbarara-Isingiro'!I15</f>
        <v>4</v>
      </c>
      <c r="J15" s="49">
        <f>'Avg Week Isingiro-Mbarara'!J15+'Avg Week Mbarara-Isingiro'!J15</f>
        <v>1.5714285714285714</v>
      </c>
      <c r="K15" s="49">
        <f>'Avg Week Isingiro-Mbarara'!K15+'Avg Week Mbarara-Isingiro'!K15</f>
        <v>0.2857142857142857</v>
      </c>
      <c r="L15" s="49">
        <f>'Avg Week Isingiro-Mbarara'!L15+'Avg Week Mbarara-Isingiro'!L15</f>
        <v>0</v>
      </c>
      <c r="M15" s="49">
        <f>'Avg Week Isingiro-Mbarara'!M15+'Avg Week Mbarara-Isingiro'!M15</f>
        <v>84.857142857142861</v>
      </c>
      <c r="N15" s="49">
        <f>'Avg Week Isingiro-Mbarara'!N15+'Avg Week Mbarara-Isingiro'!N15</f>
        <v>0</v>
      </c>
      <c r="O15" s="15">
        <f t="shared" si="0"/>
        <v>38.857142857142854</v>
      </c>
      <c r="P15" s="15">
        <f t="shared" si="1"/>
        <v>123.71428571428572</v>
      </c>
      <c r="R15" s="1" t="s">
        <v>11</v>
      </c>
      <c r="S15" s="17">
        <f t="shared" ref="S15:AF15" si="7">SUM(C30:C33)</f>
        <v>71.714285714285722</v>
      </c>
      <c r="T15" s="17">
        <f t="shared" si="7"/>
        <v>11.285714285714286</v>
      </c>
      <c r="U15" s="17">
        <f t="shared" si="7"/>
        <v>13.857142857142858</v>
      </c>
      <c r="V15" s="17">
        <f t="shared" si="7"/>
        <v>21.714285714285715</v>
      </c>
      <c r="W15" s="17">
        <f t="shared" si="7"/>
        <v>0.2857142857142857</v>
      </c>
      <c r="X15" s="17">
        <f t="shared" si="7"/>
        <v>0.14285714285714285</v>
      </c>
      <c r="Y15" s="17">
        <f t="shared" si="7"/>
        <v>12.571428571428571</v>
      </c>
      <c r="Z15" s="17">
        <f t="shared" si="7"/>
        <v>9</v>
      </c>
      <c r="AA15" s="17">
        <f t="shared" si="7"/>
        <v>0.85714285714285698</v>
      </c>
      <c r="AB15" s="17">
        <f t="shared" si="7"/>
        <v>0.5714285714285714</v>
      </c>
      <c r="AC15" s="17">
        <f t="shared" si="7"/>
        <v>269.85714285714289</v>
      </c>
      <c r="AD15" s="17">
        <f t="shared" si="7"/>
        <v>0</v>
      </c>
      <c r="AE15" s="31">
        <f t="shared" si="7"/>
        <v>142</v>
      </c>
      <c r="AF15" s="31">
        <f t="shared" si="7"/>
        <v>411.85714285714289</v>
      </c>
    </row>
    <row r="16" spans="2:32" ht="23.1" customHeight="1" x14ac:dyDescent="0.25">
      <c r="B16" s="23" t="s">
        <v>43</v>
      </c>
      <c r="C16" s="49">
        <f>'Avg Week Isingiro-Mbarara'!C16+'Avg Week Mbarara-Isingiro'!C16</f>
        <v>18</v>
      </c>
      <c r="D16" s="49">
        <f>'Avg Week Isingiro-Mbarara'!D16+'Avg Week Mbarara-Isingiro'!D16</f>
        <v>4.8571428571428568</v>
      </c>
      <c r="E16" s="49">
        <f>'Avg Week Isingiro-Mbarara'!E16+'Avg Week Mbarara-Isingiro'!E16</f>
        <v>3.2857142857142856</v>
      </c>
      <c r="F16" s="49">
        <f>'Avg Week Isingiro-Mbarara'!F16+'Avg Week Mbarara-Isingiro'!F16</f>
        <v>6.5714285714285712</v>
      </c>
      <c r="G16" s="49">
        <f>'Avg Week Isingiro-Mbarara'!G16+'Avg Week Mbarara-Isingiro'!G16</f>
        <v>0</v>
      </c>
      <c r="H16" s="49">
        <f>'Avg Week Isingiro-Mbarara'!H16+'Avg Week Mbarara-Isingiro'!H16</f>
        <v>0</v>
      </c>
      <c r="I16" s="49">
        <f>'Avg Week Isingiro-Mbarara'!I16+'Avg Week Mbarara-Isingiro'!I16</f>
        <v>3.2857142857142856</v>
      </c>
      <c r="J16" s="49">
        <f>'Avg Week Isingiro-Mbarara'!J16+'Avg Week Mbarara-Isingiro'!J16</f>
        <v>3</v>
      </c>
      <c r="K16" s="49">
        <f>'Avg Week Isingiro-Mbarara'!K16+'Avg Week Mbarara-Isingiro'!K16</f>
        <v>0.14285714285714285</v>
      </c>
      <c r="L16" s="49">
        <f>'Avg Week Isingiro-Mbarara'!L16+'Avg Week Mbarara-Isingiro'!L16</f>
        <v>0</v>
      </c>
      <c r="M16" s="49">
        <f>'Avg Week Isingiro-Mbarara'!M16+'Avg Week Mbarara-Isingiro'!M16</f>
        <v>78.428571428571431</v>
      </c>
      <c r="N16" s="49">
        <f>'Avg Week Isingiro-Mbarara'!N16+'Avg Week Mbarara-Isingiro'!N16</f>
        <v>0</v>
      </c>
      <c r="O16" s="15">
        <f t="shared" si="0"/>
        <v>39.142857142857146</v>
      </c>
      <c r="P16" s="15">
        <f t="shared" si="1"/>
        <v>117.57142857142858</v>
      </c>
      <c r="R16" s="1" t="s">
        <v>12</v>
      </c>
      <c r="S16" s="17">
        <f t="shared" ref="S16:AF16" si="8">SUM(C34:C37)</f>
        <v>80.571428571428569</v>
      </c>
      <c r="T16" s="17">
        <f t="shared" si="8"/>
        <v>11.857142857142858</v>
      </c>
      <c r="U16" s="17">
        <f t="shared" si="8"/>
        <v>16</v>
      </c>
      <c r="V16" s="17">
        <f t="shared" si="8"/>
        <v>20.571428571428573</v>
      </c>
      <c r="W16" s="17">
        <f t="shared" si="8"/>
        <v>0.2857142857142857</v>
      </c>
      <c r="X16" s="17">
        <f t="shared" si="8"/>
        <v>0</v>
      </c>
      <c r="Y16" s="17">
        <f t="shared" si="8"/>
        <v>13.714285714285715</v>
      </c>
      <c r="Z16" s="17">
        <f t="shared" si="8"/>
        <v>10.571428571428573</v>
      </c>
      <c r="AA16" s="17">
        <f t="shared" si="8"/>
        <v>0.5714285714285714</v>
      </c>
      <c r="AB16" s="17">
        <f t="shared" si="8"/>
        <v>0.71428571428571419</v>
      </c>
      <c r="AC16" s="17">
        <f t="shared" si="8"/>
        <v>270</v>
      </c>
      <c r="AD16" s="17">
        <f t="shared" si="8"/>
        <v>0</v>
      </c>
      <c r="AE16" s="31">
        <f t="shared" si="8"/>
        <v>154.85714285714286</v>
      </c>
      <c r="AF16" s="31">
        <f t="shared" si="8"/>
        <v>424.85714285714289</v>
      </c>
    </row>
    <row r="17" spans="2:32" ht="23.1" customHeight="1" x14ac:dyDescent="0.25">
      <c r="B17" s="23" t="s">
        <v>44</v>
      </c>
      <c r="C17" s="49">
        <f>'Avg Week Isingiro-Mbarara'!C17+'Avg Week Mbarara-Isingiro'!C17</f>
        <v>20.571428571428569</v>
      </c>
      <c r="D17" s="49">
        <f>'Avg Week Isingiro-Mbarara'!D17+'Avg Week Mbarara-Isingiro'!D17</f>
        <v>3.2857142857142856</v>
      </c>
      <c r="E17" s="49">
        <f>'Avg Week Isingiro-Mbarara'!E17+'Avg Week Mbarara-Isingiro'!E17</f>
        <v>4.4285714285714288</v>
      </c>
      <c r="F17" s="49">
        <f>'Avg Week Isingiro-Mbarara'!F17+'Avg Week Mbarara-Isingiro'!F17</f>
        <v>5.7142857142857144</v>
      </c>
      <c r="G17" s="49">
        <f>'Avg Week Isingiro-Mbarara'!G17+'Avg Week Mbarara-Isingiro'!G17</f>
        <v>0.14285714285714285</v>
      </c>
      <c r="H17" s="49">
        <f>'Avg Week Isingiro-Mbarara'!H17+'Avg Week Mbarara-Isingiro'!H17</f>
        <v>0</v>
      </c>
      <c r="I17" s="49">
        <f>'Avg Week Isingiro-Mbarara'!I17+'Avg Week Mbarara-Isingiro'!I17</f>
        <v>2.8571428571428572</v>
      </c>
      <c r="J17" s="49">
        <f>'Avg Week Isingiro-Mbarara'!J17+'Avg Week Mbarara-Isingiro'!J17</f>
        <v>2.714285714285714</v>
      </c>
      <c r="K17" s="49">
        <f>'Avg Week Isingiro-Mbarara'!K17+'Avg Week Mbarara-Isingiro'!K17</f>
        <v>0.14285714285714285</v>
      </c>
      <c r="L17" s="49">
        <f>'Avg Week Isingiro-Mbarara'!L17+'Avg Week Mbarara-Isingiro'!L17</f>
        <v>0</v>
      </c>
      <c r="M17" s="49">
        <f>'Avg Week Isingiro-Mbarara'!M17+'Avg Week Mbarara-Isingiro'!M17</f>
        <v>79.142857142857139</v>
      </c>
      <c r="N17" s="49">
        <f>'Avg Week Isingiro-Mbarara'!N17+'Avg Week Mbarara-Isingiro'!N17</f>
        <v>0</v>
      </c>
      <c r="O17" s="15">
        <f t="shared" si="0"/>
        <v>39.857142857142861</v>
      </c>
      <c r="P17" s="15">
        <f t="shared" si="1"/>
        <v>119</v>
      </c>
      <c r="R17" s="1" t="s">
        <v>13</v>
      </c>
      <c r="S17" s="17">
        <f t="shared" ref="S17:AF17" si="9">SUM(C38:C41)</f>
        <v>84.285714285714278</v>
      </c>
      <c r="T17" s="17">
        <f t="shared" si="9"/>
        <v>16.428571428571431</v>
      </c>
      <c r="U17" s="17">
        <f t="shared" si="9"/>
        <v>15.285714285714288</v>
      </c>
      <c r="V17" s="17">
        <f t="shared" si="9"/>
        <v>18.142857142857139</v>
      </c>
      <c r="W17" s="17">
        <f t="shared" si="9"/>
        <v>0</v>
      </c>
      <c r="X17" s="17">
        <f t="shared" si="9"/>
        <v>0.14285714285714285</v>
      </c>
      <c r="Y17" s="17">
        <f t="shared" si="9"/>
        <v>12.142857142857142</v>
      </c>
      <c r="Z17" s="17">
        <f t="shared" si="9"/>
        <v>9.1428571428571423</v>
      </c>
      <c r="AA17" s="17">
        <f t="shared" si="9"/>
        <v>1</v>
      </c>
      <c r="AB17" s="17">
        <f t="shared" si="9"/>
        <v>0.71428571428571419</v>
      </c>
      <c r="AC17" s="17">
        <f t="shared" si="9"/>
        <v>236</v>
      </c>
      <c r="AD17" s="17">
        <f t="shared" si="9"/>
        <v>0</v>
      </c>
      <c r="AE17" s="31">
        <f t="shared" si="9"/>
        <v>157.28571428571431</v>
      </c>
      <c r="AF17" s="31">
        <f t="shared" si="9"/>
        <v>393.28571428571433</v>
      </c>
    </row>
    <row r="18" spans="2:32" ht="23.1" customHeight="1" x14ac:dyDescent="0.25">
      <c r="B18" s="23" t="s">
        <v>45</v>
      </c>
      <c r="C18" s="49">
        <f>'Avg Week Isingiro-Mbarara'!C18+'Avg Week Mbarara-Isingiro'!C18</f>
        <v>18.142857142857142</v>
      </c>
      <c r="D18" s="49">
        <f>'Avg Week Isingiro-Mbarara'!D18+'Avg Week Mbarara-Isingiro'!D18</f>
        <v>2.8571428571428572</v>
      </c>
      <c r="E18" s="49">
        <f>'Avg Week Isingiro-Mbarara'!E18+'Avg Week Mbarara-Isingiro'!E18</f>
        <v>4.4285714285714288</v>
      </c>
      <c r="F18" s="49">
        <f>'Avg Week Isingiro-Mbarara'!F18+'Avg Week Mbarara-Isingiro'!F18</f>
        <v>6.7142857142857144</v>
      </c>
      <c r="G18" s="49">
        <f>'Avg Week Isingiro-Mbarara'!G18+'Avg Week Mbarara-Isingiro'!G18</f>
        <v>0</v>
      </c>
      <c r="H18" s="49">
        <f>'Avg Week Isingiro-Mbarara'!H18+'Avg Week Mbarara-Isingiro'!H18</f>
        <v>0.14285714285714285</v>
      </c>
      <c r="I18" s="49">
        <f>'Avg Week Isingiro-Mbarara'!I18+'Avg Week Mbarara-Isingiro'!I18</f>
        <v>3.5714285714285712</v>
      </c>
      <c r="J18" s="49">
        <f>'Avg Week Isingiro-Mbarara'!J18+'Avg Week Mbarara-Isingiro'!J18</f>
        <v>2.1428571428571428</v>
      </c>
      <c r="K18" s="49">
        <f>'Avg Week Isingiro-Mbarara'!K18+'Avg Week Mbarara-Isingiro'!K18</f>
        <v>0</v>
      </c>
      <c r="L18" s="49">
        <f>'Avg Week Isingiro-Mbarara'!L18+'Avg Week Mbarara-Isingiro'!L18</f>
        <v>0.5714285714285714</v>
      </c>
      <c r="M18" s="49">
        <f>'Avg Week Isingiro-Mbarara'!M18+'Avg Week Mbarara-Isingiro'!M18</f>
        <v>82.428571428571431</v>
      </c>
      <c r="N18" s="49">
        <f>'Avg Week Isingiro-Mbarara'!N18+'Avg Week Mbarara-Isingiro'!N18</f>
        <v>0</v>
      </c>
      <c r="O18" s="15">
        <f t="shared" si="0"/>
        <v>38.571428571428577</v>
      </c>
      <c r="P18" s="15">
        <f t="shared" si="1"/>
        <v>121</v>
      </c>
      <c r="R18" s="1" t="s">
        <v>14</v>
      </c>
      <c r="S18" s="17">
        <f t="shared" ref="S18:AF18" si="10">SUM(C42:C45)</f>
        <v>78.428571428571431</v>
      </c>
      <c r="T18" s="17">
        <f t="shared" si="10"/>
        <v>15.285714285714286</v>
      </c>
      <c r="U18" s="17">
        <f t="shared" si="10"/>
        <v>14.571428571428569</v>
      </c>
      <c r="V18" s="17">
        <f t="shared" si="10"/>
        <v>21.571428571428569</v>
      </c>
      <c r="W18" s="17">
        <f t="shared" si="10"/>
        <v>0.2857142857142857</v>
      </c>
      <c r="X18" s="17">
        <f t="shared" si="10"/>
        <v>0.7142857142857143</v>
      </c>
      <c r="Y18" s="17">
        <f t="shared" si="10"/>
        <v>11.857142857142858</v>
      </c>
      <c r="Z18" s="17">
        <f t="shared" si="10"/>
        <v>10.857142857142858</v>
      </c>
      <c r="AA18" s="17">
        <f t="shared" si="10"/>
        <v>1.5714285714285714</v>
      </c>
      <c r="AB18" s="17">
        <f t="shared" si="10"/>
        <v>0.71428571428571419</v>
      </c>
      <c r="AC18" s="17">
        <f t="shared" si="10"/>
        <v>245.85714285714286</v>
      </c>
      <c r="AD18" s="17">
        <f t="shared" si="10"/>
        <v>0</v>
      </c>
      <c r="AE18" s="31">
        <f t="shared" si="10"/>
        <v>155.85714285714289</v>
      </c>
      <c r="AF18" s="31">
        <f t="shared" si="10"/>
        <v>401.71428571428572</v>
      </c>
    </row>
    <row r="19" spans="2:32" ht="23.1" customHeight="1" x14ac:dyDescent="0.25">
      <c r="B19" s="23" t="s">
        <v>46</v>
      </c>
      <c r="C19" s="49">
        <f>'Avg Week Isingiro-Mbarara'!C19+'Avg Week Mbarara-Isingiro'!C19</f>
        <v>24.285714285714285</v>
      </c>
      <c r="D19" s="49">
        <f>'Avg Week Isingiro-Mbarara'!D19+'Avg Week Mbarara-Isingiro'!D19</f>
        <v>3.2857142857142856</v>
      </c>
      <c r="E19" s="49">
        <f>'Avg Week Isingiro-Mbarara'!E19+'Avg Week Mbarara-Isingiro'!E19</f>
        <v>3.5714285714285712</v>
      </c>
      <c r="F19" s="49">
        <f>'Avg Week Isingiro-Mbarara'!F19+'Avg Week Mbarara-Isingiro'!F19</f>
        <v>5</v>
      </c>
      <c r="G19" s="49">
        <f>'Avg Week Isingiro-Mbarara'!G19+'Avg Week Mbarara-Isingiro'!G19</f>
        <v>0</v>
      </c>
      <c r="H19" s="49">
        <f>'Avg Week Isingiro-Mbarara'!H19+'Avg Week Mbarara-Isingiro'!H19</f>
        <v>0</v>
      </c>
      <c r="I19" s="49">
        <f>'Avg Week Isingiro-Mbarara'!I19+'Avg Week Mbarara-Isingiro'!I19</f>
        <v>3.1428571428571432</v>
      </c>
      <c r="J19" s="49">
        <f>'Avg Week Isingiro-Mbarara'!J19+'Avg Week Mbarara-Isingiro'!J19</f>
        <v>1.857142857142857</v>
      </c>
      <c r="K19" s="49">
        <f>'Avg Week Isingiro-Mbarara'!K19+'Avg Week Mbarara-Isingiro'!K19</f>
        <v>0</v>
      </c>
      <c r="L19" s="49">
        <f>'Avg Week Isingiro-Mbarara'!L19+'Avg Week Mbarara-Isingiro'!L19</f>
        <v>0.14285714285714285</v>
      </c>
      <c r="M19" s="49">
        <f>'Avg Week Isingiro-Mbarara'!M19+'Avg Week Mbarara-Isingiro'!M19</f>
        <v>76</v>
      </c>
      <c r="N19" s="49">
        <f>'Avg Week Isingiro-Mbarara'!N19+'Avg Week Mbarara-Isingiro'!N19</f>
        <v>0</v>
      </c>
      <c r="O19" s="15">
        <f t="shared" si="0"/>
        <v>41.285714285714285</v>
      </c>
      <c r="P19" s="15">
        <f t="shared" si="1"/>
        <v>117.28571428571428</v>
      </c>
      <c r="R19" s="1" t="s">
        <v>15</v>
      </c>
      <c r="S19" s="17">
        <f t="shared" ref="S19:AF19" si="11">SUM(C46:C49)</f>
        <v>87.285714285714292</v>
      </c>
      <c r="T19" s="17">
        <f t="shared" si="11"/>
        <v>17.571428571428569</v>
      </c>
      <c r="U19" s="17">
        <f t="shared" si="11"/>
        <v>17.142857142857142</v>
      </c>
      <c r="V19" s="17">
        <f t="shared" si="11"/>
        <v>23.571428571428569</v>
      </c>
      <c r="W19" s="17">
        <f t="shared" si="11"/>
        <v>0.5714285714285714</v>
      </c>
      <c r="X19" s="17">
        <f t="shared" si="11"/>
        <v>0</v>
      </c>
      <c r="Y19" s="17">
        <f t="shared" si="11"/>
        <v>16.714285714285712</v>
      </c>
      <c r="Z19" s="17">
        <f t="shared" si="11"/>
        <v>11.714285714285714</v>
      </c>
      <c r="AA19" s="17">
        <f t="shared" si="11"/>
        <v>0.71428571428571419</v>
      </c>
      <c r="AB19" s="17">
        <f t="shared" si="11"/>
        <v>1</v>
      </c>
      <c r="AC19" s="17">
        <f t="shared" si="11"/>
        <v>307.71428571428572</v>
      </c>
      <c r="AD19" s="17">
        <f t="shared" si="11"/>
        <v>0.14285714285714285</v>
      </c>
      <c r="AE19" s="31">
        <f t="shared" si="11"/>
        <v>176.42857142857144</v>
      </c>
      <c r="AF19" s="31">
        <f t="shared" si="11"/>
        <v>484.14285714285711</v>
      </c>
    </row>
    <row r="20" spans="2:32" ht="23.1" customHeight="1" x14ac:dyDescent="0.25">
      <c r="B20" s="23" t="s">
        <v>47</v>
      </c>
      <c r="C20" s="49">
        <f>'Avg Week Isingiro-Mbarara'!C20+'Avg Week Mbarara-Isingiro'!C20</f>
        <v>22.857142857142858</v>
      </c>
      <c r="D20" s="49">
        <f>'Avg Week Isingiro-Mbarara'!D20+'Avg Week Mbarara-Isingiro'!D20</f>
        <v>3.8571428571428568</v>
      </c>
      <c r="E20" s="49">
        <f>'Avg Week Isingiro-Mbarara'!E20+'Avg Week Mbarara-Isingiro'!E20</f>
        <v>5.5714285714285712</v>
      </c>
      <c r="F20" s="49">
        <f>'Avg Week Isingiro-Mbarara'!F20+'Avg Week Mbarara-Isingiro'!F20</f>
        <v>3.7142857142857144</v>
      </c>
      <c r="G20" s="49">
        <f>'Avg Week Isingiro-Mbarara'!G20+'Avg Week Mbarara-Isingiro'!G20</f>
        <v>0</v>
      </c>
      <c r="H20" s="49">
        <f>'Avg Week Isingiro-Mbarara'!H20+'Avg Week Mbarara-Isingiro'!H20</f>
        <v>0.2857142857142857</v>
      </c>
      <c r="I20" s="49">
        <f>'Avg Week Isingiro-Mbarara'!I20+'Avg Week Mbarara-Isingiro'!I20</f>
        <v>3.5714285714285712</v>
      </c>
      <c r="J20" s="49">
        <f>'Avg Week Isingiro-Mbarara'!J20+'Avg Week Mbarara-Isingiro'!J20</f>
        <v>2.8571428571428572</v>
      </c>
      <c r="K20" s="49">
        <f>'Avg Week Isingiro-Mbarara'!K20+'Avg Week Mbarara-Isingiro'!K20</f>
        <v>0.42857142857142855</v>
      </c>
      <c r="L20" s="49">
        <f>'Avg Week Isingiro-Mbarara'!L20+'Avg Week Mbarara-Isingiro'!L20</f>
        <v>0.5714285714285714</v>
      </c>
      <c r="M20" s="49">
        <f>'Avg Week Isingiro-Mbarara'!M20+'Avg Week Mbarara-Isingiro'!M20</f>
        <v>76.714285714285722</v>
      </c>
      <c r="N20" s="49">
        <f>'Avg Week Isingiro-Mbarara'!N20+'Avg Week Mbarara-Isingiro'!N20</f>
        <v>0</v>
      </c>
      <c r="O20" s="15">
        <f t="shared" si="0"/>
        <v>43.714285714285708</v>
      </c>
      <c r="P20" s="15">
        <f t="shared" si="1"/>
        <v>120.42857142857143</v>
      </c>
      <c r="R20" s="1" t="s">
        <v>16</v>
      </c>
      <c r="S20" s="17">
        <f t="shared" ref="S20:AF20" si="12">SUM(C50:C53)</f>
        <v>98</v>
      </c>
      <c r="T20" s="17">
        <f t="shared" si="12"/>
        <v>17.142857142857142</v>
      </c>
      <c r="U20" s="17">
        <f t="shared" si="12"/>
        <v>16.285714285714285</v>
      </c>
      <c r="V20" s="17">
        <f t="shared" si="12"/>
        <v>25.714285714285715</v>
      </c>
      <c r="W20" s="17">
        <f t="shared" si="12"/>
        <v>0.2857142857142857</v>
      </c>
      <c r="X20" s="17">
        <f t="shared" si="12"/>
        <v>0.14285714285714285</v>
      </c>
      <c r="Y20" s="17">
        <f t="shared" si="12"/>
        <v>15</v>
      </c>
      <c r="Z20" s="17">
        <f t="shared" si="12"/>
        <v>9.8571428571428577</v>
      </c>
      <c r="AA20" s="17">
        <f t="shared" si="12"/>
        <v>1.7142857142857142</v>
      </c>
      <c r="AB20" s="17">
        <f t="shared" si="12"/>
        <v>0.42857142857142855</v>
      </c>
      <c r="AC20" s="17">
        <f t="shared" si="12"/>
        <v>334.85714285714289</v>
      </c>
      <c r="AD20" s="17">
        <f t="shared" si="12"/>
        <v>0</v>
      </c>
      <c r="AE20" s="31">
        <f t="shared" si="12"/>
        <v>184.57142857142861</v>
      </c>
      <c r="AF20" s="31">
        <f t="shared" si="12"/>
        <v>519.42857142857144</v>
      </c>
    </row>
    <row r="21" spans="2:32" ht="23.1" customHeight="1" x14ac:dyDescent="0.25">
      <c r="B21" s="23" t="s">
        <v>48</v>
      </c>
      <c r="C21" s="49">
        <f>'Avg Week Isingiro-Mbarara'!C21+'Avg Week Mbarara-Isingiro'!C21</f>
        <v>19</v>
      </c>
      <c r="D21" s="49">
        <f>'Avg Week Isingiro-Mbarara'!D21+'Avg Week Mbarara-Isingiro'!D21</f>
        <v>3.1428571428571428</v>
      </c>
      <c r="E21" s="49">
        <f>'Avg Week Isingiro-Mbarara'!E21+'Avg Week Mbarara-Isingiro'!E21</f>
        <v>5.7142857142857144</v>
      </c>
      <c r="F21" s="49">
        <f>'Avg Week Isingiro-Mbarara'!F21+'Avg Week Mbarara-Isingiro'!F21</f>
        <v>8.1428571428571423</v>
      </c>
      <c r="G21" s="49">
        <f>'Avg Week Isingiro-Mbarara'!G21+'Avg Week Mbarara-Isingiro'!G21</f>
        <v>0</v>
      </c>
      <c r="H21" s="49">
        <f>'Avg Week Isingiro-Mbarara'!H21+'Avg Week Mbarara-Isingiro'!H21</f>
        <v>0.14285714285714285</v>
      </c>
      <c r="I21" s="49">
        <f>'Avg Week Isingiro-Mbarara'!I21+'Avg Week Mbarara-Isingiro'!I21</f>
        <v>2.8571428571428572</v>
      </c>
      <c r="J21" s="49">
        <f>'Avg Week Isingiro-Mbarara'!J21+'Avg Week Mbarara-Isingiro'!J21</f>
        <v>2.4285714285714288</v>
      </c>
      <c r="K21" s="49">
        <f>'Avg Week Isingiro-Mbarara'!K21+'Avg Week Mbarara-Isingiro'!K21</f>
        <v>0.5714285714285714</v>
      </c>
      <c r="L21" s="49">
        <f>'Avg Week Isingiro-Mbarara'!L21+'Avg Week Mbarara-Isingiro'!L21</f>
        <v>0.14285714285714285</v>
      </c>
      <c r="M21" s="49">
        <f>'Avg Week Isingiro-Mbarara'!M21+'Avg Week Mbarara-Isingiro'!M21</f>
        <v>69.428571428571431</v>
      </c>
      <c r="N21" s="49">
        <f>'Avg Week Isingiro-Mbarara'!N21+'Avg Week Mbarara-Isingiro'!N21</f>
        <v>0</v>
      </c>
      <c r="O21" s="15">
        <f t="shared" si="0"/>
        <v>42.142857142857146</v>
      </c>
      <c r="P21" s="15">
        <f t="shared" si="1"/>
        <v>111.57142857142858</v>
      </c>
      <c r="R21" s="36" t="s">
        <v>20</v>
      </c>
      <c r="S21" s="34">
        <f t="shared" ref="S21:AF21" si="13">SUM(C54:C57)</f>
        <v>117.14285714285714</v>
      </c>
      <c r="T21" s="17">
        <f t="shared" si="13"/>
        <v>16.857142857142858</v>
      </c>
      <c r="U21" s="17">
        <f t="shared" si="13"/>
        <v>18.285714285714285</v>
      </c>
      <c r="V21" s="17">
        <f t="shared" si="13"/>
        <v>22.285714285714285</v>
      </c>
      <c r="W21" s="17">
        <f t="shared" si="13"/>
        <v>0.99999999999999989</v>
      </c>
      <c r="X21" s="17">
        <f t="shared" si="13"/>
        <v>0</v>
      </c>
      <c r="Y21" s="17">
        <f t="shared" si="13"/>
        <v>16.142857142857142</v>
      </c>
      <c r="Z21" s="17">
        <f t="shared" si="13"/>
        <v>11</v>
      </c>
      <c r="AA21" s="17">
        <f t="shared" si="13"/>
        <v>0.8571428571428571</v>
      </c>
      <c r="AB21" s="17">
        <f t="shared" si="13"/>
        <v>0.42857142857142855</v>
      </c>
      <c r="AC21" s="17">
        <f t="shared" si="13"/>
        <v>364.28571428571433</v>
      </c>
      <c r="AD21" s="17">
        <f t="shared" si="13"/>
        <v>0</v>
      </c>
      <c r="AE21" s="31">
        <f t="shared" si="13"/>
        <v>204</v>
      </c>
      <c r="AF21" s="31">
        <f t="shared" si="13"/>
        <v>568.28571428571433</v>
      </c>
    </row>
    <row r="22" spans="2:32" ht="23.1" customHeight="1" x14ac:dyDescent="0.25">
      <c r="B22" s="23" t="s">
        <v>49</v>
      </c>
      <c r="C22" s="49">
        <f>'Avg Week Isingiro-Mbarara'!C22+'Avg Week Mbarara-Isingiro'!C22</f>
        <v>23.571428571428569</v>
      </c>
      <c r="D22" s="49">
        <f>'Avg Week Isingiro-Mbarara'!D22+'Avg Week Mbarara-Isingiro'!D22</f>
        <v>2.5714285714285712</v>
      </c>
      <c r="E22" s="49">
        <f>'Avg Week Isingiro-Mbarara'!E22+'Avg Week Mbarara-Isingiro'!E22</f>
        <v>3.2857142857142856</v>
      </c>
      <c r="F22" s="49">
        <f>'Avg Week Isingiro-Mbarara'!F22+'Avg Week Mbarara-Isingiro'!F22</f>
        <v>6.5714285714285712</v>
      </c>
      <c r="G22" s="49">
        <f>'Avg Week Isingiro-Mbarara'!G22+'Avg Week Mbarara-Isingiro'!G22</f>
        <v>0</v>
      </c>
      <c r="H22" s="49">
        <f>'Avg Week Isingiro-Mbarara'!H22+'Avg Week Mbarara-Isingiro'!H22</f>
        <v>0</v>
      </c>
      <c r="I22" s="49">
        <f>'Avg Week Isingiro-Mbarara'!I22+'Avg Week Mbarara-Isingiro'!I22</f>
        <v>4.7142857142857144</v>
      </c>
      <c r="J22" s="49">
        <f>'Avg Week Isingiro-Mbarara'!J22+'Avg Week Mbarara-Isingiro'!J22</f>
        <v>2</v>
      </c>
      <c r="K22" s="49">
        <f>'Avg Week Isingiro-Mbarara'!K22+'Avg Week Mbarara-Isingiro'!K22</f>
        <v>0.14285714285714285</v>
      </c>
      <c r="L22" s="49">
        <f>'Avg Week Isingiro-Mbarara'!L22+'Avg Week Mbarara-Isingiro'!L22</f>
        <v>0.14285714285714285</v>
      </c>
      <c r="M22" s="49">
        <f>'Avg Week Isingiro-Mbarara'!M22+'Avg Week Mbarara-Isingiro'!M22</f>
        <v>78.714285714285722</v>
      </c>
      <c r="N22" s="49">
        <f>'Avg Week Isingiro-Mbarara'!N22+'Avg Week Mbarara-Isingiro'!N22</f>
        <v>0</v>
      </c>
      <c r="O22" s="15">
        <f t="shared" si="0"/>
        <v>43</v>
      </c>
      <c r="P22" s="15">
        <f t="shared" si="1"/>
        <v>121.71428571428572</v>
      </c>
      <c r="R22" s="1" t="s">
        <v>146</v>
      </c>
      <c r="S22" s="34">
        <f>SUM(C58:C61)</f>
        <v>102</v>
      </c>
      <c r="T22" s="34">
        <f t="shared" ref="T22:AF22" si="14">SUM(D58:D61)</f>
        <v>10.5</v>
      </c>
      <c r="U22" s="34">
        <f t="shared" si="14"/>
        <v>12.5</v>
      </c>
      <c r="V22" s="34">
        <f t="shared" si="14"/>
        <v>18</v>
      </c>
      <c r="W22" s="34">
        <f t="shared" si="14"/>
        <v>0</v>
      </c>
      <c r="X22" s="34">
        <f t="shared" si="14"/>
        <v>0</v>
      </c>
      <c r="Y22" s="34">
        <f t="shared" si="14"/>
        <v>17</v>
      </c>
      <c r="Z22" s="34">
        <f t="shared" si="14"/>
        <v>6</v>
      </c>
      <c r="AA22" s="34">
        <f t="shared" si="14"/>
        <v>1.5</v>
      </c>
      <c r="AB22" s="34">
        <f t="shared" si="14"/>
        <v>0.5</v>
      </c>
      <c r="AC22" s="34">
        <f t="shared" si="14"/>
        <v>279</v>
      </c>
      <c r="AD22" s="34">
        <f t="shared" si="14"/>
        <v>0</v>
      </c>
      <c r="AE22" s="31">
        <f t="shared" si="14"/>
        <v>168</v>
      </c>
      <c r="AF22" s="31">
        <f t="shared" si="14"/>
        <v>447</v>
      </c>
    </row>
    <row r="23" spans="2:32" ht="23.1" customHeight="1" x14ac:dyDescent="0.25">
      <c r="B23" s="23" t="s">
        <v>50</v>
      </c>
      <c r="C23" s="49">
        <f>'Avg Week Isingiro-Mbarara'!C23+'Avg Week Mbarara-Isingiro'!C23</f>
        <v>23.285714285714285</v>
      </c>
      <c r="D23" s="49">
        <f>'Avg Week Isingiro-Mbarara'!D23+'Avg Week Mbarara-Isingiro'!D23</f>
        <v>3.5714285714285712</v>
      </c>
      <c r="E23" s="49">
        <f>'Avg Week Isingiro-Mbarara'!E23+'Avg Week Mbarara-Isingiro'!E23</f>
        <v>4.2857142857142856</v>
      </c>
      <c r="F23" s="49">
        <f>'Avg Week Isingiro-Mbarara'!F23+'Avg Week Mbarara-Isingiro'!F23</f>
        <v>5.8571428571428577</v>
      </c>
      <c r="G23" s="49">
        <f>'Avg Week Isingiro-Mbarara'!G23+'Avg Week Mbarara-Isingiro'!G23</f>
        <v>0.2857142857142857</v>
      </c>
      <c r="H23" s="49">
        <f>'Avg Week Isingiro-Mbarara'!H23+'Avg Week Mbarara-Isingiro'!H23</f>
        <v>0.14285714285714285</v>
      </c>
      <c r="I23" s="49">
        <f>'Avg Week Isingiro-Mbarara'!I23+'Avg Week Mbarara-Isingiro'!I23</f>
        <v>4.4285714285714288</v>
      </c>
      <c r="J23" s="49">
        <f>'Avg Week Isingiro-Mbarara'!J23+'Avg Week Mbarara-Isingiro'!J23</f>
        <v>4</v>
      </c>
      <c r="K23" s="49">
        <f>'Avg Week Isingiro-Mbarara'!K23+'Avg Week Mbarara-Isingiro'!K23</f>
        <v>0.14285714285714285</v>
      </c>
      <c r="L23" s="49">
        <f>'Avg Week Isingiro-Mbarara'!L23+'Avg Week Mbarara-Isingiro'!L23</f>
        <v>0.14285714285714285</v>
      </c>
      <c r="M23" s="49">
        <f>'Avg Week Isingiro-Mbarara'!M23+'Avg Week Mbarara-Isingiro'!M23</f>
        <v>80.571428571428569</v>
      </c>
      <c r="N23" s="49">
        <f>'Avg Week Isingiro-Mbarara'!N23+'Avg Week Mbarara-Isingiro'!N23</f>
        <v>0</v>
      </c>
      <c r="O23" s="15">
        <f t="shared" si="0"/>
        <v>46.142857142857153</v>
      </c>
      <c r="P23" s="15">
        <f t="shared" si="1"/>
        <v>126.71428571428572</v>
      </c>
      <c r="R23" s="1" t="s">
        <v>147</v>
      </c>
      <c r="S23" s="34">
        <f>SUM(C62:C65)</f>
        <v>69</v>
      </c>
      <c r="T23" s="34">
        <f t="shared" ref="T23:AF23" si="15">SUM(D62:D65)</f>
        <v>11</v>
      </c>
      <c r="U23" s="34">
        <f t="shared" si="15"/>
        <v>9.5</v>
      </c>
      <c r="V23" s="34">
        <f t="shared" si="15"/>
        <v>15.5</v>
      </c>
      <c r="W23" s="34">
        <f t="shared" si="15"/>
        <v>0.5</v>
      </c>
      <c r="X23" s="34">
        <f t="shared" si="15"/>
        <v>0</v>
      </c>
      <c r="Y23" s="34">
        <f t="shared" si="15"/>
        <v>15</v>
      </c>
      <c r="Z23" s="34">
        <f t="shared" si="15"/>
        <v>7</v>
      </c>
      <c r="AA23" s="34">
        <f t="shared" si="15"/>
        <v>0</v>
      </c>
      <c r="AB23" s="34">
        <f t="shared" si="15"/>
        <v>0</v>
      </c>
      <c r="AC23" s="34">
        <f t="shared" si="15"/>
        <v>190.5</v>
      </c>
      <c r="AD23" s="34">
        <f t="shared" si="15"/>
        <v>0</v>
      </c>
      <c r="AE23" s="31">
        <f t="shared" si="15"/>
        <v>127.5</v>
      </c>
      <c r="AF23" s="31">
        <f t="shared" si="15"/>
        <v>318</v>
      </c>
    </row>
    <row r="24" spans="2:32" ht="23.1" customHeight="1" x14ac:dyDescent="0.25">
      <c r="B24" s="23" t="s">
        <v>51</v>
      </c>
      <c r="C24" s="49">
        <f>'Avg Week Isingiro-Mbarara'!C24+'Avg Week Mbarara-Isingiro'!C24</f>
        <v>18</v>
      </c>
      <c r="D24" s="49">
        <f>'Avg Week Isingiro-Mbarara'!D24+'Avg Week Mbarara-Isingiro'!D24</f>
        <v>3.8571428571428572</v>
      </c>
      <c r="E24" s="49">
        <f>'Avg Week Isingiro-Mbarara'!E24+'Avg Week Mbarara-Isingiro'!E24</f>
        <v>2.8571428571428572</v>
      </c>
      <c r="F24" s="49">
        <f>'Avg Week Isingiro-Mbarara'!F24+'Avg Week Mbarara-Isingiro'!F24</f>
        <v>6.7142857142857144</v>
      </c>
      <c r="G24" s="49">
        <f>'Avg Week Isingiro-Mbarara'!G24+'Avg Week Mbarara-Isingiro'!G24</f>
        <v>0.14285714285714285</v>
      </c>
      <c r="H24" s="49">
        <f>'Avg Week Isingiro-Mbarara'!H24+'Avg Week Mbarara-Isingiro'!H24</f>
        <v>0</v>
      </c>
      <c r="I24" s="49">
        <f>'Avg Week Isingiro-Mbarara'!I24+'Avg Week Mbarara-Isingiro'!I24</f>
        <v>3.7142857142857144</v>
      </c>
      <c r="J24" s="49">
        <f>'Avg Week Isingiro-Mbarara'!J24+'Avg Week Mbarara-Isingiro'!J24</f>
        <v>3.1428571428571432</v>
      </c>
      <c r="K24" s="49">
        <f>'Avg Week Isingiro-Mbarara'!K24+'Avg Week Mbarara-Isingiro'!K24</f>
        <v>1.1428571428571428</v>
      </c>
      <c r="L24" s="49">
        <f>'Avg Week Isingiro-Mbarara'!L24+'Avg Week Mbarara-Isingiro'!L24</f>
        <v>0</v>
      </c>
      <c r="M24" s="49">
        <f>'Avg Week Isingiro-Mbarara'!M24+'Avg Week Mbarara-Isingiro'!M24</f>
        <v>77.285714285714278</v>
      </c>
      <c r="N24" s="49">
        <f>'Avg Week Isingiro-Mbarara'!N24+'Avg Week Mbarara-Isingiro'!N24</f>
        <v>0.14285714285714285</v>
      </c>
      <c r="O24" s="15">
        <f t="shared" si="0"/>
        <v>39.714285714285722</v>
      </c>
      <c r="P24" s="15">
        <f t="shared" si="1"/>
        <v>117</v>
      </c>
      <c r="R24" s="1" t="s">
        <v>148</v>
      </c>
      <c r="S24" s="34">
        <f>SUM(C66:C69)</f>
        <v>55.5</v>
      </c>
      <c r="T24" s="34">
        <f t="shared" ref="T24:AF24" si="16">SUM(D66:D69)</f>
        <v>6</v>
      </c>
      <c r="U24" s="34">
        <f t="shared" si="16"/>
        <v>7</v>
      </c>
      <c r="V24" s="34">
        <f t="shared" si="16"/>
        <v>5.5</v>
      </c>
      <c r="W24" s="34">
        <f t="shared" si="16"/>
        <v>0</v>
      </c>
      <c r="X24" s="34">
        <f t="shared" si="16"/>
        <v>0.5</v>
      </c>
      <c r="Y24" s="34">
        <f t="shared" si="16"/>
        <v>5.5</v>
      </c>
      <c r="Z24" s="34">
        <f t="shared" si="16"/>
        <v>5.5</v>
      </c>
      <c r="AA24" s="34">
        <f t="shared" si="16"/>
        <v>2</v>
      </c>
      <c r="AB24" s="34">
        <f t="shared" si="16"/>
        <v>0</v>
      </c>
      <c r="AC24" s="34">
        <f t="shared" si="16"/>
        <v>130.5</v>
      </c>
      <c r="AD24" s="34">
        <f t="shared" si="16"/>
        <v>0</v>
      </c>
      <c r="AE24" s="31">
        <f t="shared" si="16"/>
        <v>87.5</v>
      </c>
      <c r="AF24" s="31">
        <f t="shared" si="16"/>
        <v>218</v>
      </c>
    </row>
    <row r="25" spans="2:32" ht="23.1" customHeight="1" x14ac:dyDescent="0.25">
      <c r="B25" s="23" t="s">
        <v>52</v>
      </c>
      <c r="C25" s="49">
        <f>'Avg Week Isingiro-Mbarara'!C25+'Avg Week Mbarara-Isingiro'!C25</f>
        <v>16.857142857142858</v>
      </c>
      <c r="D25" s="49">
        <f>'Avg Week Isingiro-Mbarara'!D25+'Avg Week Mbarara-Isingiro'!D25</f>
        <v>3.2857142857142856</v>
      </c>
      <c r="E25" s="49">
        <f>'Avg Week Isingiro-Mbarara'!E25+'Avg Week Mbarara-Isingiro'!E25</f>
        <v>3.1428571428571428</v>
      </c>
      <c r="F25" s="49">
        <f>'Avg Week Isingiro-Mbarara'!F25+'Avg Week Mbarara-Isingiro'!F25</f>
        <v>7.1428571428571423</v>
      </c>
      <c r="G25" s="49">
        <f>'Avg Week Isingiro-Mbarara'!G25+'Avg Week Mbarara-Isingiro'!G25</f>
        <v>0.14285714285714285</v>
      </c>
      <c r="H25" s="49">
        <f>'Avg Week Isingiro-Mbarara'!H25+'Avg Week Mbarara-Isingiro'!H25</f>
        <v>0</v>
      </c>
      <c r="I25" s="49">
        <f>'Avg Week Isingiro-Mbarara'!I25+'Avg Week Mbarara-Isingiro'!I25</f>
        <v>3.4285714285714288</v>
      </c>
      <c r="J25" s="49">
        <f>'Avg Week Isingiro-Mbarara'!J25+'Avg Week Mbarara-Isingiro'!J25</f>
        <v>2.4285714285714288</v>
      </c>
      <c r="K25" s="49">
        <f>'Avg Week Isingiro-Mbarara'!K25+'Avg Week Mbarara-Isingiro'!K25</f>
        <v>0.14285714285714285</v>
      </c>
      <c r="L25" s="49">
        <f>'Avg Week Isingiro-Mbarara'!L25+'Avg Week Mbarara-Isingiro'!L25</f>
        <v>0</v>
      </c>
      <c r="M25" s="49">
        <f>'Avg Week Isingiro-Mbarara'!M25+'Avg Week Mbarara-Isingiro'!M25</f>
        <v>71.857142857142861</v>
      </c>
      <c r="N25" s="49">
        <f>'Avg Week Isingiro-Mbarara'!N25+'Avg Week Mbarara-Isingiro'!N25</f>
        <v>0</v>
      </c>
      <c r="O25" s="15">
        <f t="shared" si="0"/>
        <v>36.571428571428577</v>
      </c>
      <c r="P25" s="15">
        <f t="shared" si="1"/>
        <v>108.42857142857144</v>
      </c>
      <c r="R25" s="1" t="s">
        <v>149</v>
      </c>
      <c r="S25" s="34">
        <f>SUM(C70:C73)</f>
        <v>41</v>
      </c>
      <c r="T25" s="34">
        <f t="shared" ref="T25:AF25" si="17">SUM(D70:D73)</f>
        <v>3.5</v>
      </c>
      <c r="U25" s="34">
        <f t="shared" si="17"/>
        <v>7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6</v>
      </c>
      <c r="AA25" s="34">
        <f t="shared" si="17"/>
        <v>0</v>
      </c>
      <c r="AB25" s="34">
        <f t="shared" si="17"/>
        <v>0</v>
      </c>
      <c r="AC25" s="34">
        <f t="shared" si="17"/>
        <v>98</v>
      </c>
      <c r="AD25" s="34">
        <f t="shared" si="17"/>
        <v>0</v>
      </c>
      <c r="AE25" s="31">
        <f t="shared" si="17"/>
        <v>66.5</v>
      </c>
      <c r="AF25" s="31">
        <f t="shared" si="17"/>
        <v>164.5</v>
      </c>
    </row>
    <row r="26" spans="2:32" ht="23.1" customHeight="1" x14ac:dyDescent="0.25">
      <c r="B26" s="23" t="s">
        <v>53</v>
      </c>
      <c r="C26" s="49">
        <f>'Avg Week Isingiro-Mbarara'!C26+'Avg Week Mbarara-Isingiro'!C26</f>
        <v>22.857142857142854</v>
      </c>
      <c r="D26" s="49">
        <f>'Avg Week Isingiro-Mbarara'!D26+'Avg Week Mbarara-Isingiro'!D26</f>
        <v>4.4285714285714288</v>
      </c>
      <c r="E26" s="49">
        <f>'Avg Week Isingiro-Mbarara'!E26+'Avg Week Mbarara-Isingiro'!E26</f>
        <v>4.5714285714285712</v>
      </c>
      <c r="F26" s="49">
        <f>'Avg Week Isingiro-Mbarara'!F26+'Avg Week Mbarara-Isingiro'!F26</f>
        <v>6.8571428571428568</v>
      </c>
      <c r="G26" s="49">
        <f>'Avg Week Isingiro-Mbarara'!G26+'Avg Week Mbarara-Isingiro'!G26</f>
        <v>0</v>
      </c>
      <c r="H26" s="49">
        <f>'Avg Week Isingiro-Mbarara'!H26+'Avg Week Mbarara-Isingiro'!H26</f>
        <v>0.14285714285714285</v>
      </c>
      <c r="I26" s="49">
        <f>'Avg Week Isingiro-Mbarara'!I26+'Avg Week Mbarara-Isingiro'!I26</f>
        <v>3.4285714285714284</v>
      </c>
      <c r="J26" s="49">
        <f>'Avg Week Isingiro-Mbarara'!J26+'Avg Week Mbarara-Isingiro'!J26</f>
        <v>3.285714285714286</v>
      </c>
      <c r="K26" s="49">
        <f>'Avg Week Isingiro-Mbarara'!K26+'Avg Week Mbarara-Isingiro'!K26</f>
        <v>0.42857142857142855</v>
      </c>
      <c r="L26" s="49">
        <f>'Avg Week Isingiro-Mbarara'!L26+'Avg Week Mbarara-Isingiro'!L26</f>
        <v>0.42857142857142855</v>
      </c>
      <c r="M26" s="49">
        <f>'Avg Week Isingiro-Mbarara'!M26+'Avg Week Mbarara-Isingiro'!M26</f>
        <v>83.428571428571416</v>
      </c>
      <c r="N26" s="49">
        <f>'Avg Week Isingiro-Mbarara'!N26+'Avg Week Mbarara-Isingiro'!N26</f>
        <v>0</v>
      </c>
      <c r="O26" s="15">
        <f t="shared" si="0"/>
        <v>46.428571428571431</v>
      </c>
      <c r="P26" s="15">
        <f t="shared" si="1"/>
        <v>129.85714285714283</v>
      </c>
      <c r="R26" s="1" t="s">
        <v>150</v>
      </c>
      <c r="S26" s="34">
        <f>SUM(C74:C77)</f>
        <v>22.5</v>
      </c>
      <c r="T26" s="34">
        <f t="shared" ref="T26:AF26" si="18">SUM(D74:D77)</f>
        <v>4.5</v>
      </c>
      <c r="U26" s="34">
        <f t="shared" si="18"/>
        <v>1</v>
      </c>
      <c r="V26" s="34">
        <f t="shared" si="18"/>
        <v>1</v>
      </c>
      <c r="W26" s="34">
        <f t="shared" si="18"/>
        <v>0.5</v>
      </c>
      <c r="X26" s="34">
        <f t="shared" si="18"/>
        <v>0</v>
      </c>
      <c r="Y26" s="34">
        <f t="shared" si="18"/>
        <v>7.5</v>
      </c>
      <c r="Z26" s="34">
        <f t="shared" si="18"/>
        <v>4</v>
      </c>
      <c r="AA26" s="34">
        <f t="shared" si="18"/>
        <v>0</v>
      </c>
      <c r="AB26" s="34">
        <f t="shared" si="18"/>
        <v>0</v>
      </c>
      <c r="AC26" s="34">
        <f t="shared" si="18"/>
        <v>31</v>
      </c>
      <c r="AD26" s="34">
        <f t="shared" si="18"/>
        <v>0</v>
      </c>
      <c r="AE26" s="31">
        <f t="shared" si="18"/>
        <v>41</v>
      </c>
      <c r="AF26" s="31">
        <f t="shared" si="18"/>
        <v>72</v>
      </c>
    </row>
    <row r="27" spans="2:32" ht="23.1" customHeight="1" x14ac:dyDescent="0.25">
      <c r="B27" s="23" t="s">
        <v>54</v>
      </c>
      <c r="C27" s="49">
        <f>'Avg Week Isingiro-Mbarara'!C27+'Avg Week Mbarara-Isingiro'!C27</f>
        <v>20.142857142857146</v>
      </c>
      <c r="D27" s="49">
        <f>'Avg Week Isingiro-Mbarara'!D27+'Avg Week Mbarara-Isingiro'!D27</f>
        <v>3.7142857142857144</v>
      </c>
      <c r="E27" s="49">
        <f>'Avg Week Isingiro-Mbarara'!E27+'Avg Week Mbarara-Isingiro'!E27</f>
        <v>3.1428571428571428</v>
      </c>
      <c r="F27" s="49">
        <f>'Avg Week Isingiro-Mbarara'!F27+'Avg Week Mbarara-Isingiro'!F27</f>
        <v>3.5714285714285712</v>
      </c>
      <c r="G27" s="49">
        <f>'Avg Week Isingiro-Mbarara'!G27+'Avg Week Mbarara-Isingiro'!G27</f>
        <v>0</v>
      </c>
      <c r="H27" s="49">
        <f>'Avg Week Isingiro-Mbarara'!H27+'Avg Week Mbarara-Isingiro'!H27</f>
        <v>0</v>
      </c>
      <c r="I27" s="49">
        <f>'Avg Week Isingiro-Mbarara'!I27+'Avg Week Mbarara-Isingiro'!I27</f>
        <v>4.1428571428571432</v>
      </c>
      <c r="J27" s="49">
        <f>'Avg Week Isingiro-Mbarara'!J27+'Avg Week Mbarara-Isingiro'!J27</f>
        <v>2.4285714285714288</v>
      </c>
      <c r="K27" s="49">
        <f>'Avg Week Isingiro-Mbarara'!K27+'Avg Week Mbarara-Isingiro'!K27</f>
        <v>0</v>
      </c>
      <c r="L27" s="49">
        <f>'Avg Week Isingiro-Mbarara'!L27+'Avg Week Mbarara-Isingiro'!L27</f>
        <v>0</v>
      </c>
      <c r="M27" s="49">
        <f>'Avg Week Isingiro-Mbarara'!M27+'Avg Week Mbarara-Isingiro'!M27</f>
        <v>62.142857142857146</v>
      </c>
      <c r="N27" s="49">
        <f>'Avg Week Isingiro-Mbarara'!N27+'Avg Week Mbarara-Isingiro'!N27</f>
        <v>0.2857142857142857</v>
      </c>
      <c r="O27" s="15">
        <f t="shared" si="0"/>
        <v>37.428571428571438</v>
      </c>
      <c r="P27" s="15">
        <f t="shared" si="1"/>
        <v>99.571428571428598</v>
      </c>
      <c r="R27" s="1" t="s">
        <v>151</v>
      </c>
      <c r="S27" s="34">
        <f>SUM(C78:C81)</f>
        <v>10</v>
      </c>
      <c r="T27" s="34">
        <f t="shared" ref="T27:AF27" si="19">SUM(D78:D81)</f>
        <v>3</v>
      </c>
      <c r="U27" s="34">
        <f t="shared" si="19"/>
        <v>0.5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3</v>
      </c>
      <c r="AA27" s="34">
        <f t="shared" si="19"/>
        <v>0</v>
      </c>
      <c r="AB27" s="34">
        <f t="shared" si="19"/>
        <v>0</v>
      </c>
      <c r="AC27" s="34">
        <f t="shared" si="19"/>
        <v>13</v>
      </c>
      <c r="AD27" s="34">
        <f t="shared" si="19"/>
        <v>0</v>
      </c>
      <c r="AE27" s="31">
        <f t="shared" si="19"/>
        <v>19.5</v>
      </c>
      <c r="AF27" s="31">
        <f t="shared" si="19"/>
        <v>32.5</v>
      </c>
    </row>
    <row r="28" spans="2:32" ht="23.1" customHeight="1" x14ac:dyDescent="0.25">
      <c r="B28" s="23" t="s">
        <v>55</v>
      </c>
      <c r="C28" s="49">
        <f>'Avg Week Isingiro-Mbarara'!C28+'Avg Week Mbarara-Isingiro'!C28</f>
        <v>19.428571428571431</v>
      </c>
      <c r="D28" s="49">
        <f>'Avg Week Isingiro-Mbarara'!D28+'Avg Week Mbarara-Isingiro'!D28</f>
        <v>3.4285714285714284</v>
      </c>
      <c r="E28" s="49">
        <f>'Avg Week Isingiro-Mbarara'!E28+'Avg Week Mbarara-Isingiro'!E28</f>
        <v>5</v>
      </c>
      <c r="F28" s="49">
        <f>'Avg Week Isingiro-Mbarara'!F28+'Avg Week Mbarara-Isingiro'!F28</f>
        <v>4</v>
      </c>
      <c r="G28" s="49">
        <f>'Avg Week Isingiro-Mbarara'!G28+'Avg Week Mbarara-Isingiro'!G28</f>
        <v>0.14285714285714285</v>
      </c>
      <c r="H28" s="49">
        <f>'Avg Week Isingiro-Mbarara'!H28+'Avg Week Mbarara-Isingiro'!H28</f>
        <v>0</v>
      </c>
      <c r="I28" s="49">
        <f>'Avg Week Isingiro-Mbarara'!I28+'Avg Week Mbarara-Isingiro'!I28</f>
        <v>2.2857142857142856</v>
      </c>
      <c r="J28" s="49">
        <f>'Avg Week Isingiro-Mbarara'!J28+'Avg Week Mbarara-Isingiro'!J28</f>
        <v>3</v>
      </c>
      <c r="K28" s="49">
        <f>'Avg Week Isingiro-Mbarara'!K28+'Avg Week Mbarara-Isingiro'!K28</f>
        <v>0</v>
      </c>
      <c r="L28" s="49">
        <f>'Avg Week Isingiro-Mbarara'!L28+'Avg Week Mbarara-Isingiro'!L28</f>
        <v>0.2857142857142857</v>
      </c>
      <c r="M28" s="49">
        <f>'Avg Week Isingiro-Mbarara'!M28+'Avg Week Mbarara-Isingiro'!M28</f>
        <v>67.285714285714278</v>
      </c>
      <c r="N28" s="49">
        <f>'Avg Week Isingiro-Mbarara'!N28+'Avg Week Mbarara-Isingiro'!N28</f>
        <v>0</v>
      </c>
      <c r="O28" s="15">
        <f t="shared" si="0"/>
        <v>37.571428571428569</v>
      </c>
      <c r="P28" s="15">
        <f t="shared" si="1"/>
        <v>104.85714285714285</v>
      </c>
      <c r="R28" s="1" t="s">
        <v>152</v>
      </c>
      <c r="S28" s="34">
        <f>SUM(C82:C85)</f>
        <v>7.5</v>
      </c>
      <c r="T28" s="34">
        <f t="shared" ref="T28:AF28" si="20">SUM(D82:D85)</f>
        <v>0.5</v>
      </c>
      <c r="U28" s="34">
        <f t="shared" si="20"/>
        <v>0.5</v>
      </c>
      <c r="V28" s="34">
        <f t="shared" si="20"/>
        <v>3</v>
      </c>
      <c r="W28" s="34">
        <f t="shared" si="20"/>
        <v>0</v>
      </c>
      <c r="X28" s="34">
        <f t="shared" si="20"/>
        <v>0</v>
      </c>
      <c r="Y28" s="34">
        <f t="shared" si="20"/>
        <v>2.5</v>
      </c>
      <c r="Z28" s="34">
        <f t="shared" si="20"/>
        <v>4</v>
      </c>
      <c r="AA28" s="34">
        <f t="shared" si="20"/>
        <v>0</v>
      </c>
      <c r="AB28" s="34">
        <f t="shared" si="20"/>
        <v>1</v>
      </c>
      <c r="AC28" s="34">
        <f t="shared" si="20"/>
        <v>20.5</v>
      </c>
      <c r="AD28" s="34">
        <f t="shared" si="20"/>
        <v>0</v>
      </c>
      <c r="AE28" s="31">
        <f t="shared" si="20"/>
        <v>19</v>
      </c>
      <c r="AF28" s="31">
        <f t="shared" si="20"/>
        <v>39.5</v>
      </c>
    </row>
    <row r="29" spans="2:32" ht="23.1" customHeight="1" x14ac:dyDescent="0.25">
      <c r="B29" s="23" t="s">
        <v>56</v>
      </c>
      <c r="C29" s="49">
        <f>'Avg Week Isingiro-Mbarara'!C29+'Avg Week Mbarara-Isingiro'!C29</f>
        <v>21.428571428571431</v>
      </c>
      <c r="D29" s="49">
        <f>'Avg Week Isingiro-Mbarara'!D29+'Avg Week Mbarara-Isingiro'!D29</f>
        <v>4.1428571428571432</v>
      </c>
      <c r="E29" s="49">
        <f>'Avg Week Isingiro-Mbarara'!E29+'Avg Week Mbarara-Isingiro'!E29</f>
        <v>3.1428571428571428</v>
      </c>
      <c r="F29" s="49">
        <f>'Avg Week Isingiro-Mbarara'!F29+'Avg Week Mbarara-Isingiro'!F29</f>
        <v>3.8571428571428568</v>
      </c>
      <c r="G29" s="49">
        <f>'Avg Week Isingiro-Mbarara'!G29+'Avg Week Mbarara-Isingiro'!G29</f>
        <v>0.14285714285714285</v>
      </c>
      <c r="H29" s="49">
        <f>'Avg Week Isingiro-Mbarara'!H29+'Avg Week Mbarara-Isingiro'!H29</f>
        <v>0</v>
      </c>
      <c r="I29" s="49">
        <f>'Avg Week Isingiro-Mbarara'!I29+'Avg Week Mbarara-Isingiro'!I29</f>
        <v>3.2857142857142856</v>
      </c>
      <c r="J29" s="49">
        <f>'Avg Week Isingiro-Mbarara'!J29+'Avg Week Mbarara-Isingiro'!J29</f>
        <v>2.1428571428571428</v>
      </c>
      <c r="K29" s="49">
        <f>'Avg Week Isingiro-Mbarara'!K29+'Avg Week Mbarara-Isingiro'!K29</f>
        <v>0.2857142857142857</v>
      </c>
      <c r="L29" s="49">
        <f>'Avg Week Isingiro-Mbarara'!L29+'Avg Week Mbarara-Isingiro'!L29</f>
        <v>1</v>
      </c>
      <c r="M29" s="49">
        <f>'Avg Week Isingiro-Mbarara'!M29+'Avg Week Mbarara-Isingiro'!M29</f>
        <v>61.142857142857139</v>
      </c>
      <c r="N29" s="49">
        <f>'Avg Week Isingiro-Mbarara'!N29+'Avg Week Mbarara-Isingiro'!N29</f>
        <v>0.14285714285714285</v>
      </c>
      <c r="O29" s="15">
        <f t="shared" si="0"/>
        <v>39.571428571428577</v>
      </c>
      <c r="P29" s="15">
        <f t="shared" si="1"/>
        <v>100.71428571428571</v>
      </c>
      <c r="R29" s="1" t="s">
        <v>153</v>
      </c>
      <c r="S29" s="34">
        <f>SUM(C86:C89)</f>
        <v>4</v>
      </c>
      <c r="T29" s="34">
        <f t="shared" ref="T29:AF29" si="21">SUM(D86:D89)</f>
        <v>0.5</v>
      </c>
      <c r="U29" s="34">
        <f t="shared" si="21"/>
        <v>0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3</v>
      </c>
      <c r="AA29" s="34">
        <f t="shared" si="21"/>
        <v>0</v>
      </c>
      <c r="AB29" s="34">
        <f t="shared" si="21"/>
        <v>0.5</v>
      </c>
      <c r="AC29" s="34">
        <f t="shared" si="21"/>
        <v>8.5</v>
      </c>
      <c r="AD29" s="34">
        <f t="shared" si="21"/>
        <v>0</v>
      </c>
      <c r="AE29" s="31">
        <f t="shared" si="21"/>
        <v>9</v>
      </c>
      <c r="AF29" s="31">
        <f t="shared" si="21"/>
        <v>17.5</v>
      </c>
    </row>
    <row r="30" spans="2:32" ht="23.1" customHeight="1" x14ac:dyDescent="0.25">
      <c r="B30" s="23" t="s">
        <v>57</v>
      </c>
      <c r="C30" s="49">
        <f>'Avg Week Isingiro-Mbarara'!C30+'Avg Week Mbarara-Isingiro'!C30</f>
        <v>17.142857142857142</v>
      </c>
      <c r="D30" s="49">
        <f>'Avg Week Isingiro-Mbarara'!D30+'Avg Week Mbarara-Isingiro'!D30</f>
        <v>2.1428571428571428</v>
      </c>
      <c r="E30" s="49">
        <f>'Avg Week Isingiro-Mbarara'!E30+'Avg Week Mbarara-Isingiro'!E30</f>
        <v>4.2857142857142856</v>
      </c>
      <c r="F30" s="49">
        <f>'Avg Week Isingiro-Mbarara'!F30+'Avg Week Mbarara-Isingiro'!F30</f>
        <v>5.4285714285714288</v>
      </c>
      <c r="G30" s="49">
        <f>'Avg Week Isingiro-Mbarara'!G30+'Avg Week Mbarara-Isingiro'!G30</f>
        <v>0</v>
      </c>
      <c r="H30" s="49">
        <f>'Avg Week Isingiro-Mbarara'!H30+'Avg Week Mbarara-Isingiro'!H30</f>
        <v>0</v>
      </c>
      <c r="I30" s="49">
        <f>'Avg Week Isingiro-Mbarara'!I30+'Avg Week Mbarara-Isingiro'!I30</f>
        <v>2.8571428571428572</v>
      </c>
      <c r="J30" s="49">
        <f>'Avg Week Isingiro-Mbarara'!J30+'Avg Week Mbarara-Isingiro'!J30</f>
        <v>1.8571428571428572</v>
      </c>
      <c r="K30" s="49">
        <f>'Avg Week Isingiro-Mbarara'!K30+'Avg Week Mbarara-Isingiro'!K30</f>
        <v>0.42857142857142855</v>
      </c>
      <c r="L30" s="49">
        <f>'Avg Week Isingiro-Mbarara'!L30+'Avg Week Mbarara-Isingiro'!L30</f>
        <v>0.14285714285714285</v>
      </c>
      <c r="M30" s="49">
        <f>'Avg Week Isingiro-Mbarara'!M30+'Avg Week Mbarara-Isingiro'!M30</f>
        <v>63.857142857142854</v>
      </c>
      <c r="N30" s="49">
        <f>'Avg Week Isingiro-Mbarara'!N30+'Avg Week Mbarara-Isingiro'!N30</f>
        <v>0</v>
      </c>
      <c r="O30" s="15">
        <f t="shared" si="0"/>
        <v>34.285714285714292</v>
      </c>
      <c r="P30" s="15">
        <f t="shared" si="1"/>
        <v>98.142857142857139</v>
      </c>
      <c r="R30" s="1" t="s">
        <v>154</v>
      </c>
      <c r="S30" s="34">
        <f>SUM(C90:C93)</f>
        <v>5</v>
      </c>
      <c r="T30" s="34">
        <f t="shared" ref="T30:AF30" si="22">SUM(D90:D93)</f>
        <v>1.5</v>
      </c>
      <c r="U30" s="34">
        <f t="shared" si="22"/>
        <v>0.5</v>
      </c>
      <c r="V30" s="34">
        <f t="shared" si="22"/>
        <v>0.5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2.5</v>
      </c>
      <c r="AA30" s="34">
        <f t="shared" si="22"/>
        <v>0</v>
      </c>
      <c r="AB30" s="34">
        <f t="shared" si="22"/>
        <v>0.5</v>
      </c>
      <c r="AC30" s="34">
        <f t="shared" si="22"/>
        <v>11</v>
      </c>
      <c r="AD30" s="34">
        <f t="shared" si="22"/>
        <v>0</v>
      </c>
      <c r="AE30" s="31">
        <f t="shared" si="22"/>
        <v>11.5</v>
      </c>
      <c r="AF30" s="31">
        <f t="shared" si="22"/>
        <v>22.5</v>
      </c>
    </row>
    <row r="31" spans="2:32" ht="23.1" customHeight="1" x14ac:dyDescent="0.25">
      <c r="B31" s="24" t="s">
        <v>58</v>
      </c>
      <c r="C31" s="49">
        <f>'Avg Week Isingiro-Mbarara'!C31+'Avg Week Mbarara-Isingiro'!C31</f>
        <v>16.428571428571431</v>
      </c>
      <c r="D31" s="49">
        <f>'Avg Week Isingiro-Mbarara'!D31+'Avg Week Mbarara-Isingiro'!D31</f>
        <v>3.2857142857142856</v>
      </c>
      <c r="E31" s="49">
        <f>'Avg Week Isingiro-Mbarara'!E31+'Avg Week Mbarara-Isingiro'!E31</f>
        <v>3.4285714285714288</v>
      </c>
      <c r="F31" s="49">
        <f>'Avg Week Isingiro-Mbarara'!F31+'Avg Week Mbarara-Isingiro'!F31</f>
        <v>3.8571428571428572</v>
      </c>
      <c r="G31" s="49">
        <f>'Avg Week Isingiro-Mbarara'!G31+'Avg Week Mbarara-Isingiro'!G31</f>
        <v>0</v>
      </c>
      <c r="H31" s="49">
        <f>'Avg Week Isingiro-Mbarara'!H31+'Avg Week Mbarara-Isingiro'!H31</f>
        <v>0</v>
      </c>
      <c r="I31" s="49">
        <f>'Avg Week Isingiro-Mbarara'!I31+'Avg Week Mbarara-Isingiro'!I31</f>
        <v>3.7142857142857144</v>
      </c>
      <c r="J31" s="49">
        <f>'Avg Week Isingiro-Mbarara'!J31+'Avg Week Mbarara-Isingiro'!J31</f>
        <v>2.5714285714285712</v>
      </c>
      <c r="K31" s="49">
        <f>'Avg Week Isingiro-Mbarara'!K31+'Avg Week Mbarara-Isingiro'!K31</f>
        <v>0</v>
      </c>
      <c r="L31" s="49">
        <f>'Avg Week Isingiro-Mbarara'!L31+'Avg Week Mbarara-Isingiro'!L31</f>
        <v>0</v>
      </c>
      <c r="M31" s="49">
        <f>'Avg Week Isingiro-Mbarara'!M31+'Avg Week Mbarara-Isingiro'!M31</f>
        <v>69</v>
      </c>
      <c r="N31" s="49">
        <f>'Avg Week Isingiro-Mbarara'!N31+'Avg Week Mbarara-Isingiro'!N31</f>
        <v>0</v>
      </c>
      <c r="O31" s="15">
        <f t="shared" si="0"/>
        <v>33.285714285714292</v>
      </c>
      <c r="P31" s="15">
        <f t="shared" si="1"/>
        <v>102.28571428571429</v>
      </c>
      <c r="R31" s="1" t="s">
        <v>155</v>
      </c>
      <c r="S31" s="34">
        <f>SUM(C94:C97)</f>
        <v>9.5</v>
      </c>
      <c r="T31" s="34">
        <f t="shared" ref="T31:AF31" si="23">SUM(D94:D97)</f>
        <v>1.5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4</v>
      </c>
      <c r="Z31" s="34">
        <f t="shared" si="23"/>
        <v>0</v>
      </c>
      <c r="AA31" s="34">
        <f t="shared" si="23"/>
        <v>0</v>
      </c>
      <c r="AB31" s="34">
        <f t="shared" si="23"/>
        <v>0.5</v>
      </c>
      <c r="AC31" s="34">
        <f t="shared" si="23"/>
        <v>7.5</v>
      </c>
      <c r="AD31" s="34">
        <f t="shared" si="23"/>
        <v>0</v>
      </c>
      <c r="AE31" s="31">
        <f t="shared" si="23"/>
        <v>16.5</v>
      </c>
      <c r="AF31" s="31">
        <f t="shared" si="23"/>
        <v>24</v>
      </c>
    </row>
    <row r="32" spans="2:32" ht="23.1" customHeight="1" x14ac:dyDescent="0.25">
      <c r="B32" s="24" t="s">
        <v>59</v>
      </c>
      <c r="C32" s="49">
        <f>'Avg Week Isingiro-Mbarara'!C32+'Avg Week Mbarara-Isingiro'!C32</f>
        <v>19.857142857142858</v>
      </c>
      <c r="D32" s="49">
        <f>'Avg Week Isingiro-Mbarara'!D32+'Avg Week Mbarara-Isingiro'!D32</f>
        <v>3.2857142857142856</v>
      </c>
      <c r="E32" s="49">
        <f>'Avg Week Isingiro-Mbarara'!E32+'Avg Week Mbarara-Isingiro'!E32</f>
        <v>2.4285714285714284</v>
      </c>
      <c r="F32" s="49">
        <f>'Avg Week Isingiro-Mbarara'!F32+'Avg Week Mbarara-Isingiro'!F32</f>
        <v>5.8571428571428577</v>
      </c>
      <c r="G32" s="49">
        <f>'Avg Week Isingiro-Mbarara'!G32+'Avg Week Mbarara-Isingiro'!G32</f>
        <v>0.14285714285714285</v>
      </c>
      <c r="H32" s="49">
        <f>'Avg Week Isingiro-Mbarara'!H32+'Avg Week Mbarara-Isingiro'!H32</f>
        <v>0</v>
      </c>
      <c r="I32" s="49">
        <f>'Avg Week Isingiro-Mbarara'!I32+'Avg Week Mbarara-Isingiro'!I32</f>
        <v>3.1428571428571428</v>
      </c>
      <c r="J32" s="49">
        <f>'Avg Week Isingiro-Mbarara'!J32+'Avg Week Mbarara-Isingiro'!J32</f>
        <v>1.5714285714285714</v>
      </c>
      <c r="K32" s="49">
        <f>'Avg Week Isingiro-Mbarara'!K32+'Avg Week Mbarara-Isingiro'!K32</f>
        <v>0.2857142857142857</v>
      </c>
      <c r="L32" s="49">
        <f>'Avg Week Isingiro-Mbarara'!L32+'Avg Week Mbarara-Isingiro'!L32</f>
        <v>0.2857142857142857</v>
      </c>
      <c r="M32" s="49">
        <f>'Avg Week Isingiro-Mbarara'!M32+'Avg Week Mbarara-Isingiro'!M32</f>
        <v>69.571428571428569</v>
      </c>
      <c r="N32" s="49">
        <f>'Avg Week Isingiro-Mbarara'!N32+'Avg Week Mbarara-Isingiro'!N32</f>
        <v>0</v>
      </c>
      <c r="O32" s="15">
        <f t="shared" si="0"/>
        <v>36.857142857142854</v>
      </c>
      <c r="P32" s="15">
        <f t="shared" si="1"/>
        <v>106.42857142857142</v>
      </c>
      <c r="R32" s="1" t="s">
        <v>156</v>
      </c>
      <c r="S32" s="34">
        <f>SUM(C98:C101)</f>
        <v>5</v>
      </c>
      <c r="T32" s="34">
        <f t="shared" ref="T32:AF32" si="24">SUM(D98:D101)</f>
        <v>0.5</v>
      </c>
      <c r="U32" s="34">
        <f t="shared" si="24"/>
        <v>1</v>
      </c>
      <c r="V32" s="34">
        <f t="shared" si="24"/>
        <v>1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2.5</v>
      </c>
      <c r="AA32" s="34">
        <f t="shared" si="24"/>
        <v>0</v>
      </c>
      <c r="AB32" s="34">
        <f t="shared" si="24"/>
        <v>1</v>
      </c>
      <c r="AC32" s="34">
        <f t="shared" si="24"/>
        <v>7</v>
      </c>
      <c r="AD32" s="34">
        <f t="shared" si="24"/>
        <v>0</v>
      </c>
      <c r="AE32" s="31">
        <f t="shared" si="24"/>
        <v>13</v>
      </c>
      <c r="AF32" s="31">
        <f t="shared" si="24"/>
        <v>20</v>
      </c>
    </row>
    <row r="33" spans="2:32" ht="23.1" customHeight="1" x14ac:dyDescent="0.25">
      <c r="B33" s="23" t="s">
        <v>60</v>
      </c>
      <c r="C33" s="49">
        <f>'Avg Week Isingiro-Mbarara'!C33+'Avg Week Mbarara-Isingiro'!C33</f>
        <v>18.285714285714285</v>
      </c>
      <c r="D33" s="49">
        <f>'Avg Week Isingiro-Mbarara'!D33+'Avg Week Mbarara-Isingiro'!D33</f>
        <v>2.5714285714285712</v>
      </c>
      <c r="E33" s="49">
        <f>'Avg Week Isingiro-Mbarara'!E33+'Avg Week Mbarara-Isingiro'!E33</f>
        <v>3.7142857142857144</v>
      </c>
      <c r="F33" s="49">
        <f>'Avg Week Isingiro-Mbarara'!F33+'Avg Week Mbarara-Isingiro'!F33</f>
        <v>6.5714285714285712</v>
      </c>
      <c r="G33" s="49">
        <f>'Avg Week Isingiro-Mbarara'!G33+'Avg Week Mbarara-Isingiro'!G33</f>
        <v>0.14285714285714285</v>
      </c>
      <c r="H33" s="49">
        <f>'Avg Week Isingiro-Mbarara'!H33+'Avg Week Mbarara-Isingiro'!H33</f>
        <v>0.14285714285714285</v>
      </c>
      <c r="I33" s="49">
        <f>'Avg Week Isingiro-Mbarara'!I33+'Avg Week Mbarara-Isingiro'!I33</f>
        <v>2.8571428571428572</v>
      </c>
      <c r="J33" s="49">
        <f>'Avg Week Isingiro-Mbarara'!J33+'Avg Week Mbarara-Isingiro'!J33</f>
        <v>3</v>
      </c>
      <c r="K33" s="49">
        <f>'Avg Week Isingiro-Mbarara'!K33+'Avg Week Mbarara-Isingiro'!K33</f>
        <v>0.14285714285714285</v>
      </c>
      <c r="L33" s="49">
        <f>'Avg Week Isingiro-Mbarara'!L33+'Avg Week Mbarara-Isingiro'!L33</f>
        <v>0.14285714285714285</v>
      </c>
      <c r="M33" s="49">
        <f>'Avg Week Isingiro-Mbarara'!M33+'Avg Week Mbarara-Isingiro'!M33</f>
        <v>67.428571428571431</v>
      </c>
      <c r="N33" s="49">
        <f>'Avg Week Isingiro-Mbarara'!N33+'Avg Week Mbarara-Isingiro'!N33</f>
        <v>0</v>
      </c>
      <c r="O33" s="15">
        <f t="shared" si="0"/>
        <v>37.571428571428569</v>
      </c>
      <c r="P33" s="15">
        <f t="shared" si="1"/>
        <v>105</v>
      </c>
      <c r="R33" s="1" t="s">
        <v>157</v>
      </c>
      <c r="S33" s="34">
        <f>SUM(C102:C105)</f>
        <v>39.5</v>
      </c>
      <c r="T33" s="34">
        <f t="shared" ref="T33:AF33" si="25">SUM(D102:D105)</f>
        <v>2.5</v>
      </c>
      <c r="U33" s="34">
        <f t="shared" si="25"/>
        <v>3</v>
      </c>
      <c r="V33" s="34">
        <f t="shared" si="25"/>
        <v>5</v>
      </c>
      <c r="W33" s="34">
        <f t="shared" si="25"/>
        <v>0.5</v>
      </c>
      <c r="X33" s="34">
        <f t="shared" si="25"/>
        <v>0</v>
      </c>
      <c r="Y33" s="34">
        <f t="shared" si="25"/>
        <v>4</v>
      </c>
      <c r="Z33" s="34">
        <f t="shared" si="25"/>
        <v>4.5</v>
      </c>
      <c r="AA33" s="34">
        <f t="shared" si="25"/>
        <v>1</v>
      </c>
      <c r="AB33" s="34">
        <f t="shared" si="25"/>
        <v>3</v>
      </c>
      <c r="AC33" s="34">
        <f t="shared" si="25"/>
        <v>84.5</v>
      </c>
      <c r="AD33" s="34">
        <f t="shared" si="25"/>
        <v>0</v>
      </c>
      <c r="AE33" s="31">
        <f t="shared" si="25"/>
        <v>63</v>
      </c>
      <c r="AF33" s="31">
        <f t="shared" si="25"/>
        <v>147.5</v>
      </c>
    </row>
    <row r="34" spans="2:32" ht="23.1" customHeight="1" x14ac:dyDescent="0.25">
      <c r="B34" s="24" t="s">
        <v>61</v>
      </c>
      <c r="C34" s="49">
        <f>'Avg Week Isingiro-Mbarara'!C34+'Avg Week Mbarara-Isingiro'!C34</f>
        <v>19.285714285714285</v>
      </c>
      <c r="D34" s="49">
        <f>'Avg Week Isingiro-Mbarara'!D34+'Avg Week Mbarara-Isingiro'!D34</f>
        <v>2</v>
      </c>
      <c r="E34" s="49">
        <f>'Avg Week Isingiro-Mbarara'!E34+'Avg Week Mbarara-Isingiro'!E34</f>
        <v>4.4285714285714288</v>
      </c>
      <c r="F34" s="49">
        <f>'Avg Week Isingiro-Mbarara'!F34+'Avg Week Mbarara-Isingiro'!F34</f>
        <v>5.4285714285714288</v>
      </c>
      <c r="G34" s="49">
        <f>'Avg Week Isingiro-Mbarara'!G34+'Avg Week Mbarara-Isingiro'!G34</f>
        <v>0.2857142857142857</v>
      </c>
      <c r="H34" s="49">
        <f>'Avg Week Isingiro-Mbarara'!H34+'Avg Week Mbarara-Isingiro'!H34</f>
        <v>0</v>
      </c>
      <c r="I34" s="49">
        <f>'Avg Week Isingiro-Mbarara'!I34+'Avg Week Mbarara-Isingiro'!I34</f>
        <v>3.5714285714285712</v>
      </c>
      <c r="J34" s="49">
        <f>'Avg Week Isingiro-Mbarara'!J34+'Avg Week Mbarara-Isingiro'!J34</f>
        <v>2.4285714285714288</v>
      </c>
      <c r="K34" s="49">
        <f>'Avg Week Isingiro-Mbarara'!K34+'Avg Week Mbarara-Isingiro'!K34</f>
        <v>0.2857142857142857</v>
      </c>
      <c r="L34" s="49">
        <f>'Avg Week Isingiro-Mbarara'!L34+'Avg Week Mbarara-Isingiro'!L34</f>
        <v>0.14285714285714285</v>
      </c>
      <c r="M34" s="49">
        <f>'Avg Week Isingiro-Mbarara'!M34+'Avg Week Mbarara-Isingiro'!M34</f>
        <v>63.428571428571431</v>
      </c>
      <c r="N34" s="49">
        <f>'Avg Week Isingiro-Mbarara'!N34+'Avg Week Mbarara-Isingiro'!N34</f>
        <v>0</v>
      </c>
      <c r="O34" s="15">
        <f t="shared" si="0"/>
        <v>37.857142857142861</v>
      </c>
      <c r="P34" s="15">
        <f t="shared" si="1"/>
        <v>101.28571428571429</v>
      </c>
      <c r="R34" s="38" t="s">
        <v>90</v>
      </c>
      <c r="S34" s="39">
        <f t="shared" ref="S34:AF34" si="26">MAX(S10:S12)</f>
        <v>84.285714285714292</v>
      </c>
      <c r="T34" s="39">
        <f t="shared" si="26"/>
        <v>16.428571428571427</v>
      </c>
      <c r="U34" s="39">
        <f t="shared" si="26"/>
        <v>19.285714285714285</v>
      </c>
      <c r="V34" s="39">
        <f t="shared" si="26"/>
        <v>25</v>
      </c>
      <c r="W34" s="39">
        <f t="shared" si="26"/>
        <v>0.71428571428571419</v>
      </c>
      <c r="X34" s="39">
        <f t="shared" si="26"/>
        <v>0.5714285714285714</v>
      </c>
      <c r="Y34" s="39">
        <f t="shared" si="26"/>
        <v>13.571428571428573</v>
      </c>
      <c r="Z34" s="39">
        <f t="shared" si="26"/>
        <v>9.2857142857142865</v>
      </c>
      <c r="AA34" s="39">
        <f t="shared" si="26"/>
        <v>1</v>
      </c>
      <c r="AB34" s="39">
        <f t="shared" si="26"/>
        <v>1.4285714285714284</v>
      </c>
      <c r="AC34" s="39">
        <f t="shared" si="26"/>
        <v>321.28571428571433</v>
      </c>
      <c r="AD34" s="39">
        <f t="shared" si="26"/>
        <v>0</v>
      </c>
      <c r="AE34" s="40">
        <f t="shared" si="26"/>
        <v>165.71428571428572</v>
      </c>
      <c r="AF34" s="40">
        <f t="shared" si="26"/>
        <v>482.57142857142856</v>
      </c>
    </row>
    <row r="35" spans="2:32" ht="23.1" customHeight="1" x14ac:dyDescent="0.25">
      <c r="B35" s="24" t="s">
        <v>62</v>
      </c>
      <c r="C35" s="49">
        <f>'Avg Week Isingiro-Mbarara'!C35+'Avg Week Mbarara-Isingiro'!C35</f>
        <v>18</v>
      </c>
      <c r="D35" s="49">
        <f>'Avg Week Isingiro-Mbarara'!D35+'Avg Week Mbarara-Isingiro'!D35</f>
        <v>3.7142857142857144</v>
      </c>
      <c r="E35" s="49">
        <f>'Avg Week Isingiro-Mbarara'!E35+'Avg Week Mbarara-Isingiro'!E35</f>
        <v>4</v>
      </c>
      <c r="F35" s="49">
        <f>'Avg Week Isingiro-Mbarara'!F35+'Avg Week Mbarara-Isingiro'!F35</f>
        <v>5.4285714285714288</v>
      </c>
      <c r="G35" s="49">
        <f>'Avg Week Isingiro-Mbarara'!G35+'Avg Week Mbarara-Isingiro'!G35</f>
        <v>0</v>
      </c>
      <c r="H35" s="49">
        <f>'Avg Week Isingiro-Mbarara'!H35+'Avg Week Mbarara-Isingiro'!H35</f>
        <v>0</v>
      </c>
      <c r="I35" s="49">
        <f>'Avg Week Isingiro-Mbarara'!I35+'Avg Week Mbarara-Isingiro'!I35</f>
        <v>4.4285714285714288</v>
      </c>
      <c r="J35" s="49">
        <f>'Avg Week Isingiro-Mbarara'!J35+'Avg Week Mbarara-Isingiro'!J35</f>
        <v>2.4285714285714288</v>
      </c>
      <c r="K35" s="49">
        <f>'Avg Week Isingiro-Mbarara'!K35+'Avg Week Mbarara-Isingiro'!K35</f>
        <v>0</v>
      </c>
      <c r="L35" s="49">
        <f>'Avg Week Isingiro-Mbarara'!L35+'Avg Week Mbarara-Isingiro'!L35</f>
        <v>0.42857142857142855</v>
      </c>
      <c r="M35" s="49">
        <f>'Avg Week Isingiro-Mbarara'!M35+'Avg Week Mbarara-Isingiro'!M35</f>
        <v>72</v>
      </c>
      <c r="N35" s="49">
        <f>'Avg Week Isingiro-Mbarara'!N35+'Avg Week Mbarara-Isingiro'!N35</f>
        <v>0</v>
      </c>
      <c r="O35" s="15">
        <f t="shared" si="0"/>
        <v>38.428571428571438</v>
      </c>
      <c r="P35" s="15">
        <f t="shared" si="1"/>
        <v>110.42857142857144</v>
      </c>
      <c r="R35" s="38" t="s">
        <v>91</v>
      </c>
      <c r="S35" s="39">
        <f t="shared" ref="S35:AF35" si="27">MAX(S13:S18)</f>
        <v>84.285714285714278</v>
      </c>
      <c r="T35" s="39">
        <f t="shared" si="27"/>
        <v>16.428571428571431</v>
      </c>
      <c r="U35" s="39">
        <f t="shared" si="27"/>
        <v>16</v>
      </c>
      <c r="V35" s="39">
        <f t="shared" si="27"/>
        <v>26.285714285714285</v>
      </c>
      <c r="W35" s="39">
        <f t="shared" si="27"/>
        <v>0.5714285714285714</v>
      </c>
      <c r="X35" s="39">
        <f t="shared" si="27"/>
        <v>0.7142857142857143</v>
      </c>
      <c r="Y35" s="39">
        <f t="shared" si="27"/>
        <v>16.285714285714285</v>
      </c>
      <c r="Z35" s="39">
        <f t="shared" si="27"/>
        <v>11.571428571428571</v>
      </c>
      <c r="AA35" s="39">
        <f t="shared" si="27"/>
        <v>1.5714285714285714</v>
      </c>
      <c r="AB35" s="39">
        <f t="shared" si="27"/>
        <v>1.7142857142857142</v>
      </c>
      <c r="AC35" s="39">
        <f t="shared" si="27"/>
        <v>308.42857142857144</v>
      </c>
      <c r="AD35" s="39">
        <f t="shared" si="27"/>
        <v>0.42857142857142855</v>
      </c>
      <c r="AE35" s="40">
        <f t="shared" si="27"/>
        <v>165.42857142857147</v>
      </c>
      <c r="AF35" s="40">
        <f t="shared" si="27"/>
        <v>473.85714285714289</v>
      </c>
    </row>
    <row r="36" spans="2:32" ht="23.1" customHeight="1" x14ac:dyDescent="0.25">
      <c r="B36" s="24" t="s">
        <v>63</v>
      </c>
      <c r="C36" s="49">
        <f>'Avg Week Isingiro-Mbarara'!C36+'Avg Week Mbarara-Isingiro'!C36</f>
        <v>21</v>
      </c>
      <c r="D36" s="49">
        <f>'Avg Week Isingiro-Mbarara'!D36+'Avg Week Mbarara-Isingiro'!D36</f>
        <v>2.4285714285714288</v>
      </c>
      <c r="E36" s="49">
        <f>'Avg Week Isingiro-Mbarara'!E36+'Avg Week Mbarara-Isingiro'!E36</f>
        <v>4</v>
      </c>
      <c r="F36" s="49">
        <f>'Avg Week Isingiro-Mbarara'!F36+'Avg Week Mbarara-Isingiro'!F36</f>
        <v>5</v>
      </c>
      <c r="G36" s="49">
        <f>'Avg Week Isingiro-Mbarara'!G36+'Avg Week Mbarara-Isingiro'!G36</f>
        <v>0</v>
      </c>
      <c r="H36" s="49">
        <f>'Avg Week Isingiro-Mbarara'!H36+'Avg Week Mbarara-Isingiro'!H36</f>
        <v>0</v>
      </c>
      <c r="I36" s="49">
        <f>'Avg Week Isingiro-Mbarara'!I36+'Avg Week Mbarara-Isingiro'!I36</f>
        <v>3</v>
      </c>
      <c r="J36" s="49">
        <f>'Avg Week Isingiro-Mbarara'!J36+'Avg Week Mbarara-Isingiro'!J36</f>
        <v>1.8571428571428572</v>
      </c>
      <c r="K36" s="49">
        <f>'Avg Week Isingiro-Mbarara'!K36+'Avg Week Mbarara-Isingiro'!K36</f>
        <v>0</v>
      </c>
      <c r="L36" s="49">
        <f>'Avg Week Isingiro-Mbarara'!L36+'Avg Week Mbarara-Isingiro'!L36</f>
        <v>0</v>
      </c>
      <c r="M36" s="49">
        <f>'Avg Week Isingiro-Mbarara'!M36+'Avg Week Mbarara-Isingiro'!M36</f>
        <v>62.428571428571431</v>
      </c>
      <c r="N36" s="49">
        <f>'Avg Week Isingiro-Mbarara'!N36+'Avg Week Mbarara-Isingiro'!N36</f>
        <v>0</v>
      </c>
      <c r="O36" s="15">
        <f t="shared" si="0"/>
        <v>37.285714285714285</v>
      </c>
      <c r="P36" s="15">
        <f t="shared" si="1"/>
        <v>99.714285714285722</v>
      </c>
      <c r="R36" s="38" t="s">
        <v>92</v>
      </c>
      <c r="S36" s="39">
        <f t="shared" ref="S36:AF36" si="28">MAX(S19:S21)</f>
        <v>117.14285714285714</v>
      </c>
      <c r="T36" s="39">
        <f t="shared" si="28"/>
        <v>17.571428571428569</v>
      </c>
      <c r="U36" s="39">
        <f t="shared" si="28"/>
        <v>18.285714285714285</v>
      </c>
      <c r="V36" s="39">
        <f t="shared" si="28"/>
        <v>25.714285714285715</v>
      </c>
      <c r="W36" s="39">
        <f t="shared" si="28"/>
        <v>0.99999999999999989</v>
      </c>
      <c r="X36" s="39">
        <f t="shared" si="28"/>
        <v>0.14285714285714285</v>
      </c>
      <c r="Y36" s="39">
        <f t="shared" si="28"/>
        <v>16.714285714285712</v>
      </c>
      <c r="Z36" s="39">
        <f t="shared" si="28"/>
        <v>11.714285714285714</v>
      </c>
      <c r="AA36" s="39">
        <f t="shared" si="28"/>
        <v>1.7142857142857142</v>
      </c>
      <c r="AB36" s="39">
        <f t="shared" si="28"/>
        <v>1</v>
      </c>
      <c r="AC36" s="39">
        <f t="shared" si="28"/>
        <v>364.28571428571433</v>
      </c>
      <c r="AD36" s="39">
        <f t="shared" si="28"/>
        <v>0.14285714285714285</v>
      </c>
      <c r="AE36" s="40">
        <f t="shared" si="28"/>
        <v>204</v>
      </c>
      <c r="AF36" s="40">
        <f t="shared" si="28"/>
        <v>568.28571428571433</v>
      </c>
    </row>
    <row r="37" spans="2:32" ht="23.1" customHeight="1" x14ac:dyDescent="0.25">
      <c r="B37" s="23" t="s">
        <v>64</v>
      </c>
      <c r="C37" s="49">
        <f>'Avg Week Isingiro-Mbarara'!C37+'Avg Week Mbarara-Isingiro'!C37</f>
        <v>22.285714285714285</v>
      </c>
      <c r="D37" s="49">
        <f>'Avg Week Isingiro-Mbarara'!D37+'Avg Week Mbarara-Isingiro'!D37</f>
        <v>3.7142857142857144</v>
      </c>
      <c r="E37" s="49">
        <f>'Avg Week Isingiro-Mbarara'!E37+'Avg Week Mbarara-Isingiro'!E37</f>
        <v>3.5714285714285712</v>
      </c>
      <c r="F37" s="49">
        <f>'Avg Week Isingiro-Mbarara'!F37+'Avg Week Mbarara-Isingiro'!F37</f>
        <v>4.7142857142857144</v>
      </c>
      <c r="G37" s="49">
        <f>'Avg Week Isingiro-Mbarara'!G37+'Avg Week Mbarara-Isingiro'!G37</f>
        <v>0</v>
      </c>
      <c r="H37" s="49">
        <f>'Avg Week Isingiro-Mbarara'!H37+'Avg Week Mbarara-Isingiro'!H37</f>
        <v>0</v>
      </c>
      <c r="I37" s="49">
        <f>'Avg Week Isingiro-Mbarara'!I37+'Avg Week Mbarara-Isingiro'!I37</f>
        <v>2.7142857142857144</v>
      </c>
      <c r="J37" s="49">
        <f>'Avg Week Isingiro-Mbarara'!J37+'Avg Week Mbarara-Isingiro'!J37</f>
        <v>3.8571428571428568</v>
      </c>
      <c r="K37" s="49">
        <f>'Avg Week Isingiro-Mbarara'!K37+'Avg Week Mbarara-Isingiro'!K37</f>
        <v>0.2857142857142857</v>
      </c>
      <c r="L37" s="49">
        <f>'Avg Week Isingiro-Mbarara'!L37+'Avg Week Mbarara-Isingiro'!L37</f>
        <v>0.14285714285714285</v>
      </c>
      <c r="M37" s="49">
        <f>'Avg Week Isingiro-Mbarara'!M37+'Avg Week Mbarara-Isingiro'!M37</f>
        <v>72.142857142857139</v>
      </c>
      <c r="N37" s="49">
        <f>'Avg Week Isingiro-Mbarara'!N37+'Avg Week Mbarara-Isingiro'!N37</f>
        <v>0</v>
      </c>
      <c r="O37" s="15">
        <f t="shared" si="0"/>
        <v>41.285714285714285</v>
      </c>
      <c r="P37" s="15">
        <f t="shared" si="1"/>
        <v>113.42857142857142</v>
      </c>
      <c r="R37" s="37" t="s">
        <v>85</v>
      </c>
      <c r="S37" s="35">
        <f t="shared" ref="S37:AF37" si="29">SUM(S10:S12)</f>
        <v>235.28571428571428</v>
      </c>
      <c r="T37" s="16">
        <f t="shared" si="29"/>
        <v>42.714285714285708</v>
      </c>
      <c r="U37" s="16">
        <f t="shared" si="29"/>
        <v>44.714285714285715</v>
      </c>
      <c r="V37" s="16">
        <f t="shared" si="29"/>
        <v>68.714285714285708</v>
      </c>
      <c r="W37" s="16">
        <f t="shared" si="29"/>
        <v>0.99999999999999989</v>
      </c>
      <c r="X37" s="16">
        <f t="shared" si="29"/>
        <v>1.2857142857142856</v>
      </c>
      <c r="Y37" s="16">
        <f t="shared" si="29"/>
        <v>35.714285714285715</v>
      </c>
      <c r="Z37" s="16">
        <f t="shared" si="29"/>
        <v>27.285714285714285</v>
      </c>
      <c r="AA37" s="16">
        <f t="shared" si="29"/>
        <v>2.714285714285714</v>
      </c>
      <c r="AB37" s="16">
        <f t="shared" si="29"/>
        <v>2.4285714285714284</v>
      </c>
      <c r="AC37" s="16">
        <f t="shared" si="29"/>
        <v>897.14285714285711</v>
      </c>
      <c r="AD37" s="16">
        <f t="shared" si="29"/>
        <v>0</v>
      </c>
      <c r="AE37" s="32">
        <f t="shared" si="29"/>
        <v>461.85714285714283</v>
      </c>
      <c r="AF37" s="32">
        <f t="shared" si="29"/>
        <v>1359</v>
      </c>
    </row>
    <row r="38" spans="2:32" ht="23.1" customHeight="1" x14ac:dyDescent="0.25">
      <c r="B38" s="24" t="s">
        <v>65</v>
      </c>
      <c r="C38" s="49">
        <f>'Avg Week Isingiro-Mbarara'!C38+'Avg Week Mbarara-Isingiro'!C38</f>
        <v>18.142857142857142</v>
      </c>
      <c r="D38" s="49">
        <f>'Avg Week Isingiro-Mbarara'!D38+'Avg Week Mbarara-Isingiro'!D38</f>
        <v>4.2857142857142856</v>
      </c>
      <c r="E38" s="49">
        <f>'Avg Week Isingiro-Mbarara'!E38+'Avg Week Mbarara-Isingiro'!E38</f>
        <v>2.5714285714285716</v>
      </c>
      <c r="F38" s="49">
        <f>'Avg Week Isingiro-Mbarara'!F38+'Avg Week Mbarara-Isingiro'!F38</f>
        <v>4.5714285714285712</v>
      </c>
      <c r="G38" s="49">
        <f>'Avg Week Isingiro-Mbarara'!G38+'Avg Week Mbarara-Isingiro'!G38</f>
        <v>0</v>
      </c>
      <c r="H38" s="49">
        <f>'Avg Week Isingiro-Mbarara'!H38+'Avg Week Mbarara-Isingiro'!H38</f>
        <v>0</v>
      </c>
      <c r="I38" s="49">
        <f>'Avg Week Isingiro-Mbarara'!I38+'Avg Week Mbarara-Isingiro'!I38</f>
        <v>2.7142857142857144</v>
      </c>
      <c r="J38" s="49">
        <f>'Avg Week Isingiro-Mbarara'!J38+'Avg Week Mbarara-Isingiro'!J38</f>
        <v>1.5714285714285714</v>
      </c>
      <c r="K38" s="49">
        <f>'Avg Week Isingiro-Mbarara'!K38+'Avg Week Mbarara-Isingiro'!K38</f>
        <v>0.2857142857142857</v>
      </c>
      <c r="L38" s="49">
        <f>'Avg Week Isingiro-Mbarara'!L38+'Avg Week Mbarara-Isingiro'!L38</f>
        <v>0.14285714285714285</v>
      </c>
      <c r="M38" s="49">
        <f>'Avg Week Isingiro-Mbarara'!M38+'Avg Week Mbarara-Isingiro'!M38</f>
        <v>55.857142857142861</v>
      </c>
      <c r="N38" s="49">
        <f>'Avg Week Isingiro-Mbarara'!N38+'Avg Week Mbarara-Isingiro'!N38</f>
        <v>0</v>
      </c>
      <c r="O38" s="15">
        <f t="shared" si="0"/>
        <v>34.285714285714285</v>
      </c>
      <c r="P38" s="15">
        <f t="shared" si="1"/>
        <v>90.142857142857139</v>
      </c>
      <c r="R38" s="28" t="s">
        <v>86</v>
      </c>
      <c r="S38" s="16">
        <f t="shared" ref="S38:AF38" si="30">SUM(S13:S18)</f>
        <v>480.57142857142861</v>
      </c>
      <c r="T38" s="16">
        <f t="shared" si="30"/>
        <v>83.857142857142861</v>
      </c>
      <c r="U38" s="16">
        <f t="shared" si="30"/>
        <v>89.142857142857139</v>
      </c>
      <c r="V38" s="16">
        <f t="shared" si="30"/>
        <v>126.57142857142856</v>
      </c>
      <c r="W38" s="16">
        <f t="shared" si="30"/>
        <v>1.714285714285714</v>
      </c>
      <c r="X38" s="16">
        <f t="shared" si="30"/>
        <v>1.2857142857142856</v>
      </c>
      <c r="Y38" s="16">
        <f t="shared" si="30"/>
        <v>79.714285714285722</v>
      </c>
      <c r="Z38" s="16">
        <f t="shared" si="30"/>
        <v>62</v>
      </c>
      <c r="AA38" s="16">
        <f t="shared" si="30"/>
        <v>6.2857142857142847</v>
      </c>
      <c r="AB38" s="16">
        <f t="shared" si="30"/>
        <v>4.7142857142857144</v>
      </c>
      <c r="AC38" s="16">
        <f t="shared" si="30"/>
        <v>1604.1428571428571</v>
      </c>
      <c r="AD38" s="16">
        <f t="shared" si="30"/>
        <v>0.5714285714285714</v>
      </c>
      <c r="AE38" s="32">
        <f t="shared" si="30"/>
        <v>936.42857142857156</v>
      </c>
      <c r="AF38" s="32">
        <f t="shared" si="30"/>
        <v>2540.5714285714289</v>
      </c>
    </row>
    <row r="39" spans="2:32" ht="23.1" customHeight="1" x14ac:dyDescent="0.25">
      <c r="B39" s="24" t="s">
        <v>66</v>
      </c>
      <c r="C39" s="49">
        <f>'Avg Week Isingiro-Mbarara'!C39+'Avg Week Mbarara-Isingiro'!C39</f>
        <v>22.571428571428569</v>
      </c>
      <c r="D39" s="49">
        <f>'Avg Week Isingiro-Mbarara'!D39+'Avg Week Mbarara-Isingiro'!D39</f>
        <v>3.4285714285714288</v>
      </c>
      <c r="E39" s="49">
        <f>'Avg Week Isingiro-Mbarara'!E39+'Avg Week Mbarara-Isingiro'!E39</f>
        <v>5.8571428571428577</v>
      </c>
      <c r="F39" s="49">
        <f>'Avg Week Isingiro-Mbarara'!F39+'Avg Week Mbarara-Isingiro'!F39</f>
        <v>4.8571428571428568</v>
      </c>
      <c r="G39" s="49">
        <f>'Avg Week Isingiro-Mbarara'!G39+'Avg Week Mbarara-Isingiro'!G39</f>
        <v>0</v>
      </c>
      <c r="H39" s="49">
        <f>'Avg Week Isingiro-Mbarara'!H39+'Avg Week Mbarara-Isingiro'!H39</f>
        <v>0</v>
      </c>
      <c r="I39" s="49">
        <f>'Avg Week Isingiro-Mbarara'!I39+'Avg Week Mbarara-Isingiro'!I39</f>
        <v>3.8571428571428568</v>
      </c>
      <c r="J39" s="49">
        <f>'Avg Week Isingiro-Mbarara'!J39+'Avg Week Mbarara-Isingiro'!J39</f>
        <v>2</v>
      </c>
      <c r="K39" s="49">
        <f>'Avg Week Isingiro-Mbarara'!K39+'Avg Week Mbarara-Isingiro'!K39</f>
        <v>0.2857142857142857</v>
      </c>
      <c r="L39" s="49">
        <f>'Avg Week Isingiro-Mbarara'!L39+'Avg Week Mbarara-Isingiro'!L39</f>
        <v>0.14285714285714285</v>
      </c>
      <c r="M39" s="49">
        <f>'Avg Week Isingiro-Mbarara'!M39+'Avg Week Mbarara-Isingiro'!M39</f>
        <v>60.857142857142861</v>
      </c>
      <c r="N39" s="49">
        <f>'Avg Week Isingiro-Mbarara'!N39+'Avg Week Mbarara-Isingiro'!N39</f>
        <v>0</v>
      </c>
      <c r="O39" s="15">
        <f t="shared" si="0"/>
        <v>43</v>
      </c>
      <c r="P39" s="15">
        <f t="shared" si="1"/>
        <v>103.85714285714286</v>
      </c>
      <c r="R39" s="29" t="s">
        <v>87</v>
      </c>
      <c r="S39" s="16">
        <f t="shared" ref="S39:AF39" si="31">SUM(S19:S21)</f>
        <v>302.42857142857144</v>
      </c>
      <c r="T39" s="16">
        <f t="shared" si="31"/>
        <v>51.571428571428569</v>
      </c>
      <c r="U39" s="16">
        <f t="shared" si="31"/>
        <v>51.714285714285715</v>
      </c>
      <c r="V39" s="16">
        <f t="shared" si="31"/>
        <v>71.571428571428569</v>
      </c>
      <c r="W39" s="16">
        <f t="shared" si="31"/>
        <v>1.857142857142857</v>
      </c>
      <c r="X39" s="16">
        <f t="shared" si="31"/>
        <v>0.14285714285714285</v>
      </c>
      <c r="Y39" s="16">
        <f t="shared" si="31"/>
        <v>47.857142857142854</v>
      </c>
      <c r="Z39" s="16">
        <f t="shared" si="31"/>
        <v>32.571428571428569</v>
      </c>
      <c r="AA39" s="16">
        <f t="shared" si="31"/>
        <v>3.2857142857142856</v>
      </c>
      <c r="AB39" s="16">
        <f t="shared" si="31"/>
        <v>1.8571428571428572</v>
      </c>
      <c r="AC39" s="16">
        <f t="shared" si="31"/>
        <v>1006.857142857143</v>
      </c>
      <c r="AD39" s="16">
        <f t="shared" si="31"/>
        <v>0.14285714285714285</v>
      </c>
      <c r="AE39" s="32">
        <f t="shared" si="31"/>
        <v>565</v>
      </c>
      <c r="AF39" s="32">
        <f t="shared" si="31"/>
        <v>1571.8571428571429</v>
      </c>
    </row>
    <row r="40" spans="2:32" ht="23.1" customHeight="1" x14ac:dyDescent="0.25">
      <c r="B40" s="24" t="s">
        <v>67</v>
      </c>
      <c r="C40" s="49">
        <f>'Avg Week Isingiro-Mbarara'!C40+'Avg Week Mbarara-Isingiro'!C40</f>
        <v>21.428571428571431</v>
      </c>
      <c r="D40" s="49">
        <f>'Avg Week Isingiro-Mbarara'!D40+'Avg Week Mbarara-Isingiro'!D40</f>
        <v>5.2857142857142856</v>
      </c>
      <c r="E40" s="49">
        <f>'Avg Week Isingiro-Mbarara'!E40+'Avg Week Mbarara-Isingiro'!E40</f>
        <v>4.1428571428571432</v>
      </c>
      <c r="F40" s="49">
        <f>'Avg Week Isingiro-Mbarara'!F40+'Avg Week Mbarara-Isingiro'!F40</f>
        <v>4.2857142857142856</v>
      </c>
      <c r="G40" s="49">
        <f>'Avg Week Isingiro-Mbarara'!G40+'Avg Week Mbarara-Isingiro'!G40</f>
        <v>0</v>
      </c>
      <c r="H40" s="49">
        <f>'Avg Week Isingiro-Mbarara'!H40+'Avg Week Mbarara-Isingiro'!H40</f>
        <v>0</v>
      </c>
      <c r="I40" s="49">
        <f>'Avg Week Isingiro-Mbarara'!I40+'Avg Week Mbarara-Isingiro'!I40</f>
        <v>3.2857142857142856</v>
      </c>
      <c r="J40" s="49">
        <f>'Avg Week Isingiro-Mbarara'!J40+'Avg Week Mbarara-Isingiro'!J40</f>
        <v>3.4285714285714288</v>
      </c>
      <c r="K40" s="49">
        <f>'Avg Week Isingiro-Mbarara'!K40+'Avg Week Mbarara-Isingiro'!K40</f>
        <v>0.42857142857142855</v>
      </c>
      <c r="L40" s="49">
        <f>'Avg Week Isingiro-Mbarara'!L40+'Avg Week Mbarara-Isingiro'!L40</f>
        <v>0.2857142857142857</v>
      </c>
      <c r="M40" s="49">
        <f>'Avg Week Isingiro-Mbarara'!M40+'Avg Week Mbarara-Isingiro'!M40</f>
        <v>62.285714285714292</v>
      </c>
      <c r="N40" s="49">
        <f>'Avg Week Isingiro-Mbarara'!N40+'Avg Week Mbarara-Isingiro'!N40</f>
        <v>0</v>
      </c>
      <c r="O40" s="15">
        <f t="shared" si="0"/>
        <v>42.571428571428577</v>
      </c>
      <c r="P40" s="15">
        <f t="shared" si="1"/>
        <v>104.85714285714286</v>
      </c>
      <c r="R40" s="5" t="s">
        <v>17</v>
      </c>
      <c r="S40" s="16">
        <f t="shared" ref="S40:AF40" si="32">SUM(S10:S21)</f>
        <v>1018.2857142857144</v>
      </c>
      <c r="T40" s="16">
        <f t="shared" si="32"/>
        <v>178.14285714285717</v>
      </c>
      <c r="U40" s="16">
        <f t="shared" si="32"/>
        <v>185.57142857142856</v>
      </c>
      <c r="V40" s="16">
        <f t="shared" si="32"/>
        <v>266.85714285714283</v>
      </c>
      <c r="W40" s="16">
        <f t="shared" si="32"/>
        <v>4.5714285714285703</v>
      </c>
      <c r="X40" s="16">
        <f t="shared" si="32"/>
        <v>2.714285714285714</v>
      </c>
      <c r="Y40" s="16">
        <f t="shared" si="32"/>
        <v>163.28571428571428</v>
      </c>
      <c r="Z40" s="16">
        <f t="shared" si="32"/>
        <v>121.85714285714285</v>
      </c>
      <c r="AA40" s="16">
        <f t="shared" si="32"/>
        <v>12.285714285714283</v>
      </c>
      <c r="AB40" s="16">
        <f t="shared" si="32"/>
        <v>9</v>
      </c>
      <c r="AC40" s="16">
        <f t="shared" si="32"/>
        <v>3508.1428571428573</v>
      </c>
      <c r="AD40" s="16">
        <f t="shared" si="32"/>
        <v>0.71428571428571419</v>
      </c>
      <c r="AE40" s="32">
        <f t="shared" si="32"/>
        <v>1963.2857142857144</v>
      </c>
      <c r="AF40" s="32">
        <f t="shared" si="32"/>
        <v>5471.4285714285725</v>
      </c>
    </row>
    <row r="41" spans="2:32" ht="23.1" customHeight="1" x14ac:dyDescent="0.25">
      <c r="B41" s="23" t="s">
        <v>68</v>
      </c>
      <c r="C41" s="49">
        <f>'Avg Week Isingiro-Mbarara'!C41+'Avg Week Mbarara-Isingiro'!C41</f>
        <v>22.142857142857142</v>
      </c>
      <c r="D41" s="49">
        <f>'Avg Week Isingiro-Mbarara'!D41+'Avg Week Mbarara-Isingiro'!D41</f>
        <v>3.4285714285714288</v>
      </c>
      <c r="E41" s="49">
        <f>'Avg Week Isingiro-Mbarara'!E41+'Avg Week Mbarara-Isingiro'!E41</f>
        <v>2.7142857142857144</v>
      </c>
      <c r="F41" s="49">
        <f>'Avg Week Isingiro-Mbarara'!F41+'Avg Week Mbarara-Isingiro'!F41</f>
        <v>4.4285714285714288</v>
      </c>
      <c r="G41" s="49">
        <f>'Avg Week Isingiro-Mbarara'!G41+'Avg Week Mbarara-Isingiro'!G41</f>
        <v>0</v>
      </c>
      <c r="H41" s="49">
        <f>'Avg Week Isingiro-Mbarara'!H41+'Avg Week Mbarara-Isingiro'!H41</f>
        <v>0.14285714285714285</v>
      </c>
      <c r="I41" s="49">
        <f>'Avg Week Isingiro-Mbarara'!I41+'Avg Week Mbarara-Isingiro'!I41</f>
        <v>2.2857142857142856</v>
      </c>
      <c r="J41" s="49">
        <f>'Avg Week Isingiro-Mbarara'!J41+'Avg Week Mbarara-Isingiro'!J41</f>
        <v>2.1428571428571428</v>
      </c>
      <c r="K41" s="49">
        <f>'Avg Week Isingiro-Mbarara'!K41+'Avg Week Mbarara-Isingiro'!K41</f>
        <v>0</v>
      </c>
      <c r="L41" s="49">
        <f>'Avg Week Isingiro-Mbarara'!L41+'Avg Week Mbarara-Isingiro'!L41</f>
        <v>0.14285714285714285</v>
      </c>
      <c r="M41" s="49">
        <f>'Avg Week Isingiro-Mbarara'!M41+'Avg Week Mbarara-Isingiro'!M41</f>
        <v>57</v>
      </c>
      <c r="N41" s="49">
        <f>'Avg Week Isingiro-Mbarara'!N41+'Avg Week Mbarara-Isingiro'!N41</f>
        <v>0</v>
      </c>
      <c r="O41" s="15">
        <f t="shared" si="0"/>
        <v>37.428571428571438</v>
      </c>
      <c r="P41" s="15">
        <f t="shared" si="1"/>
        <v>94.428571428571445</v>
      </c>
      <c r="R41" s="5" t="s">
        <v>180</v>
      </c>
      <c r="S41" s="53">
        <f>SUM(S10:S33)</f>
        <v>1388.7857142857144</v>
      </c>
      <c r="T41" s="53">
        <f t="shared" ref="T41:AD41" si="33">SUM(T10:T33)</f>
        <v>223.64285714285717</v>
      </c>
      <c r="U41" s="53">
        <f t="shared" si="33"/>
        <v>228.07142857142856</v>
      </c>
      <c r="V41" s="53">
        <f t="shared" si="33"/>
        <v>325.85714285714283</v>
      </c>
      <c r="W41" s="53">
        <f t="shared" si="33"/>
        <v>6.0714285714285703</v>
      </c>
      <c r="X41" s="53">
        <f t="shared" si="33"/>
        <v>3.214285714285714</v>
      </c>
      <c r="Y41" s="53">
        <f t="shared" si="33"/>
        <v>226.28571428571428</v>
      </c>
      <c r="Z41" s="53">
        <f t="shared" si="33"/>
        <v>169.85714285714283</v>
      </c>
      <c r="AA41" s="53">
        <f t="shared" si="33"/>
        <v>16.785714285714285</v>
      </c>
      <c r="AB41" s="53">
        <f t="shared" si="33"/>
        <v>16</v>
      </c>
      <c r="AC41" s="53">
        <f t="shared" si="33"/>
        <v>4389.1428571428569</v>
      </c>
      <c r="AD41" s="53">
        <f t="shared" si="33"/>
        <v>0.71428571428571419</v>
      </c>
      <c r="AE41" s="54">
        <f>SUM(AE10:AE33)</f>
        <v>2605.2857142857147</v>
      </c>
      <c r="AF41" s="54">
        <f>SUM(AF10:AF33)</f>
        <v>6994.4285714285725</v>
      </c>
    </row>
    <row r="42" spans="2:32" ht="23.1" customHeight="1" x14ac:dyDescent="0.25">
      <c r="B42" s="24" t="s">
        <v>69</v>
      </c>
      <c r="C42" s="49">
        <f>'Avg Week Isingiro-Mbarara'!C42+'Avg Week Mbarara-Isingiro'!C42</f>
        <v>17.714285714285715</v>
      </c>
      <c r="D42" s="49">
        <f>'Avg Week Isingiro-Mbarara'!D42+'Avg Week Mbarara-Isingiro'!D42</f>
        <v>5</v>
      </c>
      <c r="E42" s="49">
        <f>'Avg Week Isingiro-Mbarara'!E42+'Avg Week Mbarara-Isingiro'!E42</f>
        <v>3.8571428571428568</v>
      </c>
      <c r="F42" s="49">
        <f>'Avg Week Isingiro-Mbarara'!F42+'Avg Week Mbarara-Isingiro'!F42</f>
        <v>5.8571428571428577</v>
      </c>
      <c r="G42" s="49">
        <f>'Avg Week Isingiro-Mbarara'!G42+'Avg Week Mbarara-Isingiro'!G42</f>
        <v>0</v>
      </c>
      <c r="H42" s="49">
        <f>'Avg Week Isingiro-Mbarara'!H42+'Avg Week Mbarara-Isingiro'!H42</f>
        <v>0</v>
      </c>
      <c r="I42" s="49">
        <f>'Avg Week Isingiro-Mbarara'!I42+'Avg Week Mbarara-Isingiro'!I42</f>
        <v>3</v>
      </c>
      <c r="J42" s="49">
        <f>'Avg Week Isingiro-Mbarara'!J42+'Avg Week Mbarara-Isingiro'!J42</f>
        <v>2.714285714285714</v>
      </c>
      <c r="K42" s="49">
        <f>'Avg Week Isingiro-Mbarara'!K42+'Avg Week Mbarara-Isingiro'!K42</f>
        <v>0.2857142857142857</v>
      </c>
      <c r="L42" s="49">
        <f>'Avg Week Isingiro-Mbarara'!L42+'Avg Week Mbarara-Isingiro'!L42</f>
        <v>0.42857142857142855</v>
      </c>
      <c r="M42" s="49">
        <f>'Avg Week Isingiro-Mbarara'!M42+'Avg Week Mbarara-Isingiro'!M42</f>
        <v>62.571428571428569</v>
      </c>
      <c r="N42" s="49">
        <f>'Avg Week Isingiro-Mbarara'!N42+'Avg Week Mbarara-Isingiro'!N42</f>
        <v>0</v>
      </c>
      <c r="O42" s="15">
        <f t="shared" si="0"/>
        <v>38.857142857142861</v>
      </c>
      <c r="P42" s="15">
        <f t="shared" si="1"/>
        <v>101.42857142857143</v>
      </c>
      <c r="R42" s="5" t="s">
        <v>160</v>
      </c>
      <c r="S42" s="48">
        <f>S41/S40</f>
        <v>1.3638468013468013</v>
      </c>
      <c r="T42" s="48">
        <f t="shared" ref="T42:AF42" si="34">T41/T40</f>
        <v>1.2554129911788292</v>
      </c>
      <c r="U42" s="48">
        <f t="shared" si="34"/>
        <v>1.229022324865281</v>
      </c>
      <c r="V42" s="48">
        <f t="shared" si="34"/>
        <v>1.2210920770877944</v>
      </c>
      <c r="W42" s="48">
        <f t="shared" si="34"/>
        <v>1.328125</v>
      </c>
      <c r="X42" s="48">
        <f t="shared" si="34"/>
        <v>1.1842105263157896</v>
      </c>
      <c r="Y42" s="48">
        <f t="shared" si="34"/>
        <v>1.3858267716535433</v>
      </c>
      <c r="Z42" s="48">
        <f t="shared" si="34"/>
        <v>1.3939038686987104</v>
      </c>
      <c r="AA42" s="48">
        <f t="shared" si="34"/>
        <v>1.3662790697674421</v>
      </c>
      <c r="AB42" s="48">
        <f t="shared" si="34"/>
        <v>1.7777777777777777</v>
      </c>
      <c r="AC42" s="48">
        <f t="shared" si="34"/>
        <v>1.2511300240257359</v>
      </c>
      <c r="AD42" s="48">
        <f t="shared" si="34"/>
        <v>1</v>
      </c>
      <c r="AE42" s="52">
        <f t="shared" si="34"/>
        <v>1.3270028378083389</v>
      </c>
      <c r="AF42" s="52">
        <f t="shared" si="34"/>
        <v>1.278355091383812</v>
      </c>
    </row>
    <row r="43" spans="2:32" ht="23.1" customHeight="1" x14ac:dyDescent="0.25">
      <c r="B43" s="23" t="s">
        <v>70</v>
      </c>
      <c r="C43" s="49">
        <f>'Avg Week Isingiro-Mbarara'!C43+'Avg Week Mbarara-Isingiro'!C43</f>
        <v>18.714285714285715</v>
      </c>
      <c r="D43" s="49">
        <f>'Avg Week Isingiro-Mbarara'!D43+'Avg Week Mbarara-Isingiro'!D43</f>
        <v>2.1428571428571428</v>
      </c>
      <c r="E43" s="49">
        <f>'Avg Week Isingiro-Mbarara'!E43+'Avg Week Mbarara-Isingiro'!E43</f>
        <v>2.8571428571428572</v>
      </c>
      <c r="F43" s="49">
        <f>'Avg Week Isingiro-Mbarara'!F43+'Avg Week Mbarara-Isingiro'!F43</f>
        <v>4.8571428571428568</v>
      </c>
      <c r="G43" s="49">
        <f>'Avg Week Isingiro-Mbarara'!G43+'Avg Week Mbarara-Isingiro'!G43</f>
        <v>0</v>
      </c>
      <c r="H43" s="49">
        <f>'Avg Week Isingiro-Mbarara'!H43+'Avg Week Mbarara-Isingiro'!H43</f>
        <v>0</v>
      </c>
      <c r="I43" s="49">
        <f>'Avg Week Isingiro-Mbarara'!I43+'Avg Week Mbarara-Isingiro'!I43</f>
        <v>3.2857142857142856</v>
      </c>
      <c r="J43" s="49">
        <f>'Avg Week Isingiro-Mbarara'!J43+'Avg Week Mbarara-Isingiro'!J43</f>
        <v>2</v>
      </c>
      <c r="K43" s="49">
        <f>'Avg Week Isingiro-Mbarara'!K43+'Avg Week Mbarara-Isingiro'!K43</f>
        <v>0.8571428571428571</v>
      </c>
      <c r="L43" s="49">
        <f>'Avg Week Isingiro-Mbarara'!L43+'Avg Week Mbarara-Isingiro'!L43</f>
        <v>0</v>
      </c>
      <c r="M43" s="49">
        <f>'Avg Week Isingiro-Mbarara'!M43+'Avg Week Mbarara-Isingiro'!M43</f>
        <v>58.428571428571431</v>
      </c>
      <c r="N43" s="49">
        <f>'Avg Week Isingiro-Mbarara'!N43+'Avg Week Mbarara-Isingiro'!N43</f>
        <v>0</v>
      </c>
      <c r="O43" s="15">
        <f t="shared" si="0"/>
        <v>34.714285714285715</v>
      </c>
      <c r="P43" s="15">
        <f t="shared" si="1"/>
        <v>93.142857142857139</v>
      </c>
    </row>
    <row r="44" spans="2:32" ht="23.1" customHeight="1" x14ac:dyDescent="0.25">
      <c r="B44" s="25" t="s">
        <v>71</v>
      </c>
      <c r="C44" s="49">
        <f>'Avg Week Isingiro-Mbarara'!C44+'Avg Week Mbarara-Isingiro'!C44</f>
        <v>18.142857142857142</v>
      </c>
      <c r="D44" s="49">
        <f>'Avg Week Isingiro-Mbarara'!D44+'Avg Week Mbarara-Isingiro'!D44</f>
        <v>2.7142857142857144</v>
      </c>
      <c r="E44" s="49">
        <f>'Avg Week Isingiro-Mbarara'!E44+'Avg Week Mbarara-Isingiro'!E44</f>
        <v>3.8571428571428568</v>
      </c>
      <c r="F44" s="49">
        <f>'Avg Week Isingiro-Mbarara'!F44+'Avg Week Mbarara-Isingiro'!F44</f>
        <v>5.1428571428571423</v>
      </c>
      <c r="G44" s="49">
        <f>'Avg Week Isingiro-Mbarara'!G44+'Avg Week Mbarara-Isingiro'!G44</f>
        <v>0</v>
      </c>
      <c r="H44" s="49">
        <f>'Avg Week Isingiro-Mbarara'!H44+'Avg Week Mbarara-Isingiro'!H44</f>
        <v>0</v>
      </c>
      <c r="I44" s="49">
        <f>'Avg Week Isingiro-Mbarara'!I44+'Avg Week Mbarara-Isingiro'!I44</f>
        <v>3.7142857142857144</v>
      </c>
      <c r="J44" s="49">
        <f>'Avg Week Isingiro-Mbarara'!J44+'Avg Week Mbarara-Isingiro'!J44</f>
        <v>3.4285714285714288</v>
      </c>
      <c r="K44" s="49">
        <f>'Avg Week Isingiro-Mbarara'!K44+'Avg Week Mbarara-Isingiro'!K44</f>
        <v>0.42857142857142855</v>
      </c>
      <c r="L44" s="49">
        <f>'Avg Week Isingiro-Mbarara'!L44+'Avg Week Mbarara-Isingiro'!L44</f>
        <v>0.2857142857142857</v>
      </c>
      <c r="M44" s="49">
        <f>'Avg Week Isingiro-Mbarara'!M44+'Avg Week Mbarara-Isingiro'!M44</f>
        <v>53.714285714285715</v>
      </c>
      <c r="N44" s="49">
        <f>'Avg Week Isingiro-Mbarara'!N44+'Avg Week Mbarara-Isingiro'!N44</f>
        <v>0</v>
      </c>
      <c r="O44" s="15">
        <f t="shared" si="0"/>
        <v>37.714285714285715</v>
      </c>
      <c r="P44" s="15">
        <f t="shared" si="1"/>
        <v>91.428571428571431</v>
      </c>
    </row>
    <row r="45" spans="2:32" ht="23.1" customHeight="1" x14ac:dyDescent="0.25">
      <c r="B45" s="23" t="s">
        <v>72</v>
      </c>
      <c r="C45" s="49">
        <f>'Avg Week Isingiro-Mbarara'!C45+'Avg Week Mbarara-Isingiro'!C45</f>
        <v>23.857142857142858</v>
      </c>
      <c r="D45" s="49">
        <f>'Avg Week Isingiro-Mbarara'!D45+'Avg Week Mbarara-Isingiro'!D45</f>
        <v>5.4285714285714288</v>
      </c>
      <c r="E45" s="49">
        <f>'Avg Week Isingiro-Mbarara'!E45+'Avg Week Mbarara-Isingiro'!E45</f>
        <v>4</v>
      </c>
      <c r="F45" s="49">
        <f>'Avg Week Isingiro-Mbarara'!F45+'Avg Week Mbarara-Isingiro'!F45</f>
        <v>5.7142857142857135</v>
      </c>
      <c r="G45" s="49">
        <f>'Avg Week Isingiro-Mbarara'!G45+'Avg Week Mbarara-Isingiro'!G45</f>
        <v>0.2857142857142857</v>
      </c>
      <c r="H45" s="49">
        <f>'Avg Week Isingiro-Mbarara'!H45+'Avg Week Mbarara-Isingiro'!H45</f>
        <v>0.7142857142857143</v>
      </c>
      <c r="I45" s="49">
        <f>'Avg Week Isingiro-Mbarara'!I45+'Avg Week Mbarara-Isingiro'!I45</f>
        <v>1.8571428571428572</v>
      </c>
      <c r="J45" s="49">
        <f>'Avg Week Isingiro-Mbarara'!J45+'Avg Week Mbarara-Isingiro'!J45</f>
        <v>2.7142857142857144</v>
      </c>
      <c r="K45" s="49">
        <f>'Avg Week Isingiro-Mbarara'!K45+'Avg Week Mbarara-Isingiro'!K45</f>
        <v>0</v>
      </c>
      <c r="L45" s="49">
        <f>'Avg Week Isingiro-Mbarara'!L45+'Avg Week Mbarara-Isingiro'!L45</f>
        <v>0</v>
      </c>
      <c r="M45" s="49">
        <f>'Avg Week Isingiro-Mbarara'!M45+'Avg Week Mbarara-Isingiro'!M45</f>
        <v>71.142857142857139</v>
      </c>
      <c r="N45" s="49">
        <f>'Avg Week Isingiro-Mbarara'!N45+'Avg Week Mbarara-Isingiro'!N45</f>
        <v>0</v>
      </c>
      <c r="O45" s="15">
        <f t="shared" si="0"/>
        <v>44.571428571428569</v>
      </c>
      <c r="P45" s="15">
        <f t="shared" si="1"/>
        <v>115.71428571428571</v>
      </c>
    </row>
    <row r="46" spans="2:32" ht="23.1" customHeight="1" x14ac:dyDescent="0.25">
      <c r="B46" s="24" t="s">
        <v>73</v>
      </c>
      <c r="C46" s="49">
        <f>'Avg Week Isingiro-Mbarara'!C46+'Avg Week Mbarara-Isingiro'!C46</f>
        <v>21.142857142857142</v>
      </c>
      <c r="D46" s="49">
        <f>'Avg Week Isingiro-Mbarara'!D46+'Avg Week Mbarara-Isingiro'!D46</f>
        <v>4.4285714285714288</v>
      </c>
      <c r="E46" s="49">
        <f>'Avg Week Isingiro-Mbarara'!E46+'Avg Week Mbarara-Isingiro'!E46</f>
        <v>4.5714285714285712</v>
      </c>
      <c r="F46" s="49">
        <f>'Avg Week Isingiro-Mbarara'!F46+'Avg Week Mbarara-Isingiro'!F46</f>
        <v>6.1428571428571432</v>
      </c>
      <c r="G46" s="49">
        <f>'Avg Week Isingiro-Mbarara'!G46+'Avg Week Mbarara-Isingiro'!G46</f>
        <v>0.42857142857142855</v>
      </c>
      <c r="H46" s="49">
        <f>'Avg Week Isingiro-Mbarara'!H46+'Avg Week Mbarara-Isingiro'!H46</f>
        <v>0</v>
      </c>
      <c r="I46" s="49">
        <f>'Avg Week Isingiro-Mbarara'!I46+'Avg Week Mbarara-Isingiro'!I46</f>
        <v>4</v>
      </c>
      <c r="J46" s="49">
        <f>'Avg Week Isingiro-Mbarara'!J46+'Avg Week Mbarara-Isingiro'!J46</f>
        <v>2.8571428571428572</v>
      </c>
      <c r="K46" s="49">
        <f>'Avg Week Isingiro-Mbarara'!K46+'Avg Week Mbarara-Isingiro'!K46</f>
        <v>0.14285714285714285</v>
      </c>
      <c r="L46" s="49">
        <f>'Avg Week Isingiro-Mbarara'!L46+'Avg Week Mbarara-Isingiro'!L46</f>
        <v>0.14285714285714285</v>
      </c>
      <c r="M46" s="49">
        <f>'Avg Week Isingiro-Mbarara'!M46+'Avg Week Mbarara-Isingiro'!M46</f>
        <v>77.285714285714278</v>
      </c>
      <c r="N46" s="49">
        <f>'Avg Week Isingiro-Mbarara'!N46+'Avg Week Mbarara-Isingiro'!N46</f>
        <v>0</v>
      </c>
      <c r="O46" s="15">
        <f t="shared" si="0"/>
        <v>43.857142857142861</v>
      </c>
      <c r="P46" s="15">
        <f t="shared" si="1"/>
        <v>121.14285714285714</v>
      </c>
      <c r="R46" s="8"/>
      <c r="T46"/>
    </row>
    <row r="47" spans="2:32" ht="23.1" customHeight="1" x14ac:dyDescent="0.25">
      <c r="B47" s="24" t="s">
        <v>74</v>
      </c>
      <c r="C47" s="49">
        <f>'Avg Week Isingiro-Mbarara'!C47+'Avg Week Mbarara-Isingiro'!C47</f>
        <v>20.285714285714285</v>
      </c>
      <c r="D47" s="49">
        <f>'Avg Week Isingiro-Mbarara'!D47+'Avg Week Mbarara-Isingiro'!D47</f>
        <v>4</v>
      </c>
      <c r="E47" s="49">
        <f>'Avg Week Isingiro-Mbarara'!E47+'Avg Week Mbarara-Isingiro'!E47</f>
        <v>4.7142857142857144</v>
      </c>
      <c r="F47" s="49">
        <f>'Avg Week Isingiro-Mbarara'!F47+'Avg Week Mbarara-Isingiro'!F47</f>
        <v>4.8571428571428577</v>
      </c>
      <c r="G47" s="49">
        <f>'Avg Week Isingiro-Mbarara'!G47+'Avg Week Mbarara-Isingiro'!G47</f>
        <v>0.14285714285714285</v>
      </c>
      <c r="H47" s="49">
        <f>'Avg Week Isingiro-Mbarara'!H47+'Avg Week Mbarara-Isingiro'!H47</f>
        <v>0</v>
      </c>
      <c r="I47" s="49">
        <f>'Avg Week Isingiro-Mbarara'!I47+'Avg Week Mbarara-Isingiro'!I47</f>
        <v>5.2857142857142856</v>
      </c>
      <c r="J47" s="49">
        <f>'Avg Week Isingiro-Mbarara'!J47+'Avg Week Mbarara-Isingiro'!J47</f>
        <v>3.4285714285714284</v>
      </c>
      <c r="K47" s="49">
        <f>'Avg Week Isingiro-Mbarara'!K47+'Avg Week Mbarara-Isingiro'!K47</f>
        <v>0.2857142857142857</v>
      </c>
      <c r="L47" s="49">
        <f>'Avg Week Isingiro-Mbarara'!L47+'Avg Week Mbarara-Isingiro'!L47</f>
        <v>0.2857142857142857</v>
      </c>
      <c r="M47" s="49">
        <f>'Avg Week Isingiro-Mbarara'!M47+'Avg Week Mbarara-Isingiro'!M47</f>
        <v>74</v>
      </c>
      <c r="N47" s="49">
        <f>'Avg Week Isingiro-Mbarara'!N47+'Avg Week Mbarara-Isingiro'!N47</f>
        <v>0</v>
      </c>
      <c r="O47" s="15">
        <f t="shared" si="0"/>
        <v>43.285714285714292</v>
      </c>
      <c r="P47" s="15">
        <f t="shared" si="1"/>
        <v>117.28571428571429</v>
      </c>
      <c r="R47" s="8"/>
      <c r="T47"/>
    </row>
    <row r="48" spans="2:32" ht="23.1" customHeight="1" x14ac:dyDescent="0.25">
      <c r="B48" s="24" t="s">
        <v>75</v>
      </c>
      <c r="C48" s="49">
        <f>'Avg Week Isingiro-Mbarara'!C48+'Avg Week Mbarara-Isingiro'!C48</f>
        <v>23.428571428571431</v>
      </c>
      <c r="D48" s="49">
        <f>'Avg Week Isingiro-Mbarara'!D48+'Avg Week Mbarara-Isingiro'!D48</f>
        <v>4.1428571428571423</v>
      </c>
      <c r="E48" s="49">
        <f>'Avg Week Isingiro-Mbarara'!E48+'Avg Week Mbarara-Isingiro'!E48</f>
        <v>4</v>
      </c>
      <c r="F48" s="49">
        <f>'Avg Week Isingiro-Mbarara'!F48+'Avg Week Mbarara-Isingiro'!F48</f>
        <v>4.2857142857142856</v>
      </c>
      <c r="G48" s="49">
        <f>'Avg Week Isingiro-Mbarara'!G48+'Avg Week Mbarara-Isingiro'!G48</f>
        <v>0</v>
      </c>
      <c r="H48" s="49">
        <f>'Avg Week Isingiro-Mbarara'!H48+'Avg Week Mbarara-Isingiro'!H48</f>
        <v>0</v>
      </c>
      <c r="I48" s="49">
        <f>'Avg Week Isingiro-Mbarara'!I48+'Avg Week Mbarara-Isingiro'!I48</f>
        <v>4.5714285714285712</v>
      </c>
      <c r="J48" s="49">
        <f>'Avg Week Isingiro-Mbarara'!J48+'Avg Week Mbarara-Isingiro'!J48</f>
        <v>2</v>
      </c>
      <c r="K48" s="49">
        <f>'Avg Week Isingiro-Mbarara'!K48+'Avg Week Mbarara-Isingiro'!K48</f>
        <v>0.14285714285714285</v>
      </c>
      <c r="L48" s="49">
        <f>'Avg Week Isingiro-Mbarara'!L48+'Avg Week Mbarara-Isingiro'!L48</f>
        <v>0</v>
      </c>
      <c r="M48" s="49">
        <f>'Avg Week Isingiro-Mbarara'!M48+'Avg Week Mbarara-Isingiro'!M48</f>
        <v>80.857142857142861</v>
      </c>
      <c r="N48" s="49">
        <f>'Avg Week Isingiro-Mbarara'!N48+'Avg Week Mbarara-Isingiro'!N48</f>
        <v>0.14285714285714285</v>
      </c>
      <c r="O48" s="15">
        <f t="shared" si="0"/>
        <v>42.714285714285722</v>
      </c>
      <c r="P48" s="15">
        <f t="shared" si="1"/>
        <v>123.57142857142858</v>
      </c>
      <c r="R48" s="8"/>
      <c r="T48"/>
    </row>
    <row r="49" spans="2:20" ht="23.1" customHeight="1" x14ac:dyDescent="0.25">
      <c r="B49" s="23" t="s">
        <v>76</v>
      </c>
      <c r="C49" s="49">
        <f>'Avg Week Isingiro-Mbarara'!C49+'Avg Week Mbarara-Isingiro'!C49</f>
        <v>22.428571428571427</v>
      </c>
      <c r="D49" s="49">
        <f>'Avg Week Isingiro-Mbarara'!D49+'Avg Week Mbarara-Isingiro'!D49</f>
        <v>5</v>
      </c>
      <c r="E49" s="49">
        <f>'Avg Week Isingiro-Mbarara'!E49+'Avg Week Mbarara-Isingiro'!E49</f>
        <v>3.8571428571428572</v>
      </c>
      <c r="F49" s="49">
        <f>'Avg Week Isingiro-Mbarara'!F49+'Avg Week Mbarara-Isingiro'!F49</f>
        <v>8.2857142857142847</v>
      </c>
      <c r="G49" s="49">
        <f>'Avg Week Isingiro-Mbarara'!G49+'Avg Week Mbarara-Isingiro'!G49</f>
        <v>0</v>
      </c>
      <c r="H49" s="49">
        <f>'Avg Week Isingiro-Mbarara'!H49+'Avg Week Mbarara-Isingiro'!H49</f>
        <v>0</v>
      </c>
      <c r="I49" s="49">
        <f>'Avg Week Isingiro-Mbarara'!I49+'Avg Week Mbarara-Isingiro'!I49</f>
        <v>2.8571428571428572</v>
      </c>
      <c r="J49" s="49">
        <f>'Avg Week Isingiro-Mbarara'!J49+'Avg Week Mbarara-Isingiro'!J49</f>
        <v>3.4285714285714288</v>
      </c>
      <c r="K49" s="49">
        <f>'Avg Week Isingiro-Mbarara'!K49+'Avg Week Mbarara-Isingiro'!K49</f>
        <v>0.14285714285714285</v>
      </c>
      <c r="L49" s="49">
        <f>'Avg Week Isingiro-Mbarara'!L49+'Avg Week Mbarara-Isingiro'!L49</f>
        <v>0.5714285714285714</v>
      </c>
      <c r="M49" s="49">
        <f>'Avg Week Isingiro-Mbarara'!M49+'Avg Week Mbarara-Isingiro'!M49</f>
        <v>75.571428571428569</v>
      </c>
      <c r="N49" s="49">
        <f>'Avg Week Isingiro-Mbarara'!N49+'Avg Week Mbarara-Isingiro'!N49</f>
        <v>0</v>
      </c>
      <c r="O49" s="15">
        <f t="shared" si="0"/>
        <v>46.571428571428569</v>
      </c>
      <c r="P49" s="15">
        <f t="shared" si="1"/>
        <v>122.14285714285714</v>
      </c>
      <c r="R49" s="8"/>
      <c r="T49"/>
    </row>
    <row r="50" spans="2:20" ht="23.1" customHeight="1" x14ac:dyDescent="0.25">
      <c r="B50" s="24" t="s">
        <v>77</v>
      </c>
      <c r="C50" s="49">
        <f>'Avg Week Isingiro-Mbarara'!C50+'Avg Week Mbarara-Isingiro'!C50</f>
        <v>22.857142857142858</v>
      </c>
      <c r="D50" s="49">
        <f>'Avg Week Isingiro-Mbarara'!D50+'Avg Week Mbarara-Isingiro'!D50</f>
        <v>4.1428571428571423</v>
      </c>
      <c r="E50" s="49">
        <f>'Avg Week Isingiro-Mbarara'!E50+'Avg Week Mbarara-Isingiro'!E50</f>
        <v>3.5714285714285712</v>
      </c>
      <c r="F50" s="49">
        <f>'Avg Week Isingiro-Mbarara'!F50+'Avg Week Mbarara-Isingiro'!F50</f>
        <v>7.7142857142857144</v>
      </c>
      <c r="G50" s="49">
        <f>'Avg Week Isingiro-Mbarara'!G50+'Avg Week Mbarara-Isingiro'!G50</f>
        <v>0.14285714285714285</v>
      </c>
      <c r="H50" s="49">
        <f>'Avg Week Isingiro-Mbarara'!H50+'Avg Week Mbarara-Isingiro'!H50</f>
        <v>0</v>
      </c>
      <c r="I50" s="49">
        <f>'Avg Week Isingiro-Mbarara'!I50+'Avg Week Mbarara-Isingiro'!I50</f>
        <v>4.2857142857142856</v>
      </c>
      <c r="J50" s="49">
        <f>'Avg Week Isingiro-Mbarara'!J50+'Avg Week Mbarara-Isingiro'!J50</f>
        <v>2.1428571428571428</v>
      </c>
      <c r="K50" s="49">
        <f>'Avg Week Isingiro-Mbarara'!K50+'Avg Week Mbarara-Isingiro'!K50</f>
        <v>0.14285714285714285</v>
      </c>
      <c r="L50" s="49">
        <f>'Avg Week Isingiro-Mbarara'!L50+'Avg Week Mbarara-Isingiro'!L50</f>
        <v>0</v>
      </c>
      <c r="M50" s="49">
        <f>'Avg Week Isingiro-Mbarara'!M50+'Avg Week Mbarara-Isingiro'!M50</f>
        <v>78.857142857142861</v>
      </c>
      <c r="N50" s="49">
        <f>'Avg Week Isingiro-Mbarara'!N50+'Avg Week Mbarara-Isingiro'!N50</f>
        <v>0</v>
      </c>
      <c r="O50" s="15">
        <f t="shared" si="0"/>
        <v>45.000000000000007</v>
      </c>
      <c r="P50" s="15">
        <f t="shared" si="1"/>
        <v>123.85714285714286</v>
      </c>
      <c r="R50" s="8"/>
      <c r="T50"/>
    </row>
    <row r="51" spans="2:20" ht="23.1" customHeight="1" x14ac:dyDescent="0.25">
      <c r="B51" s="24" t="s">
        <v>78</v>
      </c>
      <c r="C51" s="49">
        <f>'Avg Week Isingiro-Mbarara'!C51+'Avg Week Mbarara-Isingiro'!C51</f>
        <v>25</v>
      </c>
      <c r="D51" s="49">
        <f>'Avg Week Isingiro-Mbarara'!D51+'Avg Week Mbarara-Isingiro'!D51</f>
        <v>4.4285714285714288</v>
      </c>
      <c r="E51" s="49">
        <f>'Avg Week Isingiro-Mbarara'!E51+'Avg Week Mbarara-Isingiro'!E51</f>
        <v>4.4285714285714288</v>
      </c>
      <c r="F51" s="49">
        <f>'Avg Week Isingiro-Mbarara'!F51+'Avg Week Mbarara-Isingiro'!F51</f>
        <v>4.7142857142857144</v>
      </c>
      <c r="G51" s="49">
        <f>'Avg Week Isingiro-Mbarara'!G51+'Avg Week Mbarara-Isingiro'!G51</f>
        <v>0.14285714285714285</v>
      </c>
      <c r="H51" s="49">
        <f>'Avg Week Isingiro-Mbarara'!H51+'Avg Week Mbarara-Isingiro'!H51</f>
        <v>0.14285714285714285</v>
      </c>
      <c r="I51" s="49">
        <f>'Avg Week Isingiro-Mbarara'!I51+'Avg Week Mbarara-Isingiro'!I51</f>
        <v>3.7142857142857144</v>
      </c>
      <c r="J51" s="49">
        <f>'Avg Week Isingiro-Mbarara'!J51+'Avg Week Mbarara-Isingiro'!J51</f>
        <v>3.7142857142857144</v>
      </c>
      <c r="K51" s="49">
        <f>'Avg Week Isingiro-Mbarara'!K51+'Avg Week Mbarara-Isingiro'!K51</f>
        <v>0.71428571428571419</v>
      </c>
      <c r="L51" s="49">
        <f>'Avg Week Isingiro-Mbarara'!L51+'Avg Week Mbarara-Isingiro'!L51</f>
        <v>0.2857142857142857</v>
      </c>
      <c r="M51" s="49">
        <f>'Avg Week Isingiro-Mbarara'!M51+'Avg Week Mbarara-Isingiro'!M51</f>
        <v>84</v>
      </c>
      <c r="N51" s="49">
        <f>'Avg Week Isingiro-Mbarara'!N51+'Avg Week Mbarara-Isingiro'!N51</f>
        <v>0</v>
      </c>
      <c r="O51" s="15">
        <f t="shared" si="0"/>
        <v>47.285714285714299</v>
      </c>
      <c r="P51" s="15">
        <f t="shared" si="1"/>
        <v>131.28571428571431</v>
      </c>
      <c r="R51" s="8"/>
      <c r="T51"/>
    </row>
    <row r="52" spans="2:20" ht="23.1" customHeight="1" x14ac:dyDescent="0.25">
      <c r="B52" s="24" t="s">
        <v>79</v>
      </c>
      <c r="C52" s="49">
        <f>'Avg Week Isingiro-Mbarara'!C52+'Avg Week Mbarara-Isingiro'!C52</f>
        <v>25.285714285714285</v>
      </c>
      <c r="D52" s="49">
        <f>'Avg Week Isingiro-Mbarara'!D52+'Avg Week Mbarara-Isingiro'!D52</f>
        <v>4.7142857142857135</v>
      </c>
      <c r="E52" s="49">
        <f>'Avg Week Isingiro-Mbarara'!E52+'Avg Week Mbarara-Isingiro'!E52</f>
        <v>5</v>
      </c>
      <c r="F52" s="49">
        <f>'Avg Week Isingiro-Mbarara'!F52+'Avg Week Mbarara-Isingiro'!F52</f>
        <v>5.8571428571428577</v>
      </c>
      <c r="G52" s="49">
        <f>'Avg Week Isingiro-Mbarara'!G52+'Avg Week Mbarara-Isingiro'!G52</f>
        <v>0</v>
      </c>
      <c r="H52" s="49">
        <f>'Avg Week Isingiro-Mbarara'!H52+'Avg Week Mbarara-Isingiro'!H52</f>
        <v>0</v>
      </c>
      <c r="I52" s="49">
        <f>'Avg Week Isingiro-Mbarara'!I52+'Avg Week Mbarara-Isingiro'!I52</f>
        <v>3</v>
      </c>
      <c r="J52" s="49">
        <f>'Avg Week Isingiro-Mbarara'!J52+'Avg Week Mbarara-Isingiro'!J52</f>
        <v>2.1428571428571428</v>
      </c>
      <c r="K52" s="49">
        <f>'Avg Week Isingiro-Mbarara'!K52+'Avg Week Mbarara-Isingiro'!K52</f>
        <v>0.42857142857142855</v>
      </c>
      <c r="L52" s="49">
        <f>'Avg Week Isingiro-Mbarara'!L52+'Avg Week Mbarara-Isingiro'!L52</f>
        <v>0.14285714285714285</v>
      </c>
      <c r="M52" s="49">
        <f>'Avg Week Isingiro-Mbarara'!M52+'Avg Week Mbarara-Isingiro'!M52</f>
        <v>89.142857142857139</v>
      </c>
      <c r="N52" s="49">
        <f>'Avg Week Isingiro-Mbarara'!N52+'Avg Week Mbarara-Isingiro'!N52</f>
        <v>0</v>
      </c>
      <c r="O52" s="15">
        <f t="shared" si="0"/>
        <v>46.571428571428584</v>
      </c>
      <c r="P52" s="15">
        <f t="shared" si="1"/>
        <v>135.71428571428572</v>
      </c>
      <c r="R52" s="8"/>
      <c r="T52"/>
    </row>
    <row r="53" spans="2:20" ht="23.1" customHeight="1" x14ac:dyDescent="0.25">
      <c r="B53" s="23" t="s">
        <v>80</v>
      </c>
      <c r="C53" s="49">
        <f>'Avg Week Isingiro-Mbarara'!C53+'Avg Week Mbarara-Isingiro'!C53</f>
        <v>24.857142857142858</v>
      </c>
      <c r="D53" s="49">
        <f>'Avg Week Isingiro-Mbarara'!D53+'Avg Week Mbarara-Isingiro'!D53</f>
        <v>3.8571428571428568</v>
      </c>
      <c r="E53" s="49">
        <f>'Avg Week Isingiro-Mbarara'!E53+'Avg Week Mbarara-Isingiro'!E53</f>
        <v>3.2857142857142856</v>
      </c>
      <c r="F53" s="49">
        <f>'Avg Week Isingiro-Mbarara'!F53+'Avg Week Mbarara-Isingiro'!F53</f>
        <v>7.4285714285714288</v>
      </c>
      <c r="G53" s="49">
        <f>'Avg Week Isingiro-Mbarara'!G53+'Avg Week Mbarara-Isingiro'!G53</f>
        <v>0</v>
      </c>
      <c r="H53" s="49">
        <f>'Avg Week Isingiro-Mbarara'!H53+'Avg Week Mbarara-Isingiro'!H53</f>
        <v>0</v>
      </c>
      <c r="I53" s="49">
        <f>'Avg Week Isingiro-Mbarara'!I53+'Avg Week Mbarara-Isingiro'!I53</f>
        <v>4</v>
      </c>
      <c r="J53" s="49">
        <f>'Avg Week Isingiro-Mbarara'!J53+'Avg Week Mbarara-Isingiro'!J53</f>
        <v>1.8571428571428572</v>
      </c>
      <c r="K53" s="49">
        <f>'Avg Week Isingiro-Mbarara'!K53+'Avg Week Mbarara-Isingiro'!K53</f>
        <v>0.42857142857142855</v>
      </c>
      <c r="L53" s="49">
        <f>'Avg Week Isingiro-Mbarara'!L53+'Avg Week Mbarara-Isingiro'!L53</f>
        <v>0</v>
      </c>
      <c r="M53" s="49">
        <f>'Avg Week Isingiro-Mbarara'!M53+'Avg Week Mbarara-Isingiro'!M53</f>
        <v>82.857142857142861</v>
      </c>
      <c r="N53" s="49">
        <f>'Avg Week Isingiro-Mbarara'!N53+'Avg Week Mbarara-Isingiro'!N53</f>
        <v>0</v>
      </c>
      <c r="O53" s="15">
        <f t="shared" si="0"/>
        <v>45.714285714285715</v>
      </c>
      <c r="P53" s="15">
        <f t="shared" si="1"/>
        <v>128.57142857142858</v>
      </c>
      <c r="R53" s="8"/>
      <c r="T53"/>
    </row>
    <row r="54" spans="2:20" ht="23.1" customHeight="1" x14ac:dyDescent="0.25">
      <c r="B54" s="23" t="s">
        <v>81</v>
      </c>
      <c r="C54" s="49">
        <f>'Avg Week Isingiro-Mbarara'!C54+'Avg Week Mbarara-Isingiro'!C54</f>
        <v>26.142857142857146</v>
      </c>
      <c r="D54" s="49">
        <f>'Avg Week Isingiro-Mbarara'!D54+'Avg Week Mbarara-Isingiro'!D54</f>
        <v>4.2857142857142856</v>
      </c>
      <c r="E54" s="49">
        <f>'Avg Week Isingiro-Mbarara'!E54+'Avg Week Mbarara-Isingiro'!E54</f>
        <v>5.1428571428571423</v>
      </c>
      <c r="F54" s="49">
        <f>'Avg Week Isingiro-Mbarara'!F54+'Avg Week Mbarara-Isingiro'!F54</f>
        <v>4.7142857142857144</v>
      </c>
      <c r="G54" s="49">
        <f>'Avg Week Isingiro-Mbarara'!G54+'Avg Week Mbarara-Isingiro'!G54</f>
        <v>0</v>
      </c>
      <c r="H54" s="49">
        <f>'Avg Week Isingiro-Mbarara'!H54+'Avg Week Mbarara-Isingiro'!H54</f>
        <v>0</v>
      </c>
      <c r="I54" s="49">
        <f>'Avg Week Isingiro-Mbarara'!I54+'Avg Week Mbarara-Isingiro'!I54</f>
        <v>3.1428571428571432</v>
      </c>
      <c r="J54" s="49">
        <f>'Avg Week Isingiro-Mbarara'!J54+'Avg Week Mbarara-Isingiro'!J54</f>
        <v>2.8571428571428572</v>
      </c>
      <c r="K54" s="49">
        <f>'Avg Week Isingiro-Mbarara'!K54+'Avg Week Mbarara-Isingiro'!K54</f>
        <v>0</v>
      </c>
      <c r="L54" s="49">
        <f>'Avg Week Isingiro-Mbarara'!L54+'Avg Week Mbarara-Isingiro'!L54</f>
        <v>0.14285714285714285</v>
      </c>
      <c r="M54" s="49">
        <f>'Avg Week Isingiro-Mbarara'!M54+'Avg Week Mbarara-Isingiro'!M54</f>
        <v>93.571428571428569</v>
      </c>
      <c r="N54" s="49">
        <f>'Avg Week Isingiro-Mbarara'!N54+'Avg Week Mbarara-Isingiro'!N54</f>
        <v>0</v>
      </c>
      <c r="O54" s="15">
        <f t="shared" si="0"/>
        <v>46.428571428571431</v>
      </c>
      <c r="P54" s="15">
        <f t="shared" si="1"/>
        <v>140</v>
      </c>
      <c r="R54" s="8"/>
      <c r="T54"/>
    </row>
    <row r="55" spans="2:20" ht="23.1" customHeight="1" x14ac:dyDescent="0.25">
      <c r="B55" s="23" t="s">
        <v>82</v>
      </c>
      <c r="C55" s="49">
        <f>'Avg Week Isingiro-Mbarara'!C55+'Avg Week Mbarara-Isingiro'!C55</f>
        <v>30</v>
      </c>
      <c r="D55" s="49">
        <f>'Avg Week Isingiro-Mbarara'!D55+'Avg Week Mbarara-Isingiro'!D55</f>
        <v>4.5714285714285712</v>
      </c>
      <c r="E55" s="49">
        <f>'Avg Week Isingiro-Mbarara'!E55+'Avg Week Mbarara-Isingiro'!E55</f>
        <v>4.5714285714285712</v>
      </c>
      <c r="F55" s="49">
        <f>'Avg Week Isingiro-Mbarara'!F55+'Avg Week Mbarara-Isingiro'!F55</f>
        <v>6.7142857142857144</v>
      </c>
      <c r="G55" s="49">
        <f>'Avg Week Isingiro-Mbarara'!G55+'Avg Week Mbarara-Isingiro'!G55</f>
        <v>0.2857142857142857</v>
      </c>
      <c r="H55" s="49">
        <f>'Avg Week Isingiro-Mbarara'!H55+'Avg Week Mbarara-Isingiro'!H55</f>
        <v>0</v>
      </c>
      <c r="I55" s="49">
        <f>'Avg Week Isingiro-Mbarara'!I55+'Avg Week Mbarara-Isingiro'!I55</f>
        <v>3.8571428571428572</v>
      </c>
      <c r="J55" s="49">
        <f>'Avg Week Isingiro-Mbarara'!J55+'Avg Week Mbarara-Isingiro'!J55</f>
        <v>2.2857142857142856</v>
      </c>
      <c r="K55" s="49">
        <f>'Avg Week Isingiro-Mbarara'!K55+'Avg Week Mbarara-Isingiro'!K55</f>
        <v>0.14285714285714285</v>
      </c>
      <c r="L55" s="49">
        <f>'Avg Week Isingiro-Mbarara'!L55+'Avg Week Mbarara-Isingiro'!L55</f>
        <v>0.14285714285714285</v>
      </c>
      <c r="M55" s="49">
        <f>'Avg Week Isingiro-Mbarara'!M55+'Avg Week Mbarara-Isingiro'!M55</f>
        <v>87.857142857142861</v>
      </c>
      <c r="N55" s="49">
        <f>'Avg Week Isingiro-Mbarara'!N55+'Avg Week Mbarara-Isingiro'!N55</f>
        <v>0</v>
      </c>
      <c r="O55" s="15">
        <f t="shared" si="0"/>
        <v>52.571428571428569</v>
      </c>
      <c r="P55" s="15">
        <f t="shared" si="1"/>
        <v>140.42857142857144</v>
      </c>
      <c r="R55" s="8"/>
      <c r="T55"/>
    </row>
    <row r="56" spans="2:20" ht="23.1" customHeight="1" x14ac:dyDescent="0.25">
      <c r="B56" s="23" t="s">
        <v>83</v>
      </c>
      <c r="C56" s="49">
        <f>'Avg Week Isingiro-Mbarara'!C56+'Avg Week Mbarara-Isingiro'!C56</f>
        <v>28.714285714285715</v>
      </c>
      <c r="D56" s="49">
        <f>'Avg Week Isingiro-Mbarara'!D56+'Avg Week Mbarara-Isingiro'!D56</f>
        <v>3.5714285714285712</v>
      </c>
      <c r="E56" s="49">
        <f>'Avg Week Isingiro-Mbarara'!E56+'Avg Week Mbarara-Isingiro'!E56</f>
        <v>4.1428571428571432</v>
      </c>
      <c r="F56" s="49">
        <f>'Avg Week Isingiro-Mbarara'!F56+'Avg Week Mbarara-Isingiro'!F56</f>
        <v>4.8571428571428568</v>
      </c>
      <c r="G56" s="49">
        <f>'Avg Week Isingiro-Mbarara'!G56+'Avg Week Mbarara-Isingiro'!G56</f>
        <v>0.42857142857142855</v>
      </c>
      <c r="H56" s="49">
        <f>'Avg Week Isingiro-Mbarara'!H56+'Avg Week Mbarara-Isingiro'!H56</f>
        <v>0</v>
      </c>
      <c r="I56" s="49">
        <f>'Avg Week Isingiro-Mbarara'!I56+'Avg Week Mbarara-Isingiro'!I56</f>
        <v>3.4285714285714288</v>
      </c>
      <c r="J56" s="49">
        <f>'Avg Week Isingiro-Mbarara'!J56+'Avg Week Mbarara-Isingiro'!J56</f>
        <v>2.8571428571428572</v>
      </c>
      <c r="K56" s="49">
        <f>'Avg Week Isingiro-Mbarara'!K56+'Avg Week Mbarara-Isingiro'!K56</f>
        <v>0.2857142857142857</v>
      </c>
      <c r="L56" s="49">
        <f>'Avg Week Isingiro-Mbarara'!L56+'Avg Week Mbarara-Isingiro'!L56</f>
        <v>0</v>
      </c>
      <c r="M56" s="49">
        <f>'Avg Week Isingiro-Mbarara'!M56+'Avg Week Mbarara-Isingiro'!M56</f>
        <v>88</v>
      </c>
      <c r="N56" s="49">
        <f>'Avg Week Isingiro-Mbarara'!N56+'Avg Week Mbarara-Isingiro'!N56</f>
        <v>0</v>
      </c>
      <c r="O56" s="15">
        <f t="shared" si="0"/>
        <v>48.285714285714285</v>
      </c>
      <c r="P56" s="15">
        <f t="shared" si="1"/>
        <v>136.28571428571428</v>
      </c>
      <c r="R56" s="8"/>
      <c r="T56"/>
    </row>
    <row r="57" spans="2:20" ht="23.1" customHeight="1" x14ac:dyDescent="0.25">
      <c r="B57" s="23" t="s">
        <v>84</v>
      </c>
      <c r="C57" s="49">
        <f>'Avg Week Isingiro-Mbarara'!C57+'Avg Week Mbarara-Isingiro'!C57</f>
        <v>32.285714285714285</v>
      </c>
      <c r="D57" s="49">
        <f>'Avg Week Isingiro-Mbarara'!D57+'Avg Week Mbarara-Isingiro'!D57</f>
        <v>4.4285714285714288</v>
      </c>
      <c r="E57" s="49">
        <f>'Avg Week Isingiro-Mbarara'!E57+'Avg Week Mbarara-Isingiro'!E57</f>
        <v>4.4285714285714288</v>
      </c>
      <c r="F57" s="49">
        <f>'Avg Week Isingiro-Mbarara'!F57+'Avg Week Mbarara-Isingiro'!F57</f>
        <v>6</v>
      </c>
      <c r="G57" s="49">
        <f>'Avg Week Isingiro-Mbarara'!G57+'Avg Week Mbarara-Isingiro'!G57</f>
        <v>0.2857142857142857</v>
      </c>
      <c r="H57" s="49">
        <f>'Avg Week Isingiro-Mbarara'!H57+'Avg Week Mbarara-Isingiro'!H57</f>
        <v>0</v>
      </c>
      <c r="I57" s="49">
        <f>'Avg Week Isingiro-Mbarara'!I57+'Avg Week Mbarara-Isingiro'!I57</f>
        <v>5.7142857142857144</v>
      </c>
      <c r="J57" s="49">
        <f>'Avg Week Isingiro-Mbarara'!J57+'Avg Week Mbarara-Isingiro'!J57</f>
        <v>3</v>
      </c>
      <c r="K57" s="49">
        <f>'Avg Week Isingiro-Mbarara'!K57+'Avg Week Mbarara-Isingiro'!K57</f>
        <v>0.42857142857142855</v>
      </c>
      <c r="L57" s="49">
        <f>'Avg Week Isingiro-Mbarara'!L57+'Avg Week Mbarara-Isingiro'!L57</f>
        <v>0.14285714285714285</v>
      </c>
      <c r="M57" s="49">
        <f>'Avg Week Isingiro-Mbarara'!M57+'Avg Week Mbarara-Isingiro'!M57</f>
        <v>94.857142857142861</v>
      </c>
      <c r="N57" s="49">
        <f>'Avg Week Isingiro-Mbarara'!N57+'Avg Week Mbarara-Isingiro'!N57</f>
        <v>0</v>
      </c>
      <c r="O57" s="15">
        <f t="shared" si="0"/>
        <v>56.714285714285722</v>
      </c>
      <c r="P57" s="15">
        <f t="shared" si="1"/>
        <v>151.57142857142858</v>
      </c>
      <c r="R57" s="8"/>
      <c r="T57"/>
    </row>
    <row r="58" spans="2:20" ht="23.1" customHeight="1" x14ac:dyDescent="0.25">
      <c r="B58" s="23" t="s">
        <v>99</v>
      </c>
      <c r="C58" s="49">
        <f>'Avg Week Isingiro-Mbarara'!C58+'Avg Week Mbarara-Isingiro'!C58</f>
        <v>29</v>
      </c>
      <c r="D58" s="49">
        <f>'Avg Week Isingiro-Mbarara'!D58+'Avg Week Mbarara-Isingiro'!D58</f>
        <v>1</v>
      </c>
      <c r="E58" s="49">
        <f>'Avg Week Isingiro-Mbarara'!E58+'Avg Week Mbarara-Isingiro'!E58</f>
        <v>5</v>
      </c>
      <c r="F58" s="49">
        <f>'Avg Week Isingiro-Mbarara'!F58+'Avg Week Mbarara-Isingiro'!F58</f>
        <v>4.5</v>
      </c>
      <c r="G58" s="49">
        <f>'Avg Week Isingiro-Mbarara'!G58+'Avg Week Mbarara-Isingiro'!G58</f>
        <v>0</v>
      </c>
      <c r="H58" s="49">
        <f>'Avg Week Isingiro-Mbarara'!H58+'Avg Week Mbarara-Isingiro'!H58</f>
        <v>0</v>
      </c>
      <c r="I58" s="49">
        <f>'Avg Week Isingiro-Mbarara'!I58+'Avg Week Mbarara-Isingiro'!I58</f>
        <v>4.5</v>
      </c>
      <c r="J58" s="49">
        <f>'Avg Week Isingiro-Mbarara'!J58+'Avg Week Mbarara-Isingiro'!J58</f>
        <v>0.5</v>
      </c>
      <c r="K58" s="49">
        <f>'Avg Week Isingiro-Mbarara'!K58+'Avg Week Mbarara-Isingiro'!K58</f>
        <v>0.5</v>
      </c>
      <c r="L58" s="49">
        <f>'Avg Week Isingiro-Mbarara'!L58+'Avg Week Mbarara-Isingiro'!L58</f>
        <v>0</v>
      </c>
      <c r="M58" s="49">
        <f>'Avg Week Isingiro-Mbarara'!M58+'Avg Week Mbarara-Isingiro'!M58</f>
        <v>72</v>
      </c>
      <c r="N58" s="49">
        <f>'Avg Week Isingiro-Mbarara'!N58+'Avg Week Mbarara-Isingiro'!N58</f>
        <v>0</v>
      </c>
      <c r="O58" s="15">
        <f t="shared" si="0"/>
        <v>45</v>
      </c>
      <c r="P58" s="15">
        <f t="shared" si="1"/>
        <v>117</v>
      </c>
      <c r="R58" s="8"/>
      <c r="T58"/>
    </row>
    <row r="59" spans="2:20" ht="23.1" customHeight="1" x14ac:dyDescent="0.25">
      <c r="B59" s="23" t="s">
        <v>100</v>
      </c>
      <c r="C59" s="49">
        <f>'Avg Week Isingiro-Mbarara'!C59+'Avg Week Mbarara-Isingiro'!C59</f>
        <v>16</v>
      </c>
      <c r="D59" s="49">
        <f>'Avg Week Isingiro-Mbarara'!D59+'Avg Week Mbarara-Isingiro'!D59</f>
        <v>0.5</v>
      </c>
      <c r="E59" s="49">
        <f>'Avg Week Isingiro-Mbarara'!E59+'Avg Week Mbarara-Isingiro'!E59</f>
        <v>2</v>
      </c>
      <c r="F59" s="49">
        <f>'Avg Week Isingiro-Mbarara'!F59+'Avg Week Mbarara-Isingiro'!F59</f>
        <v>4</v>
      </c>
      <c r="G59" s="49">
        <f>'Avg Week Isingiro-Mbarara'!G59+'Avg Week Mbarara-Isingiro'!G59</f>
        <v>0</v>
      </c>
      <c r="H59" s="49">
        <f>'Avg Week Isingiro-Mbarara'!H59+'Avg Week Mbarara-Isingiro'!H59</f>
        <v>0</v>
      </c>
      <c r="I59" s="49">
        <f>'Avg Week Isingiro-Mbarara'!I59+'Avg Week Mbarara-Isingiro'!I59</f>
        <v>1.5</v>
      </c>
      <c r="J59" s="49">
        <f>'Avg Week Isingiro-Mbarara'!J59+'Avg Week Mbarara-Isingiro'!J59</f>
        <v>1</v>
      </c>
      <c r="K59" s="49">
        <f>'Avg Week Isingiro-Mbarara'!K59+'Avg Week Mbarara-Isingiro'!K59</f>
        <v>0</v>
      </c>
      <c r="L59" s="49">
        <f>'Avg Week Isingiro-Mbarara'!L59+'Avg Week Mbarara-Isingiro'!L59</f>
        <v>0</v>
      </c>
      <c r="M59" s="49">
        <f>'Avg Week Isingiro-Mbarara'!M59+'Avg Week Mbarara-Isingiro'!M59</f>
        <v>69.5</v>
      </c>
      <c r="N59" s="49">
        <f>'Avg Week Isingiro-Mbarara'!N59+'Avg Week Mbarara-Isingiro'!N59</f>
        <v>0</v>
      </c>
      <c r="O59" s="15">
        <f t="shared" si="0"/>
        <v>25</v>
      </c>
      <c r="P59" s="15">
        <f t="shared" si="1"/>
        <v>94.5</v>
      </c>
      <c r="R59" s="8"/>
      <c r="T59"/>
    </row>
    <row r="60" spans="2:20" ht="23.1" customHeight="1" x14ac:dyDescent="0.25">
      <c r="B60" s="23" t="s">
        <v>101</v>
      </c>
      <c r="C60" s="49">
        <f>'Avg Week Isingiro-Mbarara'!C60+'Avg Week Mbarara-Isingiro'!C60</f>
        <v>32</v>
      </c>
      <c r="D60" s="49">
        <f>'Avg Week Isingiro-Mbarara'!D60+'Avg Week Mbarara-Isingiro'!D60</f>
        <v>5</v>
      </c>
      <c r="E60" s="49">
        <f>'Avg Week Isingiro-Mbarara'!E60+'Avg Week Mbarara-Isingiro'!E60</f>
        <v>1.5</v>
      </c>
      <c r="F60" s="49">
        <f>'Avg Week Isingiro-Mbarara'!F60+'Avg Week Mbarara-Isingiro'!F60</f>
        <v>5</v>
      </c>
      <c r="G60" s="49">
        <f>'Avg Week Isingiro-Mbarara'!G60+'Avg Week Mbarara-Isingiro'!G60</f>
        <v>0</v>
      </c>
      <c r="H60" s="49">
        <f>'Avg Week Isingiro-Mbarara'!H60+'Avg Week Mbarara-Isingiro'!H60</f>
        <v>0</v>
      </c>
      <c r="I60" s="49">
        <f>'Avg Week Isingiro-Mbarara'!I60+'Avg Week Mbarara-Isingiro'!I60</f>
        <v>3</v>
      </c>
      <c r="J60" s="49">
        <f>'Avg Week Isingiro-Mbarara'!J60+'Avg Week Mbarara-Isingiro'!J60</f>
        <v>1.5</v>
      </c>
      <c r="K60" s="49">
        <f>'Avg Week Isingiro-Mbarara'!K60+'Avg Week Mbarara-Isingiro'!K60</f>
        <v>0</v>
      </c>
      <c r="L60" s="49">
        <f>'Avg Week Isingiro-Mbarara'!L60+'Avg Week Mbarara-Isingiro'!L60</f>
        <v>0.5</v>
      </c>
      <c r="M60" s="49">
        <f>'Avg Week Isingiro-Mbarara'!M60+'Avg Week Mbarara-Isingiro'!M60</f>
        <v>67</v>
      </c>
      <c r="N60" s="49">
        <f>'Avg Week Isingiro-Mbarara'!N60+'Avg Week Mbarara-Isingiro'!N60</f>
        <v>0</v>
      </c>
      <c r="O60" s="15">
        <f t="shared" si="0"/>
        <v>48.5</v>
      </c>
      <c r="P60" s="15">
        <f t="shared" si="1"/>
        <v>115.5</v>
      </c>
      <c r="R60" s="8"/>
      <c r="T60"/>
    </row>
    <row r="61" spans="2:20" ht="23.1" customHeight="1" x14ac:dyDescent="0.25">
      <c r="B61" s="23" t="s">
        <v>102</v>
      </c>
      <c r="C61" s="49">
        <f>'Avg Week Isingiro-Mbarara'!C61+'Avg Week Mbarara-Isingiro'!C61</f>
        <v>25</v>
      </c>
      <c r="D61" s="49">
        <f>'Avg Week Isingiro-Mbarara'!D61+'Avg Week Mbarara-Isingiro'!D61</f>
        <v>4</v>
      </c>
      <c r="E61" s="49">
        <f>'Avg Week Isingiro-Mbarara'!E61+'Avg Week Mbarara-Isingiro'!E61</f>
        <v>4</v>
      </c>
      <c r="F61" s="49">
        <f>'Avg Week Isingiro-Mbarara'!F61+'Avg Week Mbarara-Isingiro'!F61</f>
        <v>4.5</v>
      </c>
      <c r="G61" s="49">
        <f>'Avg Week Isingiro-Mbarara'!G61+'Avg Week Mbarara-Isingiro'!G61</f>
        <v>0</v>
      </c>
      <c r="H61" s="49">
        <f>'Avg Week Isingiro-Mbarara'!H61+'Avg Week Mbarara-Isingiro'!H61</f>
        <v>0</v>
      </c>
      <c r="I61" s="49">
        <f>'Avg Week Isingiro-Mbarara'!I61+'Avg Week Mbarara-Isingiro'!I61</f>
        <v>8</v>
      </c>
      <c r="J61" s="49">
        <f>'Avg Week Isingiro-Mbarara'!J61+'Avg Week Mbarara-Isingiro'!J61</f>
        <v>3</v>
      </c>
      <c r="K61" s="49">
        <f>'Avg Week Isingiro-Mbarara'!K61+'Avg Week Mbarara-Isingiro'!K61</f>
        <v>1</v>
      </c>
      <c r="L61" s="49">
        <f>'Avg Week Isingiro-Mbarara'!L61+'Avg Week Mbarara-Isingiro'!L61</f>
        <v>0</v>
      </c>
      <c r="M61" s="49">
        <f>'Avg Week Isingiro-Mbarara'!M61+'Avg Week Mbarara-Isingiro'!M61</f>
        <v>70.5</v>
      </c>
      <c r="N61" s="49">
        <f>'Avg Week Isingiro-Mbarara'!N61+'Avg Week Mbarara-Isingiro'!N61</f>
        <v>0</v>
      </c>
      <c r="O61" s="15">
        <f t="shared" si="0"/>
        <v>49.5</v>
      </c>
      <c r="P61" s="15">
        <f t="shared" si="1"/>
        <v>120</v>
      </c>
      <c r="R61" s="8"/>
      <c r="T61"/>
    </row>
    <row r="62" spans="2:20" ht="23.1" customHeight="1" x14ac:dyDescent="0.25">
      <c r="B62" s="23" t="s">
        <v>107</v>
      </c>
      <c r="C62" s="49">
        <f>'Avg Week Isingiro-Mbarara'!C62+'Avg Week Mbarara-Isingiro'!C62</f>
        <v>25.5</v>
      </c>
      <c r="D62" s="49">
        <f>'Avg Week Isingiro-Mbarara'!D62+'Avg Week Mbarara-Isingiro'!D62</f>
        <v>5</v>
      </c>
      <c r="E62" s="49">
        <f>'Avg Week Isingiro-Mbarara'!E62+'Avg Week Mbarara-Isingiro'!E62</f>
        <v>2</v>
      </c>
      <c r="F62" s="49">
        <f>'Avg Week Isingiro-Mbarara'!F62+'Avg Week Mbarara-Isingiro'!F62</f>
        <v>5.5</v>
      </c>
      <c r="G62" s="49">
        <f>'Avg Week Isingiro-Mbarara'!G62+'Avg Week Mbarara-Isingiro'!G62</f>
        <v>0</v>
      </c>
      <c r="H62" s="49">
        <f>'Avg Week Isingiro-Mbarara'!H62+'Avg Week Mbarara-Isingiro'!H62</f>
        <v>0</v>
      </c>
      <c r="I62" s="49">
        <f>'Avg Week Isingiro-Mbarara'!I62+'Avg Week Mbarara-Isingiro'!I62</f>
        <v>5</v>
      </c>
      <c r="J62" s="49">
        <f>'Avg Week Isingiro-Mbarara'!J62+'Avg Week Mbarara-Isingiro'!J62</f>
        <v>2.5</v>
      </c>
      <c r="K62" s="49">
        <f>'Avg Week Isingiro-Mbarara'!K62+'Avg Week Mbarara-Isingiro'!K62</f>
        <v>0</v>
      </c>
      <c r="L62" s="49">
        <f>'Avg Week Isingiro-Mbarara'!L62+'Avg Week Mbarara-Isingiro'!L62</f>
        <v>0</v>
      </c>
      <c r="M62" s="49">
        <f>'Avg Week Isingiro-Mbarara'!M62+'Avg Week Mbarara-Isingiro'!M62</f>
        <v>63.5</v>
      </c>
      <c r="N62" s="49">
        <f>'Avg Week Isingiro-Mbarara'!N62+'Avg Week Mbarara-Isingiro'!N62</f>
        <v>0</v>
      </c>
      <c r="O62" s="15">
        <f t="shared" si="0"/>
        <v>45.5</v>
      </c>
      <c r="P62" s="15">
        <f t="shared" si="1"/>
        <v>109</v>
      </c>
      <c r="R62" s="8"/>
      <c r="T62"/>
    </row>
    <row r="63" spans="2:20" ht="23.1" customHeight="1" x14ac:dyDescent="0.25">
      <c r="B63" s="23" t="s">
        <v>108</v>
      </c>
      <c r="C63" s="49">
        <f>'Avg Week Isingiro-Mbarara'!C63+'Avg Week Mbarara-Isingiro'!C63</f>
        <v>15</v>
      </c>
      <c r="D63" s="49">
        <f>'Avg Week Isingiro-Mbarara'!D63+'Avg Week Mbarara-Isingiro'!D63</f>
        <v>2</v>
      </c>
      <c r="E63" s="49">
        <f>'Avg Week Isingiro-Mbarara'!E63+'Avg Week Mbarara-Isingiro'!E63</f>
        <v>1.5</v>
      </c>
      <c r="F63" s="49">
        <f>'Avg Week Isingiro-Mbarara'!F63+'Avg Week Mbarara-Isingiro'!F63</f>
        <v>3.5</v>
      </c>
      <c r="G63" s="49">
        <f>'Avg Week Isingiro-Mbarara'!G63+'Avg Week Mbarara-Isingiro'!G63</f>
        <v>0</v>
      </c>
      <c r="H63" s="49">
        <f>'Avg Week Isingiro-Mbarara'!H63+'Avg Week Mbarara-Isingiro'!H63</f>
        <v>0</v>
      </c>
      <c r="I63" s="49">
        <f>'Avg Week Isingiro-Mbarara'!I63+'Avg Week Mbarara-Isingiro'!I63</f>
        <v>1.5</v>
      </c>
      <c r="J63" s="49">
        <f>'Avg Week Isingiro-Mbarara'!J63+'Avg Week Mbarara-Isingiro'!J63</f>
        <v>1.5</v>
      </c>
      <c r="K63" s="49">
        <f>'Avg Week Isingiro-Mbarara'!K63+'Avg Week Mbarara-Isingiro'!K63</f>
        <v>0</v>
      </c>
      <c r="L63" s="49">
        <f>'Avg Week Isingiro-Mbarara'!L63+'Avg Week Mbarara-Isingiro'!L63</f>
        <v>0</v>
      </c>
      <c r="M63" s="49">
        <f>'Avg Week Isingiro-Mbarara'!M63+'Avg Week Mbarara-Isingiro'!M63</f>
        <v>35.5</v>
      </c>
      <c r="N63" s="49">
        <f>'Avg Week Isingiro-Mbarara'!N63+'Avg Week Mbarara-Isingiro'!N63</f>
        <v>0</v>
      </c>
      <c r="O63" s="15">
        <f t="shared" si="0"/>
        <v>25</v>
      </c>
      <c r="P63" s="15">
        <f t="shared" si="1"/>
        <v>60.5</v>
      </c>
      <c r="R63" s="8"/>
      <c r="T63"/>
    </row>
    <row r="64" spans="2:20" ht="23.1" customHeight="1" x14ac:dyDescent="0.25">
      <c r="B64" s="23" t="s">
        <v>109</v>
      </c>
      <c r="C64" s="49">
        <f>'Avg Week Isingiro-Mbarara'!C64+'Avg Week Mbarara-Isingiro'!C64</f>
        <v>15.5</v>
      </c>
      <c r="D64" s="49">
        <f>'Avg Week Isingiro-Mbarara'!D64+'Avg Week Mbarara-Isingiro'!D64</f>
        <v>1</v>
      </c>
      <c r="E64" s="49">
        <f>'Avg Week Isingiro-Mbarara'!E64+'Avg Week Mbarara-Isingiro'!E64</f>
        <v>2.5</v>
      </c>
      <c r="F64" s="49">
        <f>'Avg Week Isingiro-Mbarara'!F64+'Avg Week Mbarara-Isingiro'!F64</f>
        <v>4</v>
      </c>
      <c r="G64" s="49">
        <f>'Avg Week Isingiro-Mbarara'!G64+'Avg Week Mbarara-Isingiro'!G64</f>
        <v>0</v>
      </c>
      <c r="H64" s="49">
        <f>'Avg Week Isingiro-Mbarara'!H64+'Avg Week Mbarara-Isingiro'!H64</f>
        <v>0</v>
      </c>
      <c r="I64" s="49">
        <f>'Avg Week Isingiro-Mbarara'!I64+'Avg Week Mbarara-Isingiro'!I64</f>
        <v>4</v>
      </c>
      <c r="J64" s="49">
        <f>'Avg Week Isingiro-Mbarara'!J64+'Avg Week Mbarara-Isingiro'!J64</f>
        <v>0</v>
      </c>
      <c r="K64" s="49">
        <f>'Avg Week Isingiro-Mbarara'!K64+'Avg Week Mbarara-Isingiro'!K64</f>
        <v>0</v>
      </c>
      <c r="L64" s="49">
        <f>'Avg Week Isingiro-Mbarara'!L64+'Avg Week Mbarara-Isingiro'!L64</f>
        <v>0</v>
      </c>
      <c r="M64" s="49">
        <f>'Avg Week Isingiro-Mbarara'!M64+'Avg Week Mbarara-Isingiro'!M64</f>
        <v>37</v>
      </c>
      <c r="N64" s="49">
        <f>'Avg Week Isingiro-Mbarara'!N64+'Avg Week Mbarara-Isingiro'!N64</f>
        <v>0</v>
      </c>
      <c r="O64" s="15">
        <f t="shared" si="0"/>
        <v>27</v>
      </c>
      <c r="P64" s="15">
        <f t="shared" si="1"/>
        <v>64</v>
      </c>
      <c r="R64" s="8"/>
      <c r="T64"/>
    </row>
    <row r="65" spans="2:20" ht="23.1" customHeight="1" x14ac:dyDescent="0.25">
      <c r="B65" s="23" t="s">
        <v>158</v>
      </c>
      <c r="C65" s="49">
        <f>'Avg Week Isingiro-Mbarara'!C65+'Avg Week Mbarara-Isingiro'!C65</f>
        <v>13</v>
      </c>
      <c r="D65" s="49">
        <f>'Avg Week Isingiro-Mbarara'!D65+'Avg Week Mbarara-Isingiro'!D65</f>
        <v>3</v>
      </c>
      <c r="E65" s="49">
        <f>'Avg Week Isingiro-Mbarara'!E65+'Avg Week Mbarara-Isingiro'!E65</f>
        <v>3.5</v>
      </c>
      <c r="F65" s="49">
        <f>'Avg Week Isingiro-Mbarara'!F65+'Avg Week Mbarara-Isingiro'!F65</f>
        <v>2.5</v>
      </c>
      <c r="G65" s="49">
        <f>'Avg Week Isingiro-Mbarara'!G65+'Avg Week Mbarara-Isingiro'!G65</f>
        <v>0.5</v>
      </c>
      <c r="H65" s="49">
        <f>'Avg Week Isingiro-Mbarara'!H65+'Avg Week Mbarara-Isingiro'!H65</f>
        <v>0</v>
      </c>
      <c r="I65" s="49">
        <f>'Avg Week Isingiro-Mbarara'!I65+'Avg Week Mbarara-Isingiro'!I65</f>
        <v>4.5</v>
      </c>
      <c r="J65" s="49">
        <f>'Avg Week Isingiro-Mbarara'!J65+'Avg Week Mbarara-Isingiro'!J65</f>
        <v>3</v>
      </c>
      <c r="K65" s="49">
        <f>'Avg Week Isingiro-Mbarara'!K65+'Avg Week Mbarara-Isingiro'!K65</f>
        <v>0</v>
      </c>
      <c r="L65" s="49">
        <f>'Avg Week Isingiro-Mbarara'!L65+'Avg Week Mbarara-Isingiro'!L65</f>
        <v>0</v>
      </c>
      <c r="M65" s="49">
        <f>'Avg Week Isingiro-Mbarara'!M65+'Avg Week Mbarara-Isingiro'!M65</f>
        <v>54.5</v>
      </c>
      <c r="N65" s="49">
        <f>'Avg Week Isingiro-Mbarara'!N65+'Avg Week Mbarara-Isingiro'!N65</f>
        <v>0</v>
      </c>
      <c r="O65" s="15">
        <f t="shared" si="0"/>
        <v>30</v>
      </c>
      <c r="P65" s="15">
        <f t="shared" si="1"/>
        <v>84.5</v>
      </c>
      <c r="R65" s="8"/>
      <c r="T65"/>
    </row>
    <row r="66" spans="2:20" ht="23.1" customHeight="1" x14ac:dyDescent="0.25">
      <c r="B66" s="23" t="s">
        <v>103</v>
      </c>
      <c r="C66" s="49">
        <f>'Avg Week Isingiro-Mbarara'!C66+'Avg Week Mbarara-Isingiro'!C66</f>
        <v>16</v>
      </c>
      <c r="D66" s="49">
        <f>'Avg Week Isingiro-Mbarara'!D66+'Avg Week Mbarara-Isingiro'!D66</f>
        <v>2.5</v>
      </c>
      <c r="E66" s="49">
        <f>'Avg Week Isingiro-Mbarara'!E66+'Avg Week Mbarara-Isingiro'!E66</f>
        <v>1</v>
      </c>
      <c r="F66" s="49">
        <f>'Avg Week Isingiro-Mbarara'!F66+'Avg Week Mbarara-Isingiro'!F66</f>
        <v>3</v>
      </c>
      <c r="G66" s="49">
        <f>'Avg Week Isingiro-Mbarara'!G66+'Avg Week Mbarara-Isingiro'!G66</f>
        <v>0</v>
      </c>
      <c r="H66" s="49">
        <f>'Avg Week Isingiro-Mbarara'!H66+'Avg Week Mbarara-Isingiro'!H66</f>
        <v>0</v>
      </c>
      <c r="I66" s="49">
        <f>'Avg Week Isingiro-Mbarara'!I66+'Avg Week Mbarara-Isingiro'!I66</f>
        <v>2.5</v>
      </c>
      <c r="J66" s="49">
        <f>'Avg Week Isingiro-Mbarara'!J66+'Avg Week Mbarara-Isingiro'!J66</f>
        <v>2</v>
      </c>
      <c r="K66" s="49">
        <f>'Avg Week Isingiro-Mbarara'!K66+'Avg Week Mbarara-Isingiro'!K66</f>
        <v>0</v>
      </c>
      <c r="L66" s="49">
        <f>'Avg Week Isingiro-Mbarara'!L66+'Avg Week Mbarara-Isingiro'!L66</f>
        <v>0</v>
      </c>
      <c r="M66" s="49">
        <f>'Avg Week Isingiro-Mbarara'!M66+'Avg Week Mbarara-Isingiro'!M66</f>
        <v>34.5</v>
      </c>
      <c r="N66" s="49">
        <f>'Avg Week Isingiro-Mbarara'!N66+'Avg Week Mbarara-Isingiro'!N66</f>
        <v>0</v>
      </c>
      <c r="O66" s="15">
        <f t="shared" si="0"/>
        <v>27</v>
      </c>
      <c r="P66" s="15">
        <f t="shared" si="1"/>
        <v>61.5</v>
      </c>
      <c r="R66" s="8"/>
      <c r="T66"/>
    </row>
    <row r="67" spans="2:20" ht="23.1" customHeight="1" x14ac:dyDescent="0.25">
      <c r="B67" s="23" t="s">
        <v>104</v>
      </c>
      <c r="C67" s="49">
        <f>'Avg Week Isingiro-Mbarara'!C67+'Avg Week Mbarara-Isingiro'!C67</f>
        <v>16.5</v>
      </c>
      <c r="D67" s="49">
        <f>'Avg Week Isingiro-Mbarara'!D67+'Avg Week Mbarara-Isingiro'!D67</f>
        <v>1</v>
      </c>
      <c r="E67" s="49">
        <f>'Avg Week Isingiro-Mbarara'!E67+'Avg Week Mbarara-Isingiro'!E67</f>
        <v>2.5</v>
      </c>
      <c r="F67" s="49">
        <f>'Avg Week Isingiro-Mbarara'!F67+'Avg Week Mbarara-Isingiro'!F67</f>
        <v>2</v>
      </c>
      <c r="G67" s="49">
        <f>'Avg Week Isingiro-Mbarara'!G67+'Avg Week Mbarara-Isingiro'!G67</f>
        <v>0</v>
      </c>
      <c r="H67" s="49">
        <f>'Avg Week Isingiro-Mbarara'!H67+'Avg Week Mbarara-Isingiro'!H67</f>
        <v>0</v>
      </c>
      <c r="I67" s="49">
        <f>'Avg Week Isingiro-Mbarara'!I67+'Avg Week Mbarara-Isingiro'!I67</f>
        <v>1</v>
      </c>
      <c r="J67" s="49">
        <f>'Avg Week Isingiro-Mbarara'!J67+'Avg Week Mbarara-Isingiro'!J67</f>
        <v>1.5</v>
      </c>
      <c r="K67" s="49">
        <f>'Avg Week Isingiro-Mbarara'!K67+'Avg Week Mbarara-Isingiro'!K67</f>
        <v>0.5</v>
      </c>
      <c r="L67" s="49">
        <f>'Avg Week Isingiro-Mbarara'!L67+'Avg Week Mbarara-Isingiro'!L67</f>
        <v>0</v>
      </c>
      <c r="M67" s="49">
        <f>'Avg Week Isingiro-Mbarara'!M67+'Avg Week Mbarara-Isingiro'!M67</f>
        <v>38</v>
      </c>
      <c r="N67" s="49">
        <f>'Avg Week Isingiro-Mbarara'!N67+'Avg Week Mbarara-Isingiro'!N67</f>
        <v>0</v>
      </c>
      <c r="O67" s="15">
        <f t="shared" si="0"/>
        <v>25</v>
      </c>
      <c r="P67" s="15">
        <f t="shared" si="1"/>
        <v>63</v>
      </c>
      <c r="R67" s="8"/>
      <c r="T67"/>
    </row>
    <row r="68" spans="2:20" ht="23.1" customHeight="1" x14ac:dyDescent="0.25">
      <c r="B68" s="23" t="s">
        <v>105</v>
      </c>
      <c r="C68" s="49">
        <f>'Avg Week Isingiro-Mbarara'!C68+'Avg Week Mbarara-Isingiro'!C68</f>
        <v>13.5</v>
      </c>
      <c r="D68" s="49">
        <f>'Avg Week Isingiro-Mbarara'!D68+'Avg Week Mbarara-Isingiro'!D68</f>
        <v>1</v>
      </c>
      <c r="E68" s="49">
        <f>'Avg Week Isingiro-Mbarara'!E68+'Avg Week Mbarara-Isingiro'!E68</f>
        <v>2</v>
      </c>
      <c r="F68" s="49">
        <f>'Avg Week Isingiro-Mbarara'!F68+'Avg Week Mbarara-Isingiro'!F68</f>
        <v>0.5</v>
      </c>
      <c r="G68" s="49">
        <f>'Avg Week Isingiro-Mbarara'!G68+'Avg Week Mbarara-Isingiro'!G68</f>
        <v>0</v>
      </c>
      <c r="H68" s="49">
        <f>'Avg Week Isingiro-Mbarara'!H68+'Avg Week Mbarara-Isingiro'!H68</f>
        <v>0.5</v>
      </c>
      <c r="I68" s="49">
        <f>'Avg Week Isingiro-Mbarara'!I68+'Avg Week Mbarara-Isingiro'!I68</f>
        <v>0.5</v>
      </c>
      <c r="J68" s="49">
        <f>'Avg Week Isingiro-Mbarara'!J68+'Avg Week Mbarara-Isingiro'!J68</f>
        <v>1</v>
      </c>
      <c r="K68" s="49">
        <f>'Avg Week Isingiro-Mbarara'!K68+'Avg Week Mbarara-Isingiro'!K68</f>
        <v>0.5</v>
      </c>
      <c r="L68" s="49">
        <f>'Avg Week Isingiro-Mbarara'!L68+'Avg Week Mbarara-Isingiro'!L68</f>
        <v>0</v>
      </c>
      <c r="M68" s="49">
        <f>'Avg Week Isingiro-Mbarara'!M68+'Avg Week Mbarara-Isingiro'!M68</f>
        <v>33</v>
      </c>
      <c r="N68" s="49">
        <f>'Avg Week Isingiro-Mbarara'!N68+'Avg Week Mbarara-Isingiro'!N68</f>
        <v>0</v>
      </c>
      <c r="O68" s="15">
        <f t="shared" si="0"/>
        <v>19.5</v>
      </c>
      <c r="P68" s="15">
        <f t="shared" si="1"/>
        <v>52.5</v>
      </c>
      <c r="R68" s="8"/>
      <c r="T68"/>
    </row>
    <row r="69" spans="2:20" ht="23.1" customHeight="1" x14ac:dyDescent="0.25">
      <c r="B69" s="23" t="s">
        <v>106</v>
      </c>
      <c r="C69" s="49">
        <f>'Avg Week Isingiro-Mbarara'!C69+'Avg Week Mbarara-Isingiro'!C69</f>
        <v>9.5</v>
      </c>
      <c r="D69" s="49">
        <f>'Avg Week Isingiro-Mbarara'!D69+'Avg Week Mbarara-Isingiro'!D69</f>
        <v>1.5</v>
      </c>
      <c r="E69" s="49">
        <f>'Avg Week Isingiro-Mbarara'!E69+'Avg Week Mbarara-Isingiro'!E69</f>
        <v>1.5</v>
      </c>
      <c r="F69" s="49">
        <f>'Avg Week Isingiro-Mbarara'!F69+'Avg Week Mbarara-Isingiro'!F69</f>
        <v>0</v>
      </c>
      <c r="G69" s="49">
        <f>'Avg Week Isingiro-Mbarara'!G69+'Avg Week Mbarara-Isingiro'!G69</f>
        <v>0</v>
      </c>
      <c r="H69" s="49">
        <f>'Avg Week Isingiro-Mbarara'!H69+'Avg Week Mbarara-Isingiro'!H69</f>
        <v>0</v>
      </c>
      <c r="I69" s="49">
        <f>'Avg Week Isingiro-Mbarara'!I69+'Avg Week Mbarara-Isingiro'!I69</f>
        <v>1.5</v>
      </c>
      <c r="J69" s="49">
        <f>'Avg Week Isingiro-Mbarara'!J69+'Avg Week Mbarara-Isingiro'!J69</f>
        <v>1</v>
      </c>
      <c r="K69" s="49">
        <f>'Avg Week Isingiro-Mbarara'!K69+'Avg Week Mbarara-Isingiro'!K69</f>
        <v>1</v>
      </c>
      <c r="L69" s="49">
        <f>'Avg Week Isingiro-Mbarara'!L69+'Avg Week Mbarara-Isingiro'!L69</f>
        <v>0</v>
      </c>
      <c r="M69" s="49">
        <f>'Avg Week Isingiro-Mbarara'!M69+'Avg Week Mbarara-Isingiro'!M69</f>
        <v>25</v>
      </c>
      <c r="N69" s="49">
        <f>'Avg Week Isingiro-Mbarara'!N69+'Avg Week Mbarara-Isingiro'!N69</f>
        <v>0</v>
      </c>
      <c r="O69" s="15">
        <f t="shared" si="0"/>
        <v>16</v>
      </c>
      <c r="P69" s="15">
        <f t="shared" si="1"/>
        <v>41</v>
      </c>
      <c r="R69" s="8"/>
      <c r="T69"/>
    </row>
    <row r="70" spans="2:20" ht="23.1" customHeight="1" x14ac:dyDescent="0.25">
      <c r="B70" s="23" t="s">
        <v>110</v>
      </c>
      <c r="C70" s="49">
        <f>'Avg Week Isingiro-Mbarara'!C70+'Avg Week Mbarara-Isingiro'!C70</f>
        <v>11</v>
      </c>
      <c r="D70" s="49">
        <f>'Avg Week Isingiro-Mbarara'!D70+'Avg Week Mbarara-Isingiro'!D70</f>
        <v>1</v>
      </c>
      <c r="E70" s="49">
        <f>'Avg Week Isingiro-Mbarara'!E70+'Avg Week Mbarara-Isingiro'!E70</f>
        <v>3</v>
      </c>
      <c r="F70" s="49">
        <f>'Avg Week Isingiro-Mbarara'!F70+'Avg Week Mbarara-Isingiro'!F70</f>
        <v>2.5</v>
      </c>
      <c r="G70" s="49">
        <f>'Avg Week Isingiro-Mbarara'!G70+'Avg Week Mbarara-Isingiro'!G70</f>
        <v>0</v>
      </c>
      <c r="H70" s="49">
        <f>'Avg Week Isingiro-Mbarara'!H70+'Avg Week Mbarara-Isingiro'!H70</f>
        <v>0</v>
      </c>
      <c r="I70" s="49">
        <f>'Avg Week Isingiro-Mbarara'!I70+'Avg Week Mbarara-Isingiro'!I70</f>
        <v>1</v>
      </c>
      <c r="J70" s="49">
        <f>'Avg Week Isingiro-Mbarara'!J70+'Avg Week Mbarara-Isingiro'!J70</f>
        <v>1.5</v>
      </c>
      <c r="K70" s="49">
        <f>'Avg Week Isingiro-Mbarara'!K70+'Avg Week Mbarara-Isingiro'!K70</f>
        <v>0</v>
      </c>
      <c r="L70" s="49">
        <f>'Avg Week Isingiro-Mbarara'!L70+'Avg Week Mbarara-Isingiro'!L70</f>
        <v>0</v>
      </c>
      <c r="M70" s="49">
        <f>'Avg Week Isingiro-Mbarara'!M70+'Avg Week Mbarara-Isingiro'!M70</f>
        <v>33</v>
      </c>
      <c r="N70" s="49">
        <f>'Avg Week Isingiro-Mbarara'!N70+'Avg Week Mbarara-Isingiro'!N70</f>
        <v>0</v>
      </c>
      <c r="O70" s="15">
        <f t="shared" si="0"/>
        <v>20</v>
      </c>
      <c r="P70" s="15">
        <f t="shared" si="1"/>
        <v>53</v>
      </c>
      <c r="R70" s="8"/>
      <c r="T70"/>
    </row>
    <row r="71" spans="2:20" ht="23.1" customHeight="1" x14ac:dyDescent="0.25">
      <c r="B71" s="23" t="s">
        <v>111</v>
      </c>
      <c r="C71" s="49">
        <f>'Avg Week Isingiro-Mbarara'!C71+'Avg Week Mbarara-Isingiro'!C71</f>
        <v>12</v>
      </c>
      <c r="D71" s="49">
        <f>'Avg Week Isingiro-Mbarara'!D71+'Avg Week Mbarara-Isingiro'!D71</f>
        <v>2</v>
      </c>
      <c r="E71" s="49">
        <f>'Avg Week Isingiro-Mbarara'!E71+'Avg Week Mbarara-Isingiro'!E71</f>
        <v>2.5</v>
      </c>
      <c r="F71" s="49">
        <f>'Avg Week Isingiro-Mbarara'!F71+'Avg Week Mbarara-Isingiro'!F71</f>
        <v>1.5</v>
      </c>
      <c r="G71" s="49">
        <f>'Avg Week Isingiro-Mbarara'!G71+'Avg Week Mbarara-Isingiro'!G71</f>
        <v>0</v>
      </c>
      <c r="H71" s="49">
        <f>'Avg Week Isingiro-Mbarara'!H71+'Avg Week Mbarara-Isingiro'!H71</f>
        <v>0</v>
      </c>
      <c r="I71" s="49">
        <f>'Avg Week Isingiro-Mbarara'!I71+'Avg Week Mbarara-Isingiro'!I71</f>
        <v>1</v>
      </c>
      <c r="J71" s="49">
        <f>'Avg Week Isingiro-Mbarara'!J71+'Avg Week Mbarara-Isingiro'!J71</f>
        <v>3.5</v>
      </c>
      <c r="K71" s="49">
        <f>'Avg Week Isingiro-Mbarara'!K71+'Avg Week Mbarara-Isingiro'!K71</f>
        <v>0</v>
      </c>
      <c r="L71" s="49">
        <f>'Avg Week Isingiro-Mbarara'!L71+'Avg Week Mbarara-Isingiro'!L71</f>
        <v>0</v>
      </c>
      <c r="M71" s="49">
        <f>'Avg Week Isingiro-Mbarara'!M71+'Avg Week Mbarara-Isingiro'!M71</f>
        <v>18.5</v>
      </c>
      <c r="N71" s="49">
        <f>'Avg Week Isingiro-Mbarara'!N71+'Avg Week Mbarara-Isingiro'!N71</f>
        <v>0</v>
      </c>
      <c r="O71" s="15">
        <f t="shared" si="0"/>
        <v>22.5</v>
      </c>
      <c r="P71" s="15">
        <f t="shared" si="1"/>
        <v>41</v>
      </c>
      <c r="R71" s="8"/>
      <c r="T71"/>
    </row>
    <row r="72" spans="2:20" ht="23.1" customHeight="1" x14ac:dyDescent="0.25">
      <c r="B72" s="23" t="s">
        <v>112</v>
      </c>
      <c r="C72" s="49">
        <f>'Avg Week Isingiro-Mbarara'!C72+'Avg Week Mbarara-Isingiro'!C72</f>
        <v>11.5</v>
      </c>
      <c r="D72" s="49">
        <f>'Avg Week Isingiro-Mbarara'!D72+'Avg Week Mbarara-Isingiro'!D72</f>
        <v>0.5</v>
      </c>
      <c r="E72" s="49">
        <f>'Avg Week Isingiro-Mbarara'!E72+'Avg Week Mbarara-Isingiro'!E72</f>
        <v>1.5</v>
      </c>
      <c r="F72" s="49">
        <f>'Avg Week Isingiro-Mbarara'!F72+'Avg Week Mbarara-Isingiro'!F72</f>
        <v>0.5</v>
      </c>
      <c r="G72" s="49">
        <f>'Avg Week Isingiro-Mbarara'!G72+'Avg Week Mbarara-Isingiro'!G72</f>
        <v>0</v>
      </c>
      <c r="H72" s="49">
        <f>'Avg Week Isingiro-Mbarara'!H72+'Avg Week Mbarara-Isingiro'!H72</f>
        <v>0</v>
      </c>
      <c r="I72" s="49">
        <f>'Avg Week Isingiro-Mbarara'!I72+'Avg Week Mbarara-Isingiro'!I72</f>
        <v>0.5</v>
      </c>
      <c r="J72" s="49">
        <f>'Avg Week Isingiro-Mbarara'!J72+'Avg Week Mbarara-Isingiro'!J72</f>
        <v>0.5</v>
      </c>
      <c r="K72" s="49">
        <f>'Avg Week Isingiro-Mbarara'!K72+'Avg Week Mbarara-Isingiro'!K72</f>
        <v>0</v>
      </c>
      <c r="L72" s="49">
        <f>'Avg Week Isingiro-Mbarara'!L72+'Avg Week Mbarara-Isingiro'!L72</f>
        <v>0</v>
      </c>
      <c r="M72" s="49">
        <f>'Avg Week Isingiro-Mbarara'!M72+'Avg Week Mbarara-Isingiro'!M72</f>
        <v>19</v>
      </c>
      <c r="N72" s="49">
        <f>'Avg Week Isingiro-Mbarara'!N72+'Avg Week Mbarara-Isingiro'!N72</f>
        <v>0</v>
      </c>
      <c r="O72" s="15">
        <f t="shared" si="0"/>
        <v>15</v>
      </c>
      <c r="P72" s="15">
        <f t="shared" si="1"/>
        <v>34</v>
      </c>
      <c r="R72" s="8"/>
      <c r="T72"/>
    </row>
    <row r="73" spans="2:20" ht="23.1" customHeight="1" x14ac:dyDescent="0.25">
      <c r="B73" s="23" t="s">
        <v>113</v>
      </c>
      <c r="C73" s="49">
        <f>'Avg Week Isingiro-Mbarara'!C73+'Avg Week Mbarara-Isingiro'!C73</f>
        <v>6.5</v>
      </c>
      <c r="D73" s="49">
        <f>'Avg Week Isingiro-Mbarara'!D73+'Avg Week Mbarara-Isingiro'!D73</f>
        <v>0</v>
      </c>
      <c r="E73" s="49">
        <f>'Avg Week Isingiro-Mbarara'!E73+'Avg Week Mbarara-Isingiro'!E73</f>
        <v>0</v>
      </c>
      <c r="F73" s="49">
        <f>'Avg Week Isingiro-Mbarara'!F73+'Avg Week Mbarara-Isingiro'!F73</f>
        <v>1.5</v>
      </c>
      <c r="G73" s="49">
        <f>'Avg Week Isingiro-Mbarara'!G73+'Avg Week Mbarara-Isingiro'!G73</f>
        <v>0</v>
      </c>
      <c r="H73" s="49">
        <f>'Avg Week Isingiro-Mbarara'!H73+'Avg Week Mbarara-Isingiro'!H73</f>
        <v>0</v>
      </c>
      <c r="I73" s="49">
        <f>'Avg Week Isingiro-Mbarara'!I73+'Avg Week Mbarara-Isingiro'!I73</f>
        <v>0.5</v>
      </c>
      <c r="J73" s="49">
        <f>'Avg Week Isingiro-Mbarara'!J73+'Avg Week Mbarara-Isingiro'!J73</f>
        <v>0.5</v>
      </c>
      <c r="K73" s="49">
        <f>'Avg Week Isingiro-Mbarara'!K73+'Avg Week Mbarara-Isingiro'!K73</f>
        <v>0</v>
      </c>
      <c r="L73" s="49">
        <f>'Avg Week Isingiro-Mbarara'!L73+'Avg Week Mbarara-Isingiro'!L73</f>
        <v>0</v>
      </c>
      <c r="M73" s="49">
        <f>'Avg Week Isingiro-Mbarara'!M73+'Avg Week Mbarara-Isingiro'!M73</f>
        <v>27.5</v>
      </c>
      <c r="N73" s="49">
        <f>'Avg Week Isingiro-Mbarara'!N73+'Avg Week Mbarara-Isingiro'!N73</f>
        <v>0</v>
      </c>
      <c r="O73" s="15">
        <f t="shared" si="0"/>
        <v>9</v>
      </c>
      <c r="P73" s="15">
        <f t="shared" si="1"/>
        <v>36.5</v>
      </c>
      <c r="R73" s="8"/>
      <c r="T73"/>
    </row>
    <row r="74" spans="2:20" ht="23.1" customHeight="1" x14ac:dyDescent="0.25">
      <c r="B74" s="23" t="s">
        <v>114</v>
      </c>
      <c r="C74" s="49">
        <f>'Avg Week Isingiro-Mbarara'!C74+'Avg Week Mbarara-Isingiro'!C74</f>
        <v>7.5</v>
      </c>
      <c r="D74" s="49">
        <f>'Avg Week Isingiro-Mbarara'!D74+'Avg Week Mbarara-Isingiro'!D74</f>
        <v>1</v>
      </c>
      <c r="E74" s="49">
        <f>'Avg Week Isingiro-Mbarara'!E74+'Avg Week Mbarara-Isingiro'!E74</f>
        <v>1</v>
      </c>
      <c r="F74" s="49">
        <f>'Avg Week Isingiro-Mbarara'!F74+'Avg Week Mbarara-Isingiro'!F74</f>
        <v>0.5</v>
      </c>
      <c r="G74" s="49">
        <f>'Avg Week Isingiro-Mbarara'!G74+'Avg Week Mbarara-Isingiro'!G74</f>
        <v>0</v>
      </c>
      <c r="H74" s="49">
        <f>'Avg Week Isingiro-Mbarara'!H74+'Avg Week Mbarara-Isingiro'!H74</f>
        <v>0</v>
      </c>
      <c r="I74" s="49">
        <f>'Avg Week Isingiro-Mbarara'!I74+'Avg Week Mbarara-Isingiro'!I74</f>
        <v>3</v>
      </c>
      <c r="J74" s="49">
        <f>'Avg Week Isingiro-Mbarara'!J74+'Avg Week Mbarara-Isingiro'!J74</f>
        <v>0</v>
      </c>
      <c r="K74" s="49">
        <f>'Avg Week Isingiro-Mbarara'!K74+'Avg Week Mbarara-Isingiro'!K74</f>
        <v>0</v>
      </c>
      <c r="L74" s="49">
        <f>'Avg Week Isingiro-Mbarara'!L74+'Avg Week Mbarara-Isingiro'!L74</f>
        <v>0</v>
      </c>
      <c r="M74" s="49">
        <f>'Avg Week Isingiro-Mbarara'!M74+'Avg Week Mbarara-Isingiro'!M74</f>
        <v>7</v>
      </c>
      <c r="N74" s="49">
        <f>'Avg Week Isingiro-Mbarara'!N74+'Avg Week Mbarara-Isingiro'!N74</f>
        <v>0</v>
      </c>
      <c r="O74" s="15">
        <f t="shared" ref="O74:O105" si="35">SUM(C74:L74,N74)</f>
        <v>13</v>
      </c>
      <c r="P74" s="15">
        <f t="shared" ref="P74:P105" si="36">SUM(C74:N74)</f>
        <v>20</v>
      </c>
      <c r="R74" s="8"/>
      <c r="T74"/>
    </row>
    <row r="75" spans="2:20" ht="23.1" customHeight="1" x14ac:dyDescent="0.25">
      <c r="B75" s="23" t="s">
        <v>115</v>
      </c>
      <c r="C75" s="49">
        <f>'Avg Week Isingiro-Mbarara'!C75+'Avg Week Mbarara-Isingiro'!C75</f>
        <v>6.5</v>
      </c>
      <c r="D75" s="49">
        <f>'Avg Week Isingiro-Mbarara'!D75+'Avg Week Mbarara-Isingiro'!D75</f>
        <v>1</v>
      </c>
      <c r="E75" s="49">
        <f>'Avg Week Isingiro-Mbarara'!E75+'Avg Week Mbarara-Isingiro'!E75</f>
        <v>0</v>
      </c>
      <c r="F75" s="49">
        <f>'Avg Week Isingiro-Mbarara'!F75+'Avg Week Mbarara-Isingiro'!F75</f>
        <v>0.5</v>
      </c>
      <c r="G75" s="49">
        <f>'Avg Week Isingiro-Mbarara'!G75+'Avg Week Mbarara-Isingiro'!G75</f>
        <v>0</v>
      </c>
      <c r="H75" s="49">
        <f>'Avg Week Isingiro-Mbarara'!H75+'Avg Week Mbarara-Isingiro'!H75</f>
        <v>0</v>
      </c>
      <c r="I75" s="49">
        <f>'Avg Week Isingiro-Mbarara'!I75+'Avg Week Mbarara-Isingiro'!I75</f>
        <v>2.5</v>
      </c>
      <c r="J75" s="49">
        <f>'Avg Week Isingiro-Mbarara'!J75+'Avg Week Mbarara-Isingiro'!J75</f>
        <v>1</v>
      </c>
      <c r="K75" s="49">
        <f>'Avg Week Isingiro-Mbarara'!K75+'Avg Week Mbarara-Isingiro'!K75</f>
        <v>0</v>
      </c>
      <c r="L75" s="49">
        <f>'Avg Week Isingiro-Mbarara'!L75+'Avg Week Mbarara-Isingiro'!L75</f>
        <v>0</v>
      </c>
      <c r="M75" s="49">
        <f>'Avg Week Isingiro-Mbarara'!M75+'Avg Week Mbarara-Isingiro'!M75</f>
        <v>7.5</v>
      </c>
      <c r="N75" s="49">
        <f>'Avg Week Isingiro-Mbarara'!N75+'Avg Week Mbarara-Isingiro'!N75</f>
        <v>0</v>
      </c>
      <c r="O75" s="15">
        <f t="shared" si="35"/>
        <v>11.5</v>
      </c>
      <c r="P75" s="15">
        <f t="shared" si="36"/>
        <v>19</v>
      </c>
      <c r="R75" s="8"/>
      <c r="T75"/>
    </row>
    <row r="76" spans="2:20" ht="23.1" customHeight="1" x14ac:dyDescent="0.25">
      <c r="B76" s="23" t="s">
        <v>116</v>
      </c>
      <c r="C76" s="49">
        <f>'Avg Week Isingiro-Mbarara'!C76+'Avg Week Mbarara-Isingiro'!C76</f>
        <v>4.5</v>
      </c>
      <c r="D76" s="49">
        <f>'Avg Week Isingiro-Mbarara'!D76+'Avg Week Mbarara-Isingiro'!D76</f>
        <v>1.5</v>
      </c>
      <c r="E76" s="49">
        <f>'Avg Week Isingiro-Mbarara'!E76+'Avg Week Mbarara-Isingiro'!E76</f>
        <v>0</v>
      </c>
      <c r="F76" s="49">
        <f>'Avg Week Isingiro-Mbarara'!F76+'Avg Week Mbarara-Isingiro'!F76</f>
        <v>0</v>
      </c>
      <c r="G76" s="49">
        <f>'Avg Week Isingiro-Mbarara'!G76+'Avg Week Mbarara-Isingiro'!G76</f>
        <v>0.5</v>
      </c>
      <c r="H76" s="49">
        <f>'Avg Week Isingiro-Mbarara'!H76+'Avg Week Mbarara-Isingiro'!H76</f>
        <v>0</v>
      </c>
      <c r="I76" s="49">
        <f>'Avg Week Isingiro-Mbarara'!I76+'Avg Week Mbarara-Isingiro'!I76</f>
        <v>0.5</v>
      </c>
      <c r="J76" s="49">
        <f>'Avg Week Isingiro-Mbarara'!J76+'Avg Week Mbarara-Isingiro'!J76</f>
        <v>0.5</v>
      </c>
      <c r="K76" s="49">
        <f>'Avg Week Isingiro-Mbarara'!K76+'Avg Week Mbarara-Isingiro'!K76</f>
        <v>0</v>
      </c>
      <c r="L76" s="49">
        <f>'Avg Week Isingiro-Mbarara'!L76+'Avg Week Mbarara-Isingiro'!L76</f>
        <v>0</v>
      </c>
      <c r="M76" s="49">
        <f>'Avg Week Isingiro-Mbarara'!M76+'Avg Week Mbarara-Isingiro'!M76</f>
        <v>6.5</v>
      </c>
      <c r="N76" s="49">
        <f>'Avg Week Isingiro-Mbarara'!N76+'Avg Week Mbarara-Isingiro'!N76</f>
        <v>0</v>
      </c>
      <c r="O76" s="15">
        <f t="shared" si="35"/>
        <v>7.5</v>
      </c>
      <c r="P76" s="15">
        <f t="shared" si="36"/>
        <v>14</v>
      </c>
      <c r="R76" s="8"/>
      <c r="T76"/>
    </row>
    <row r="77" spans="2:20" ht="23.1" customHeight="1" x14ac:dyDescent="0.25">
      <c r="B77" s="23" t="s">
        <v>117</v>
      </c>
      <c r="C77" s="49">
        <f>'Avg Week Isingiro-Mbarara'!C77+'Avg Week Mbarara-Isingiro'!C77</f>
        <v>4</v>
      </c>
      <c r="D77" s="49">
        <f>'Avg Week Isingiro-Mbarara'!D77+'Avg Week Mbarara-Isingiro'!D77</f>
        <v>1</v>
      </c>
      <c r="E77" s="49">
        <f>'Avg Week Isingiro-Mbarara'!E77+'Avg Week Mbarara-Isingiro'!E77</f>
        <v>0</v>
      </c>
      <c r="F77" s="49">
        <f>'Avg Week Isingiro-Mbarara'!F77+'Avg Week Mbarara-Isingiro'!F77</f>
        <v>0</v>
      </c>
      <c r="G77" s="49">
        <f>'Avg Week Isingiro-Mbarara'!G77+'Avg Week Mbarara-Isingiro'!G77</f>
        <v>0</v>
      </c>
      <c r="H77" s="49">
        <f>'Avg Week Isingiro-Mbarara'!H77+'Avg Week Mbarara-Isingiro'!H77</f>
        <v>0</v>
      </c>
      <c r="I77" s="49">
        <f>'Avg Week Isingiro-Mbarara'!I77+'Avg Week Mbarara-Isingiro'!I77</f>
        <v>1.5</v>
      </c>
      <c r="J77" s="49">
        <f>'Avg Week Isingiro-Mbarara'!J77+'Avg Week Mbarara-Isingiro'!J77</f>
        <v>2.5</v>
      </c>
      <c r="K77" s="49">
        <f>'Avg Week Isingiro-Mbarara'!K77+'Avg Week Mbarara-Isingiro'!K77</f>
        <v>0</v>
      </c>
      <c r="L77" s="49">
        <f>'Avg Week Isingiro-Mbarara'!L77+'Avg Week Mbarara-Isingiro'!L77</f>
        <v>0</v>
      </c>
      <c r="M77" s="49">
        <f>'Avg Week Isingiro-Mbarara'!M77+'Avg Week Mbarara-Isingiro'!M77</f>
        <v>10</v>
      </c>
      <c r="N77" s="49">
        <f>'Avg Week Isingiro-Mbarara'!N77+'Avg Week Mbarara-Isingiro'!N77</f>
        <v>0</v>
      </c>
      <c r="O77" s="15">
        <f t="shared" si="35"/>
        <v>9</v>
      </c>
      <c r="P77" s="15">
        <f t="shared" si="36"/>
        <v>19</v>
      </c>
      <c r="R77" s="8"/>
      <c r="T77"/>
    </row>
    <row r="78" spans="2:20" ht="23.1" customHeight="1" x14ac:dyDescent="0.25">
      <c r="B78" s="24" t="s">
        <v>118</v>
      </c>
      <c r="C78" s="49">
        <f>'Avg Week Isingiro-Mbarara'!C78+'Avg Week Mbarara-Isingiro'!C78</f>
        <v>2.5</v>
      </c>
      <c r="D78" s="49">
        <f>'Avg Week Isingiro-Mbarara'!D78+'Avg Week Mbarara-Isingiro'!D78</f>
        <v>1</v>
      </c>
      <c r="E78" s="49">
        <f>'Avg Week Isingiro-Mbarara'!E78+'Avg Week Mbarara-Isingiro'!E78</f>
        <v>0.5</v>
      </c>
      <c r="F78" s="49">
        <f>'Avg Week Isingiro-Mbarara'!F78+'Avg Week Mbarara-Isingiro'!F78</f>
        <v>0.5</v>
      </c>
      <c r="G78" s="49">
        <f>'Avg Week Isingiro-Mbarara'!G78+'Avg Week Mbarara-Isingiro'!G78</f>
        <v>0</v>
      </c>
      <c r="H78" s="49">
        <f>'Avg Week Isingiro-Mbarara'!H78+'Avg Week Mbarara-Isingiro'!H78</f>
        <v>0</v>
      </c>
      <c r="I78" s="49">
        <f>'Avg Week Isingiro-Mbarara'!I78+'Avg Week Mbarara-Isingiro'!I78</f>
        <v>0</v>
      </c>
      <c r="J78" s="49">
        <f>'Avg Week Isingiro-Mbarara'!J78+'Avg Week Mbarara-Isingiro'!J78</f>
        <v>0.5</v>
      </c>
      <c r="K78" s="49">
        <f>'Avg Week Isingiro-Mbarara'!K78+'Avg Week Mbarara-Isingiro'!K78</f>
        <v>0</v>
      </c>
      <c r="L78" s="49">
        <f>'Avg Week Isingiro-Mbarara'!L78+'Avg Week Mbarara-Isingiro'!L78</f>
        <v>0</v>
      </c>
      <c r="M78" s="49">
        <f>'Avg Week Isingiro-Mbarara'!M78+'Avg Week Mbarara-Isingiro'!M78</f>
        <v>5.5</v>
      </c>
      <c r="N78" s="49">
        <f>'Avg Week Isingiro-Mbarara'!N78+'Avg Week Mbarara-Isingiro'!N78</f>
        <v>0</v>
      </c>
      <c r="O78" s="15">
        <f t="shared" si="35"/>
        <v>5</v>
      </c>
      <c r="P78" s="15">
        <f t="shared" si="36"/>
        <v>10.5</v>
      </c>
      <c r="R78" s="8"/>
      <c r="T78"/>
    </row>
    <row r="79" spans="2:20" ht="23.1" customHeight="1" x14ac:dyDescent="0.25">
      <c r="B79" s="23" t="s">
        <v>119</v>
      </c>
      <c r="C79" s="49">
        <f>'Avg Week Isingiro-Mbarara'!C79+'Avg Week Mbarara-Isingiro'!C79</f>
        <v>3.5</v>
      </c>
      <c r="D79" s="49">
        <f>'Avg Week Isingiro-Mbarara'!D79+'Avg Week Mbarara-Isingiro'!D79</f>
        <v>0</v>
      </c>
      <c r="E79" s="49">
        <f>'Avg Week Isingiro-Mbarara'!E79+'Avg Week Mbarara-Isingiro'!E79</f>
        <v>0</v>
      </c>
      <c r="F79" s="49">
        <f>'Avg Week Isingiro-Mbarara'!F79+'Avg Week Mbarara-Isingiro'!F79</f>
        <v>1.5</v>
      </c>
      <c r="G79" s="49">
        <f>'Avg Week Isingiro-Mbarara'!G79+'Avg Week Mbarara-Isingiro'!G79</f>
        <v>0</v>
      </c>
      <c r="H79" s="49">
        <f>'Avg Week Isingiro-Mbarara'!H79+'Avg Week Mbarara-Isingiro'!H79</f>
        <v>0</v>
      </c>
      <c r="I79" s="49">
        <f>'Avg Week Isingiro-Mbarara'!I79+'Avg Week Mbarara-Isingiro'!I79</f>
        <v>0.5</v>
      </c>
      <c r="J79" s="49">
        <f>'Avg Week Isingiro-Mbarara'!J79+'Avg Week Mbarara-Isingiro'!J79</f>
        <v>0.5</v>
      </c>
      <c r="K79" s="49">
        <f>'Avg Week Isingiro-Mbarara'!K79+'Avg Week Mbarara-Isingiro'!K79</f>
        <v>0</v>
      </c>
      <c r="L79" s="49">
        <f>'Avg Week Isingiro-Mbarara'!L79+'Avg Week Mbarara-Isingiro'!L79</f>
        <v>0</v>
      </c>
      <c r="M79" s="49">
        <f>'Avg Week Isingiro-Mbarara'!M79+'Avg Week Mbarara-Isingiro'!M79</f>
        <v>3</v>
      </c>
      <c r="N79" s="49">
        <f>'Avg Week Isingiro-Mbarara'!N79+'Avg Week Mbarara-Isingiro'!N79</f>
        <v>0</v>
      </c>
      <c r="O79" s="15">
        <f t="shared" si="35"/>
        <v>6</v>
      </c>
      <c r="P79" s="15">
        <f t="shared" si="36"/>
        <v>9</v>
      </c>
      <c r="R79" s="8"/>
      <c r="T79"/>
    </row>
    <row r="80" spans="2:20" ht="23.1" customHeight="1" x14ac:dyDescent="0.25">
      <c r="B80" s="25" t="s">
        <v>120</v>
      </c>
      <c r="C80" s="49">
        <f>'Avg Week Isingiro-Mbarara'!C80+'Avg Week Mbarara-Isingiro'!C80</f>
        <v>1</v>
      </c>
      <c r="D80" s="49">
        <f>'Avg Week Isingiro-Mbarara'!D80+'Avg Week Mbarara-Isingiro'!D80</f>
        <v>0.5</v>
      </c>
      <c r="E80" s="49">
        <f>'Avg Week Isingiro-Mbarara'!E80+'Avg Week Mbarara-Isingiro'!E80</f>
        <v>0</v>
      </c>
      <c r="F80" s="49">
        <f>'Avg Week Isingiro-Mbarara'!F80+'Avg Week Mbarara-Isingiro'!F80</f>
        <v>0</v>
      </c>
      <c r="G80" s="49">
        <f>'Avg Week Isingiro-Mbarara'!G80+'Avg Week Mbarara-Isingiro'!G80</f>
        <v>0</v>
      </c>
      <c r="H80" s="49">
        <f>'Avg Week Isingiro-Mbarara'!H80+'Avg Week Mbarara-Isingiro'!H80</f>
        <v>0</v>
      </c>
      <c r="I80" s="49">
        <f>'Avg Week Isingiro-Mbarara'!I80+'Avg Week Mbarara-Isingiro'!I80</f>
        <v>0</v>
      </c>
      <c r="J80" s="49">
        <f>'Avg Week Isingiro-Mbarara'!J80+'Avg Week Mbarara-Isingiro'!J80</f>
        <v>1.5</v>
      </c>
      <c r="K80" s="49">
        <f>'Avg Week Isingiro-Mbarara'!K80+'Avg Week Mbarara-Isingiro'!K80</f>
        <v>0</v>
      </c>
      <c r="L80" s="49">
        <f>'Avg Week Isingiro-Mbarara'!L80+'Avg Week Mbarara-Isingiro'!L80</f>
        <v>0</v>
      </c>
      <c r="M80" s="49">
        <f>'Avg Week Isingiro-Mbarara'!M80+'Avg Week Mbarara-Isingiro'!M80</f>
        <v>2.5</v>
      </c>
      <c r="N80" s="49">
        <f>'Avg Week Isingiro-Mbarara'!N80+'Avg Week Mbarara-Isingiro'!N80</f>
        <v>0</v>
      </c>
      <c r="O80" s="15">
        <f t="shared" si="35"/>
        <v>3</v>
      </c>
      <c r="P80" s="15">
        <f t="shared" si="36"/>
        <v>5.5</v>
      </c>
      <c r="R80" s="8"/>
      <c r="T80"/>
    </row>
    <row r="81" spans="2:20" ht="23.1" customHeight="1" x14ac:dyDescent="0.25">
      <c r="B81" s="23" t="s">
        <v>121</v>
      </c>
      <c r="C81" s="49">
        <f>'Avg Week Isingiro-Mbarara'!C81+'Avg Week Mbarara-Isingiro'!C81</f>
        <v>3</v>
      </c>
      <c r="D81" s="49">
        <f>'Avg Week Isingiro-Mbarara'!D81+'Avg Week Mbarara-Isingiro'!D81</f>
        <v>1.5</v>
      </c>
      <c r="E81" s="49">
        <f>'Avg Week Isingiro-Mbarara'!E81+'Avg Week Mbarara-Isingiro'!E81</f>
        <v>0</v>
      </c>
      <c r="F81" s="49">
        <f>'Avg Week Isingiro-Mbarara'!F81+'Avg Week Mbarara-Isingiro'!F81</f>
        <v>0</v>
      </c>
      <c r="G81" s="49">
        <f>'Avg Week Isingiro-Mbarara'!G81+'Avg Week Mbarara-Isingiro'!G81</f>
        <v>0</v>
      </c>
      <c r="H81" s="49">
        <f>'Avg Week Isingiro-Mbarara'!H81+'Avg Week Mbarara-Isingiro'!H81</f>
        <v>0</v>
      </c>
      <c r="I81" s="49">
        <f>'Avg Week Isingiro-Mbarara'!I81+'Avg Week Mbarara-Isingiro'!I81</f>
        <v>0.5</v>
      </c>
      <c r="J81" s="49">
        <f>'Avg Week Isingiro-Mbarara'!J81+'Avg Week Mbarara-Isingiro'!J81</f>
        <v>0.5</v>
      </c>
      <c r="K81" s="49">
        <f>'Avg Week Isingiro-Mbarara'!K81+'Avg Week Mbarara-Isingiro'!K81</f>
        <v>0</v>
      </c>
      <c r="L81" s="49">
        <f>'Avg Week Isingiro-Mbarara'!L81+'Avg Week Mbarara-Isingiro'!L81</f>
        <v>0</v>
      </c>
      <c r="M81" s="49">
        <f>'Avg Week Isingiro-Mbarara'!M81+'Avg Week Mbarara-Isingiro'!M81</f>
        <v>2</v>
      </c>
      <c r="N81" s="49">
        <f>'Avg Week Isingiro-Mbarara'!N81+'Avg Week Mbarara-Isingiro'!N81</f>
        <v>0</v>
      </c>
      <c r="O81" s="15">
        <f t="shared" si="35"/>
        <v>5.5</v>
      </c>
      <c r="P81" s="15">
        <f t="shared" si="36"/>
        <v>7.5</v>
      </c>
      <c r="R81" s="8"/>
      <c r="T81"/>
    </row>
    <row r="82" spans="2:20" ht="23.1" customHeight="1" x14ac:dyDescent="0.25">
      <c r="B82" s="24" t="s">
        <v>122</v>
      </c>
      <c r="C82" s="49">
        <f>'Avg Week Isingiro-Mbarara'!C82+'Avg Week Mbarara-Isingiro'!C82</f>
        <v>2.5</v>
      </c>
      <c r="D82" s="49">
        <f>'Avg Week Isingiro-Mbarara'!D82+'Avg Week Mbarara-Isingiro'!D82</f>
        <v>0</v>
      </c>
      <c r="E82" s="49">
        <f>'Avg Week Isingiro-Mbarara'!E82+'Avg Week Mbarara-Isingiro'!E82</f>
        <v>0</v>
      </c>
      <c r="F82" s="49">
        <f>'Avg Week Isingiro-Mbarara'!F82+'Avg Week Mbarara-Isingiro'!F82</f>
        <v>0.5</v>
      </c>
      <c r="G82" s="49">
        <f>'Avg Week Isingiro-Mbarara'!G82+'Avg Week Mbarara-Isingiro'!G82</f>
        <v>0</v>
      </c>
      <c r="H82" s="49">
        <f>'Avg Week Isingiro-Mbarara'!H82+'Avg Week Mbarara-Isingiro'!H82</f>
        <v>0</v>
      </c>
      <c r="I82" s="49">
        <f>'Avg Week Isingiro-Mbarara'!I82+'Avg Week Mbarara-Isingiro'!I82</f>
        <v>1.5</v>
      </c>
      <c r="J82" s="49">
        <f>'Avg Week Isingiro-Mbarara'!J82+'Avg Week Mbarara-Isingiro'!J82</f>
        <v>2</v>
      </c>
      <c r="K82" s="49">
        <f>'Avg Week Isingiro-Mbarara'!K82+'Avg Week Mbarara-Isingiro'!K82</f>
        <v>0</v>
      </c>
      <c r="L82" s="49">
        <f>'Avg Week Isingiro-Mbarara'!L82+'Avg Week Mbarara-Isingiro'!L82</f>
        <v>1</v>
      </c>
      <c r="M82" s="49">
        <f>'Avg Week Isingiro-Mbarara'!M82+'Avg Week Mbarara-Isingiro'!M82</f>
        <v>7.5</v>
      </c>
      <c r="N82" s="49">
        <f>'Avg Week Isingiro-Mbarara'!N82+'Avg Week Mbarara-Isingiro'!N82</f>
        <v>0</v>
      </c>
      <c r="O82" s="15">
        <f t="shared" si="35"/>
        <v>7.5</v>
      </c>
      <c r="P82" s="15">
        <f t="shared" si="36"/>
        <v>15</v>
      </c>
      <c r="R82" s="8"/>
      <c r="T82"/>
    </row>
    <row r="83" spans="2:20" ht="23.1" customHeight="1" x14ac:dyDescent="0.25">
      <c r="B83" s="23" t="s">
        <v>123</v>
      </c>
      <c r="C83" s="49">
        <f>'Avg Week Isingiro-Mbarara'!C83+'Avg Week Mbarara-Isingiro'!C83</f>
        <v>1.5</v>
      </c>
      <c r="D83" s="49">
        <f>'Avg Week Isingiro-Mbarara'!D83+'Avg Week Mbarara-Isingiro'!D83</f>
        <v>0</v>
      </c>
      <c r="E83" s="49">
        <f>'Avg Week Isingiro-Mbarara'!E83+'Avg Week Mbarara-Isingiro'!E83</f>
        <v>0</v>
      </c>
      <c r="F83" s="49">
        <f>'Avg Week Isingiro-Mbarara'!F83+'Avg Week Mbarara-Isingiro'!F83</f>
        <v>1.5</v>
      </c>
      <c r="G83" s="49">
        <f>'Avg Week Isingiro-Mbarara'!G83+'Avg Week Mbarara-Isingiro'!G83</f>
        <v>0</v>
      </c>
      <c r="H83" s="49">
        <f>'Avg Week Isingiro-Mbarara'!H83+'Avg Week Mbarara-Isingiro'!H83</f>
        <v>0</v>
      </c>
      <c r="I83" s="49">
        <f>'Avg Week Isingiro-Mbarara'!I83+'Avg Week Mbarara-Isingiro'!I83</f>
        <v>0.5</v>
      </c>
      <c r="J83" s="49">
        <f>'Avg Week Isingiro-Mbarara'!J83+'Avg Week Mbarara-Isingiro'!J83</f>
        <v>0.5</v>
      </c>
      <c r="K83" s="49">
        <f>'Avg Week Isingiro-Mbarara'!K83+'Avg Week Mbarara-Isingiro'!K83</f>
        <v>0</v>
      </c>
      <c r="L83" s="49">
        <f>'Avg Week Isingiro-Mbarara'!L83+'Avg Week Mbarara-Isingiro'!L83</f>
        <v>0</v>
      </c>
      <c r="M83" s="49">
        <f>'Avg Week Isingiro-Mbarara'!M83+'Avg Week Mbarara-Isingiro'!M83</f>
        <v>4</v>
      </c>
      <c r="N83" s="49">
        <f>'Avg Week Isingiro-Mbarara'!N83+'Avg Week Mbarara-Isingiro'!N83</f>
        <v>0</v>
      </c>
      <c r="O83" s="15">
        <f t="shared" si="35"/>
        <v>4</v>
      </c>
      <c r="P83" s="15">
        <f t="shared" si="36"/>
        <v>8</v>
      </c>
      <c r="R83" s="8"/>
      <c r="T83"/>
    </row>
    <row r="84" spans="2:20" ht="23.1" customHeight="1" x14ac:dyDescent="0.25">
      <c r="B84" s="25" t="s">
        <v>124</v>
      </c>
      <c r="C84" s="49">
        <f>'Avg Week Isingiro-Mbarara'!C84+'Avg Week Mbarara-Isingiro'!C84</f>
        <v>1.5</v>
      </c>
      <c r="D84" s="49">
        <f>'Avg Week Isingiro-Mbarara'!D84+'Avg Week Mbarara-Isingiro'!D84</f>
        <v>0.5</v>
      </c>
      <c r="E84" s="49">
        <f>'Avg Week Isingiro-Mbarara'!E84+'Avg Week Mbarara-Isingiro'!E84</f>
        <v>0</v>
      </c>
      <c r="F84" s="49">
        <f>'Avg Week Isingiro-Mbarara'!F84+'Avg Week Mbarara-Isingiro'!F84</f>
        <v>0.5</v>
      </c>
      <c r="G84" s="49">
        <f>'Avg Week Isingiro-Mbarara'!G84+'Avg Week Mbarara-Isingiro'!G84</f>
        <v>0</v>
      </c>
      <c r="H84" s="49">
        <f>'Avg Week Isingiro-Mbarara'!H84+'Avg Week Mbarara-Isingiro'!H84</f>
        <v>0</v>
      </c>
      <c r="I84" s="49">
        <f>'Avg Week Isingiro-Mbarara'!I84+'Avg Week Mbarara-Isingiro'!I84</f>
        <v>0.5</v>
      </c>
      <c r="J84" s="49">
        <f>'Avg Week Isingiro-Mbarara'!J84+'Avg Week Mbarara-Isingiro'!J84</f>
        <v>1</v>
      </c>
      <c r="K84" s="49">
        <f>'Avg Week Isingiro-Mbarara'!K84+'Avg Week Mbarara-Isingiro'!K84</f>
        <v>0</v>
      </c>
      <c r="L84" s="49">
        <f>'Avg Week Isingiro-Mbarara'!L84+'Avg Week Mbarara-Isingiro'!L84</f>
        <v>0</v>
      </c>
      <c r="M84" s="49">
        <f>'Avg Week Isingiro-Mbarara'!M84+'Avg Week Mbarara-Isingiro'!M84</f>
        <v>2.5</v>
      </c>
      <c r="N84" s="49">
        <f>'Avg Week Isingiro-Mbarara'!N84+'Avg Week Mbarara-Isingiro'!N84</f>
        <v>0</v>
      </c>
      <c r="O84" s="15">
        <f t="shared" si="35"/>
        <v>4</v>
      </c>
      <c r="P84" s="15">
        <f t="shared" si="36"/>
        <v>6.5</v>
      </c>
      <c r="R84" s="8"/>
      <c r="T84"/>
    </row>
    <row r="85" spans="2:20" ht="23.1" customHeight="1" x14ac:dyDescent="0.25">
      <c r="B85" s="23" t="s">
        <v>125</v>
      </c>
      <c r="C85" s="49">
        <f>'Avg Week Isingiro-Mbarara'!C85+'Avg Week Mbarara-Isingiro'!C85</f>
        <v>2</v>
      </c>
      <c r="D85" s="49">
        <f>'Avg Week Isingiro-Mbarara'!D85+'Avg Week Mbarara-Isingiro'!D85</f>
        <v>0</v>
      </c>
      <c r="E85" s="49">
        <f>'Avg Week Isingiro-Mbarara'!E85+'Avg Week Mbarara-Isingiro'!E85</f>
        <v>0.5</v>
      </c>
      <c r="F85" s="49">
        <f>'Avg Week Isingiro-Mbarara'!F85+'Avg Week Mbarara-Isingiro'!F85</f>
        <v>0.5</v>
      </c>
      <c r="G85" s="49">
        <f>'Avg Week Isingiro-Mbarara'!G85+'Avg Week Mbarara-Isingiro'!G85</f>
        <v>0</v>
      </c>
      <c r="H85" s="49">
        <f>'Avg Week Isingiro-Mbarara'!H85+'Avg Week Mbarara-Isingiro'!H85</f>
        <v>0</v>
      </c>
      <c r="I85" s="49">
        <f>'Avg Week Isingiro-Mbarara'!I85+'Avg Week Mbarara-Isingiro'!I85</f>
        <v>0</v>
      </c>
      <c r="J85" s="49">
        <f>'Avg Week Isingiro-Mbarara'!J85+'Avg Week Mbarara-Isingiro'!J85</f>
        <v>0.5</v>
      </c>
      <c r="K85" s="49">
        <f>'Avg Week Isingiro-Mbarara'!K85+'Avg Week Mbarara-Isingiro'!K85</f>
        <v>0</v>
      </c>
      <c r="L85" s="49">
        <f>'Avg Week Isingiro-Mbarara'!L85+'Avg Week Mbarara-Isingiro'!L85</f>
        <v>0</v>
      </c>
      <c r="M85" s="49">
        <f>'Avg Week Isingiro-Mbarara'!M85+'Avg Week Mbarara-Isingiro'!M85</f>
        <v>6.5</v>
      </c>
      <c r="N85" s="49">
        <f>'Avg Week Isingiro-Mbarara'!N85+'Avg Week Mbarara-Isingiro'!N85</f>
        <v>0</v>
      </c>
      <c r="O85" s="15">
        <f t="shared" si="35"/>
        <v>3.5</v>
      </c>
      <c r="P85" s="15">
        <f t="shared" si="36"/>
        <v>10</v>
      </c>
      <c r="R85" s="8"/>
      <c r="T85"/>
    </row>
    <row r="86" spans="2:20" ht="23.1" customHeight="1" x14ac:dyDescent="0.25">
      <c r="B86" s="24" t="s">
        <v>126</v>
      </c>
      <c r="C86" s="49">
        <f>'Avg Week Isingiro-Mbarara'!C86+'Avg Week Mbarara-Isingiro'!C86</f>
        <v>1.5</v>
      </c>
      <c r="D86" s="49">
        <f>'Avg Week Isingiro-Mbarara'!D86+'Avg Week Mbarara-Isingiro'!D86</f>
        <v>0</v>
      </c>
      <c r="E86" s="49">
        <f>'Avg Week Isingiro-Mbarara'!E86+'Avg Week Mbarara-Isingiro'!E86</f>
        <v>0</v>
      </c>
      <c r="F86" s="49">
        <f>'Avg Week Isingiro-Mbarara'!F86+'Avg Week Mbarara-Isingiro'!F86</f>
        <v>0</v>
      </c>
      <c r="G86" s="49">
        <f>'Avg Week Isingiro-Mbarara'!G86+'Avg Week Mbarara-Isingiro'!G86</f>
        <v>0</v>
      </c>
      <c r="H86" s="49">
        <f>'Avg Week Isingiro-Mbarara'!H86+'Avg Week Mbarara-Isingiro'!H86</f>
        <v>0</v>
      </c>
      <c r="I86" s="49">
        <f>'Avg Week Isingiro-Mbarara'!I86+'Avg Week Mbarara-Isingiro'!I86</f>
        <v>0</v>
      </c>
      <c r="J86" s="49">
        <f>'Avg Week Isingiro-Mbarara'!J86+'Avg Week Mbarara-Isingiro'!J86</f>
        <v>0</v>
      </c>
      <c r="K86" s="49">
        <f>'Avg Week Isingiro-Mbarara'!K86+'Avg Week Mbarara-Isingiro'!K86</f>
        <v>0</v>
      </c>
      <c r="L86" s="49">
        <f>'Avg Week Isingiro-Mbarara'!L86+'Avg Week Mbarara-Isingiro'!L86</f>
        <v>0</v>
      </c>
      <c r="M86" s="49">
        <f>'Avg Week Isingiro-Mbarara'!M86+'Avg Week Mbarara-Isingiro'!M86</f>
        <v>2</v>
      </c>
      <c r="N86" s="49">
        <f>'Avg Week Isingiro-Mbarara'!N86+'Avg Week Mbarara-Isingiro'!N86</f>
        <v>0</v>
      </c>
      <c r="O86" s="15">
        <f t="shared" si="35"/>
        <v>1.5</v>
      </c>
      <c r="P86" s="15">
        <f t="shared" si="36"/>
        <v>3.5</v>
      </c>
      <c r="R86" s="8"/>
      <c r="T86"/>
    </row>
    <row r="87" spans="2:20" ht="23.1" customHeight="1" x14ac:dyDescent="0.25">
      <c r="B87" s="23" t="s">
        <v>127</v>
      </c>
      <c r="C87" s="49">
        <f>'Avg Week Isingiro-Mbarara'!C87+'Avg Week Mbarara-Isingiro'!C87</f>
        <v>0</v>
      </c>
      <c r="D87" s="49">
        <f>'Avg Week Isingiro-Mbarara'!D87+'Avg Week Mbarara-Isingiro'!D87</f>
        <v>0</v>
      </c>
      <c r="E87" s="49">
        <f>'Avg Week Isingiro-Mbarara'!E87+'Avg Week Mbarara-Isingiro'!E87</f>
        <v>0</v>
      </c>
      <c r="F87" s="49">
        <f>'Avg Week Isingiro-Mbarara'!F87+'Avg Week Mbarara-Isingiro'!F87</f>
        <v>0</v>
      </c>
      <c r="G87" s="49">
        <f>'Avg Week Isingiro-Mbarara'!G87+'Avg Week Mbarara-Isingiro'!G87</f>
        <v>0</v>
      </c>
      <c r="H87" s="49">
        <f>'Avg Week Isingiro-Mbarara'!H87+'Avg Week Mbarara-Isingiro'!H87</f>
        <v>0</v>
      </c>
      <c r="I87" s="49">
        <f>'Avg Week Isingiro-Mbarara'!I87+'Avg Week Mbarara-Isingiro'!I87</f>
        <v>0.5</v>
      </c>
      <c r="J87" s="49">
        <f>'Avg Week Isingiro-Mbarara'!J87+'Avg Week Mbarara-Isingiro'!J87</f>
        <v>1</v>
      </c>
      <c r="K87" s="49">
        <f>'Avg Week Isingiro-Mbarara'!K87+'Avg Week Mbarara-Isingiro'!K87</f>
        <v>0</v>
      </c>
      <c r="L87" s="49">
        <f>'Avg Week Isingiro-Mbarara'!L87+'Avg Week Mbarara-Isingiro'!L87</f>
        <v>0</v>
      </c>
      <c r="M87" s="49">
        <f>'Avg Week Isingiro-Mbarara'!M87+'Avg Week Mbarara-Isingiro'!M87</f>
        <v>3</v>
      </c>
      <c r="N87" s="49">
        <f>'Avg Week Isingiro-Mbarara'!N87+'Avg Week Mbarara-Isingiro'!N87</f>
        <v>0</v>
      </c>
      <c r="O87" s="15">
        <f t="shared" si="35"/>
        <v>1.5</v>
      </c>
      <c r="P87" s="15">
        <f t="shared" si="36"/>
        <v>4.5</v>
      </c>
      <c r="R87" s="8"/>
      <c r="T87"/>
    </row>
    <row r="88" spans="2:20" ht="23.1" customHeight="1" x14ac:dyDescent="0.25">
      <c r="B88" s="25" t="s">
        <v>128</v>
      </c>
      <c r="C88" s="49">
        <f>'Avg Week Isingiro-Mbarara'!C88+'Avg Week Mbarara-Isingiro'!C88</f>
        <v>1.5</v>
      </c>
      <c r="D88" s="49">
        <f>'Avg Week Isingiro-Mbarara'!D88+'Avg Week Mbarara-Isingiro'!D88</f>
        <v>0</v>
      </c>
      <c r="E88" s="49">
        <f>'Avg Week Isingiro-Mbarara'!E88+'Avg Week Mbarara-Isingiro'!E88</f>
        <v>0</v>
      </c>
      <c r="F88" s="49">
        <f>'Avg Week Isingiro-Mbarara'!F88+'Avg Week Mbarara-Isingiro'!F88</f>
        <v>0</v>
      </c>
      <c r="G88" s="49">
        <f>'Avg Week Isingiro-Mbarara'!G88+'Avg Week Mbarara-Isingiro'!G88</f>
        <v>0</v>
      </c>
      <c r="H88" s="49">
        <f>'Avg Week Isingiro-Mbarara'!H88+'Avg Week Mbarara-Isingiro'!H88</f>
        <v>0</v>
      </c>
      <c r="I88" s="49">
        <f>'Avg Week Isingiro-Mbarara'!I88+'Avg Week Mbarara-Isingiro'!I88</f>
        <v>0</v>
      </c>
      <c r="J88" s="49">
        <f>'Avg Week Isingiro-Mbarara'!J88+'Avg Week Mbarara-Isingiro'!J88</f>
        <v>1</v>
      </c>
      <c r="K88" s="49">
        <f>'Avg Week Isingiro-Mbarara'!K88+'Avg Week Mbarara-Isingiro'!K88</f>
        <v>0</v>
      </c>
      <c r="L88" s="49">
        <f>'Avg Week Isingiro-Mbarara'!L88+'Avg Week Mbarara-Isingiro'!L88</f>
        <v>0.5</v>
      </c>
      <c r="M88" s="49">
        <f>'Avg Week Isingiro-Mbarara'!M88+'Avg Week Mbarara-Isingiro'!M88</f>
        <v>1.5</v>
      </c>
      <c r="N88" s="49">
        <f>'Avg Week Isingiro-Mbarara'!N88+'Avg Week Mbarara-Isingiro'!N88</f>
        <v>0</v>
      </c>
      <c r="O88" s="15">
        <f t="shared" si="35"/>
        <v>3</v>
      </c>
      <c r="P88" s="15">
        <f t="shared" si="36"/>
        <v>4.5</v>
      </c>
      <c r="R88" s="8"/>
      <c r="T88"/>
    </row>
    <row r="89" spans="2:20" ht="23.1" customHeight="1" x14ac:dyDescent="0.25">
      <c r="B89" s="23" t="s">
        <v>129</v>
      </c>
      <c r="C89" s="49">
        <f>'Avg Week Isingiro-Mbarara'!C89+'Avg Week Mbarara-Isingiro'!C89</f>
        <v>1</v>
      </c>
      <c r="D89" s="49">
        <f>'Avg Week Isingiro-Mbarara'!D89+'Avg Week Mbarara-Isingiro'!D89</f>
        <v>0.5</v>
      </c>
      <c r="E89" s="49">
        <f>'Avg Week Isingiro-Mbarara'!E89+'Avg Week Mbarara-Isingiro'!E89</f>
        <v>0</v>
      </c>
      <c r="F89" s="49">
        <f>'Avg Week Isingiro-Mbarara'!F89+'Avg Week Mbarara-Isingiro'!F89</f>
        <v>0.5</v>
      </c>
      <c r="G89" s="49">
        <f>'Avg Week Isingiro-Mbarara'!G89+'Avg Week Mbarara-Isingiro'!G89</f>
        <v>0</v>
      </c>
      <c r="H89" s="49">
        <f>'Avg Week Isingiro-Mbarara'!H89+'Avg Week Mbarara-Isingiro'!H89</f>
        <v>0</v>
      </c>
      <c r="I89" s="49">
        <f>'Avg Week Isingiro-Mbarara'!I89+'Avg Week Mbarara-Isingiro'!I89</f>
        <v>0</v>
      </c>
      <c r="J89" s="49">
        <f>'Avg Week Isingiro-Mbarara'!J89+'Avg Week Mbarara-Isingiro'!J89</f>
        <v>1</v>
      </c>
      <c r="K89" s="49">
        <f>'Avg Week Isingiro-Mbarara'!K89+'Avg Week Mbarara-Isingiro'!K89</f>
        <v>0</v>
      </c>
      <c r="L89" s="49">
        <f>'Avg Week Isingiro-Mbarara'!L89+'Avg Week Mbarara-Isingiro'!L89</f>
        <v>0</v>
      </c>
      <c r="M89" s="49">
        <f>'Avg Week Isingiro-Mbarara'!M89+'Avg Week Mbarara-Isingiro'!M89</f>
        <v>2</v>
      </c>
      <c r="N89" s="49">
        <f>'Avg Week Isingiro-Mbarara'!N89+'Avg Week Mbarara-Isingiro'!N89</f>
        <v>0</v>
      </c>
      <c r="O89" s="15">
        <f t="shared" si="35"/>
        <v>3</v>
      </c>
      <c r="P89" s="15">
        <f t="shared" si="36"/>
        <v>5</v>
      </c>
      <c r="R89" s="8"/>
      <c r="T89"/>
    </row>
    <row r="90" spans="2:20" ht="23.1" customHeight="1" x14ac:dyDescent="0.25">
      <c r="B90" s="24" t="s">
        <v>130</v>
      </c>
      <c r="C90" s="49">
        <f>'Avg Week Isingiro-Mbarara'!C90+'Avg Week Mbarara-Isingiro'!C90</f>
        <v>0.5</v>
      </c>
      <c r="D90" s="49">
        <f>'Avg Week Isingiro-Mbarara'!D90+'Avg Week Mbarara-Isingiro'!D90</f>
        <v>1</v>
      </c>
      <c r="E90" s="49">
        <f>'Avg Week Isingiro-Mbarara'!E90+'Avg Week Mbarara-Isingiro'!E90</f>
        <v>0</v>
      </c>
      <c r="F90" s="49">
        <f>'Avg Week Isingiro-Mbarara'!F90+'Avg Week Mbarara-Isingiro'!F90</f>
        <v>0</v>
      </c>
      <c r="G90" s="49">
        <f>'Avg Week Isingiro-Mbarara'!G90+'Avg Week Mbarara-Isingiro'!G90</f>
        <v>0</v>
      </c>
      <c r="H90" s="49">
        <f>'Avg Week Isingiro-Mbarara'!H90+'Avg Week Mbarara-Isingiro'!H90</f>
        <v>0</v>
      </c>
      <c r="I90" s="49">
        <f>'Avg Week Isingiro-Mbarara'!I90+'Avg Week Mbarara-Isingiro'!I90</f>
        <v>0.5</v>
      </c>
      <c r="J90" s="49">
        <f>'Avg Week Isingiro-Mbarara'!J90+'Avg Week Mbarara-Isingiro'!J90</f>
        <v>1</v>
      </c>
      <c r="K90" s="49">
        <f>'Avg Week Isingiro-Mbarara'!K90+'Avg Week Mbarara-Isingiro'!K90</f>
        <v>0</v>
      </c>
      <c r="L90" s="49">
        <f>'Avg Week Isingiro-Mbarara'!L90+'Avg Week Mbarara-Isingiro'!L90</f>
        <v>0.5</v>
      </c>
      <c r="M90" s="49">
        <f>'Avg Week Isingiro-Mbarara'!M90+'Avg Week Mbarara-Isingiro'!M90</f>
        <v>3</v>
      </c>
      <c r="N90" s="49">
        <f>'Avg Week Isingiro-Mbarara'!N90+'Avg Week Mbarara-Isingiro'!N90</f>
        <v>0</v>
      </c>
      <c r="O90" s="15">
        <f t="shared" si="35"/>
        <v>3.5</v>
      </c>
      <c r="P90" s="15">
        <f t="shared" si="36"/>
        <v>6.5</v>
      </c>
      <c r="R90" s="8"/>
      <c r="T90"/>
    </row>
    <row r="91" spans="2:20" ht="23.1" customHeight="1" x14ac:dyDescent="0.25">
      <c r="B91" s="23" t="s">
        <v>131</v>
      </c>
      <c r="C91" s="49">
        <f>'Avg Week Isingiro-Mbarara'!C91+'Avg Week Mbarara-Isingiro'!C91</f>
        <v>1</v>
      </c>
      <c r="D91" s="49">
        <f>'Avg Week Isingiro-Mbarara'!D91+'Avg Week Mbarara-Isingiro'!D91</f>
        <v>0.5</v>
      </c>
      <c r="E91" s="49">
        <f>'Avg Week Isingiro-Mbarara'!E91+'Avg Week Mbarara-Isingiro'!E91</f>
        <v>0</v>
      </c>
      <c r="F91" s="49">
        <f>'Avg Week Isingiro-Mbarara'!F91+'Avg Week Mbarara-Isingiro'!F91</f>
        <v>0</v>
      </c>
      <c r="G91" s="49">
        <f>'Avg Week Isingiro-Mbarara'!G91+'Avg Week Mbarara-Isingiro'!G91</f>
        <v>0</v>
      </c>
      <c r="H91" s="49">
        <f>'Avg Week Isingiro-Mbarara'!H91+'Avg Week Mbarara-Isingiro'!H91</f>
        <v>0</v>
      </c>
      <c r="I91" s="49">
        <f>'Avg Week Isingiro-Mbarara'!I91+'Avg Week Mbarara-Isingiro'!I91</f>
        <v>0</v>
      </c>
      <c r="J91" s="49">
        <f>'Avg Week Isingiro-Mbarara'!J91+'Avg Week Mbarara-Isingiro'!J91</f>
        <v>0.5</v>
      </c>
      <c r="K91" s="49">
        <f>'Avg Week Isingiro-Mbarara'!K91+'Avg Week Mbarara-Isingiro'!K91</f>
        <v>0</v>
      </c>
      <c r="L91" s="49">
        <f>'Avg Week Isingiro-Mbarara'!L91+'Avg Week Mbarara-Isingiro'!L91</f>
        <v>0</v>
      </c>
      <c r="M91" s="49">
        <f>'Avg Week Isingiro-Mbarara'!M91+'Avg Week Mbarara-Isingiro'!M91</f>
        <v>2.5</v>
      </c>
      <c r="N91" s="49">
        <f>'Avg Week Isingiro-Mbarara'!N91+'Avg Week Mbarara-Isingiro'!N91</f>
        <v>0</v>
      </c>
      <c r="O91" s="15">
        <f t="shared" si="35"/>
        <v>2</v>
      </c>
      <c r="P91" s="15">
        <f t="shared" si="36"/>
        <v>4.5</v>
      </c>
      <c r="R91" s="8"/>
      <c r="T91"/>
    </row>
    <row r="92" spans="2:20" ht="23.1" customHeight="1" x14ac:dyDescent="0.25">
      <c r="B92" s="25" t="s">
        <v>132</v>
      </c>
      <c r="C92" s="49">
        <f>'Avg Week Isingiro-Mbarara'!C92+'Avg Week Mbarara-Isingiro'!C92</f>
        <v>3</v>
      </c>
      <c r="D92" s="49">
        <f>'Avg Week Isingiro-Mbarara'!D92+'Avg Week Mbarara-Isingiro'!D92</f>
        <v>0</v>
      </c>
      <c r="E92" s="49">
        <f>'Avg Week Isingiro-Mbarara'!E92+'Avg Week Mbarara-Isingiro'!E92</f>
        <v>0</v>
      </c>
      <c r="F92" s="49">
        <f>'Avg Week Isingiro-Mbarara'!F92+'Avg Week Mbarara-Isingiro'!F92</f>
        <v>0</v>
      </c>
      <c r="G92" s="49">
        <f>'Avg Week Isingiro-Mbarara'!G92+'Avg Week Mbarara-Isingiro'!G92</f>
        <v>0</v>
      </c>
      <c r="H92" s="49">
        <f>'Avg Week Isingiro-Mbarara'!H92+'Avg Week Mbarara-Isingiro'!H92</f>
        <v>0</v>
      </c>
      <c r="I92" s="49">
        <f>'Avg Week Isingiro-Mbarara'!I92+'Avg Week Mbarara-Isingiro'!I92</f>
        <v>0.5</v>
      </c>
      <c r="J92" s="49">
        <f>'Avg Week Isingiro-Mbarara'!J92+'Avg Week Mbarara-Isingiro'!J92</f>
        <v>0</v>
      </c>
      <c r="K92" s="49">
        <f>'Avg Week Isingiro-Mbarara'!K92+'Avg Week Mbarara-Isingiro'!K92</f>
        <v>0</v>
      </c>
      <c r="L92" s="49">
        <f>'Avg Week Isingiro-Mbarara'!L92+'Avg Week Mbarara-Isingiro'!L92</f>
        <v>0</v>
      </c>
      <c r="M92" s="49">
        <f>'Avg Week Isingiro-Mbarara'!M92+'Avg Week Mbarara-Isingiro'!M92</f>
        <v>2.5</v>
      </c>
      <c r="N92" s="49">
        <f>'Avg Week Isingiro-Mbarara'!N92+'Avg Week Mbarara-Isingiro'!N92</f>
        <v>0</v>
      </c>
      <c r="O92" s="15">
        <f t="shared" si="35"/>
        <v>3.5</v>
      </c>
      <c r="P92" s="15">
        <f t="shared" si="36"/>
        <v>6</v>
      </c>
      <c r="R92" s="8"/>
      <c r="T92"/>
    </row>
    <row r="93" spans="2:20" ht="23.1" customHeight="1" x14ac:dyDescent="0.25">
      <c r="B93" s="23" t="s">
        <v>133</v>
      </c>
      <c r="C93" s="49">
        <f>'Avg Week Isingiro-Mbarara'!C93+'Avg Week Mbarara-Isingiro'!C93</f>
        <v>0.5</v>
      </c>
      <c r="D93" s="49">
        <f>'Avg Week Isingiro-Mbarara'!D93+'Avg Week Mbarara-Isingiro'!D93</f>
        <v>0</v>
      </c>
      <c r="E93" s="49">
        <f>'Avg Week Isingiro-Mbarara'!E93+'Avg Week Mbarara-Isingiro'!E93</f>
        <v>0.5</v>
      </c>
      <c r="F93" s="49">
        <f>'Avg Week Isingiro-Mbarara'!F93+'Avg Week Mbarara-Isingiro'!F93</f>
        <v>0.5</v>
      </c>
      <c r="G93" s="49">
        <f>'Avg Week Isingiro-Mbarara'!G93+'Avg Week Mbarara-Isingiro'!G93</f>
        <v>0</v>
      </c>
      <c r="H93" s="49">
        <f>'Avg Week Isingiro-Mbarara'!H93+'Avg Week Mbarara-Isingiro'!H93</f>
        <v>0</v>
      </c>
      <c r="I93" s="49">
        <f>'Avg Week Isingiro-Mbarara'!I93+'Avg Week Mbarara-Isingiro'!I93</f>
        <v>0</v>
      </c>
      <c r="J93" s="49">
        <f>'Avg Week Isingiro-Mbarara'!J93+'Avg Week Mbarara-Isingiro'!J93</f>
        <v>1</v>
      </c>
      <c r="K93" s="49">
        <f>'Avg Week Isingiro-Mbarara'!K93+'Avg Week Mbarara-Isingiro'!K93</f>
        <v>0</v>
      </c>
      <c r="L93" s="49">
        <f>'Avg Week Isingiro-Mbarara'!L93+'Avg Week Mbarara-Isingiro'!L93</f>
        <v>0</v>
      </c>
      <c r="M93" s="49">
        <f>'Avg Week Isingiro-Mbarara'!M93+'Avg Week Mbarara-Isingiro'!M93</f>
        <v>3</v>
      </c>
      <c r="N93" s="49">
        <f>'Avg Week Isingiro-Mbarara'!N93+'Avg Week Mbarara-Isingiro'!N93</f>
        <v>0</v>
      </c>
      <c r="O93" s="15">
        <f t="shared" si="35"/>
        <v>2.5</v>
      </c>
      <c r="P93" s="15">
        <f t="shared" si="36"/>
        <v>5.5</v>
      </c>
      <c r="R93" s="8"/>
      <c r="T93"/>
    </row>
    <row r="94" spans="2:20" ht="23.1" customHeight="1" x14ac:dyDescent="0.25">
      <c r="B94" s="24" t="s">
        <v>134</v>
      </c>
      <c r="C94" s="49">
        <f>'Avg Week Isingiro-Mbarara'!C94+'Avg Week Mbarara-Isingiro'!C94</f>
        <v>2.5</v>
      </c>
      <c r="D94" s="49">
        <f>'Avg Week Isingiro-Mbarara'!D94+'Avg Week Mbarara-Isingiro'!D94</f>
        <v>1</v>
      </c>
      <c r="E94" s="49">
        <f>'Avg Week Isingiro-Mbarara'!E94+'Avg Week Mbarara-Isingiro'!E94</f>
        <v>0</v>
      </c>
      <c r="F94" s="49">
        <f>'Avg Week Isingiro-Mbarara'!F94+'Avg Week Mbarara-Isingiro'!F94</f>
        <v>0</v>
      </c>
      <c r="G94" s="49">
        <f>'Avg Week Isingiro-Mbarara'!G94+'Avg Week Mbarara-Isingiro'!G94</f>
        <v>0</v>
      </c>
      <c r="H94" s="49">
        <f>'Avg Week Isingiro-Mbarara'!H94+'Avg Week Mbarara-Isingiro'!H94</f>
        <v>0</v>
      </c>
      <c r="I94" s="49">
        <f>'Avg Week Isingiro-Mbarara'!I94+'Avg Week Mbarara-Isingiro'!I94</f>
        <v>0</v>
      </c>
      <c r="J94" s="49">
        <f>'Avg Week Isingiro-Mbarara'!J94+'Avg Week Mbarara-Isingiro'!J94</f>
        <v>0</v>
      </c>
      <c r="K94" s="49">
        <f>'Avg Week Isingiro-Mbarara'!K94+'Avg Week Mbarara-Isingiro'!K94</f>
        <v>0</v>
      </c>
      <c r="L94" s="49">
        <f>'Avg Week Isingiro-Mbarara'!L94+'Avg Week Mbarara-Isingiro'!L94</f>
        <v>0</v>
      </c>
      <c r="M94" s="49">
        <f>'Avg Week Isingiro-Mbarara'!M94+'Avg Week Mbarara-Isingiro'!M94</f>
        <v>1.5</v>
      </c>
      <c r="N94" s="49">
        <f>'Avg Week Isingiro-Mbarara'!N94+'Avg Week Mbarara-Isingiro'!N94</f>
        <v>0</v>
      </c>
      <c r="O94" s="15">
        <f t="shared" si="35"/>
        <v>3.5</v>
      </c>
      <c r="P94" s="15">
        <f t="shared" si="36"/>
        <v>5</v>
      </c>
      <c r="R94" s="8"/>
      <c r="T94"/>
    </row>
    <row r="95" spans="2:20" ht="23.1" customHeight="1" x14ac:dyDescent="0.25">
      <c r="B95" s="23" t="s">
        <v>135</v>
      </c>
      <c r="C95" s="49">
        <f>'Avg Week Isingiro-Mbarara'!C95+'Avg Week Mbarara-Isingiro'!C95</f>
        <v>2</v>
      </c>
      <c r="D95" s="49">
        <f>'Avg Week Isingiro-Mbarara'!D95+'Avg Week Mbarara-Isingiro'!D95</f>
        <v>0</v>
      </c>
      <c r="E95" s="49">
        <f>'Avg Week Isingiro-Mbarara'!E95+'Avg Week Mbarara-Isingiro'!E95</f>
        <v>0</v>
      </c>
      <c r="F95" s="49">
        <f>'Avg Week Isingiro-Mbarara'!F95+'Avg Week Mbarara-Isingiro'!F95</f>
        <v>0.5</v>
      </c>
      <c r="G95" s="49">
        <f>'Avg Week Isingiro-Mbarara'!G95+'Avg Week Mbarara-Isingiro'!G95</f>
        <v>0</v>
      </c>
      <c r="H95" s="49">
        <f>'Avg Week Isingiro-Mbarara'!H95+'Avg Week Mbarara-Isingiro'!H95</f>
        <v>0</v>
      </c>
      <c r="I95" s="49">
        <f>'Avg Week Isingiro-Mbarara'!I95+'Avg Week Mbarara-Isingiro'!I95</f>
        <v>1</v>
      </c>
      <c r="J95" s="49">
        <f>'Avg Week Isingiro-Mbarara'!J95+'Avg Week Mbarara-Isingiro'!J95</f>
        <v>0</v>
      </c>
      <c r="K95" s="49">
        <f>'Avg Week Isingiro-Mbarara'!K95+'Avg Week Mbarara-Isingiro'!K95</f>
        <v>0</v>
      </c>
      <c r="L95" s="49">
        <f>'Avg Week Isingiro-Mbarara'!L95+'Avg Week Mbarara-Isingiro'!L95</f>
        <v>0</v>
      </c>
      <c r="M95" s="49">
        <f>'Avg Week Isingiro-Mbarara'!M95+'Avg Week Mbarara-Isingiro'!M95</f>
        <v>1.5</v>
      </c>
      <c r="N95" s="49">
        <f>'Avg Week Isingiro-Mbarara'!N95+'Avg Week Mbarara-Isingiro'!N95</f>
        <v>0</v>
      </c>
      <c r="O95" s="15">
        <f t="shared" si="35"/>
        <v>3.5</v>
      </c>
      <c r="P95" s="15">
        <f t="shared" si="36"/>
        <v>5</v>
      </c>
      <c r="R95" s="8"/>
      <c r="T95"/>
    </row>
    <row r="96" spans="2:20" ht="23.1" customHeight="1" x14ac:dyDescent="0.25">
      <c r="B96" s="25" t="s">
        <v>136</v>
      </c>
      <c r="C96" s="49">
        <f>'Avg Week Isingiro-Mbarara'!C96+'Avg Week Mbarara-Isingiro'!C96</f>
        <v>2.5</v>
      </c>
      <c r="D96" s="49">
        <f>'Avg Week Isingiro-Mbarara'!D96+'Avg Week Mbarara-Isingiro'!D96</f>
        <v>0.5</v>
      </c>
      <c r="E96" s="49">
        <f>'Avg Week Isingiro-Mbarara'!E96+'Avg Week Mbarara-Isingiro'!E96</f>
        <v>0</v>
      </c>
      <c r="F96" s="49">
        <f>'Avg Week Isingiro-Mbarara'!F96+'Avg Week Mbarara-Isingiro'!F96</f>
        <v>0</v>
      </c>
      <c r="G96" s="49">
        <f>'Avg Week Isingiro-Mbarara'!G96+'Avg Week Mbarara-Isingiro'!G96</f>
        <v>0</v>
      </c>
      <c r="H96" s="49">
        <f>'Avg Week Isingiro-Mbarara'!H96+'Avg Week Mbarara-Isingiro'!H96</f>
        <v>0</v>
      </c>
      <c r="I96" s="49">
        <f>'Avg Week Isingiro-Mbarara'!I96+'Avg Week Mbarara-Isingiro'!I96</f>
        <v>2</v>
      </c>
      <c r="J96" s="49">
        <f>'Avg Week Isingiro-Mbarara'!J96+'Avg Week Mbarara-Isingiro'!J96</f>
        <v>0</v>
      </c>
      <c r="K96" s="49">
        <f>'Avg Week Isingiro-Mbarara'!K96+'Avg Week Mbarara-Isingiro'!K96</f>
        <v>0</v>
      </c>
      <c r="L96" s="49">
        <f>'Avg Week Isingiro-Mbarara'!L96+'Avg Week Mbarara-Isingiro'!L96</f>
        <v>0.5</v>
      </c>
      <c r="M96" s="49">
        <f>'Avg Week Isingiro-Mbarara'!M96+'Avg Week Mbarara-Isingiro'!M96</f>
        <v>1.5</v>
      </c>
      <c r="N96" s="49">
        <f>'Avg Week Isingiro-Mbarara'!N96+'Avg Week Mbarara-Isingiro'!N96</f>
        <v>0</v>
      </c>
      <c r="O96" s="15">
        <f t="shared" si="35"/>
        <v>5.5</v>
      </c>
      <c r="P96" s="15">
        <f t="shared" si="36"/>
        <v>7</v>
      </c>
      <c r="R96" s="8"/>
      <c r="T96"/>
    </row>
    <row r="97" spans="2:20" ht="23.1" customHeight="1" x14ac:dyDescent="0.25">
      <c r="B97" s="23" t="s">
        <v>137</v>
      </c>
      <c r="C97" s="49">
        <f>'Avg Week Isingiro-Mbarara'!C97+'Avg Week Mbarara-Isingiro'!C97</f>
        <v>2.5</v>
      </c>
      <c r="D97" s="49">
        <f>'Avg Week Isingiro-Mbarara'!D97+'Avg Week Mbarara-Isingiro'!D97</f>
        <v>0</v>
      </c>
      <c r="E97" s="49">
        <f>'Avg Week Isingiro-Mbarara'!E97+'Avg Week Mbarara-Isingiro'!E97</f>
        <v>0</v>
      </c>
      <c r="F97" s="49">
        <f>'Avg Week Isingiro-Mbarara'!F97+'Avg Week Mbarara-Isingiro'!F97</f>
        <v>0.5</v>
      </c>
      <c r="G97" s="49">
        <f>'Avg Week Isingiro-Mbarara'!G97+'Avg Week Mbarara-Isingiro'!G97</f>
        <v>0</v>
      </c>
      <c r="H97" s="49">
        <f>'Avg Week Isingiro-Mbarara'!H97+'Avg Week Mbarara-Isingiro'!H97</f>
        <v>0</v>
      </c>
      <c r="I97" s="49">
        <f>'Avg Week Isingiro-Mbarara'!I97+'Avg Week Mbarara-Isingiro'!I97</f>
        <v>1</v>
      </c>
      <c r="J97" s="49">
        <f>'Avg Week Isingiro-Mbarara'!J97+'Avg Week Mbarara-Isingiro'!J97</f>
        <v>0</v>
      </c>
      <c r="K97" s="49">
        <f>'Avg Week Isingiro-Mbarara'!K97+'Avg Week Mbarara-Isingiro'!K97</f>
        <v>0</v>
      </c>
      <c r="L97" s="49">
        <f>'Avg Week Isingiro-Mbarara'!L97+'Avg Week Mbarara-Isingiro'!L97</f>
        <v>0</v>
      </c>
      <c r="M97" s="49">
        <f>'Avg Week Isingiro-Mbarara'!M97+'Avg Week Mbarara-Isingiro'!M97</f>
        <v>3</v>
      </c>
      <c r="N97" s="49">
        <f>'Avg Week Isingiro-Mbarara'!N97+'Avg Week Mbarara-Isingiro'!N97</f>
        <v>0</v>
      </c>
      <c r="O97" s="15">
        <f t="shared" si="35"/>
        <v>4</v>
      </c>
      <c r="P97" s="15">
        <f t="shared" si="36"/>
        <v>7</v>
      </c>
      <c r="R97" s="8"/>
      <c r="T97"/>
    </row>
    <row r="98" spans="2:20" ht="23.1" customHeight="1" x14ac:dyDescent="0.25">
      <c r="B98" s="24" t="s">
        <v>138</v>
      </c>
      <c r="C98" s="49">
        <f>'Avg Week Isingiro-Mbarara'!C98+'Avg Week Mbarara-Isingiro'!C98</f>
        <v>0.5</v>
      </c>
      <c r="D98" s="49">
        <f>'Avg Week Isingiro-Mbarara'!D98+'Avg Week Mbarara-Isingiro'!D98</f>
        <v>0</v>
      </c>
      <c r="E98" s="49">
        <f>'Avg Week Isingiro-Mbarara'!E98+'Avg Week Mbarara-Isingiro'!E98</f>
        <v>0</v>
      </c>
      <c r="F98" s="49">
        <f>'Avg Week Isingiro-Mbarara'!F98+'Avg Week Mbarara-Isingiro'!F98</f>
        <v>0.5</v>
      </c>
      <c r="G98" s="49">
        <f>'Avg Week Isingiro-Mbarara'!G98+'Avg Week Mbarara-Isingiro'!G98</f>
        <v>0</v>
      </c>
      <c r="H98" s="49">
        <f>'Avg Week Isingiro-Mbarara'!H98+'Avg Week Mbarara-Isingiro'!H98</f>
        <v>0</v>
      </c>
      <c r="I98" s="49">
        <f>'Avg Week Isingiro-Mbarara'!I98+'Avg Week Mbarara-Isingiro'!I98</f>
        <v>1</v>
      </c>
      <c r="J98" s="49">
        <f>'Avg Week Isingiro-Mbarara'!J98+'Avg Week Mbarara-Isingiro'!J98</f>
        <v>0.5</v>
      </c>
      <c r="K98" s="49">
        <f>'Avg Week Isingiro-Mbarara'!K98+'Avg Week Mbarara-Isingiro'!K98</f>
        <v>0</v>
      </c>
      <c r="L98" s="49">
        <f>'Avg Week Isingiro-Mbarara'!L98+'Avg Week Mbarara-Isingiro'!L98</f>
        <v>0</v>
      </c>
      <c r="M98" s="49">
        <f>'Avg Week Isingiro-Mbarara'!M98+'Avg Week Mbarara-Isingiro'!M98</f>
        <v>1</v>
      </c>
      <c r="N98" s="49">
        <f>'Avg Week Isingiro-Mbarara'!N98+'Avg Week Mbarara-Isingiro'!N98</f>
        <v>0</v>
      </c>
      <c r="O98" s="15">
        <f t="shared" si="35"/>
        <v>2.5</v>
      </c>
      <c r="P98" s="15">
        <f t="shared" si="36"/>
        <v>3.5</v>
      </c>
      <c r="R98" s="8"/>
      <c r="T98"/>
    </row>
    <row r="99" spans="2:20" ht="23.1" customHeight="1" x14ac:dyDescent="0.25">
      <c r="B99" s="23" t="s">
        <v>139</v>
      </c>
      <c r="C99" s="49">
        <f>'Avg Week Isingiro-Mbarara'!C99+'Avg Week Mbarara-Isingiro'!C99</f>
        <v>0.5</v>
      </c>
      <c r="D99" s="49">
        <f>'Avg Week Isingiro-Mbarara'!D99+'Avg Week Mbarara-Isingiro'!D99</f>
        <v>0</v>
      </c>
      <c r="E99" s="49">
        <f>'Avg Week Isingiro-Mbarara'!E99+'Avg Week Mbarara-Isingiro'!E99</f>
        <v>0</v>
      </c>
      <c r="F99" s="49">
        <f>'Avg Week Isingiro-Mbarara'!F99+'Avg Week Mbarara-Isingiro'!F99</f>
        <v>0</v>
      </c>
      <c r="G99" s="49">
        <f>'Avg Week Isingiro-Mbarara'!G99+'Avg Week Mbarara-Isingiro'!G99</f>
        <v>0</v>
      </c>
      <c r="H99" s="49">
        <f>'Avg Week Isingiro-Mbarara'!H99+'Avg Week Mbarara-Isingiro'!H99</f>
        <v>0</v>
      </c>
      <c r="I99" s="49">
        <f>'Avg Week Isingiro-Mbarara'!I99+'Avg Week Mbarara-Isingiro'!I99</f>
        <v>0.5</v>
      </c>
      <c r="J99" s="49">
        <f>'Avg Week Isingiro-Mbarara'!J99+'Avg Week Mbarara-Isingiro'!J99</f>
        <v>1.5</v>
      </c>
      <c r="K99" s="49">
        <f>'Avg Week Isingiro-Mbarara'!K99+'Avg Week Mbarara-Isingiro'!K99</f>
        <v>0</v>
      </c>
      <c r="L99" s="49">
        <f>'Avg Week Isingiro-Mbarara'!L99+'Avg Week Mbarara-Isingiro'!L99</f>
        <v>0.5</v>
      </c>
      <c r="M99" s="49">
        <f>'Avg Week Isingiro-Mbarara'!M99+'Avg Week Mbarara-Isingiro'!M99</f>
        <v>1.5</v>
      </c>
      <c r="N99" s="49">
        <f>'Avg Week Isingiro-Mbarara'!N99+'Avg Week Mbarara-Isingiro'!N99</f>
        <v>0</v>
      </c>
      <c r="O99" s="15">
        <f t="shared" si="35"/>
        <v>3</v>
      </c>
      <c r="P99" s="15">
        <f t="shared" si="36"/>
        <v>4.5</v>
      </c>
      <c r="R99" s="8"/>
      <c r="T99"/>
    </row>
    <row r="100" spans="2:20" ht="23.1" customHeight="1" x14ac:dyDescent="0.25">
      <c r="B100" s="25" t="s">
        <v>140</v>
      </c>
      <c r="C100" s="49">
        <f>'Avg Week Isingiro-Mbarara'!C100+'Avg Week Mbarara-Isingiro'!C100</f>
        <v>2.5</v>
      </c>
      <c r="D100" s="49">
        <f>'Avg Week Isingiro-Mbarara'!D100+'Avg Week Mbarara-Isingiro'!D100</f>
        <v>0.5</v>
      </c>
      <c r="E100" s="49">
        <f>'Avg Week Isingiro-Mbarara'!E100+'Avg Week Mbarara-Isingiro'!E100</f>
        <v>0</v>
      </c>
      <c r="F100" s="49">
        <f>'Avg Week Isingiro-Mbarara'!F100+'Avg Week Mbarara-Isingiro'!F100</f>
        <v>0</v>
      </c>
      <c r="G100" s="49">
        <f>'Avg Week Isingiro-Mbarara'!G100+'Avg Week Mbarara-Isingiro'!G100</f>
        <v>0</v>
      </c>
      <c r="H100" s="49">
        <f>'Avg Week Isingiro-Mbarara'!H100+'Avg Week Mbarara-Isingiro'!H100</f>
        <v>0</v>
      </c>
      <c r="I100" s="49">
        <f>'Avg Week Isingiro-Mbarara'!I100+'Avg Week Mbarara-Isingiro'!I100</f>
        <v>0</v>
      </c>
      <c r="J100" s="49">
        <f>'Avg Week Isingiro-Mbarara'!J100+'Avg Week Mbarara-Isingiro'!J100</f>
        <v>0.5</v>
      </c>
      <c r="K100" s="49">
        <f>'Avg Week Isingiro-Mbarara'!K100+'Avg Week Mbarara-Isingiro'!K100</f>
        <v>0</v>
      </c>
      <c r="L100" s="49">
        <f>'Avg Week Isingiro-Mbarara'!L100+'Avg Week Mbarara-Isingiro'!L100</f>
        <v>0.5</v>
      </c>
      <c r="M100" s="49">
        <f>'Avg Week Isingiro-Mbarara'!M100+'Avg Week Mbarara-Isingiro'!M100</f>
        <v>2.5</v>
      </c>
      <c r="N100" s="49">
        <f>'Avg Week Isingiro-Mbarara'!N100+'Avg Week Mbarara-Isingiro'!N100</f>
        <v>0</v>
      </c>
      <c r="O100" s="15">
        <f t="shared" si="35"/>
        <v>4</v>
      </c>
      <c r="P100" s="15">
        <f t="shared" si="36"/>
        <v>6.5</v>
      </c>
      <c r="R100" s="8"/>
      <c r="T100"/>
    </row>
    <row r="101" spans="2:20" ht="23.1" customHeight="1" x14ac:dyDescent="0.25">
      <c r="B101" s="23" t="s">
        <v>141</v>
      </c>
      <c r="C101" s="49">
        <f>'Avg Week Isingiro-Mbarara'!C101+'Avg Week Mbarara-Isingiro'!C101</f>
        <v>1.5</v>
      </c>
      <c r="D101" s="49">
        <f>'Avg Week Isingiro-Mbarara'!D101+'Avg Week Mbarara-Isingiro'!D101</f>
        <v>0</v>
      </c>
      <c r="E101" s="49">
        <f>'Avg Week Isingiro-Mbarara'!E101+'Avg Week Mbarara-Isingiro'!E101</f>
        <v>1</v>
      </c>
      <c r="F101" s="49">
        <f>'Avg Week Isingiro-Mbarara'!F101+'Avg Week Mbarara-Isingiro'!F101</f>
        <v>0.5</v>
      </c>
      <c r="G101" s="49">
        <f>'Avg Week Isingiro-Mbarara'!G101+'Avg Week Mbarara-Isingiro'!G101</f>
        <v>0</v>
      </c>
      <c r="H101" s="49">
        <f>'Avg Week Isingiro-Mbarara'!H101+'Avg Week Mbarara-Isingiro'!H101</f>
        <v>0</v>
      </c>
      <c r="I101" s="49">
        <f>'Avg Week Isingiro-Mbarara'!I101+'Avg Week Mbarara-Isingiro'!I101</f>
        <v>0.5</v>
      </c>
      <c r="J101" s="49">
        <f>'Avg Week Isingiro-Mbarara'!J101+'Avg Week Mbarara-Isingiro'!J101</f>
        <v>0</v>
      </c>
      <c r="K101" s="49">
        <f>'Avg Week Isingiro-Mbarara'!K101+'Avg Week Mbarara-Isingiro'!K101</f>
        <v>0</v>
      </c>
      <c r="L101" s="49">
        <f>'Avg Week Isingiro-Mbarara'!L101+'Avg Week Mbarara-Isingiro'!L101</f>
        <v>0</v>
      </c>
      <c r="M101" s="49">
        <f>'Avg Week Isingiro-Mbarara'!M101+'Avg Week Mbarara-Isingiro'!M101</f>
        <v>2</v>
      </c>
      <c r="N101" s="49">
        <f>'Avg Week Isingiro-Mbarara'!N101+'Avg Week Mbarara-Isingiro'!N101</f>
        <v>0</v>
      </c>
      <c r="O101" s="15">
        <f t="shared" si="35"/>
        <v>3.5</v>
      </c>
      <c r="P101" s="15">
        <f t="shared" si="36"/>
        <v>5.5</v>
      </c>
      <c r="R101" s="8"/>
      <c r="T101"/>
    </row>
    <row r="102" spans="2:20" ht="23.1" customHeight="1" x14ac:dyDescent="0.25">
      <c r="B102" s="24" t="s">
        <v>142</v>
      </c>
      <c r="C102" s="49">
        <f>'Avg Week Isingiro-Mbarara'!C102+'Avg Week Mbarara-Isingiro'!C102</f>
        <v>3</v>
      </c>
      <c r="D102" s="49">
        <f>'Avg Week Isingiro-Mbarara'!D102+'Avg Week Mbarara-Isingiro'!D102</f>
        <v>0.5</v>
      </c>
      <c r="E102" s="49">
        <f>'Avg Week Isingiro-Mbarara'!E102+'Avg Week Mbarara-Isingiro'!E102</f>
        <v>0.5</v>
      </c>
      <c r="F102" s="49">
        <f>'Avg Week Isingiro-Mbarara'!F102+'Avg Week Mbarara-Isingiro'!F102</f>
        <v>0.5</v>
      </c>
      <c r="G102" s="49">
        <f>'Avg Week Isingiro-Mbarara'!G102+'Avg Week Mbarara-Isingiro'!G102</f>
        <v>0</v>
      </c>
      <c r="H102" s="49">
        <f>'Avg Week Isingiro-Mbarara'!H102+'Avg Week Mbarara-Isingiro'!H102</f>
        <v>0</v>
      </c>
      <c r="I102" s="49">
        <f>'Avg Week Isingiro-Mbarara'!I102+'Avg Week Mbarara-Isingiro'!I102</f>
        <v>0</v>
      </c>
      <c r="J102" s="49">
        <f>'Avg Week Isingiro-Mbarara'!J102+'Avg Week Mbarara-Isingiro'!J102</f>
        <v>1.5</v>
      </c>
      <c r="K102" s="49">
        <f>'Avg Week Isingiro-Mbarara'!K102+'Avg Week Mbarara-Isingiro'!K102</f>
        <v>0</v>
      </c>
      <c r="L102" s="49">
        <f>'Avg Week Isingiro-Mbarara'!L102+'Avg Week Mbarara-Isingiro'!L102</f>
        <v>0</v>
      </c>
      <c r="M102" s="49">
        <f>'Avg Week Isingiro-Mbarara'!M102+'Avg Week Mbarara-Isingiro'!M102</f>
        <v>8</v>
      </c>
      <c r="N102" s="49">
        <f>'Avg Week Isingiro-Mbarara'!N102+'Avg Week Mbarara-Isingiro'!N102</f>
        <v>0</v>
      </c>
      <c r="O102" s="15">
        <f t="shared" si="35"/>
        <v>6</v>
      </c>
      <c r="P102" s="15">
        <f t="shared" si="36"/>
        <v>14</v>
      </c>
      <c r="R102" s="8"/>
      <c r="T102"/>
    </row>
    <row r="103" spans="2:20" ht="23.1" customHeight="1" x14ac:dyDescent="0.25">
      <c r="B103" s="23" t="s">
        <v>143</v>
      </c>
      <c r="C103" s="49">
        <f>'Avg Week Isingiro-Mbarara'!C103+'Avg Week Mbarara-Isingiro'!C103</f>
        <v>4.5</v>
      </c>
      <c r="D103" s="49">
        <f>'Avg Week Isingiro-Mbarara'!D103+'Avg Week Mbarara-Isingiro'!D103</f>
        <v>0</v>
      </c>
      <c r="E103" s="49">
        <f>'Avg Week Isingiro-Mbarara'!E103+'Avg Week Mbarara-Isingiro'!E103</f>
        <v>0.5</v>
      </c>
      <c r="F103" s="49">
        <f>'Avg Week Isingiro-Mbarara'!F103+'Avg Week Mbarara-Isingiro'!F103</f>
        <v>1</v>
      </c>
      <c r="G103" s="49">
        <f>'Avg Week Isingiro-Mbarara'!G103+'Avg Week Mbarara-Isingiro'!G103</f>
        <v>0.5</v>
      </c>
      <c r="H103" s="49">
        <f>'Avg Week Isingiro-Mbarara'!H103+'Avg Week Mbarara-Isingiro'!H103</f>
        <v>0</v>
      </c>
      <c r="I103" s="49">
        <f>'Avg Week Isingiro-Mbarara'!I103+'Avg Week Mbarara-Isingiro'!I103</f>
        <v>0</v>
      </c>
      <c r="J103" s="49">
        <f>'Avg Week Isingiro-Mbarara'!J103+'Avg Week Mbarara-Isingiro'!J103</f>
        <v>1</v>
      </c>
      <c r="K103" s="49">
        <f>'Avg Week Isingiro-Mbarara'!K103+'Avg Week Mbarara-Isingiro'!K103</f>
        <v>0</v>
      </c>
      <c r="L103" s="49">
        <f>'Avg Week Isingiro-Mbarara'!L103+'Avg Week Mbarara-Isingiro'!L103</f>
        <v>2.5</v>
      </c>
      <c r="M103" s="49">
        <f>'Avg Week Isingiro-Mbarara'!M103+'Avg Week Mbarara-Isingiro'!M103</f>
        <v>19.5</v>
      </c>
      <c r="N103" s="49">
        <f>'Avg Week Isingiro-Mbarara'!N103+'Avg Week Mbarara-Isingiro'!N103</f>
        <v>0</v>
      </c>
      <c r="O103" s="15">
        <f t="shared" si="35"/>
        <v>10</v>
      </c>
      <c r="P103" s="15">
        <f t="shared" si="36"/>
        <v>29.5</v>
      </c>
      <c r="R103" s="8"/>
      <c r="T103"/>
    </row>
    <row r="104" spans="2:20" ht="23.1" customHeight="1" x14ac:dyDescent="0.25">
      <c r="B104" s="25" t="s">
        <v>144</v>
      </c>
      <c r="C104" s="49">
        <f>'Avg Week Isingiro-Mbarara'!C104+'Avg Week Mbarara-Isingiro'!C104</f>
        <v>25</v>
      </c>
      <c r="D104" s="49">
        <f>'Avg Week Isingiro-Mbarara'!D104+'Avg Week Mbarara-Isingiro'!D104</f>
        <v>0.5</v>
      </c>
      <c r="E104" s="49">
        <f>'Avg Week Isingiro-Mbarara'!E104+'Avg Week Mbarara-Isingiro'!E104</f>
        <v>1</v>
      </c>
      <c r="F104" s="49">
        <f>'Avg Week Isingiro-Mbarara'!F104+'Avg Week Mbarara-Isingiro'!F104</f>
        <v>1.5</v>
      </c>
      <c r="G104" s="49">
        <f>'Avg Week Isingiro-Mbarara'!G104+'Avg Week Mbarara-Isingiro'!G104</f>
        <v>0</v>
      </c>
      <c r="H104" s="49">
        <f>'Avg Week Isingiro-Mbarara'!H104+'Avg Week Mbarara-Isingiro'!H104</f>
        <v>0</v>
      </c>
      <c r="I104" s="49">
        <f>'Avg Week Isingiro-Mbarara'!I104+'Avg Week Mbarara-Isingiro'!I104</f>
        <v>1</v>
      </c>
      <c r="J104" s="49">
        <f>'Avg Week Isingiro-Mbarara'!J104+'Avg Week Mbarara-Isingiro'!J104</f>
        <v>1</v>
      </c>
      <c r="K104" s="49">
        <f>'Avg Week Isingiro-Mbarara'!K104+'Avg Week Mbarara-Isingiro'!K104</f>
        <v>0.5</v>
      </c>
      <c r="L104" s="49">
        <f>'Avg Week Isingiro-Mbarara'!L104+'Avg Week Mbarara-Isingiro'!L104</f>
        <v>0</v>
      </c>
      <c r="M104" s="49">
        <f>'Avg Week Isingiro-Mbarara'!M104+'Avg Week Mbarara-Isingiro'!M104</f>
        <v>21</v>
      </c>
      <c r="N104" s="49">
        <f>'Avg Week Isingiro-Mbarara'!N104+'Avg Week Mbarara-Isingiro'!N104</f>
        <v>0</v>
      </c>
      <c r="O104" s="15">
        <f t="shared" si="35"/>
        <v>30.5</v>
      </c>
      <c r="P104" s="15">
        <f t="shared" si="36"/>
        <v>51.5</v>
      </c>
      <c r="R104" s="8"/>
      <c r="T104"/>
    </row>
    <row r="105" spans="2:20" ht="23.1" customHeight="1" x14ac:dyDescent="0.25">
      <c r="B105" s="23" t="s">
        <v>145</v>
      </c>
      <c r="C105" s="49">
        <f>'Avg Week Isingiro-Mbarara'!C105+'Avg Week Mbarara-Isingiro'!C105</f>
        <v>7</v>
      </c>
      <c r="D105" s="49">
        <f>'Avg Week Isingiro-Mbarara'!D105+'Avg Week Mbarara-Isingiro'!D105</f>
        <v>1.5</v>
      </c>
      <c r="E105" s="49">
        <f>'Avg Week Isingiro-Mbarara'!E105+'Avg Week Mbarara-Isingiro'!E105</f>
        <v>1</v>
      </c>
      <c r="F105" s="49">
        <f>'Avg Week Isingiro-Mbarara'!F105+'Avg Week Mbarara-Isingiro'!F105</f>
        <v>2</v>
      </c>
      <c r="G105" s="49">
        <f>'Avg Week Isingiro-Mbarara'!G105+'Avg Week Mbarara-Isingiro'!G105</f>
        <v>0</v>
      </c>
      <c r="H105" s="49">
        <f>'Avg Week Isingiro-Mbarara'!H105+'Avg Week Mbarara-Isingiro'!H105</f>
        <v>0</v>
      </c>
      <c r="I105" s="49">
        <f>'Avg Week Isingiro-Mbarara'!I105+'Avg Week Mbarara-Isingiro'!I105</f>
        <v>3</v>
      </c>
      <c r="J105" s="49">
        <f>'Avg Week Isingiro-Mbarara'!J105+'Avg Week Mbarara-Isingiro'!J105</f>
        <v>1</v>
      </c>
      <c r="K105" s="49">
        <f>'Avg Week Isingiro-Mbarara'!K105+'Avg Week Mbarara-Isingiro'!K105</f>
        <v>0.5</v>
      </c>
      <c r="L105" s="49">
        <f>'Avg Week Isingiro-Mbarara'!L105+'Avg Week Mbarara-Isingiro'!L105</f>
        <v>0.5</v>
      </c>
      <c r="M105" s="49">
        <f>'Avg Week Isingiro-Mbarara'!M105+'Avg Week Mbarara-Isingiro'!M105</f>
        <v>36</v>
      </c>
      <c r="N105" s="49">
        <f>'Avg Week Isingiro-Mbarara'!N105+'Avg Week Mbarara-Isingiro'!N105</f>
        <v>0</v>
      </c>
      <c r="O105" s="15">
        <f t="shared" si="35"/>
        <v>16.5</v>
      </c>
      <c r="P105" s="15">
        <f t="shared" si="36"/>
        <v>52.5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1388.7857142857142</v>
      </c>
      <c r="D106" s="16">
        <f t="shared" ref="D106:P106" si="37">SUM(D10:D105)</f>
        <v>223.64285714285711</v>
      </c>
      <c r="E106" s="16">
        <f t="shared" si="37"/>
        <v>228.07142857142858</v>
      </c>
      <c r="F106" s="16">
        <f t="shared" si="37"/>
        <v>325.85714285714283</v>
      </c>
      <c r="G106" s="16">
        <f t="shared" si="37"/>
        <v>6.0714285714285703</v>
      </c>
      <c r="H106" s="16">
        <f t="shared" si="37"/>
        <v>3.214285714285714</v>
      </c>
      <c r="I106" s="16">
        <f t="shared" si="37"/>
        <v>226.28571428571431</v>
      </c>
      <c r="J106" s="16">
        <f t="shared" si="37"/>
        <v>169.85714285714286</v>
      </c>
      <c r="K106" s="16">
        <f t="shared" si="37"/>
        <v>16.785714285714285</v>
      </c>
      <c r="L106" s="16">
        <f t="shared" si="37"/>
        <v>16</v>
      </c>
      <c r="M106" s="16">
        <f t="shared" si="37"/>
        <v>4389.1428571428551</v>
      </c>
      <c r="N106" s="16">
        <f t="shared" si="37"/>
        <v>0.71428571428571419</v>
      </c>
      <c r="O106" s="16">
        <f t="shared" si="37"/>
        <v>2605.2857142857147</v>
      </c>
      <c r="P106" s="16">
        <f t="shared" si="37"/>
        <v>6994.4285714285734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0.19855599354588338</v>
      </c>
      <c r="D107" s="43">
        <f t="shared" si="38"/>
        <v>3.1974428626866266E-2</v>
      </c>
      <c r="E107" s="43">
        <f t="shared" si="38"/>
        <v>3.2607585629378474E-2</v>
      </c>
      <c r="F107" s="43">
        <f t="shared" si="38"/>
        <v>4.6588100733236638E-2</v>
      </c>
      <c r="G107" s="43">
        <f t="shared" si="38"/>
        <v>8.6803782602479489E-4</v>
      </c>
      <c r="H107" s="43">
        <f t="shared" si="38"/>
        <v>4.5954943730724436E-4</v>
      </c>
      <c r="I107" s="43">
        <f t="shared" si="38"/>
        <v>3.235228038643001E-2</v>
      </c>
      <c r="J107" s="43">
        <f t="shared" si="38"/>
        <v>2.4284634709258384E-2</v>
      </c>
      <c r="K107" s="43">
        <f t="shared" si="38"/>
        <v>2.3998692837156094E-3</v>
      </c>
      <c r="L107" s="43">
        <f t="shared" si="38"/>
        <v>2.2875349768182833E-3</v>
      </c>
      <c r="M107" s="43">
        <f t="shared" si="38"/>
        <v>0.62751986274790095</v>
      </c>
      <c r="N107" s="43">
        <f t="shared" si="38"/>
        <v>1.0212209717938763E-4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0.53306464879091942</v>
      </c>
      <c r="D108" s="44">
        <f t="shared" ref="D108:N108" si="39">D106/$O$106</f>
        <v>8.5841969622196604E-2</v>
      </c>
      <c r="E108" s="44">
        <f t="shared" si="39"/>
        <v>8.7541810604814377E-2</v>
      </c>
      <c r="F108" s="44">
        <f t="shared" si="39"/>
        <v>0.12507539617261609</v>
      </c>
      <c r="G108" s="44">
        <f t="shared" si="39"/>
        <v>2.3304271535888568E-3</v>
      </c>
      <c r="H108" s="44">
        <f t="shared" si="39"/>
        <v>1.2337555518999832E-3</v>
      </c>
      <c r="I108" s="44">
        <f t="shared" si="39"/>
        <v>8.6856390853758833E-2</v>
      </c>
      <c r="J108" s="44">
        <f t="shared" si="39"/>
        <v>6.5197126720403564E-2</v>
      </c>
      <c r="K108" s="44">
        <f t="shared" si="39"/>
        <v>6.4429456599221346E-3</v>
      </c>
      <c r="L108" s="44">
        <f t="shared" si="39"/>
        <v>6.1413609694576949E-3</v>
      </c>
      <c r="M108" s="44"/>
      <c r="N108" s="44">
        <f t="shared" si="39"/>
        <v>2.7416790042221847E-4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25.10 Isingiro-Mbarara</vt:lpstr>
      <vt:lpstr>25.10 Mbarara-Isingiro</vt:lpstr>
      <vt:lpstr>26.10 Isingiro-Mbarara-24Hr</vt:lpstr>
      <vt:lpstr>26.10 Mbarara-Isingiro-24Hr</vt:lpstr>
      <vt:lpstr>27.10 Isingilo-Mbarara</vt:lpstr>
      <vt:lpstr>27.10 Mbarara-Isingiro</vt:lpstr>
      <vt:lpstr>28.10 Isingiro-Mbarara-24Hr</vt:lpstr>
      <vt:lpstr>28.10 Mbarara-Isingiro-24Hr</vt:lpstr>
      <vt:lpstr>29.10 Isingiro-Mbarara</vt:lpstr>
      <vt:lpstr>29.10 Mbarara-Isingiro</vt:lpstr>
      <vt:lpstr>30.10 Isingiro-Mbarara</vt:lpstr>
      <vt:lpstr>30.10 Mbarara-Isingiro</vt:lpstr>
      <vt:lpstr>31.10 Isingiro-Mbarara</vt:lpstr>
      <vt:lpstr>31.10 Mbarara-Isingiro</vt:lpstr>
      <vt:lpstr>Avg Week Isingiro-Mbarara</vt:lpstr>
      <vt:lpstr>Avg Week Mbarara-Isingiro</vt:lpstr>
      <vt:lpstr>Avg Week Isingiro-Mbarara-2Dir</vt:lpstr>
      <vt:lpstr>'25.10 Isingiro-Mbarara'!Print_Area</vt:lpstr>
      <vt:lpstr>'25.10 Mbarara-Isingiro'!Print_Area</vt:lpstr>
      <vt:lpstr>'26.10 Isingiro-Mbarara-24Hr'!Print_Area</vt:lpstr>
      <vt:lpstr>'26.10 Mbarara-Isingiro-24Hr'!Print_Area</vt:lpstr>
      <vt:lpstr>'27.10 Isingilo-Mbarara'!Print_Area</vt:lpstr>
      <vt:lpstr>'27.10 Mbarara-Isingiro'!Print_Area</vt:lpstr>
      <vt:lpstr>'28.10 Isingiro-Mbarara-24Hr'!Print_Area</vt:lpstr>
      <vt:lpstr>'28.10 Mbarara-Isingiro-24Hr'!Print_Area</vt:lpstr>
      <vt:lpstr>'29.10 Isingiro-Mbarara'!Print_Area</vt:lpstr>
      <vt:lpstr>'29.10 Mbarara-Isingiro'!Print_Area</vt:lpstr>
      <vt:lpstr>'30.10 Isingiro-Mbarara'!Print_Area</vt:lpstr>
      <vt:lpstr>'30.10 Mbarara-Isingiro'!Print_Area</vt:lpstr>
      <vt:lpstr>'31.10 Isingiro-Mbarara'!Print_Area</vt:lpstr>
      <vt:lpstr>'31.10 Mbarara-Isingiro'!Print_Area</vt:lpstr>
      <vt:lpstr>'Avg Week Isingiro-Mbarara'!Print_Area</vt:lpstr>
      <vt:lpstr>'Avg Week Isingiro-Mbarara-2Dir'!Print_Area</vt:lpstr>
      <vt:lpstr>'Avg Week Mbarara-Isingiro'!Print_Area</vt:lpstr>
      <vt:lpstr>'25.10 Isingiro-Mbarara'!Print_Titles</vt:lpstr>
      <vt:lpstr>'25.10 Mbarara-Isingiro'!Print_Titles</vt:lpstr>
      <vt:lpstr>'26.10 Isingiro-Mbarara-24Hr'!Print_Titles</vt:lpstr>
      <vt:lpstr>'26.10 Mbarara-Isingiro-24Hr'!Print_Titles</vt:lpstr>
      <vt:lpstr>'27.10 Isingilo-Mbarara'!Print_Titles</vt:lpstr>
      <vt:lpstr>'27.10 Mbarara-Isingiro'!Print_Titles</vt:lpstr>
      <vt:lpstr>'28.10 Isingiro-Mbarara-24Hr'!Print_Titles</vt:lpstr>
      <vt:lpstr>'28.10 Mbarara-Isingiro-24Hr'!Print_Titles</vt:lpstr>
      <vt:lpstr>'29.10 Isingiro-Mbarara'!Print_Titles</vt:lpstr>
      <vt:lpstr>'29.10 Mbarara-Isingiro'!Print_Titles</vt:lpstr>
      <vt:lpstr>'30.10 Isingiro-Mbarara'!Print_Titles</vt:lpstr>
      <vt:lpstr>'30.10 Mbarara-Isingiro'!Print_Titles</vt:lpstr>
      <vt:lpstr>'31.10 Isingiro-Mbarara'!Print_Titles</vt:lpstr>
      <vt:lpstr>'31.10 Mbarara-Isingiro'!Print_Titles</vt:lpstr>
      <vt:lpstr>'Avg Week Isingiro-Mbarara'!Print_Titles</vt:lpstr>
      <vt:lpstr>'Avg Week Isingiro-Mbarara-2Dir'!Print_Titles</vt:lpstr>
      <vt:lpstr>'Avg Week Mbarara-Isingiro'!Print_Titles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K-BENZ</cp:lastModifiedBy>
  <cp:lastPrinted>2019-07-25T18:18:41Z</cp:lastPrinted>
  <dcterms:created xsi:type="dcterms:W3CDTF">2010-07-06T07:39:49Z</dcterms:created>
  <dcterms:modified xsi:type="dcterms:W3CDTF">2020-01-15T13:11:27Z</dcterms:modified>
</cp:coreProperties>
</file>